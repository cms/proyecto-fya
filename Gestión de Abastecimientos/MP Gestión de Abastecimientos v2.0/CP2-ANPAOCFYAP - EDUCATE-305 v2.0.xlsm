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000" windowHeight="8070" tabRatio="783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functionGroups builtInGroupCount="17"/>
  <calcPr calcId="144525"/>
  <pivotCaches>
    <pivotCache cacheId="0" r:id="rId8"/>
    <pivotCache cacheId="1" r:id="rId9"/>
    <pivotCache cacheId="2" r:id="rId10"/>
    <pivotCache cacheId="3" r:id="rId11"/>
    <pivotCache cacheId="4" r:id="rId12"/>
    <pivotCache cacheId="5" r:id="rId13"/>
  </pivotCaches>
</workbook>
</file>

<file path=xl/calcChain.xml><?xml version="1.0" encoding="utf-8"?>
<calcChain xmlns="http://schemas.openxmlformats.org/spreadsheetml/2006/main">
  <c r="J3" i="5" l="1"/>
  <c r="C3" i="5"/>
  <c r="L5" i="3" l="1"/>
  <c r="L6" i="3" l="1"/>
  <c r="L7" i="3"/>
  <c r="L8" i="3"/>
  <c r="L9" i="3"/>
  <c r="F10" i="3"/>
  <c r="L10" i="3"/>
  <c r="Q10" i="3"/>
  <c r="F11" i="3"/>
  <c r="L11" i="3"/>
  <c r="Q11" i="3"/>
  <c r="F9" i="3"/>
  <c r="Q9" i="3"/>
  <c r="Q8" i="3" l="1"/>
  <c r="Q7" i="3"/>
  <c r="Q6" i="3"/>
  <c r="Q5" i="3"/>
  <c r="C10" i="4" l="1"/>
  <c r="K10" i="4"/>
  <c r="L10" i="4"/>
  <c r="C9" i="4"/>
  <c r="K9" i="4"/>
  <c r="L9" i="4"/>
  <c r="C11" i="4"/>
  <c r="K11" i="4"/>
  <c r="L11" i="4"/>
  <c r="C8" i="4"/>
  <c r="K8" i="4"/>
  <c r="L8" i="4"/>
  <c r="C7" i="4"/>
  <c r="K7" i="4"/>
  <c r="L7" i="4"/>
  <c r="O8" i="6" l="1"/>
  <c r="J8" i="6"/>
  <c r="F8" i="3" l="1"/>
  <c r="O7" i="6" l="1"/>
  <c r="J7" i="6"/>
  <c r="O4" i="6" l="1"/>
  <c r="O5" i="6"/>
  <c r="O6" i="6"/>
  <c r="J6" i="6"/>
  <c r="F7" i="3" l="1"/>
  <c r="C10" i="2" l="1"/>
  <c r="J4" i="6" l="1"/>
  <c r="J5" i="6"/>
  <c r="C5" i="4" l="1"/>
  <c r="K5" i="4"/>
  <c r="L5" i="4"/>
  <c r="C6" i="4"/>
  <c r="K6" i="4"/>
  <c r="L6" i="4"/>
  <c r="C4" i="4"/>
  <c r="K4" i="4"/>
  <c r="L4" i="4"/>
  <c r="F6" i="3"/>
  <c r="L3" i="4"/>
  <c r="C3" i="4"/>
  <c r="C30" i="2"/>
  <c r="E30" i="2"/>
  <c r="C31" i="2"/>
  <c r="E31" i="2"/>
  <c r="C32" i="2"/>
  <c r="E32" i="2"/>
  <c r="C33" i="2"/>
  <c r="E33" i="2"/>
  <c r="I30" i="2" l="1"/>
  <c r="J30" i="2"/>
  <c r="K30" i="2"/>
  <c r="I33" i="2"/>
  <c r="K33" i="2"/>
  <c r="J33" i="2"/>
  <c r="E34" i="2"/>
  <c r="C34" i="2"/>
  <c r="J32" i="2" l="1"/>
  <c r="I32" i="2"/>
  <c r="K32" i="2"/>
  <c r="F5" i="3" l="1"/>
  <c r="I13" i="2" l="1"/>
  <c r="K13" i="2"/>
  <c r="K3" i="4"/>
  <c r="I31" i="2" l="1"/>
  <c r="I34" i="2" s="1"/>
  <c r="K31" i="2"/>
  <c r="K34" i="2" s="1"/>
  <c r="J31" i="2"/>
  <c r="J34" i="2" s="1"/>
  <c r="K20" i="2"/>
  <c r="K19" i="2"/>
  <c r="K18" i="2"/>
  <c r="I20" i="2"/>
  <c r="I19" i="2"/>
  <c r="I18" i="2"/>
  <c r="G20" i="2"/>
  <c r="G19" i="2"/>
  <c r="G18" i="2"/>
  <c r="M20" i="2"/>
  <c r="M19" i="2"/>
  <c r="M18" i="2"/>
  <c r="E20" i="2"/>
  <c r="E19" i="2"/>
  <c r="E18" i="2"/>
  <c r="C20" i="2"/>
  <c r="C19" i="2"/>
  <c r="C18" i="2"/>
  <c r="J13" i="2"/>
  <c r="H13" i="2"/>
  <c r="G13" i="2"/>
  <c r="F13" i="2"/>
  <c r="E13" i="2"/>
  <c r="C14" i="2"/>
  <c r="C13" i="2"/>
  <c r="C12" i="2"/>
  <c r="G2" i="3"/>
  <c r="G89" i="7"/>
  <c r="E2" i="3"/>
  <c r="G2" i="2"/>
  <c r="D2" i="2"/>
  <c r="D30" i="2" l="1"/>
  <c r="D31" i="2"/>
  <c r="F33" i="2"/>
  <c r="F32" i="2"/>
  <c r="D32" i="2"/>
  <c r="F30" i="2"/>
  <c r="D33" i="2"/>
  <c r="F31" i="2"/>
  <c r="C11" i="2"/>
  <c r="D6" i="2" s="1"/>
  <c r="D18" i="2"/>
  <c r="K14" i="2"/>
  <c r="G68" i="7"/>
  <c r="C21" i="2"/>
  <c r="F20" i="2"/>
  <c r="J19" i="2"/>
  <c r="L20" i="2"/>
  <c r="F19" i="2"/>
  <c r="N20" i="2"/>
  <c r="L19" i="2"/>
  <c r="F18" i="2"/>
  <c r="N19" i="2"/>
  <c r="H20" i="2"/>
  <c r="L18" i="2"/>
  <c r="N18" i="2"/>
  <c r="H19" i="2"/>
  <c r="J20" i="2"/>
  <c r="I21" i="2"/>
  <c r="G21" i="2"/>
  <c r="M21" i="2"/>
  <c r="K21" i="2"/>
  <c r="J18" i="2"/>
  <c r="H18" i="2"/>
  <c r="E21" i="2"/>
  <c r="D19" i="2"/>
  <c r="D20" i="2"/>
  <c r="F14" i="2"/>
  <c r="J14" i="2"/>
  <c r="E14" i="2"/>
  <c r="I14" i="2"/>
  <c r="H14" i="2"/>
  <c r="G14" i="2"/>
  <c r="F34" i="2" l="1"/>
  <c r="D34" i="2"/>
  <c r="D4" i="2"/>
  <c r="L21" i="2"/>
  <c r="G4" i="2"/>
  <c r="J21" i="2"/>
  <c r="F21" i="2"/>
  <c r="N21" i="2"/>
  <c r="H21" i="2"/>
  <c r="D21" i="2"/>
</calcChain>
</file>

<file path=xl/sharedStrings.xml><?xml version="1.0" encoding="utf-8"?>
<sst xmlns="http://schemas.openxmlformats.org/spreadsheetml/2006/main" count="338" uniqueCount="195">
  <si>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</si>
  <si>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</si>
  <si>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</si>
  <si>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</si>
  <si>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</si>
  <si>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</si>
  <si>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</si>
  <si>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</si>
  <si>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</si>
  <si>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</si>
  <si>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</si>
  <si>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</si>
  <si>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</si>
  <si>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</si>
  <si>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</si>
  <si>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</si>
  <si>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</si>
  <si>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</si>
  <si>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</si>
  <si>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</si>
  <si>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</si>
  <si>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</si>
  <si>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</si>
  <si>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</si>
  <si>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</si>
  <si>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</si>
  <si>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</si>
  <si>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</si>
  <si>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</si>
  <si>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</si>
  <si>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</si>
  <si>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</si>
  <si>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</si>
  <si>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</si>
  <si>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</si>
  <si>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</si>
  <si>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</si>
  <si>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</si>
  <si>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</si>
  <si>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</si>
  <si>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</si>
  <si>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</si>
  <si>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</si>
  <si>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</si>
  <si>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</si>
  <si>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</si>
  <si>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</si>
  <si>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</si>
  <si>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</si>
  <si>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</si>
  <si>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</si>
  <si>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</si>
  <si>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</si>
  <si>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</si>
  <si>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</si>
  <si>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</si>
  <si>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</si>
  <si>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</si>
  <si>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</si>
  <si>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</si>
  <si>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</si>
  <si>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</si>
  <si>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</si>
  <si>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</si>
  <si>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</si>
  <si>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</si>
  <si>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</si>
  <si>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</si>
  <si>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</si>
  <si>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</si>
  <si>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</si>
  <si>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</si>
  <si>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</si>
  <si>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</si>
  <si>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</si>
  <si>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</si>
  <si>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</si>
  <si>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</si>
  <si>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</si>
  <si>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</si>
  <si>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</si>
  <si>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</si>
  <si>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</si>
  <si>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</si>
  <si>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</si>
  <si>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</si>
  <si>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</si>
  <si>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</si>
  <si>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</si>
  <si>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</si>
  <si>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</si>
  <si>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</si>
  <si>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</si>
  <si>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</si>
  <si>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</si>
  <si>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</si>
  <si>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</si>
  <si>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</si>
  <si>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</si>
  <si>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</si>
  <si>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</si>
  <si>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</si>
  <si>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</si>
  <si>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</si>
  <si>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</si>
  <si>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</si>
  <si>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</si>
  <si>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</si>
  <si>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</si>
  <si>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</si>
  <si>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</si>
  <si>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</si>
  <si>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</si>
  <si>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</si>
  <si>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</si>
  <si>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</si>
  <si>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</si>
  <si>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</si>
  <si>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</si>
  <si>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</si>
  <si>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</si>
  <si>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</si>
  <si>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</si>
  <si>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</si>
  <si>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</si>
  <si>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</si>
  <si>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</si>
  <si>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</si>
  <si>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</si>
  <si>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</si>
  <si>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</si>
  <si>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</si>
  <si>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</si>
  <si>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</si>
  <si>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</si>
  <si>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</si>
  <si>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</si>
  <si>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</si>
  <si>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</si>
  <si>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</si>
  <si>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</si>
  <si>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IT Expert</t>
  </si>
  <si>
    <t>Cliente</t>
  </si>
  <si>
    <t>Empresa QA</t>
  </si>
  <si>
    <t>Responsable Cliente</t>
  </si>
  <si>
    <t>Responsable QA</t>
  </si>
  <si>
    <t>CP002</t>
  </si>
  <si>
    <t>INSPECCIÓN</t>
  </si>
  <si>
    <t>OBS002</t>
  </si>
  <si>
    <t>OBS003</t>
  </si>
  <si>
    <t>OBS004</t>
  </si>
  <si>
    <t>OBS005</t>
  </si>
  <si>
    <t>CON001</t>
  </si>
  <si>
    <t>Grand Total</t>
  </si>
  <si>
    <t>Row Labels</t>
  </si>
  <si>
    <t>(blank)</t>
  </si>
  <si>
    <t>Chris Navarro</t>
  </si>
  <si>
    <t>Victor Pomajuica</t>
  </si>
  <si>
    <t>CP003</t>
  </si>
  <si>
    <t>OBS006</t>
  </si>
  <si>
    <t>Macroproceso de Gestión de Abastecimiento</t>
  </si>
  <si>
    <t>CP004</t>
  </si>
  <si>
    <t>CP005</t>
  </si>
  <si>
    <t>CP006</t>
  </si>
  <si>
    <t>CP007</t>
  </si>
  <si>
    <t>EDUCATE</t>
  </si>
  <si>
    <t>Arquitectura de Negocios y Propuesta de Automatización para la Oficina Central de Fe y Alegría Perú</t>
  </si>
  <si>
    <t>OBS007</t>
  </si>
  <si>
    <t>OBS008</t>
  </si>
  <si>
    <t>OBS009</t>
  </si>
  <si>
    <t>ANPAOCFYAP</t>
  </si>
  <si>
    <t>Evaluación y Entrega de Fondos</t>
  </si>
  <si>
    <t>Recopilación de RequerimientosInstitucionales</t>
  </si>
  <si>
    <t>Autorizar compra</t>
  </si>
  <si>
    <t>Realizar Cotización</t>
  </si>
  <si>
    <t>Concurso de Precios</t>
  </si>
  <si>
    <t>Compra de Bienes</t>
  </si>
  <si>
    <t xml:space="preserve">Macroproceso de Gestión de Abastecimiento                                                                                                                                                                                                  </t>
  </si>
  <si>
    <t>Procedimiento 5.1 y 5.2: solo se refiere al valor de un bien.</t>
  </si>
  <si>
    <t>Error en la asignación del área responsable de la actividad 4.</t>
  </si>
  <si>
    <t>Gateway 8: Debe ser una acción, no una pregunta.</t>
  </si>
  <si>
    <t>Error en la asignación del área responsable de la actividad 2.</t>
  </si>
  <si>
    <t>Descripción 5: error de redacción en segunda oración.</t>
  </si>
  <si>
    <t>Error en Entrada 12.</t>
  </si>
  <si>
    <t>Actividad 13: ¿qué sucede si el director no está de acuerdo y no da el VoBo del cuadro comparativo?</t>
  </si>
  <si>
    <t>Error en Salida 11: ¿proveedor firmado?</t>
  </si>
  <si>
    <t>Gateway 6: Debe ser una acción, no una pregunta.</t>
  </si>
  <si>
    <t>Gateway 7: Debe ser una acción, no una pregunta.</t>
  </si>
  <si>
    <t>Se modificó según indicaciones de la Observación.</t>
  </si>
  <si>
    <t>Se modificaron las salidas de las actividades: 11 y 12; y las entradas de las actividades 12 y 13.</t>
  </si>
  <si>
    <t>Se modificó la salida de la actividad 11, y por ende, la entrada de la actividad 12. Una de las entradas de la actividad 12 corresponde a una de las salidas de la actividad 8.</t>
  </si>
  <si>
    <t>Se modificó el nombre del gateway 7.</t>
  </si>
  <si>
    <t>Se modificó el nombre del gateway 6.</t>
  </si>
  <si>
    <t>Se modificó  el nombre del gateway 8.</t>
  </si>
  <si>
    <t>Según nos indicaron en las entrevistas, el VoBo del Director es simple trámite, pues la evaluación que se realiza previamente es exhaustiva y rigurosa.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</si>
</sst>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$-409]d\-mmm\-yyyy;@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</fills>
  <borders count="37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07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31" xfId="0" applyNumberFormat="1" applyFont="1" applyFill="1" applyBorder="1"/>
    <xf numFmtId="0" fontId="2" fillId="24" borderId="3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41" fillId="0" borderId="0" xfId="0" applyNumberFormat="1" applyFont="1" applyAlignment="1" applyProtection="1">
      <alignment vertical="center" wrapText="1"/>
    </xf>
    <xf numFmtId="0" fontId="41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0" fillId="26" borderId="0" xfId="0" applyFon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50" fillId="38" borderId="4" xfId="0" applyFont="1" applyFill="1" applyBorder="1" applyAlignment="1">
      <alignment horizontal="left" vertical="center" wrapText="1"/>
    </xf>
    <xf numFmtId="0" fontId="50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165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165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165" fontId="41" fillId="0" borderId="0" xfId="0" applyNumberFormat="1" applyFont="1" applyAlignment="1">
      <alignment vertical="center" wrapText="1"/>
    </xf>
    <xf numFmtId="165" fontId="0" fillId="0" borderId="24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25" xfId="0" applyNumberFormat="1" applyBorder="1"/>
    <xf numFmtId="1" fontId="0" fillId="0" borderId="28" xfId="0" applyNumberFormat="1" applyBorder="1"/>
    <xf numFmtId="0" fontId="55" fillId="22" borderId="0" xfId="0" applyNumberFormat="1" applyFont="1" applyFill="1" applyAlignment="1">
      <alignment vertical="center" wrapText="1"/>
    </xf>
    <xf numFmtId="164" fontId="55" fillId="22" borderId="0" xfId="0" applyNumberFormat="1" applyFont="1" applyFill="1" applyAlignment="1">
      <alignment horizontal="center" vertical="center" wrapText="1"/>
    </xf>
    <xf numFmtId="0" fontId="0" fillId="22" borderId="0" xfId="0" applyFill="1" applyAlignment="1">
      <alignment vertical="center" wrapText="1"/>
    </xf>
    <xf numFmtId="0" fontId="0" fillId="22" borderId="0" xfId="0" applyNumberFormat="1" applyFill="1" applyAlignment="1">
      <alignment vertical="center" wrapText="1"/>
    </xf>
    <xf numFmtId="0" fontId="55" fillId="24" borderId="0" xfId="0" applyNumberFormat="1" applyFont="1" applyFill="1" applyAlignment="1">
      <alignment vertical="center" wrapText="1"/>
    </xf>
    <xf numFmtId="164" fontId="55" fillId="24" borderId="0" xfId="0" applyNumberFormat="1" applyFont="1" applyFill="1" applyAlignment="1">
      <alignment horizontal="center" vertical="center" wrapText="1"/>
    </xf>
    <xf numFmtId="0" fontId="0" fillId="24" borderId="0" xfId="0" applyFill="1" applyAlignment="1">
      <alignment vertical="center" wrapText="1"/>
    </xf>
    <xf numFmtId="0" fontId="0" fillId="24" borderId="0" xfId="0" applyNumberFormat="1" applyFill="1" applyAlignment="1">
      <alignment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3" xfId="2" applyFont="1" applyFill="1" applyBorder="1" applyAlignment="1">
      <alignment horizontal="left" vertical="center"/>
    </xf>
    <xf numFmtId="0" fontId="8" fillId="0" borderId="29" xfId="2" applyFont="1" applyFill="1" applyBorder="1" applyAlignment="1">
      <alignment horizontal="left" vertical="center" wrapText="1"/>
    </xf>
    <xf numFmtId="0" fontId="8" fillId="0" borderId="36" xfId="2" applyFont="1" applyFill="1" applyBorder="1" applyAlignment="1">
      <alignment horizontal="left" vertical="center" wrapText="1"/>
    </xf>
    <xf numFmtId="0" fontId="8" fillId="0" borderId="30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1" xfId="0" applyFont="1" applyFill="1" applyBorder="1" applyAlignment="1">
      <alignment horizontal="left"/>
    </xf>
    <xf numFmtId="0" fontId="2" fillId="24" borderId="32" xfId="0" applyFont="1" applyFill="1" applyBorder="1" applyAlignment="1">
      <alignment horizontal="left"/>
    </xf>
    <xf numFmtId="0" fontId="2" fillId="24" borderId="33" xfId="0" applyFont="1" applyFill="1" applyBorder="1" applyAlignment="1">
      <alignment horizontal="left"/>
    </xf>
    <xf numFmtId="0" fontId="50" fillId="38" borderId="12" xfId="0" applyFont="1" applyFill="1" applyBorder="1" applyAlignment="1">
      <alignment horizontal="left" vertical="center" wrapText="1"/>
    </xf>
    <xf numFmtId="0" fontId="50" fillId="38" borderId="13" xfId="0" applyFont="1" applyFill="1" applyBorder="1" applyAlignment="1">
      <alignment horizontal="left" vertical="center" wrapText="1"/>
    </xf>
    <xf numFmtId="0" fontId="50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72"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  <dxf>
      <numFmt numFmtId="0" formatCode="General"/>
      <alignment vertical="center" textRotation="0" wrapText="1" justifyLastLine="0" shrinkToFit="0" readingOrder="0"/>
    </dxf>
    <dxf>
      <numFmt numFmtId="1" formatCode="0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164" formatCode="dd/mm/yyyy;@"/>
      <alignment horizontal="center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font>
        <b val="0"/>
      </font>
      <numFmt numFmtId="0" formatCode="General"/>
      <alignment vertical="center" textRotation="0" wrapText="1" justifyLastLine="0" shrinkToFit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12"/>
          <c:y val="0.20151813899974841"/>
          <c:w val="0.5014249413513493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HistoricoAvance!$C$4:$C$8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HistoricoAvance!$D$4:$D$8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HistoricoAvance!$E$4:$E$8</c:f>
              <c:numCache>
                <c:formatCode>0</c:formatCode>
                <c:ptCount val="5"/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HistoricoAvance!$F$4:$F$8</c:f>
              <c:numCache>
                <c:formatCode>0</c:formatCode>
                <c:ptCount val="5"/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HistoricoAvance!$G$4:$G$8</c:f>
              <c:numCache>
                <c:formatCode>0</c:formatCode>
                <c:ptCount val="5"/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HistoricoAvance!$H$4:$H$8</c:f>
              <c:numCache>
                <c:formatCode>0</c:formatCode>
                <c:ptCount val="5"/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HistoricoAvance!$I$4:$I$8</c:f>
              <c:numCache>
                <c:formatCode>0</c:formatCode>
                <c:ptCount val="5"/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HistoricoAvance!$J$4:$J$8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30816"/>
        <c:axId val="148140800"/>
      </c:lineChart>
      <c:dateAx>
        <c:axId val="148130816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8140800"/>
        <c:crosses val="autoZero"/>
        <c:auto val="1"/>
        <c:lblOffset val="100"/>
        <c:baseTimeUnit val="days"/>
      </c:dateAx>
      <c:valAx>
        <c:axId val="1481408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813081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HistoricoAvance!$M$4:$M$8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HistoricoAvance!$N$4:$N$8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HistoricoAvance!$O$4:$O$8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54240"/>
        <c:axId val="148155776"/>
      </c:lineChart>
      <c:dateAx>
        <c:axId val="148154240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8155776"/>
        <c:crosses val="autoZero"/>
        <c:auto val="1"/>
        <c:lblOffset val="100"/>
        <c:baseTimeUnit val="days"/>
      </c:dateAx>
      <c:valAx>
        <c:axId val="1481557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81542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v2.0.xlsm]CuadrosResumen!Tabla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CuadrosResumen!$B$71:$B$75</c:f>
              <c:strCache>
                <c:ptCount val="4"/>
                <c:pt idx="0">
                  <c:v>Severidad 1</c:v>
                </c:pt>
                <c:pt idx="1">
                  <c:v>Severidad 2</c:v>
                </c:pt>
                <c:pt idx="2">
                  <c:v>Severidad 3</c:v>
                </c:pt>
                <c:pt idx="3">
                  <c:v>Severidad 4</c:v>
                </c:pt>
              </c:strCache>
            </c:strRef>
          </c:cat>
          <c:val>
            <c:numRef>
              <c:f>CuadrosResumen!$C$71:$C$75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19936"/>
        <c:axId val="151721472"/>
      </c:barChart>
      <c:catAx>
        <c:axId val="1517199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1721472"/>
        <c:crosses val="autoZero"/>
        <c:auto val="1"/>
        <c:lblAlgn val="ctr"/>
        <c:lblOffset val="100"/>
        <c:noMultiLvlLbl val="0"/>
      </c:catAx>
      <c:valAx>
        <c:axId val="15172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1719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v2.0.xlsm]CuadrosResumen!Tabla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58720"/>
        <c:axId val="151760256"/>
      </c:barChart>
      <c:catAx>
        <c:axId val="1517587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1760256"/>
        <c:crosses val="autoZero"/>
        <c:auto val="1"/>
        <c:lblAlgn val="ctr"/>
        <c:lblOffset val="100"/>
        <c:noMultiLvlLbl val="0"/>
      </c:catAx>
      <c:valAx>
        <c:axId val="15176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1758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v2.0.xlsm]CuadrosResumen!Tabla dinámica3</c:name>
    <c:fmtId val="0"/>
  </c:pivotSource>
  <c:chart>
    <c:title>
      <c:layout/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47616"/>
        <c:axId val="152049152"/>
      </c:barChart>
      <c:catAx>
        <c:axId val="1520476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049152"/>
        <c:crosses val="autoZero"/>
        <c:auto val="1"/>
        <c:lblAlgn val="ctr"/>
        <c:lblOffset val="100"/>
        <c:noMultiLvlLbl val="0"/>
      </c:catAx>
      <c:valAx>
        <c:axId val="15204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047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v2.0.xlsm]CuadrosResumen!Tabla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98304"/>
        <c:axId val="152099840"/>
      </c:barChart>
      <c:catAx>
        <c:axId val="1520983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099840"/>
        <c:crosses val="autoZero"/>
        <c:auto val="1"/>
        <c:lblAlgn val="ctr"/>
        <c:lblOffset val="100"/>
        <c:noMultiLvlLbl val="0"/>
      </c:catAx>
      <c:valAx>
        <c:axId val="1520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098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v2.0.xlsm]CuadrosResumen!Tabla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82848"/>
        <c:axId val="152384640"/>
      </c:barChart>
      <c:catAx>
        <c:axId val="1523828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384640"/>
        <c:crosses val="autoZero"/>
        <c:auto val="1"/>
        <c:lblAlgn val="ctr"/>
        <c:lblOffset val="100"/>
        <c:noMultiLvlLbl val="0"/>
      </c:catAx>
      <c:valAx>
        <c:axId val="15238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382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[CP2-ANPAOCFYAP - EDUCATE-305 v2.0.xlsm]CuadrosResumen!Tabla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422272"/>
        <c:axId val="152423808"/>
      </c:barChart>
      <c:catAx>
        <c:axId val="1524222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423808"/>
        <c:crosses val="autoZero"/>
        <c:auto val="1"/>
        <c:lblAlgn val="ctr"/>
        <c:lblOffset val="100"/>
        <c:noMultiLvlLbl val="0"/>
      </c:catAx>
      <c:valAx>
        <c:axId val="15242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52422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68</xdr:row>
      <xdr:rowOff>180974</xdr:rowOff>
    </xdr:from>
    <xdr:to>
      <xdr:col>5</xdr:col>
      <xdr:colOff>9525</xdr:colOff>
      <xdr:row>84</xdr:row>
      <xdr:rowOff>171449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68</xdr:row>
      <xdr:rowOff>180974</xdr:rowOff>
    </xdr:from>
    <xdr:to>
      <xdr:col>10</xdr:col>
      <xdr:colOff>561975</xdr:colOff>
      <xdr:row>84</xdr:row>
      <xdr:rowOff>171449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</xdr:colOff>
      <xdr:row>68</xdr:row>
      <xdr:rowOff>180974</xdr:rowOff>
    </xdr:from>
    <xdr:to>
      <xdr:col>15</xdr:col>
      <xdr:colOff>209550</xdr:colOff>
      <xdr:row>84</xdr:row>
      <xdr:rowOff>171449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180974</xdr:rowOff>
    </xdr:from>
    <xdr:to>
      <xdr:col>5</xdr:col>
      <xdr:colOff>0</xdr:colOff>
      <xdr:row>105</xdr:row>
      <xdr:rowOff>171449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9525</xdr:colOff>
      <xdr:row>89</xdr:row>
      <xdr:rowOff>190499</xdr:rowOff>
    </xdr:from>
    <xdr:to>
      <xdr:col>10</xdr:col>
      <xdr:colOff>457200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89</xdr:row>
      <xdr:rowOff>171450</xdr:rowOff>
    </xdr:from>
    <xdr:to>
      <xdr:col>15</xdr:col>
      <xdr:colOff>180974</xdr:colOff>
      <xdr:row>106</xdr:row>
      <xdr:rowOff>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9525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0655.53451539352" createdVersion="4" refreshedVersion="4" minRefreshableVersion="3" recordCount="31">
  <cacheSource type="worksheet">
    <worksheetSource name="Observaciones[[Severidad]]"/>
  </cacheSource>
  <cacheFields count="1">
    <cacheField name="Severidad" numFmtId="0">
      <sharedItems count="4">
        <s v="Severidad 3"/>
        <s v="Severidad 1"/>
        <s v="Severidad 4"/>
        <s v="Severidad 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iel" refreshedDate="40655.534989351851" createdVersion="4" refreshedVersion="4" minRefreshableVersion="3" recordCount="31">
  <cacheSource type="worksheet">
    <worksheetSource name="Observaciones[[Prioridad]]"/>
  </cacheSource>
  <cacheFields count="1">
    <cacheField name="Prioridad" numFmtId="0">
      <sharedItems count="1">
        <s v="Al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niel" refreshedDate="40655.535258564814" createdVersion="4" refreshedVersion="4" minRefreshableVersion="3" recordCount="31">
  <cacheSource type="worksheet">
    <worksheetSource name="Observacione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niel" refreshedDate="40655.535699305554" createdVersion="4" refreshedVersion="4" minRefreshableVersion="3" recordCount="2">
  <cacheSource type="worksheet">
    <worksheetSource name="Consultas[[Prioridad]]"/>
  </cacheSource>
  <cacheFields count="1">
    <cacheField name="Prioridad" numFmtId="0">
      <sharedItems count="2">
        <s v="Alta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aniel" refreshedDate="40655.535894097222" createdVersion="4" refreshedVersion="4" minRefreshableVersion="3" recordCount="2">
  <cacheSource type="worksheet">
    <worksheetSource name="Consulta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daniel" refreshedDate="40655.567430671297" createdVersion="4" refreshedVersion="4" minRefreshableVersion="3" recordCount="2">
  <cacheSource type="worksheet">
    <worksheetSource name="Consultas[[Responsable]]"/>
  </cacheSource>
  <cacheFields count="1">
    <cacheField name="Responsable" numFmtId="0">
      <sharedItems containsNonDate="0" containsBlank="1" count="2">
        <m/>
        <s v="Empresa Q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1"/>
  </r>
  <r>
    <x v="1"/>
  </r>
  <r>
    <x v="2"/>
  </r>
  <r>
    <x v="0"/>
  </r>
  <r>
    <x v="0"/>
  </r>
  <r>
    <x v="1"/>
  </r>
  <r>
    <x v="0"/>
  </r>
  <r>
    <x v="2"/>
  </r>
  <r>
    <x v="0"/>
  </r>
  <r>
    <x v="1"/>
  </r>
  <r>
    <x v="0"/>
  </r>
  <r>
    <x v="3"/>
  </r>
  <r>
    <x v="1"/>
  </r>
  <r>
    <x v="0"/>
  </r>
  <r>
    <x v="0"/>
  </r>
  <r>
    <x v="0"/>
  </r>
  <r>
    <x v="3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2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6" cacheId="3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70:C75" firstHeaderRow="1" firstDataRow="1" firstDataCol="1"/>
  <pivotFields count="1">
    <pivotField axis="axisRow" dataField="1" showAll="0">
      <items count="5">
        <item x="1"/>
        <item x="3"/>
        <item x="0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5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3"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1" totalsRowShown="0" headerRowDxfId="71" dataDxfId="69" headerRowBorderDxfId="70" tableBorderDxfId="68">
  <autoFilter ref="A4:Q11"/>
  <tableColumns count="17">
    <tableColumn id="1" name="Código de REQ" dataDxfId="67"/>
    <tableColumn id="2" name="Código CP" dataDxfId="66"/>
    <tableColumn id="3" name="Funcionalidad" dataDxfId="65"/>
    <tableColumn id="4" name="Descripción Caso de Prueba" dataDxfId="64"/>
    <tableColumn id="5" name="Resultado Esperado" dataDxfId="63"/>
    <tableColumn id="6" name="Resultado Real" dataDxfId="62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61"/>
    <tableColumn id="8" name="Prioridad" dataDxfId="60"/>
    <tableColumn id="9" name="Severidad" dataDxfId="59"/>
    <tableColumn id="10" name="Estado Incidencia" dataDxfId="58"/>
    <tableColumn id="11" name="Reejecución" dataDxfId="57"/>
    <tableColumn id="12" name="Fecha Planificada" dataDxfId="56">
      <calculatedColumnFormula>General!$A$10</calculatedColumnFormula>
    </tableColumn>
    <tableColumn id="13" name="Fecha Real" dataDxfId="55"/>
    <tableColumn id="14" name="Duración Caso de Prueba (horas / hombre)" dataDxfId="54"/>
    <tableColumn id="16" name="Pre-requisitos para la ejecución de la prueba" dataDxfId="53"/>
    <tableColumn id="17" name="Observaciones Pruebas Testing" dataDxfId="52"/>
    <tableColumn id="18" name="Revisión" dataDxfId="51">
      <calculatedColumnFormula>CONCATENATE(General!$B$7,",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11" totalsRowShown="0" headerRowDxfId="50" dataDxfId="48" headerRowBorderDxfId="49" tableBorderDxfId="47">
  <autoFilter ref="A2:L11"/>
  <tableColumns count="12">
    <tableColumn id="1" name="Cod. Obs." dataDxfId="46"/>
    <tableColumn id="2" name="Caso de Prueba" dataDxfId="45"/>
    <tableColumn id="3" name="Prioridad" dataDxfId="44">
      <calculatedColumnFormula>VLOOKUP(Observaciones[Caso de Prueba],CasoPrueba[[#All],[Código CP]:[Prioridad]],7,TRUE)</calculatedColumnFormula>
    </tableColumn>
    <tableColumn id="4" name="Severidad" dataDxfId="43"/>
    <tableColumn id="5" name="Estado" dataDxfId="42"/>
    <tableColumn id="6" name="Fecha Detección" dataDxfId="41"/>
    <tableColumn id="7" name="Fecha Levantamiento" dataDxfId="40"/>
    <tableColumn id="8" name="Responsable" dataDxfId="39"/>
    <tableColumn id="9" name="Descripción" dataDxfId="38"/>
    <tableColumn id="10" name="Solución" dataDxfId="37"/>
    <tableColumn id="11" name="Tiempo de Solución (Dias)" dataDxfId="36">
      <calculatedColumnFormula>IF((Observaciones[[#This Row],[Fecha Levantamiento]]-Observaciones[[#This Row],[Fecha Detección]])&gt;=0,Observaciones[[#This Row],[Fecha Levantamiento]]-Observaciones[[#This Row],[Fecha Detección]]+1,0)</calculatedColumnFormula>
    </tableColumn>
    <tableColumn id="13" name="Cod. Req." dataDxfId="35">
      <calculatedColumnFormula>LOOKUP(Observaciones[[#This Row],[Caso de Prueba]],CasoPrueba[Código CP],CasoPrueba[Código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3" totalsRowShown="0" headerRowDxfId="34" dataDxfId="33">
  <autoFilter ref="A2:J3"/>
  <tableColumns count="10">
    <tableColumn id="1" name="Cod. Cons." dataDxfId="32"/>
    <tableColumn id="2" name="Caso de Prueba" dataDxfId="31"/>
    <tableColumn id="3" name="Prioridad" dataDxfId="3">
      <calculatedColumnFormula>VLOOKUP(Consultas[[#This Row],[Caso de Prueba]],CasoPrueba[[#All],[Código CP]:[Prioridad]],7,TRUE)</calculatedColumnFormula>
    </tableColumn>
    <tableColumn id="4" name="Estado" dataDxfId="30"/>
    <tableColumn id="10" name="Responsable" dataDxfId="29"/>
    <tableColumn id="5" name="Fecha Solicitud" dataDxfId="28"/>
    <tableColumn id="6" name="Fecha Respuesta" dataDxfId="27"/>
    <tableColumn id="7" name="Descripción de la Consulta" dataDxfId="26"/>
    <tableColumn id="8" name="Respuesta del Responsable" dataDxfId="25"/>
    <tableColumn id="9" name="Tiempo de Solución" dataDxfId="24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8" totalsRowShown="0" headerRowDxfId="23" dataDxfId="21" headerRowBorderDxfId="22" tableBorderDxfId="20">
  <sortState ref="B11:G12">
    <sortCondition ref="C6:C8"/>
  </sortState>
  <tableColumns count="9">
    <tableColumn id="1" name="Fecha" dataDxfId="19"/>
    <tableColumn id="2" name="Aciertos" dataDxfId="18"/>
    <tableColumn id="3" name="Fallos" dataDxfId="17"/>
    <tableColumn id="4" name="Bloqueado" dataDxfId="16"/>
    <tableColumn id="7" name="Pendiente" dataDxfId="15"/>
    <tableColumn id="5" name="No Aplica" dataDxfId="14"/>
    <tableColumn id="8" name="En Proceso" dataDxfId="13"/>
    <tableColumn id="9" name="Reejecuciones" dataDxfId="12"/>
    <tableColumn id="6" name="Totales" dataDxfId="11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8" totalsRowShown="0" headerRowDxfId="10" headerRowBorderDxfId="9" tableBorderDxfId="8">
  <tableColumns count="4">
    <tableColumn id="1" name="Fecha" dataDxfId="7"/>
    <tableColumn id="2" name="Abiertas" dataDxfId="6"/>
    <tableColumn id="4" name="Cerradas" dataDxfId="5"/>
    <tableColumn id="5" name="Totales" dataDxfId="4">
      <calculatedColumnFormula>HistoricoIncidencias[[#This Row],[Abiertas]]+HistoricoIncidencias[[#This Row],[Cerradas]]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tabSelected="1" workbookViewId="0">
      <selection activeCell="B9" sqref="B9"/>
    </sheetView>
  </sheetViews>
  <sheetFormatPr baseColWidth="10" defaultColWidth="0" defaultRowHeight="15" zeroHeight="1"/>
  <cols>
    <col min="1" max="4" width="39.7109375" style="3" customWidth="1"/>
    <col min="5" max="16381" width="11.42578125" style="3" hidden="1"/>
    <col min="16382" max="16382" width="23" style="3" hidden="1"/>
    <col min="16383" max="16384" width="19.28515625" style="3" hidden="1"/>
  </cols>
  <sheetData>
    <row r="1" spans="1:4 16382:16382" ht="27" thickBot="1">
      <c r="A1" s="173" t="s">
        <v>0</v>
      </c>
      <c r="B1" s="174"/>
      <c r="C1" s="174"/>
      <c r="D1" s="174"/>
      <c r="XFB1" s="3" t="s">
        <v>133</v>
      </c>
    </row>
    <row r="2" spans="1:4 16382:16382" ht="19.5" customHeight="1">
      <c r="A2" s="175" t="s">
        <v>1</v>
      </c>
      <c r="B2" s="175"/>
      <c r="C2" s="175"/>
      <c r="D2" s="175"/>
      <c r="XFB2" s="3" t="s">
        <v>134</v>
      </c>
    </row>
    <row r="3" spans="1:4 16382:16382" ht="19.5" customHeight="1">
      <c r="A3" s="103" t="s">
        <v>137</v>
      </c>
      <c r="B3" s="106" t="s">
        <v>170</v>
      </c>
      <c r="C3" s="103" t="s">
        <v>2</v>
      </c>
      <c r="D3" s="107" t="s">
        <v>136</v>
      </c>
      <c r="XFB3" s="3" t="s">
        <v>135</v>
      </c>
    </row>
    <row r="4" spans="1:4 16382:16382" ht="19.5" customHeight="1">
      <c r="A4" s="104" t="s">
        <v>138</v>
      </c>
      <c r="B4" s="176" t="s">
        <v>166</v>
      </c>
      <c r="C4" s="176"/>
      <c r="D4" s="176"/>
      <c r="XFB4" s="3" t="s">
        <v>136</v>
      </c>
    </row>
    <row r="5" spans="1:4 16382:16382" ht="120" customHeight="1">
      <c r="A5" s="103" t="s">
        <v>3</v>
      </c>
      <c r="B5" s="177" t="s">
        <v>177</v>
      </c>
      <c r="C5" s="178"/>
      <c r="D5" s="179"/>
    </row>
    <row r="6" spans="1:4 16382:16382" ht="19.5" customHeight="1">
      <c r="A6" s="103" t="s">
        <v>144</v>
      </c>
      <c r="B6" s="108" t="s">
        <v>157</v>
      </c>
      <c r="C6" s="103" t="s">
        <v>4</v>
      </c>
      <c r="D6" s="1" t="s">
        <v>165</v>
      </c>
    </row>
    <row r="7" spans="1:4 16382:16382" ht="19.5" customHeight="1">
      <c r="A7" s="103" t="s">
        <v>145</v>
      </c>
      <c r="B7" s="106" t="s">
        <v>156</v>
      </c>
      <c r="C7" s="103" t="s">
        <v>139</v>
      </c>
      <c r="D7" s="2"/>
    </row>
    <row r="8" spans="1:4 16382:16382" ht="19.5" customHeight="1">
      <c r="A8" s="180" t="s">
        <v>5</v>
      </c>
      <c r="B8" s="180"/>
      <c r="C8" s="180" t="s">
        <v>6</v>
      </c>
      <c r="D8" s="180"/>
    </row>
    <row r="9" spans="1:4 16382:16382" ht="19.5" customHeight="1">
      <c r="A9" s="105" t="s">
        <v>7</v>
      </c>
      <c r="B9" s="105" t="s">
        <v>8</v>
      </c>
      <c r="C9" s="105" t="s">
        <v>7</v>
      </c>
      <c r="D9" s="105" t="s">
        <v>8</v>
      </c>
    </row>
    <row r="10" spans="1:4 16382:16382" ht="19.5" customHeight="1">
      <c r="A10" s="156">
        <v>40676</v>
      </c>
      <c r="B10" s="157"/>
      <c r="C10" s="157"/>
      <c r="D10" s="157"/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8"/>
  <sheetViews>
    <sheetView zoomScale="124" zoomScaleNormal="124" workbookViewId="0">
      <pane ySplit="7" topLeftCell="A8" activePane="bottomLeft" state="frozen"/>
      <selection pane="bottomLeft" activeCell="F13" sqref="F13"/>
    </sheetView>
  </sheetViews>
  <sheetFormatPr baseColWidth="10" defaultColWidth="0" defaultRowHeight="15" zeroHeight="1"/>
  <cols>
    <col min="1" max="1" width="11.28515625" style="3" customWidth="1"/>
    <col min="2" max="2" width="16.85546875" style="3" customWidth="1"/>
    <col min="3" max="3" width="11.42578125" style="3" customWidth="1"/>
    <col min="4" max="4" width="15.5703125" style="3" bestFit="1" customWidth="1"/>
    <col min="5" max="5" width="7.7109375" style="3" bestFit="1" customWidth="1"/>
    <col min="6" max="6" width="10.5703125" style="3" bestFit="1" customWidth="1"/>
    <col min="7" max="7" width="11" style="3" bestFit="1" customWidth="1"/>
    <col min="8" max="8" width="13.140625" style="3" bestFit="1" customWidth="1"/>
    <col min="9" max="10" width="11.42578125" style="3" customWidth="1"/>
    <col min="11" max="11" width="13.28515625" style="3" customWidth="1"/>
    <col min="12" max="12" width="8.5703125" style="3" customWidth="1"/>
    <col min="13" max="13" width="5.85546875" style="3" customWidth="1"/>
    <col min="14" max="14" width="6.5703125" style="3" customWidth="1"/>
    <col min="15" max="15" width="6.42578125" style="3" customWidth="1"/>
    <col min="16" max="16" width="20" style="3" hidden="1" customWidth="1"/>
    <col min="17" max="17" width="37.7109375" style="3" hidden="1" customWidth="1"/>
    <col min="18" max="18" width="5.85546875" style="3" customWidth="1"/>
    <col min="19" max="16384" width="11.42578125" style="3" hidden="1"/>
  </cols>
  <sheetData>
    <row r="1" spans="1:18" ht="6" customHeight="1">
      <c r="A1" s="69"/>
      <c r="B1" s="69"/>
      <c r="C1" s="69"/>
      <c r="F1" s="69"/>
      <c r="P1" s="69"/>
      <c r="Q1" s="69"/>
      <c r="R1" s="69"/>
    </row>
    <row r="2" spans="1:18">
      <c r="A2" s="69"/>
      <c r="B2" s="69"/>
      <c r="C2" s="126" t="s">
        <v>9</v>
      </c>
      <c r="D2" s="125" t="str">
        <f>General!$B$3</f>
        <v>ANPAOCFYAP</v>
      </c>
      <c r="E2" s="69"/>
      <c r="F2" s="126" t="s">
        <v>10</v>
      </c>
      <c r="G2" s="182" t="str">
        <f>General!$B$4</f>
        <v>Arquitectura de Negocios y Propuesta de Automatización para la Oficina Central de Fe y Alegría Perú</v>
      </c>
      <c r="H2" s="182"/>
      <c r="I2" s="182"/>
      <c r="J2" s="182"/>
      <c r="K2" s="182"/>
      <c r="L2" s="182"/>
      <c r="M2" s="182"/>
      <c r="N2" s="182"/>
      <c r="O2" s="182"/>
      <c r="P2" s="69"/>
      <c r="Q2" s="69"/>
      <c r="R2" s="69"/>
    </row>
    <row r="3" spans="1:18" ht="6" customHeight="1">
      <c r="A3" s="69"/>
      <c r="B3" s="69"/>
      <c r="C3" s="127"/>
      <c r="E3" s="69"/>
      <c r="F3" s="127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</row>
    <row r="4" spans="1:18" ht="18.75">
      <c r="A4" s="69"/>
      <c r="B4" s="69"/>
      <c r="C4" s="126" t="s">
        <v>11</v>
      </c>
      <c r="D4" s="128">
        <f>$E$14+$I$14</f>
        <v>0</v>
      </c>
      <c r="E4" s="127"/>
      <c r="F4" s="126" t="s">
        <v>12</v>
      </c>
      <c r="G4" s="183" t="str">
        <f>IF(SUM($C$30:$C$31)&gt;0,P37,IF((SUM($C$30:$C$31)=0)*(SUM($C$32:$C$33)),$P$36,IF($C$34=0,$P$35,$P$35)))</f>
        <v>INSATISFACTORIO</v>
      </c>
      <c r="H4" s="183"/>
      <c r="I4" s="183"/>
      <c r="J4" s="183"/>
      <c r="K4" s="183"/>
      <c r="L4" s="183"/>
      <c r="M4" s="183"/>
      <c r="N4" s="183"/>
      <c r="O4" s="183"/>
      <c r="P4" s="69"/>
      <c r="Q4" s="69"/>
      <c r="R4" s="69"/>
    </row>
    <row r="5" spans="1:18" ht="6" customHeight="1">
      <c r="A5" s="69"/>
      <c r="B5" s="69"/>
      <c r="C5" s="126"/>
      <c r="D5" s="129"/>
      <c r="E5" s="126"/>
      <c r="F5" s="130"/>
      <c r="G5" s="74"/>
      <c r="H5" s="74"/>
      <c r="I5" s="74"/>
      <c r="J5" s="74"/>
      <c r="K5" s="74"/>
      <c r="L5" s="74"/>
      <c r="M5" s="74"/>
      <c r="N5" s="74"/>
      <c r="O5" s="74"/>
      <c r="P5" s="69"/>
      <c r="Q5" s="69"/>
      <c r="R5" s="69"/>
    </row>
    <row r="6" spans="1:18" ht="18.75">
      <c r="A6" s="69"/>
      <c r="B6" s="69"/>
      <c r="C6" s="126" t="s">
        <v>13</v>
      </c>
      <c r="D6" s="128">
        <f>$C$11/$C$10</f>
        <v>0</v>
      </c>
      <c r="E6" s="127"/>
      <c r="F6" s="127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</row>
    <row r="7" spans="1:18" ht="4.5" customHeight="1">
      <c r="A7" s="69"/>
      <c r="B7" s="69"/>
      <c r="C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18" ht="23.25">
      <c r="A8" s="70" t="s">
        <v>14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</row>
    <row r="9" spans="1:18" ht="4.5" customHeight="1" thickBot="1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</row>
    <row r="10" spans="1:18" ht="15.75" thickBot="1">
      <c r="A10" s="69"/>
      <c r="B10" s="124" t="s">
        <v>15</v>
      </c>
      <c r="C10" s="8">
        <f>ROWS(CasoPrueba[])</f>
        <v>7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7" t="s">
        <v>32</v>
      </c>
      <c r="Q10" s="10" t="s">
        <v>3</v>
      </c>
      <c r="R10" s="69"/>
    </row>
    <row r="11" spans="1:18" ht="15.75" thickBot="1">
      <c r="A11" s="69"/>
      <c r="B11" s="124" t="s">
        <v>16</v>
      </c>
      <c r="C11" s="8">
        <f>$C$10-$C$12</f>
        <v>0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8" t="s">
        <v>33</v>
      </c>
      <c r="Q11" s="11" t="s">
        <v>34</v>
      </c>
      <c r="R11" s="69"/>
    </row>
    <row r="12" spans="1:18" ht="30.75" thickBot="1">
      <c r="A12" s="69"/>
      <c r="B12" s="124" t="s">
        <v>18</v>
      </c>
      <c r="C12" s="8">
        <f>COUNTIF(CasoPrueba[[#All],[Estado Testing]],$P$27)</f>
        <v>7</v>
      </c>
      <c r="D12" s="69"/>
      <c r="E12" s="82" t="s">
        <v>19</v>
      </c>
      <c r="F12" s="83" t="s">
        <v>20</v>
      </c>
      <c r="G12" s="134" t="s">
        <v>21</v>
      </c>
      <c r="H12" s="135" t="s">
        <v>22</v>
      </c>
      <c r="I12" s="131" t="s">
        <v>23</v>
      </c>
      <c r="J12" s="132" t="s">
        <v>24</v>
      </c>
      <c r="K12" s="133" t="s">
        <v>128</v>
      </c>
      <c r="L12" s="71"/>
      <c r="M12" s="69"/>
      <c r="N12" s="69"/>
      <c r="O12" s="69"/>
      <c r="P12" s="79" t="s">
        <v>35</v>
      </c>
      <c r="Q12" s="12" t="s">
        <v>36</v>
      </c>
      <c r="R12" s="69"/>
    </row>
    <row r="13" spans="1:18" ht="30.75" thickBot="1">
      <c r="A13" s="69"/>
      <c r="B13" s="124" t="s">
        <v>114</v>
      </c>
      <c r="C13" s="8">
        <f>COUNTIF(CasoPrueba[[#All],[Estado Testing]],$P$29)</f>
        <v>0</v>
      </c>
      <c r="D13" s="69"/>
      <c r="E13" s="4">
        <f>COUNTIF(CasoPrueba[[#All],[Estado Testing]],$P$28)</f>
        <v>0</v>
      </c>
      <c r="F13" s="4">
        <f>COUNTIF(CasoPrueba[[#All],[Estado Testing]],$P$29)</f>
        <v>0</v>
      </c>
      <c r="G13" s="4">
        <f>COUNTIF(CasoPrueba[[#All],[Estado Testing]],$P$30)</f>
        <v>0</v>
      </c>
      <c r="H13" s="4">
        <f>COUNTIF(CasoPrueba[[#All],[Estado Testing]],$P$27)</f>
        <v>7</v>
      </c>
      <c r="I13" s="4">
        <f>COUNTIF(CasoPrueba[[#All],[Estado Testing]],$P$31)</f>
        <v>0</v>
      </c>
      <c r="J13" s="4">
        <f>COUNTIF(CasoPrueba[[#All],[Estado Testing]],$P$32)</f>
        <v>0</v>
      </c>
      <c r="K13" s="4">
        <f>SUM(CasoPrueba[[#All],[Reejecución]])</f>
        <v>0</v>
      </c>
      <c r="L13" s="72"/>
      <c r="M13" s="69"/>
      <c r="N13" s="69"/>
      <c r="O13" s="69"/>
      <c r="P13" s="80" t="s">
        <v>37</v>
      </c>
      <c r="Q13" s="13" t="s">
        <v>38</v>
      </c>
      <c r="R13" s="69"/>
    </row>
    <row r="14" spans="1:18" ht="15.75" thickBot="1">
      <c r="A14" s="69"/>
      <c r="B14" s="124" t="s">
        <v>17</v>
      </c>
      <c r="C14" s="8">
        <f>COUNTIF(CasoPrueba[[#All],[Estado Testing]],$P$30)</f>
        <v>0</v>
      </c>
      <c r="D14" s="69"/>
      <c r="E14" s="14">
        <f t="shared" ref="E14:J14" si="0">E13/$C$10</f>
        <v>0</v>
      </c>
      <c r="F14" s="14">
        <f t="shared" si="0"/>
        <v>0</v>
      </c>
      <c r="G14" s="14">
        <f t="shared" si="0"/>
        <v>0</v>
      </c>
      <c r="H14" s="14">
        <f t="shared" si="0"/>
        <v>1</v>
      </c>
      <c r="I14" s="14">
        <f t="shared" si="0"/>
        <v>0</v>
      </c>
      <c r="J14" s="14">
        <f t="shared" si="0"/>
        <v>0</v>
      </c>
      <c r="K14" s="14">
        <f>K13/C10</f>
        <v>0</v>
      </c>
      <c r="L14" s="73"/>
      <c r="M14" s="69"/>
      <c r="N14" s="69"/>
      <c r="O14" s="69"/>
      <c r="P14" s="81" t="s">
        <v>39</v>
      </c>
      <c r="Q14" s="15" t="s">
        <v>40</v>
      </c>
      <c r="R14" s="69"/>
    </row>
    <row r="15" spans="1:18" ht="9" customHeight="1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8" ht="15.75" hidden="1" thickBot="1">
      <c r="A16" s="69"/>
      <c r="B16" s="184" t="s">
        <v>25</v>
      </c>
      <c r="C16" s="185" t="s">
        <v>19</v>
      </c>
      <c r="D16" s="185"/>
      <c r="E16" s="186" t="s">
        <v>20</v>
      </c>
      <c r="F16" s="186"/>
      <c r="G16" s="187" t="s">
        <v>21</v>
      </c>
      <c r="H16" s="187"/>
      <c r="I16" s="188" t="s">
        <v>22</v>
      </c>
      <c r="J16" s="189"/>
      <c r="K16" s="192" t="s">
        <v>23</v>
      </c>
      <c r="L16" s="193"/>
      <c r="M16" s="190" t="s">
        <v>24</v>
      </c>
      <c r="N16" s="191"/>
      <c r="O16" s="69"/>
      <c r="P16" s="9" t="s">
        <v>41</v>
      </c>
      <c r="Q16" s="10" t="s">
        <v>42</v>
      </c>
      <c r="R16" s="69"/>
    </row>
    <row r="17" spans="1:18" ht="15.75" hidden="1" thickBot="1">
      <c r="A17" s="69"/>
      <c r="B17" s="184"/>
      <c r="C17" s="53" t="s">
        <v>26</v>
      </c>
      <c r="D17" s="53" t="s">
        <v>27</v>
      </c>
      <c r="E17" s="54" t="s">
        <v>26</v>
      </c>
      <c r="F17" s="54" t="s">
        <v>27</v>
      </c>
      <c r="G17" s="55" t="s">
        <v>26</v>
      </c>
      <c r="H17" s="55" t="s">
        <v>27</v>
      </c>
      <c r="I17" s="56" t="s">
        <v>26</v>
      </c>
      <c r="J17" s="56" t="s">
        <v>27</v>
      </c>
      <c r="K17" s="57" t="s">
        <v>26</v>
      </c>
      <c r="L17" s="57" t="s">
        <v>27</v>
      </c>
      <c r="M17" s="58" t="s">
        <v>26</v>
      </c>
      <c r="N17" s="58" t="s">
        <v>27</v>
      </c>
      <c r="O17" s="69"/>
      <c r="P17" s="16" t="s">
        <v>28</v>
      </c>
      <c r="Q17" s="17" t="s">
        <v>43</v>
      </c>
      <c r="R17" s="69"/>
    </row>
    <row r="18" spans="1:18" ht="15.75" hidden="1" thickBot="1">
      <c r="A18" s="69"/>
      <c r="B18" s="40" t="s">
        <v>28</v>
      </c>
      <c r="C18" s="41">
        <f>COUNTIFS(CasoPrueba[[#All],[Estado Testing]],$P$28,CasoPrueba[[#All],[Prioridad]],$P$17)</f>
        <v>0</v>
      </c>
      <c r="D18" s="42">
        <f>C18/$C$10</f>
        <v>0</v>
      </c>
      <c r="E18" s="43">
        <f>COUNTIFS(CasoPrueba[[#All],[Estado Testing]],$P$29,CasoPrueba[[#All],[Prioridad]],$P$17)</f>
        <v>0</v>
      </c>
      <c r="F18" s="44">
        <f>E18/$C$10</f>
        <v>0</v>
      </c>
      <c r="G18" s="45">
        <f>COUNTIFS(CasoPrueba[[#All],[Estado Testing]],$P$30,CasoPrueba[[#All],[Prioridad]],$P$17)</f>
        <v>0</v>
      </c>
      <c r="H18" s="46">
        <f>G18/$C$10</f>
        <v>0</v>
      </c>
      <c r="I18" s="47">
        <f>COUNTIFS(CasoPrueba[[#All],[Estado Testing]],$P$27,CasoPrueba[[#All],[Prioridad]],$P$17)</f>
        <v>7</v>
      </c>
      <c r="J18" s="48">
        <f>I18/$C$10</f>
        <v>1</v>
      </c>
      <c r="K18" s="49">
        <f>COUNTIFS(CasoPrueba[[#All],[Estado Testing]],$P$31,CasoPrueba[[#All],[Prioridad]],$P$17)</f>
        <v>0</v>
      </c>
      <c r="L18" s="51">
        <f>K18/$C$10</f>
        <v>0</v>
      </c>
      <c r="M18" s="52">
        <f>COUNTIFS(CasoPrueba[[#All],[Estado Testing]],$P$29,CasoPrueba[[#All],[Prioridad]],$P$17)</f>
        <v>0</v>
      </c>
      <c r="N18" s="50">
        <f>M18/$C$10</f>
        <v>0</v>
      </c>
      <c r="O18" s="69"/>
      <c r="P18" s="18" t="s">
        <v>29</v>
      </c>
      <c r="Q18" s="19" t="s">
        <v>44</v>
      </c>
      <c r="R18" s="69"/>
    </row>
    <row r="19" spans="1:18" ht="15.75" hidden="1" thickBot="1">
      <c r="A19" s="69"/>
      <c r="B19" s="40" t="s">
        <v>29</v>
      </c>
      <c r="C19" s="41">
        <f>COUNTIFS(CasoPrueba[[#All],[Estado Testing]],$P$28,CasoPrueba[[#All],[Prioridad]],$P$18)</f>
        <v>0</v>
      </c>
      <c r="D19" s="42">
        <f t="shared" ref="D19:F20" si="1">C19/$C$10</f>
        <v>0</v>
      </c>
      <c r="E19" s="43">
        <f>COUNTIFS(CasoPrueba[[#All],[Estado Testing]],$P$29,CasoPrueba[[#All],[Prioridad]],$P$18)</f>
        <v>0</v>
      </c>
      <c r="F19" s="44">
        <f t="shared" si="1"/>
        <v>0</v>
      </c>
      <c r="G19" s="45">
        <f>COUNTIFS(CasoPrueba[[#All],[Estado Testing]],$P$30,CasoPrueba[[#All],[Prioridad]],$P$18)</f>
        <v>0</v>
      </c>
      <c r="H19" s="46">
        <f>G19/$C$10</f>
        <v>0</v>
      </c>
      <c r="I19" s="47">
        <f>COUNTIFS(CasoPrueba[[#All],[Estado Testing]],$P$27,CasoPrueba[[#All],[Prioridad]],$P$18)</f>
        <v>0</v>
      </c>
      <c r="J19" s="48">
        <f>I19/$C$10</f>
        <v>0</v>
      </c>
      <c r="K19" s="49">
        <f>COUNTIFS(CasoPrueba[[#All],[Estado Testing]],$P$31,CasoPrueba[[#All],[Prioridad]],$P$18)</f>
        <v>0</v>
      </c>
      <c r="L19" s="51">
        <f>K19/$C$10</f>
        <v>0</v>
      </c>
      <c r="M19" s="52">
        <f>COUNTIFS(CasoPrueba[[#All],[Estado Testing]],$P$29,CasoPrueba[[#All],[Prioridad]],$P$18)</f>
        <v>0</v>
      </c>
      <c r="N19" s="50">
        <f>M19/$C$10</f>
        <v>0</v>
      </c>
      <c r="O19" s="69"/>
      <c r="P19" s="20" t="s">
        <v>30</v>
      </c>
      <c r="Q19" s="19" t="s">
        <v>45</v>
      </c>
      <c r="R19" s="69"/>
    </row>
    <row r="20" spans="1:18" ht="15.75" hidden="1" thickBot="1">
      <c r="A20" s="69"/>
      <c r="B20" s="40" t="s">
        <v>30</v>
      </c>
      <c r="C20" s="41">
        <f>COUNTIFS(CasoPrueba[[#All],[Estado Testing]],$P$28,CasoPrueba[[#All],[Prioridad]],$P$19)</f>
        <v>0</v>
      </c>
      <c r="D20" s="42">
        <f t="shared" si="1"/>
        <v>0</v>
      </c>
      <c r="E20" s="43">
        <f>COUNTIFS(CasoPrueba[[#All],[Estado Testing]],$P$29,CasoPrueba[[#All],[Prioridad]],$P$19)</f>
        <v>0</v>
      </c>
      <c r="F20" s="44">
        <f t="shared" si="1"/>
        <v>0</v>
      </c>
      <c r="G20" s="45">
        <f>COUNTIFS(CasoPrueba[[#All],[Estado Testing]],$P$30,CasoPrueba[[#All],[Prioridad]],$P$19)</f>
        <v>0</v>
      </c>
      <c r="H20" s="46">
        <f>G20/$C$10</f>
        <v>0</v>
      </c>
      <c r="I20" s="47">
        <f>COUNTIFS(CasoPrueba[[#All],[Estado Testing]],$P$27,CasoPrueba[[#All],[Prioridad]],$P$19)</f>
        <v>0</v>
      </c>
      <c r="J20" s="48">
        <f>I20/$C$10</f>
        <v>0</v>
      </c>
      <c r="K20" s="49">
        <f>COUNTIFS(CasoPrueba[[#All],[Estado Testing]],$P$31,CasoPrueba[[#All],[Prioridad]],$P$19)</f>
        <v>0</v>
      </c>
      <c r="L20" s="51">
        <f>K20/$C$10</f>
        <v>0</v>
      </c>
      <c r="M20" s="52">
        <f>COUNTIFS(CasoPrueba[[#All],[Estado Testing]],$P$29,CasoPrueba[[#All],[Prioridad]],$P$19)</f>
        <v>0</v>
      </c>
      <c r="N20" s="50">
        <f>M20/$C$10</f>
        <v>0</v>
      </c>
      <c r="O20" s="69"/>
      <c r="P20" s="69"/>
      <c r="Q20" s="69"/>
      <c r="R20" s="69"/>
    </row>
    <row r="21" spans="1:18" ht="15.75" hidden="1" thickBot="1">
      <c r="A21" s="69"/>
      <c r="B21" s="59" t="s">
        <v>31</v>
      </c>
      <c r="C21" s="59">
        <f>SUM(C18:C20)</f>
        <v>0</v>
      </c>
      <c r="D21" s="60">
        <f t="shared" ref="D21:N21" si="2">SUM(D18:D20)</f>
        <v>0</v>
      </c>
      <c r="E21" s="59">
        <f t="shared" si="2"/>
        <v>0</v>
      </c>
      <c r="F21" s="60">
        <f t="shared" si="2"/>
        <v>0</v>
      </c>
      <c r="G21" s="59">
        <f t="shared" si="2"/>
        <v>0</v>
      </c>
      <c r="H21" s="60">
        <f t="shared" si="2"/>
        <v>0</v>
      </c>
      <c r="I21" s="59">
        <f t="shared" si="2"/>
        <v>7</v>
      </c>
      <c r="J21" s="60">
        <f t="shared" si="2"/>
        <v>1</v>
      </c>
      <c r="K21" s="59">
        <f>SUM(K18:K20)</f>
        <v>0</v>
      </c>
      <c r="L21" s="60">
        <f>SUM(L18:L20)</f>
        <v>0</v>
      </c>
      <c r="M21" s="59">
        <f t="shared" si="2"/>
        <v>0</v>
      </c>
      <c r="N21" s="60">
        <f t="shared" si="2"/>
        <v>0</v>
      </c>
      <c r="O21" s="69"/>
      <c r="P21" s="9" t="s">
        <v>46</v>
      </c>
      <c r="Q21" s="10" t="s">
        <v>3</v>
      </c>
      <c r="R21" s="69"/>
    </row>
    <row r="22" spans="1:18" ht="15.75" hidden="1" thickBot="1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16" t="s">
        <v>47</v>
      </c>
      <c r="Q22" s="23" t="s">
        <v>51</v>
      </c>
      <c r="R22" s="69"/>
    </row>
    <row r="23" spans="1:18" ht="30.75" hidden="1" thickBot="1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1" t="s">
        <v>48</v>
      </c>
      <c r="Q23" s="24" t="s">
        <v>50</v>
      </c>
      <c r="R23" s="69"/>
    </row>
    <row r="24" spans="1:18" ht="15.75" hidden="1" thickBot="1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2" t="s">
        <v>49</v>
      </c>
      <c r="Q24" s="24" t="s">
        <v>52</v>
      </c>
      <c r="R24" s="69"/>
    </row>
    <row r="25" spans="1:18" ht="9" hidden="1" customHeight="1" thickBot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</row>
    <row r="26" spans="1:18" ht="24" hidden="1" thickBot="1">
      <c r="A26" s="111" t="s">
        <v>68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69"/>
      <c r="N26" s="69"/>
      <c r="O26" s="69"/>
      <c r="P26" s="5" t="s">
        <v>53</v>
      </c>
      <c r="Q26" s="6" t="s">
        <v>54</v>
      </c>
      <c r="R26" s="69"/>
    </row>
    <row r="27" spans="1:18" ht="18" hidden="1" customHeight="1" thickBot="1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69"/>
      <c r="N27" s="69"/>
      <c r="O27" s="69"/>
      <c r="P27" s="102" t="s">
        <v>22</v>
      </c>
      <c r="Q27" s="7" t="s">
        <v>66</v>
      </c>
      <c r="R27" s="69"/>
    </row>
    <row r="28" spans="1:18" ht="30.75" hidden="1" customHeight="1" thickBot="1">
      <c r="A28" s="112"/>
      <c r="B28" s="181" t="s">
        <v>69</v>
      </c>
      <c r="C28" s="181" t="s">
        <v>70</v>
      </c>
      <c r="D28" s="181"/>
      <c r="E28" s="181" t="s">
        <v>71</v>
      </c>
      <c r="F28" s="181"/>
      <c r="G28" s="112"/>
      <c r="H28" s="112"/>
      <c r="I28" s="112"/>
      <c r="J28" s="112"/>
      <c r="K28" s="112"/>
      <c r="L28" s="112"/>
      <c r="M28" s="69"/>
      <c r="N28" s="69"/>
      <c r="O28" s="69"/>
      <c r="P28" s="97" t="s">
        <v>19</v>
      </c>
      <c r="Q28" s="13" t="s">
        <v>55</v>
      </c>
      <c r="R28" s="69"/>
    </row>
    <row r="29" spans="1:18" ht="15.75" hidden="1" thickBot="1">
      <c r="A29" s="112"/>
      <c r="B29" s="181"/>
      <c r="C29" s="113" t="s">
        <v>26</v>
      </c>
      <c r="D29" s="113" t="s">
        <v>27</v>
      </c>
      <c r="E29" s="113" t="s">
        <v>26</v>
      </c>
      <c r="F29" s="113" t="s">
        <v>27</v>
      </c>
      <c r="G29" s="112"/>
      <c r="H29" s="114" t="s">
        <v>41</v>
      </c>
      <c r="I29" s="114" t="s">
        <v>28</v>
      </c>
      <c r="J29" s="114" t="s">
        <v>29</v>
      </c>
      <c r="K29" s="114" t="s">
        <v>30</v>
      </c>
      <c r="L29" s="109"/>
      <c r="M29" s="75"/>
      <c r="N29" s="69"/>
      <c r="O29" s="69"/>
      <c r="P29" s="98" t="s">
        <v>20</v>
      </c>
      <c r="Q29" s="13" t="s">
        <v>56</v>
      </c>
      <c r="R29" s="69"/>
    </row>
    <row r="30" spans="1:18" ht="33" hidden="1" customHeight="1" thickBot="1">
      <c r="A30" s="112"/>
      <c r="B30" s="115" t="s">
        <v>33</v>
      </c>
      <c r="C30" s="116">
        <f>COUNTIFS(Observaciones[[#All],[Estado]],Resumen!$P$22,Observaciones[[#All],[Severidad]],Resumen!$P$11)+COUNTIFS(Observaciones[[#All],[Estado]],$P$23,Observaciones[[#All],[Severidad]],Resumen!$P$11)</f>
        <v>7</v>
      </c>
      <c r="D30" s="117">
        <f>C30/$C$10</f>
        <v>1</v>
      </c>
      <c r="E30" s="118">
        <f>COUNTIFS(Observaciones[[#All],[Estado]],Resumen!$P$24,Observaciones[[#All],[Severidad]],Resumen!$P$11)</f>
        <v>0</v>
      </c>
      <c r="F30" s="117">
        <f>E30/$C$10</f>
        <v>0</v>
      </c>
      <c r="G30" s="112"/>
      <c r="H30" s="115" t="s">
        <v>33</v>
      </c>
      <c r="I30" s="119">
        <f>COUNTIFS(Observaciones[[#All],[Severidad]],Resumen!$P$11,Observaciones[[#All],[Prioridad]],Resumen!$P$17)</f>
        <v>7</v>
      </c>
      <c r="J30" s="119">
        <f>COUNTIFS(Observaciones[[#All],[Severidad]],Resumen!$P$11,Observaciones[[#All],[Prioridad]],Resumen!$P$18)</f>
        <v>0</v>
      </c>
      <c r="K30" s="119">
        <f>COUNTIFS(Observaciones[[#All],[Severidad]],Resumen!$P$11,Observaciones[[#All],[Prioridad]],Resumen!$P$19)</f>
        <v>0</v>
      </c>
      <c r="L30" s="110"/>
      <c r="M30" s="76"/>
      <c r="N30" s="69"/>
      <c r="O30" s="69"/>
      <c r="P30" s="99" t="s">
        <v>21</v>
      </c>
      <c r="Q30" s="13" t="s">
        <v>57</v>
      </c>
      <c r="R30" s="69"/>
    </row>
    <row r="31" spans="1:18" ht="33" hidden="1" customHeight="1" thickBot="1">
      <c r="A31" s="112"/>
      <c r="B31" s="115" t="s">
        <v>35</v>
      </c>
      <c r="C31" s="116">
        <f>COUNTIFS(Observaciones[[#All],[Estado]],Resumen!$P$22,Observaciones[[#All],[Severidad]],Resumen!$P$12)+COUNTIFS(Observaciones[[#All],[Estado]],$P$23,Observaciones[[#All],[Severidad]],Resumen!$P$12)</f>
        <v>0</v>
      </c>
      <c r="D31" s="117">
        <f>C31/$C$10</f>
        <v>0</v>
      </c>
      <c r="E31" s="118">
        <f>COUNTIFS(Observaciones[[#All],[Estado]],Resumen!$P$24,Observaciones[[#All],[Severidad]],Resumen!$P$12)</f>
        <v>0</v>
      </c>
      <c r="F31" s="117">
        <f>E31/$C$10</f>
        <v>0</v>
      </c>
      <c r="G31" s="112"/>
      <c r="H31" s="115" t="s">
        <v>35</v>
      </c>
      <c r="I31" s="119">
        <f>COUNTIFS(Observaciones[[#All],[Severidad]],Resumen!$P$12,Observaciones[[#All],[Prioridad]],Resumen!$P$17)</f>
        <v>0</v>
      </c>
      <c r="J31" s="119">
        <f>COUNTIFS(Observaciones[[#All],[Severidad]],Resumen!$P$12,Observaciones[[#All],[Prioridad]],Resumen!$P$18)</f>
        <v>0</v>
      </c>
      <c r="K31" s="119">
        <f>COUNTIFS(Observaciones[[#All],[Severidad]],Resumen!$P$12,Observaciones[[#All],[Prioridad]],Resumen!$P$19)</f>
        <v>0</v>
      </c>
      <c r="L31" s="110"/>
      <c r="M31" s="76"/>
      <c r="N31" s="69"/>
      <c r="O31" s="69"/>
      <c r="P31" s="100" t="s">
        <v>23</v>
      </c>
      <c r="Q31" s="13" t="s">
        <v>58</v>
      </c>
      <c r="R31" s="69"/>
    </row>
    <row r="32" spans="1:18" ht="33" hidden="1" customHeight="1" thickBot="1">
      <c r="A32" s="112"/>
      <c r="B32" s="115" t="s">
        <v>37</v>
      </c>
      <c r="C32" s="120">
        <f>COUNTIFS(Observaciones[[#All],[Estado]],Resumen!$P$22,Observaciones[[#All],[Severidad]],Resumen!$P$13)+COUNTIFS(Observaciones[[#All],[Estado]],$P$23,Observaciones[[#All],[Severidad]],Resumen!$P$13)</f>
        <v>0</v>
      </c>
      <c r="D32" s="117">
        <f>C32/$C$10</f>
        <v>0</v>
      </c>
      <c r="E32" s="118">
        <f>COUNTIFS(Observaciones[[#All],[Estado]],Resumen!$P$24,Observaciones[[#All],[Severidad]],Resumen!$P$13)</f>
        <v>0</v>
      </c>
      <c r="F32" s="117">
        <f>E32/$C$10</f>
        <v>0</v>
      </c>
      <c r="G32" s="112"/>
      <c r="H32" s="115" t="s">
        <v>37</v>
      </c>
      <c r="I32" s="119">
        <f>COUNTIFS(Observaciones[[#All],[Severidad]],Resumen!$P$13,Observaciones[[#All],[Prioridad]],Resumen!$P$17)</f>
        <v>0</v>
      </c>
      <c r="J32" s="119">
        <f>COUNTIFS(Observaciones[[#All],[Severidad]],Resumen!$P$13,Observaciones[[#All],[Prioridad]],Resumen!$P$18)</f>
        <v>0</v>
      </c>
      <c r="K32" s="119">
        <f>COUNTIFS(Observaciones[[#All],[Severidad]],Resumen!$P$13,Observaciones[[#All],[Prioridad]],Resumen!$P$19)</f>
        <v>0</v>
      </c>
      <c r="L32" s="110"/>
      <c r="M32" s="76"/>
      <c r="N32" s="69"/>
      <c r="O32" s="69"/>
      <c r="P32" s="101" t="s">
        <v>24</v>
      </c>
      <c r="Q32" s="13" t="s">
        <v>67</v>
      </c>
    </row>
    <row r="33" spans="1:18" ht="15.75" hidden="1" thickBot="1">
      <c r="A33" s="112"/>
      <c r="B33" s="115" t="s">
        <v>39</v>
      </c>
      <c r="C33" s="120">
        <f>COUNTIFS(Observaciones[[#All],[Estado]],Resumen!$P$22,Observaciones[[#All],[Severidad]],Resumen!$P$14)+COUNTIFS(Observaciones[[#All],[Estado]],$P$23,Observaciones[[#All],[Severidad]],Resumen!$P$14)</f>
        <v>2</v>
      </c>
      <c r="D33" s="117">
        <f>C33/$C$10</f>
        <v>0.2857142857142857</v>
      </c>
      <c r="E33" s="118">
        <f>COUNTIFS(Observaciones[[#All],[Estado]],Resumen!$P$24,Observaciones[[#All],[Severidad]],Resumen!$P$14)</f>
        <v>0</v>
      </c>
      <c r="F33" s="117">
        <f>E33/$C$10</f>
        <v>0</v>
      </c>
      <c r="G33" s="112"/>
      <c r="H33" s="115" t="s">
        <v>39</v>
      </c>
      <c r="I33" s="119">
        <f>COUNTIFS(Observaciones[[#All],[Severidad]],Resumen!$P$14,Observaciones[[#All],[Prioridad]],Resumen!$P$17)</f>
        <v>2</v>
      </c>
      <c r="J33" s="119">
        <f>COUNTIFS(Observaciones[[#All],[Severidad]],Resumen!$P$14,Observaciones[[#All],[Prioridad]],Resumen!$P$18)</f>
        <v>0</v>
      </c>
      <c r="K33" s="119">
        <f>COUNTIFS(Observaciones[[#All],[Severidad]],Resumen!$P$14,Observaciones[[#All],[Prioridad]],Resumen!$P$19)</f>
        <v>0</v>
      </c>
      <c r="L33" s="110"/>
      <c r="M33" s="76"/>
      <c r="N33" s="69"/>
      <c r="O33" s="69"/>
      <c r="P33" s="69"/>
      <c r="Q33" s="69"/>
      <c r="R33" s="69"/>
    </row>
    <row r="34" spans="1:18" ht="15.75" hidden="1" thickBot="1">
      <c r="A34" s="112"/>
      <c r="B34" s="115" t="s">
        <v>72</v>
      </c>
      <c r="C34" s="121">
        <f>SUM(C30:C33)</f>
        <v>9</v>
      </c>
      <c r="D34" s="122">
        <f>SUM(D30:D33)</f>
        <v>1.2857142857142856</v>
      </c>
      <c r="E34" s="121">
        <f>SUM(E30:E33)</f>
        <v>0</v>
      </c>
      <c r="F34" s="122">
        <f>SUM(F30:F33)</f>
        <v>0</v>
      </c>
      <c r="G34" s="112"/>
      <c r="H34" s="115" t="s">
        <v>72</v>
      </c>
      <c r="I34" s="123">
        <f>SUM(I30:I33)</f>
        <v>9</v>
      </c>
      <c r="J34" s="123">
        <f>SUM(J30:J33)</f>
        <v>0</v>
      </c>
      <c r="K34" s="123">
        <f>SUM(K30:K33)</f>
        <v>0</v>
      </c>
      <c r="L34" s="110"/>
      <c r="M34" s="76"/>
      <c r="N34" s="69"/>
      <c r="O34" s="69"/>
      <c r="P34" s="9" t="s">
        <v>59</v>
      </c>
      <c r="Q34" s="10" t="s">
        <v>3</v>
      </c>
      <c r="R34" s="69"/>
    </row>
    <row r="35" spans="1:18" ht="33" hidden="1" customHeight="1" thickBot="1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69"/>
      <c r="N35" s="69"/>
      <c r="O35" s="69"/>
      <c r="P35" s="25" t="s">
        <v>60</v>
      </c>
      <c r="Q35" s="26" t="s">
        <v>61</v>
      </c>
      <c r="R35" s="69"/>
    </row>
    <row r="36" spans="1:18" ht="33" hidden="1" customHeight="1" thickBot="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27" t="s">
        <v>62</v>
      </c>
      <c r="Q36" s="28" t="s">
        <v>63</v>
      </c>
      <c r="R36" s="69"/>
    </row>
    <row r="37" spans="1:18" ht="33" hidden="1" customHeight="1" thickBot="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29" t="s">
        <v>64</v>
      </c>
      <c r="Q37" s="28" t="s">
        <v>65</v>
      </c>
      <c r="R37" s="69"/>
    </row>
    <row r="38" spans="1:18" hidden="1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2" priority="1" stopIfTrue="1">
      <formula>NOT(ISERROR(SEARCH("INSATISFACTORIO",G4)))</formula>
    </cfRule>
    <cfRule type="expression" dxfId="1" priority="2" stopIfTrue="1">
      <formula>NOT(ISERROR(SEARCH("SATISFACTORIO con Observaciones",G4)))</formula>
    </cfRule>
    <cfRule type="expression" dxfId="0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85" workbookViewId="0">
      <selection activeCell="E86" sqref="E86"/>
    </sheetView>
  </sheetViews>
  <sheetFormatPr baseColWidth="10" defaultColWidth="11.42578125" defaultRowHeight="15"/>
  <cols>
    <col min="1" max="1" width="4.28515625" customWidth="1"/>
    <col min="2" max="2" width="13.140625" customWidth="1"/>
    <col min="3" max="3" width="22.140625" customWidth="1"/>
    <col min="4" max="5" width="11.28515625" customWidth="1"/>
    <col min="6" max="6" width="3.5703125" customWidth="1"/>
    <col min="7" max="7" width="13.140625" customWidth="1"/>
    <col min="8" max="8" width="18.85546875" bestFit="1" customWidth="1"/>
    <col min="9" max="9" width="5.140625" customWidth="1"/>
    <col min="12" max="12" width="13.140625" customWidth="1"/>
    <col min="13" max="13" width="16.42578125" bestFit="1" customWidth="1"/>
    <col min="17" max="17" width="8.140625" customWidth="1"/>
  </cols>
  <sheetData>
    <row r="1" spans="1:18" ht="21">
      <c r="A1" s="194" t="s">
        <v>115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</row>
    <row r="22" spans="1:18" ht="21">
      <c r="A22" s="194" t="s">
        <v>116</v>
      </c>
      <c r="B22" s="194"/>
      <c r="C22" s="194"/>
      <c r="D22" s="194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</row>
    <row r="44" spans="1:18" ht="21">
      <c r="A44" s="194" t="s">
        <v>117</v>
      </c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194"/>
      <c r="R44" s="194"/>
    </row>
    <row r="66" spans="1:18" ht="21">
      <c r="A66" s="194" t="s">
        <v>118</v>
      </c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</row>
    <row r="67" spans="1:18" ht="15.75" thickBot="1"/>
    <row r="68" spans="1:18" ht="15.75" thickBot="1">
      <c r="B68" s="195" t="s">
        <v>119</v>
      </c>
      <c r="C68" s="196"/>
      <c r="D68" s="196"/>
      <c r="E68" s="196"/>
      <c r="F68" s="197"/>
      <c r="G68" s="61">
        <f>AVERAGE(Observaciones[[#All],[Tiempo de Solución (Dias)]])</f>
        <v>0</v>
      </c>
      <c r="H68" s="62" t="s">
        <v>120</v>
      </c>
    </row>
    <row r="70" spans="1:18">
      <c r="B70" s="63" t="s">
        <v>154</v>
      </c>
      <c r="C70" t="s">
        <v>121</v>
      </c>
      <c r="G70" s="63" t="s">
        <v>154</v>
      </c>
      <c r="H70" t="s">
        <v>122</v>
      </c>
      <c r="L70" s="63" t="s">
        <v>154</v>
      </c>
      <c r="M70" t="s">
        <v>123</v>
      </c>
    </row>
    <row r="71" spans="1:18">
      <c r="B71" s="64" t="s">
        <v>33</v>
      </c>
      <c r="C71" s="34">
        <v>5</v>
      </c>
      <c r="G71" s="64" t="s">
        <v>28</v>
      </c>
      <c r="H71" s="34">
        <v>31</v>
      </c>
      <c r="L71" s="64" t="s">
        <v>49</v>
      </c>
      <c r="M71" s="34">
        <v>31</v>
      </c>
    </row>
    <row r="72" spans="1:18">
      <c r="B72" s="64" t="s">
        <v>35</v>
      </c>
      <c r="C72" s="34">
        <v>3</v>
      </c>
      <c r="G72" s="64" t="s">
        <v>153</v>
      </c>
      <c r="H72" s="34">
        <v>31</v>
      </c>
      <c r="L72" s="64" t="s">
        <v>153</v>
      </c>
      <c r="M72" s="34">
        <v>31</v>
      </c>
    </row>
    <row r="73" spans="1:18">
      <c r="B73" s="64" t="s">
        <v>37</v>
      </c>
      <c r="C73" s="34">
        <v>19</v>
      </c>
    </row>
    <row r="74" spans="1:18">
      <c r="B74" s="64" t="s">
        <v>39</v>
      </c>
      <c r="C74" s="34">
        <v>4</v>
      </c>
    </row>
    <row r="75" spans="1:18">
      <c r="B75" s="64" t="s">
        <v>153</v>
      </c>
      <c r="C75" s="34">
        <v>31</v>
      </c>
    </row>
    <row r="87" spans="1:18" ht="21">
      <c r="A87" s="194" t="s">
        <v>124</v>
      </c>
      <c r="B87" s="194"/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</row>
    <row r="88" spans="1:18" ht="15.75" thickBot="1"/>
    <row r="89" spans="1:18" ht="15.75" thickBot="1">
      <c r="B89" s="195" t="s">
        <v>125</v>
      </c>
      <c r="C89" s="196"/>
      <c r="D89" s="196"/>
      <c r="E89" s="196"/>
      <c r="F89" s="197"/>
      <c r="G89" s="61">
        <f>AVERAGE(Consultas[[#All],[Tiempo de Solución]])</f>
        <v>0</v>
      </c>
      <c r="H89" s="62" t="s">
        <v>120</v>
      </c>
    </row>
    <row r="91" spans="1:18">
      <c r="B91" s="63" t="s">
        <v>154</v>
      </c>
      <c r="C91" t="s">
        <v>127</v>
      </c>
      <c r="G91" s="63" t="s">
        <v>154</v>
      </c>
      <c r="H91" t="s">
        <v>122</v>
      </c>
      <c r="L91" s="63" t="s">
        <v>154</v>
      </c>
      <c r="M91" t="s">
        <v>123</v>
      </c>
    </row>
    <row r="92" spans="1:18">
      <c r="B92" s="64" t="s">
        <v>155</v>
      </c>
      <c r="C92" s="34"/>
      <c r="G92" s="64" t="s">
        <v>28</v>
      </c>
      <c r="H92" s="34">
        <v>2</v>
      </c>
      <c r="L92" s="64" t="s">
        <v>49</v>
      </c>
      <c r="M92" s="34">
        <v>2</v>
      </c>
    </row>
    <row r="93" spans="1:18">
      <c r="B93" s="64" t="s">
        <v>153</v>
      </c>
      <c r="C93" s="34"/>
      <c r="G93" s="64" t="s">
        <v>153</v>
      </c>
      <c r="H93" s="34">
        <v>2</v>
      </c>
      <c r="L93" s="64" t="s">
        <v>153</v>
      </c>
      <c r="M93" s="34">
        <v>2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1"/>
  <sheetViews>
    <sheetView zoomScaleNormal="100" workbookViewId="0">
      <selection activeCell="C16" sqref="C16"/>
    </sheetView>
  </sheetViews>
  <sheetFormatPr baseColWidth="10" defaultColWidth="0" defaultRowHeight="15"/>
  <cols>
    <col min="1" max="1" width="9.28515625" style="30" customWidth="1"/>
    <col min="2" max="2" width="8.85546875" style="30" customWidth="1"/>
    <col min="3" max="3" width="36.7109375" style="30" customWidth="1"/>
    <col min="4" max="4" width="45.85546875" style="30" customWidth="1"/>
    <col min="5" max="5" width="23.140625" style="30" customWidth="1"/>
    <col min="6" max="6" width="14.42578125" style="32" bestFit="1" customWidth="1"/>
    <col min="7" max="7" width="12.5703125" style="30" customWidth="1"/>
    <col min="8" max="8" width="11.42578125" style="30" customWidth="1"/>
    <col min="9" max="10" width="14.5703125" style="30" customWidth="1"/>
    <col min="11" max="11" width="11.42578125" style="30" customWidth="1"/>
    <col min="12" max="12" width="14.42578125" style="31" customWidth="1"/>
    <col min="13" max="13" width="11.42578125" style="30" customWidth="1"/>
    <col min="14" max="14" width="12.140625" style="30" customWidth="1"/>
    <col min="15" max="15" width="22.42578125" style="30" customWidth="1"/>
    <col min="16" max="16" width="53.28515625" style="30" customWidth="1"/>
    <col min="17" max="17" width="23.5703125" style="30" customWidth="1"/>
    <col min="18" max="18" width="5" style="30" customWidth="1"/>
    <col min="19" max="23" width="0" style="30" hidden="1" customWidth="1"/>
    <col min="24" max="16384" width="11.42578125" style="30" hidden="1"/>
  </cols>
  <sheetData>
    <row r="1" spans="1:18">
      <c r="A1" s="89"/>
      <c r="B1" s="89"/>
      <c r="C1" s="89"/>
      <c r="D1" s="89"/>
      <c r="E1" s="89"/>
      <c r="F1" s="93"/>
      <c r="G1" s="89"/>
      <c r="H1" s="89"/>
      <c r="I1" s="89"/>
      <c r="J1" s="89"/>
      <c r="K1" s="89"/>
      <c r="L1" s="94"/>
      <c r="M1" s="89"/>
      <c r="N1" s="89"/>
      <c r="O1" s="89"/>
      <c r="P1" s="89"/>
      <c r="Q1" s="89"/>
      <c r="R1" s="89"/>
    </row>
    <row r="2" spans="1:18" ht="15" customHeight="1">
      <c r="A2" s="89"/>
      <c r="B2" s="89"/>
      <c r="C2" s="89"/>
      <c r="D2" s="143" t="s">
        <v>9</v>
      </c>
      <c r="E2" s="144" t="str">
        <f>General!$B$3</f>
        <v>ANPAOCFYAP</v>
      </c>
      <c r="F2" s="145" t="s">
        <v>10</v>
      </c>
      <c r="G2" s="198" t="str">
        <f>General!$B$4</f>
        <v>Arquitectura de Negocios y Propuesta de Automatización para la Oficina Central de Fe y Alegría Perú</v>
      </c>
      <c r="H2" s="199"/>
      <c r="I2" s="199"/>
      <c r="J2" s="199"/>
      <c r="K2" s="199"/>
      <c r="L2" s="199"/>
      <c r="M2" s="199"/>
      <c r="N2" s="200"/>
      <c r="O2" s="89"/>
      <c r="P2" s="89"/>
      <c r="Q2" s="89"/>
      <c r="R2" s="89"/>
    </row>
    <row r="3" spans="1:18" s="65" customFormat="1" ht="58.5" customHeight="1">
      <c r="A3" s="89"/>
      <c r="B3" s="89"/>
      <c r="C3" s="89"/>
      <c r="D3" s="90"/>
      <c r="E3" s="91"/>
      <c r="F3" s="92"/>
      <c r="G3" s="91"/>
      <c r="H3" s="91"/>
      <c r="I3" s="91"/>
      <c r="J3" s="91"/>
      <c r="K3" s="91"/>
      <c r="L3" s="91"/>
      <c r="M3" s="91"/>
      <c r="N3" s="91"/>
      <c r="O3" s="89"/>
      <c r="P3" s="89"/>
      <c r="Q3" s="89"/>
      <c r="R3" s="89"/>
    </row>
    <row r="4" spans="1:18" s="84" customFormat="1" ht="40.5" customHeight="1">
      <c r="A4" s="136" t="s">
        <v>132</v>
      </c>
      <c r="B4" s="137" t="s">
        <v>131</v>
      </c>
      <c r="C4" s="137" t="s">
        <v>73</v>
      </c>
      <c r="D4" s="137" t="s">
        <v>74</v>
      </c>
      <c r="E4" s="137" t="s">
        <v>75</v>
      </c>
      <c r="F4" s="138" t="s">
        <v>76</v>
      </c>
      <c r="G4" s="137" t="s">
        <v>77</v>
      </c>
      <c r="H4" s="137" t="s">
        <v>78</v>
      </c>
      <c r="I4" s="139" t="s">
        <v>79</v>
      </c>
      <c r="J4" s="139" t="s">
        <v>80</v>
      </c>
      <c r="K4" s="140" t="s">
        <v>81</v>
      </c>
      <c r="L4" s="141" t="s">
        <v>82</v>
      </c>
      <c r="M4" s="142" t="s">
        <v>83</v>
      </c>
      <c r="N4" s="137" t="s">
        <v>84</v>
      </c>
      <c r="O4" s="137" t="s">
        <v>85</v>
      </c>
      <c r="P4" s="137" t="s">
        <v>86</v>
      </c>
      <c r="Q4" s="137" t="s">
        <v>87</v>
      </c>
      <c r="R4" s="95"/>
    </row>
    <row r="5" spans="1:18" s="85" customFormat="1" ht="11.25">
      <c r="A5" s="85" t="s">
        <v>147</v>
      </c>
      <c r="B5" s="85" t="s">
        <v>88</v>
      </c>
      <c r="C5" s="85" t="s">
        <v>160</v>
      </c>
      <c r="D5" s="85" t="s">
        <v>160</v>
      </c>
      <c r="F5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5" s="85" t="s">
        <v>22</v>
      </c>
      <c r="H5" s="85" t="s">
        <v>28</v>
      </c>
      <c r="I5" s="87"/>
      <c r="L5" s="159">
        <f>General!$A$10</f>
        <v>40676</v>
      </c>
      <c r="M5" s="159">
        <v>40667</v>
      </c>
      <c r="N5" s="85">
        <v>1.5</v>
      </c>
      <c r="P5" s="87"/>
      <c r="Q5" s="87" t="str">
        <f>CONCATENATE(General!$B$7,", ",General!$B$6)</f>
        <v>Chris Navarro, Victor Pomajuica</v>
      </c>
      <c r="R5" s="96"/>
    </row>
    <row r="6" spans="1:18">
      <c r="A6" s="85" t="s">
        <v>147</v>
      </c>
      <c r="B6" s="85" t="s">
        <v>146</v>
      </c>
      <c r="C6" s="85" t="s">
        <v>171</v>
      </c>
      <c r="D6" s="85" t="s">
        <v>171</v>
      </c>
      <c r="E6" s="85"/>
      <c r="F6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6" s="85" t="s">
        <v>22</v>
      </c>
      <c r="H6" s="85" t="s">
        <v>28</v>
      </c>
      <c r="I6" s="87"/>
      <c r="J6" s="85"/>
      <c r="K6" s="85"/>
      <c r="L6" s="159">
        <f>General!$A$10</f>
        <v>40676</v>
      </c>
      <c r="M6" s="159">
        <v>40668</v>
      </c>
      <c r="N6" s="85">
        <v>2</v>
      </c>
      <c r="O6" s="85"/>
      <c r="P6" s="87"/>
      <c r="Q6" s="87" t="str">
        <f>CONCATENATE(General!$B$7,", ",General!$B$6)</f>
        <v>Chris Navarro, Victor Pomajuica</v>
      </c>
    </row>
    <row r="7" spans="1:18">
      <c r="A7" s="85" t="s">
        <v>147</v>
      </c>
      <c r="B7" s="85" t="s">
        <v>158</v>
      </c>
      <c r="C7" s="85" t="s">
        <v>172</v>
      </c>
      <c r="D7" s="85" t="s">
        <v>172</v>
      </c>
      <c r="E7" s="85"/>
      <c r="F7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7" s="87" t="s">
        <v>22</v>
      </c>
      <c r="H7" s="85" t="s">
        <v>28</v>
      </c>
      <c r="I7" s="87"/>
      <c r="J7" s="85"/>
      <c r="K7" s="85"/>
      <c r="L7" s="159">
        <f>General!$A$10</f>
        <v>40676</v>
      </c>
      <c r="M7" s="159">
        <v>40669</v>
      </c>
      <c r="N7" s="85"/>
      <c r="O7" s="85"/>
      <c r="P7" s="87"/>
      <c r="Q7" s="87" t="str">
        <f>CONCATENATE(General!$B$7,", ",General!$B$6)</f>
        <v>Chris Navarro, Victor Pomajuica</v>
      </c>
    </row>
    <row r="8" spans="1:18">
      <c r="A8" s="85" t="s">
        <v>147</v>
      </c>
      <c r="B8" s="85" t="s">
        <v>161</v>
      </c>
      <c r="C8" s="85" t="s">
        <v>173</v>
      </c>
      <c r="D8" s="85" t="s">
        <v>173</v>
      </c>
      <c r="E8" s="85"/>
      <c r="F8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8" s="87" t="s">
        <v>22</v>
      </c>
      <c r="H8" s="85" t="s">
        <v>28</v>
      </c>
      <c r="I8" s="87"/>
      <c r="J8" s="85"/>
      <c r="K8" s="85"/>
      <c r="L8" s="159">
        <f>General!$A$10</f>
        <v>40676</v>
      </c>
      <c r="M8" s="159">
        <v>40670</v>
      </c>
      <c r="N8" s="85"/>
      <c r="O8" s="85"/>
      <c r="P8" s="87"/>
      <c r="Q8" s="87" t="str">
        <f>CONCATENATE(General!$B$7,", ",General!$B$6)</f>
        <v>Chris Navarro, Victor Pomajuica</v>
      </c>
    </row>
    <row r="9" spans="1:18">
      <c r="A9" s="85" t="s">
        <v>147</v>
      </c>
      <c r="B9" s="85" t="s">
        <v>162</v>
      </c>
      <c r="C9" s="85" t="s">
        <v>174</v>
      </c>
      <c r="D9" s="85" t="s">
        <v>174</v>
      </c>
      <c r="E9" s="85"/>
      <c r="F9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9" s="87" t="s">
        <v>22</v>
      </c>
      <c r="H9" s="85" t="s">
        <v>28</v>
      </c>
      <c r="I9" s="87"/>
      <c r="J9" s="85"/>
      <c r="K9" s="85"/>
      <c r="L9" s="159">
        <f>General!$A$10</f>
        <v>40676</v>
      </c>
      <c r="M9" s="159">
        <v>40671</v>
      </c>
      <c r="N9" s="85"/>
      <c r="O9" s="85"/>
      <c r="P9" s="87"/>
      <c r="Q9" s="87" t="str">
        <f>CONCATENATE(General!$B$7,", ",General!$B$6)</f>
        <v>Chris Navarro, Victor Pomajuica</v>
      </c>
    </row>
    <row r="10" spans="1:18">
      <c r="A10" s="85" t="s">
        <v>147</v>
      </c>
      <c r="B10" s="85" t="s">
        <v>163</v>
      </c>
      <c r="C10" s="85" t="s">
        <v>175</v>
      </c>
      <c r="D10" s="85" t="s">
        <v>175</v>
      </c>
      <c r="E10" s="85"/>
      <c r="F10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0" s="87" t="s">
        <v>22</v>
      </c>
      <c r="H10" s="85" t="s">
        <v>28</v>
      </c>
      <c r="I10" s="87"/>
      <c r="J10" s="85"/>
      <c r="K10" s="85"/>
      <c r="L10" s="159">
        <f>General!$A$10</f>
        <v>40676</v>
      </c>
      <c r="M10" s="159"/>
      <c r="N10" s="85"/>
      <c r="O10" s="85"/>
      <c r="P10" s="87"/>
      <c r="Q10" s="87" t="str">
        <f>CONCATENATE(General!$B$7,", ",General!$B$6)</f>
        <v>Chris Navarro, Victor Pomajuica</v>
      </c>
    </row>
    <row r="11" spans="1:18">
      <c r="A11" s="85" t="s">
        <v>147</v>
      </c>
      <c r="B11" s="85" t="s">
        <v>164</v>
      </c>
      <c r="C11" s="85" t="s">
        <v>176</v>
      </c>
      <c r="D11" s="85" t="s">
        <v>176</v>
      </c>
      <c r="E11" s="85"/>
      <c r="F11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1" s="87" t="s">
        <v>22</v>
      </c>
      <c r="H11" s="85" t="s">
        <v>28</v>
      </c>
      <c r="I11" s="87"/>
      <c r="J11" s="85"/>
      <c r="K11" s="85"/>
      <c r="L11" s="159">
        <f>General!$A$10</f>
        <v>40676</v>
      </c>
      <c r="M11" s="159"/>
      <c r="N11" s="85"/>
      <c r="O11" s="85"/>
      <c r="P11" s="87"/>
      <c r="Q11" s="87" t="str">
        <f>CONCATENATE(General!$B$7,", ",General!$B$6)</f>
        <v>Chris Navarro, Victor Pomajuica</v>
      </c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Resumen!$P$27:$P$32</xm:f>
          </x14:formula1>
          <xm:sqref>G5:G11</xm:sqref>
        </x14:dataValidation>
        <x14:dataValidation type="list" allowBlank="1" showInputMessage="1" showErrorMessage="1">
          <x14:formula1>
            <xm:f>Resumen!$P$17:$P$19</xm:f>
          </x14:formula1>
          <xm:sqref>H5:H11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11"/>
  <sheetViews>
    <sheetView zoomScale="85" zoomScaleNormal="85" workbookViewId="0">
      <selection activeCell="J8" sqref="J8"/>
    </sheetView>
  </sheetViews>
  <sheetFormatPr baseColWidth="10" defaultColWidth="0" defaultRowHeight="15"/>
  <cols>
    <col min="1" max="1" width="12.7109375" style="67" customWidth="1"/>
    <col min="2" max="5" width="12.7109375" style="33" customWidth="1"/>
    <col min="6" max="7" width="12.7109375" style="68" customWidth="1"/>
    <col min="8" max="8" width="13.28515625" style="88" customWidth="1"/>
    <col min="9" max="9" width="52.28515625" style="33" bestFit="1" customWidth="1"/>
    <col min="10" max="10" width="40.42578125" style="33" customWidth="1"/>
    <col min="11" max="11" width="12.7109375" style="30" customWidth="1"/>
    <col min="12" max="12" width="13.85546875" style="30" customWidth="1"/>
    <col min="13" max="16383" width="11.42578125" style="30" hidden="1"/>
    <col min="16384" max="16384" width="3.7109375" style="30" hidden="1" customWidth="1"/>
  </cols>
  <sheetData>
    <row r="1" spans="1:14" customFormat="1" ht="31.5">
      <c r="A1" s="201" t="s">
        <v>96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N1" s="30" t="s">
        <v>129</v>
      </c>
    </row>
    <row r="2" spans="1:14" s="66" customFormat="1" ht="38.25">
      <c r="A2" s="146" t="s">
        <v>89</v>
      </c>
      <c r="B2" s="147" t="s">
        <v>90</v>
      </c>
      <c r="C2" s="147" t="s">
        <v>78</v>
      </c>
      <c r="D2" s="147" t="s">
        <v>79</v>
      </c>
      <c r="E2" s="147" t="s">
        <v>91</v>
      </c>
      <c r="F2" s="148" t="s">
        <v>92</v>
      </c>
      <c r="G2" s="148" t="s">
        <v>93</v>
      </c>
      <c r="H2" s="148" t="s">
        <v>126</v>
      </c>
      <c r="I2" s="147" t="s">
        <v>3</v>
      </c>
      <c r="J2" s="147" t="s">
        <v>94</v>
      </c>
      <c r="K2" s="149" t="s">
        <v>104</v>
      </c>
      <c r="L2" s="149" t="s">
        <v>140</v>
      </c>
      <c r="N2" s="30" t="s">
        <v>130</v>
      </c>
    </row>
    <row r="3" spans="1:14" ht="30">
      <c r="A3" s="67" t="s">
        <v>97</v>
      </c>
      <c r="B3" s="33" t="s">
        <v>161</v>
      </c>
      <c r="C3" s="33" t="str">
        <f>VLOOKUP(Observaciones[Caso de Prueba],CasoPrueba[[#All],[Código CP]:[Prioridad]],7,TRUE)</f>
        <v>Alta</v>
      </c>
      <c r="D3" s="33" t="s">
        <v>39</v>
      </c>
      <c r="E3" s="33" t="s">
        <v>47</v>
      </c>
      <c r="F3" s="158">
        <v>40676</v>
      </c>
      <c r="G3" s="158"/>
      <c r="I3" s="172" t="s">
        <v>178</v>
      </c>
      <c r="J3" s="33" t="s">
        <v>188</v>
      </c>
      <c r="K3" s="33">
        <f>IF((Observaciones[[#This Row],[Fecha Levantamiento]]-Observaciones[[#This Row],[Fecha Detección]])&gt;=0,Observaciones[[#This Row],[Fecha Levantamiento]]-Observaciones[[#This Row],[Fecha Detección]]+1,0)</f>
        <v>0</v>
      </c>
      <c r="L3" s="33" t="str">
        <f>LOOKUP(Observaciones[[#This Row],[Caso de Prueba]],CasoPrueba[Código CP],CasoPrueba[Código de REQ])</f>
        <v>INSPECCIÓN</v>
      </c>
    </row>
    <row r="4" spans="1:14" ht="30">
      <c r="A4" s="67" t="s">
        <v>148</v>
      </c>
      <c r="B4" s="33" t="s">
        <v>162</v>
      </c>
      <c r="C4" s="33" t="str">
        <f>VLOOKUP(Observaciones[Caso de Prueba],CasoPrueba[[#All],[Código CP]:[Prioridad]],7,TRUE)</f>
        <v>Alta</v>
      </c>
      <c r="D4" s="33" t="s">
        <v>39</v>
      </c>
      <c r="E4" s="33" t="s">
        <v>47</v>
      </c>
      <c r="F4" s="158">
        <v>40676</v>
      </c>
      <c r="G4" s="158"/>
      <c r="I4" s="168" t="s">
        <v>181</v>
      </c>
      <c r="J4" s="33" t="s">
        <v>188</v>
      </c>
      <c r="K4" s="33">
        <f>IF((Observaciones[[#This Row],[Fecha Levantamiento]]-Observaciones[[#This Row],[Fecha Detección]])&gt;=0,Observaciones[[#This Row],[Fecha Levantamiento]]-Observaciones[[#This Row],[Fecha Detección]]+1,0)</f>
        <v>0</v>
      </c>
      <c r="L4" s="33" t="str">
        <f>LOOKUP(Observaciones[[#This Row],[Caso de Prueba]],CasoPrueba[Código CP],CasoPrueba[Código de REQ])</f>
        <v>INSPECCIÓN</v>
      </c>
    </row>
    <row r="5" spans="1:14" ht="30.75" customHeight="1">
      <c r="A5" s="67" t="s">
        <v>149</v>
      </c>
      <c r="B5" s="33" t="s">
        <v>162</v>
      </c>
      <c r="C5" s="33" t="str">
        <f>VLOOKUP(Observaciones[Caso de Prueba],CasoPrueba[[#All],[Código CP]:[Prioridad]],7,TRUE)</f>
        <v>Alta</v>
      </c>
      <c r="D5" s="33" t="s">
        <v>33</v>
      </c>
      <c r="E5" s="33" t="s">
        <v>47</v>
      </c>
      <c r="F5" s="158">
        <v>40676</v>
      </c>
      <c r="G5" s="158"/>
      <c r="I5" s="172" t="s">
        <v>179</v>
      </c>
      <c r="J5" s="33" t="s">
        <v>188</v>
      </c>
      <c r="K5" s="33">
        <f>IF((Observaciones[[#This Row],[Fecha Levantamiento]]-Observaciones[[#This Row],[Fecha Detección]])&gt;=0,Observaciones[[#This Row],[Fecha Levantamiento]]-Observaciones[[#This Row],[Fecha Detección]]+1,0)</f>
        <v>0</v>
      </c>
      <c r="L5" s="33" t="str">
        <f>LOOKUP(Observaciones[[#This Row],[Caso de Prueba]],CasoPrueba[Código CP],CasoPrueba[Código de REQ])</f>
        <v>INSPECCIÓN</v>
      </c>
    </row>
    <row r="6" spans="1:14" ht="30">
      <c r="A6" s="67" t="s">
        <v>150</v>
      </c>
      <c r="B6" s="33" t="s">
        <v>162</v>
      </c>
      <c r="C6" s="33" t="str">
        <f>VLOOKUP(Observaciones[Caso de Prueba],CasoPrueba[[#All],[Código CP]:[Prioridad]],7,TRUE)</f>
        <v>Alta</v>
      </c>
      <c r="D6" s="33" t="s">
        <v>33</v>
      </c>
      <c r="E6" s="33" t="s">
        <v>47</v>
      </c>
      <c r="F6" s="158">
        <v>40676</v>
      </c>
      <c r="G6" s="158"/>
      <c r="I6" s="168" t="s">
        <v>182</v>
      </c>
      <c r="J6" s="33" t="s">
        <v>188</v>
      </c>
      <c r="K6" s="33">
        <f>IF((Observaciones[[#This Row],[Fecha Levantamiento]]-Observaciones[[#This Row],[Fecha Detección]])&gt;=0,Observaciones[[#This Row],[Fecha Levantamiento]]-Observaciones[[#This Row],[Fecha Detección]]+1,0)</f>
        <v>0</v>
      </c>
      <c r="L6" s="33" t="str">
        <f>LOOKUP(Observaciones[[#This Row],[Caso de Prueba]],CasoPrueba[Código CP],CasoPrueba[Código de REQ])</f>
        <v>INSPECCIÓN</v>
      </c>
    </row>
    <row r="7" spans="1:14">
      <c r="A7" s="67" t="s">
        <v>151</v>
      </c>
      <c r="B7" s="33" t="s">
        <v>162</v>
      </c>
      <c r="C7" s="33" t="str">
        <f>VLOOKUP(Observaciones[Caso de Prueba],CasoPrueba[[#All],[Código CP]:[Prioridad]],7,TRUE)</f>
        <v>Alta</v>
      </c>
      <c r="D7" s="33" t="s">
        <v>33</v>
      </c>
      <c r="E7" s="33" t="s">
        <v>47</v>
      </c>
      <c r="F7" s="158">
        <v>40676</v>
      </c>
      <c r="G7" s="158"/>
      <c r="I7" s="172" t="s">
        <v>180</v>
      </c>
      <c r="J7" s="33" t="s">
        <v>193</v>
      </c>
      <c r="K7" s="33">
        <f>IF((Observaciones[[#This Row],[Fecha Levantamiento]]-Observaciones[[#This Row],[Fecha Detección]])&gt;=0,Observaciones[[#This Row],[Fecha Levantamiento]]-Observaciones[[#This Row],[Fecha Detección]]+1,0)</f>
        <v>0</v>
      </c>
      <c r="L7" s="33" t="str">
        <f>LOOKUP(Observaciones[[#This Row],[Caso de Prueba]],CasoPrueba[Código CP],CasoPrueba[Código de REQ])</f>
        <v>INSPECCIÓN</v>
      </c>
    </row>
    <row r="8" spans="1:14" s="167" customFormat="1" ht="45">
      <c r="A8" s="165" t="s">
        <v>159</v>
      </c>
      <c r="B8" s="33" t="s">
        <v>162</v>
      </c>
      <c r="C8" s="165" t="str">
        <f>VLOOKUP(Observaciones[Caso de Prueba],CasoPrueba[[#All],[Código CP]:[Prioridad]],7,TRUE)</f>
        <v>Alta</v>
      </c>
      <c r="D8" s="165" t="s">
        <v>33</v>
      </c>
      <c r="E8" s="165" t="s">
        <v>47</v>
      </c>
      <c r="F8" s="158">
        <v>40676</v>
      </c>
      <c r="G8" s="158"/>
      <c r="H8" s="166"/>
      <c r="I8" s="165" t="s">
        <v>185</v>
      </c>
      <c r="J8" s="165" t="s">
        <v>189</v>
      </c>
      <c r="K8" s="165">
        <f>IF((Observaciones[[#This Row],[Fecha Levantamiento]]-Observaciones[[#This Row],[Fecha Detección]])&gt;=0,Observaciones[[#This Row],[Fecha Levantamiento]]-Observaciones[[#This Row],[Fecha Detección]]+1,0)</f>
        <v>0</v>
      </c>
      <c r="L8" s="165" t="str">
        <f>LOOKUP(Observaciones[[#This Row],[Caso de Prueba]],CasoPrueba[Código CP],CasoPrueba[Código de REQ])</f>
        <v>INSPECCIÓN</v>
      </c>
    </row>
    <row r="9" spans="1:14" s="171" customFormat="1" ht="75">
      <c r="A9" s="169" t="s">
        <v>167</v>
      </c>
      <c r="B9" s="33" t="s">
        <v>162</v>
      </c>
      <c r="C9" s="169" t="str">
        <f>VLOOKUP(Observaciones[Caso de Prueba],CasoPrueba[[#All],[Código CP]:[Prioridad]],7,TRUE)</f>
        <v>Alta</v>
      </c>
      <c r="D9" s="169" t="s">
        <v>33</v>
      </c>
      <c r="E9" s="169" t="s">
        <v>47</v>
      </c>
      <c r="F9" s="158">
        <v>40676</v>
      </c>
      <c r="G9" s="158"/>
      <c r="H9" s="170"/>
      <c r="I9" s="169" t="s">
        <v>183</v>
      </c>
      <c r="J9" s="169" t="s">
        <v>190</v>
      </c>
      <c r="K9" s="169">
        <f>IF((Observaciones[[#This Row],[Fecha Levantamiento]]-Observaciones[[#This Row],[Fecha Detección]])&gt;=0,Observaciones[[#This Row],[Fecha Levantamiento]]-Observaciones[[#This Row],[Fecha Detección]]+1,0)</f>
        <v>0</v>
      </c>
      <c r="L9" s="169" t="str">
        <f>LOOKUP(Observaciones[[#This Row],[Caso de Prueba]],CasoPrueba[Código CP],CasoPrueba[Código de REQ])</f>
        <v>INSPECCIÓN</v>
      </c>
    </row>
    <row r="10" spans="1:14" s="167" customFormat="1">
      <c r="A10" s="165" t="s">
        <v>168</v>
      </c>
      <c r="B10" s="33" t="s">
        <v>163</v>
      </c>
      <c r="C10" s="165" t="str">
        <f>VLOOKUP(Observaciones[Caso de Prueba],CasoPrueba[[#All],[Código CP]:[Prioridad]],7,TRUE)</f>
        <v>Alta</v>
      </c>
      <c r="D10" s="165" t="s">
        <v>33</v>
      </c>
      <c r="E10" s="165" t="s">
        <v>47</v>
      </c>
      <c r="F10" s="158">
        <v>40676</v>
      </c>
      <c r="G10" s="158"/>
      <c r="H10" s="166"/>
      <c r="I10" s="165" t="s">
        <v>186</v>
      </c>
      <c r="J10" s="165" t="s">
        <v>192</v>
      </c>
      <c r="K10" s="165">
        <f>IF((Observaciones[[#This Row],[Fecha Levantamiento]]-Observaciones[[#This Row],[Fecha Detección]])&gt;=0,Observaciones[[#This Row],[Fecha Levantamiento]]-Observaciones[[#This Row],[Fecha Detección]]+1,0)</f>
        <v>0</v>
      </c>
      <c r="L10" s="165" t="str">
        <f>LOOKUP(Observaciones[[#This Row],[Caso de Prueba]],CasoPrueba[Código CP],CasoPrueba[Código de REQ])</f>
        <v>INSPECCIÓN</v>
      </c>
    </row>
    <row r="11" spans="1:14" s="171" customFormat="1">
      <c r="A11" s="169" t="s">
        <v>169</v>
      </c>
      <c r="B11" s="33" t="s">
        <v>164</v>
      </c>
      <c r="C11" s="169" t="str">
        <f>VLOOKUP(Observaciones[Caso de Prueba],CasoPrueba[[#All],[Código CP]:[Prioridad]],7,TRUE)</f>
        <v>Alta</v>
      </c>
      <c r="D11" s="169" t="s">
        <v>33</v>
      </c>
      <c r="E11" s="169" t="s">
        <v>47</v>
      </c>
      <c r="F11" s="158">
        <v>40677</v>
      </c>
      <c r="G11" s="158"/>
      <c r="H11" s="170"/>
      <c r="I11" s="169" t="s">
        <v>187</v>
      </c>
      <c r="J11" s="169" t="s">
        <v>191</v>
      </c>
      <c r="K11" s="169">
        <f>IF((Observaciones[[#This Row],[Fecha Levantamiento]]-Observaciones[[#This Row],[Fecha Detección]])&gt;=0,Observaciones[[#This Row],[Fecha Levantamiento]]-Observaciones[[#This Row],[Fecha Detección]]+1,0)</f>
        <v>0</v>
      </c>
      <c r="L11" s="169" t="str">
        <f>LOOKUP(Observaciones[[#This Row],[Caso de Prueba]],CasoPrueba[Código CP],CasoPrueba[Código de REQ])</f>
        <v>INSPECCIÓN</v>
      </c>
    </row>
  </sheetData>
  <mergeCells count="1">
    <mergeCell ref="A1:K1"/>
  </mergeCells>
  <dataValidations count="1">
    <dataValidation type="list" allowBlank="1" showInputMessage="1" showErrorMessage="1" sqref="H3:H11">
      <formula1>$N$1:$N$2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9525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Resumen!$P$11:$P$14</xm:f>
          </x14:formula1>
          <xm:sqref>D3:D11</xm:sqref>
        </x14:dataValidation>
        <x14:dataValidation type="list" allowBlank="1" showInputMessage="1" showErrorMessage="1">
          <x14:formula1>
            <xm:f>Resumen!$P$22:$P$24</xm:f>
          </x14:formula1>
          <xm:sqref>E3:E11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3"/>
  <sheetViews>
    <sheetView zoomScale="90" zoomScaleNormal="90" workbookViewId="0">
      <selection activeCell="C10" sqref="C10"/>
    </sheetView>
  </sheetViews>
  <sheetFormatPr baseColWidth="10" defaultColWidth="0" defaultRowHeight="15"/>
  <cols>
    <col min="1" max="4" width="13.28515625" style="30" customWidth="1"/>
    <col min="5" max="5" width="18.28515625" style="30" customWidth="1"/>
    <col min="6" max="7" width="13.28515625" style="31" customWidth="1"/>
    <col min="8" max="9" width="38.140625" style="30" customWidth="1"/>
    <col min="10" max="10" width="13.28515625" style="30" customWidth="1"/>
    <col min="11" max="11" width="11.42578125" style="30" customWidth="1"/>
    <col min="12" max="16384" width="0" style="30" hidden="1"/>
  </cols>
  <sheetData>
    <row r="1" spans="1:13 16384:16384" customFormat="1" ht="31.5">
      <c r="A1" s="202" t="s">
        <v>103</v>
      </c>
      <c r="B1" s="202"/>
      <c r="C1" s="202"/>
      <c r="D1" s="202"/>
      <c r="E1" s="202"/>
      <c r="F1" s="202"/>
      <c r="G1" s="202"/>
      <c r="H1" s="202"/>
      <c r="I1" s="202"/>
      <c r="J1" s="202"/>
      <c r="K1" s="35"/>
      <c r="L1" s="35"/>
      <c r="M1" t="s">
        <v>141</v>
      </c>
      <c r="XFD1" s="30"/>
    </row>
    <row r="2" spans="1:13 16384:16384" ht="39.75" customHeight="1">
      <c r="A2" s="150" t="s">
        <v>98</v>
      </c>
      <c r="B2" s="150" t="s">
        <v>90</v>
      </c>
      <c r="C2" s="150" t="s">
        <v>78</v>
      </c>
      <c r="D2" s="150" t="s">
        <v>91</v>
      </c>
      <c r="E2" s="150" t="s">
        <v>126</v>
      </c>
      <c r="F2" s="151" t="s">
        <v>99</v>
      </c>
      <c r="G2" s="151" t="s">
        <v>100</v>
      </c>
      <c r="H2" s="150" t="s">
        <v>101</v>
      </c>
      <c r="I2" s="150" t="s">
        <v>102</v>
      </c>
      <c r="J2" s="150" t="s">
        <v>95</v>
      </c>
      <c r="M2" s="30" t="s">
        <v>142</v>
      </c>
    </row>
    <row r="3" spans="1:13 16384:16384" ht="77.25" customHeight="1">
      <c r="A3" s="204" t="s">
        <v>152</v>
      </c>
      <c r="B3" s="204" t="s">
        <v>162</v>
      </c>
      <c r="C3" s="205" t="str">
        <f>VLOOKUP(Consultas[[#This Row],[Caso de Prueba]],CasoPrueba[[#All],[Código CP]:[Prioridad]],7,TRUE)</f>
        <v>Alta</v>
      </c>
      <c r="D3" s="204" t="s">
        <v>47</v>
      </c>
      <c r="E3" s="204"/>
      <c r="F3" s="206">
        <v>40676</v>
      </c>
      <c r="G3" s="206"/>
      <c r="H3" s="204" t="s">
        <v>184</v>
      </c>
      <c r="I3" s="204" t="s">
        <v>194</v>
      </c>
      <c r="J3" s="205">
        <f>IF((Consultas[[#This Row],[Fecha Respuesta]]-Consultas[[#This Row],[Fecha Solicitud]])&gt;=0,(Consultas[[#This Row],[Fecha Respuesta]]-Consultas[[#This Row],[Fecha Solicitud]])+1,0)</f>
        <v>0</v>
      </c>
      <c r="M3" s="30" t="s">
        <v>143</v>
      </c>
    </row>
  </sheetData>
  <mergeCells count="1">
    <mergeCell ref="A1:J1"/>
  </mergeCells>
  <dataValidations count="1">
    <dataValidation type="list" allowBlank="1" showInputMessage="1" showErrorMessage="1" sqref="E3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Resumen!$P$22:$P$24</xm:f>
          </x14:formula1>
          <xm:sqref>D3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8"/>
  <sheetViews>
    <sheetView zoomScale="85" zoomScaleNormal="85" workbookViewId="0">
      <selection activeCell="I10" sqref="I9:I10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03" t="s">
        <v>111</v>
      </c>
      <c r="C2" s="203"/>
      <c r="D2" s="203"/>
      <c r="E2" s="203"/>
      <c r="F2" s="203"/>
      <c r="G2" s="203"/>
      <c r="H2" s="203"/>
      <c r="I2" s="203"/>
      <c r="J2" s="203"/>
      <c r="L2" s="203" t="s">
        <v>112</v>
      </c>
      <c r="M2" s="203"/>
      <c r="N2" s="203"/>
      <c r="O2" s="203"/>
    </row>
    <row r="3" spans="2:15" ht="26.25" thickBot="1">
      <c r="B3" s="152" t="s">
        <v>113</v>
      </c>
      <c r="C3" s="154" t="s">
        <v>105</v>
      </c>
      <c r="D3" s="154" t="s">
        <v>106</v>
      </c>
      <c r="E3" s="154" t="s">
        <v>21</v>
      </c>
      <c r="F3" s="154" t="s">
        <v>22</v>
      </c>
      <c r="G3" s="154" t="s">
        <v>23</v>
      </c>
      <c r="H3" s="155" t="s">
        <v>24</v>
      </c>
      <c r="I3" s="155" t="s">
        <v>107</v>
      </c>
      <c r="J3" s="155" t="s">
        <v>110</v>
      </c>
      <c r="L3" s="152" t="s">
        <v>113</v>
      </c>
      <c r="M3" s="153" t="s">
        <v>108</v>
      </c>
      <c r="N3" s="154" t="s">
        <v>109</v>
      </c>
      <c r="O3" s="155" t="s">
        <v>110</v>
      </c>
    </row>
    <row r="4" spans="2:15">
      <c r="B4" s="160">
        <v>40658</v>
      </c>
      <c r="C4" s="36"/>
      <c r="D4" s="36"/>
      <c r="E4" s="36"/>
      <c r="F4" s="36"/>
      <c r="G4" s="36"/>
      <c r="H4" s="36"/>
      <c r="I4" s="36"/>
      <c r="J4" s="38">
        <f>SUM(HistóricoEjecuciones[[#This Row],[Aciertos]:[En Proceso]])</f>
        <v>0</v>
      </c>
      <c r="L4" s="160">
        <v>40658</v>
      </c>
      <c r="M4" s="36"/>
      <c r="N4" s="36"/>
      <c r="O4" s="163">
        <f>HistoricoIncidencias[[#This Row],[Abiertas]]+HistoricoIncidencias[[#This Row],[Cerradas]]</f>
        <v>0</v>
      </c>
    </row>
    <row r="5" spans="2:15">
      <c r="B5" s="161"/>
      <c r="C5" s="37"/>
      <c r="D5" s="37"/>
      <c r="E5" s="37"/>
      <c r="F5" s="37"/>
      <c r="G5" s="37"/>
      <c r="H5" s="37"/>
      <c r="I5" s="37"/>
      <c r="J5" s="39">
        <f>SUM(HistóricoEjecuciones[[#This Row],[Aciertos]:[En Proceso]])</f>
        <v>0</v>
      </c>
      <c r="L5" s="162"/>
      <c r="M5" s="37"/>
      <c r="N5" s="37"/>
      <c r="O5" s="164">
        <f>HistoricoIncidencias[[#This Row],[Abiertas]]+HistoricoIncidencias[[#This Row],[Cerradas]]</f>
        <v>0</v>
      </c>
    </row>
    <row r="6" spans="2:15">
      <c r="B6" s="161"/>
      <c r="C6" s="37"/>
      <c r="D6" s="37"/>
      <c r="E6" s="37"/>
      <c r="F6" s="37"/>
      <c r="G6" s="37"/>
      <c r="H6" s="37"/>
      <c r="I6" s="37"/>
      <c r="J6" s="39">
        <f>SUM(HistóricoEjecuciones[[#This Row],[Aciertos]:[En Proceso]])</f>
        <v>0</v>
      </c>
      <c r="L6" s="162"/>
      <c r="M6" s="37"/>
      <c r="N6" s="37"/>
      <c r="O6" s="164">
        <f>HistoricoIncidencias[[#This Row],[Abiertas]]+HistoricoIncidencias[[#This Row],[Cerradas]]</f>
        <v>0</v>
      </c>
    </row>
    <row r="7" spans="2:15">
      <c r="B7" s="161"/>
      <c r="C7" s="37"/>
      <c r="D7" s="37"/>
      <c r="E7" s="37"/>
      <c r="F7" s="37"/>
      <c r="G7" s="37"/>
      <c r="H7" s="37"/>
      <c r="I7" s="37"/>
      <c r="J7" s="39">
        <f>SUM(HistóricoEjecuciones[[#This Row],[Aciertos]:[En Proceso]])</f>
        <v>0</v>
      </c>
      <c r="L7" s="162"/>
      <c r="M7" s="37"/>
      <c r="N7" s="37"/>
      <c r="O7" s="164">
        <f>HistoricoIncidencias[[#This Row],[Abiertas]]+HistoricoIncidencias[[#This Row],[Cerradas]]</f>
        <v>0</v>
      </c>
    </row>
    <row r="8" spans="2:15">
      <c r="B8" s="161"/>
      <c r="C8" s="37"/>
      <c r="D8" s="37"/>
      <c r="E8" s="37"/>
      <c r="F8" s="37"/>
      <c r="G8" s="37"/>
      <c r="H8" s="37"/>
      <c r="I8" s="37"/>
      <c r="J8" s="39">
        <f>SUM(HistóricoEjecuciones[[#This Row],[Aciertos]:[En Proceso]])</f>
        <v>0</v>
      </c>
      <c r="L8" s="162"/>
      <c r="M8" s="37"/>
      <c r="N8" s="37"/>
      <c r="O8" s="164">
        <f>HistoricoIncidencias[[#This Row],[Abiertas]]+HistoricoIncidencias[[#This Row],[Cerradas]]</f>
        <v>0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doc</cp:lastModifiedBy>
  <dcterms:created xsi:type="dcterms:W3CDTF">2011-02-09T13:28:15Z</dcterms:created>
  <dcterms:modified xsi:type="dcterms:W3CDTF">2011-05-16T21:38:12Z</dcterms:modified>
</cp:coreProperties>
</file>