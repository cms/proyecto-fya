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O17" i="6" l="1"/>
  <c r="J17" i="6"/>
  <c r="O16" i="6" l="1"/>
  <c r="J16" i="6"/>
  <c r="F41" i="3"/>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C418" i="4"/>
  <c r="K418" i="4"/>
  <c r="L418" i="4"/>
  <c r="K399" i="4"/>
  <c r="L399" i="4"/>
  <c r="K398" i="4"/>
  <c r="L398" i="4"/>
  <c r="Q41" i="3"/>
  <c r="L41" i="3"/>
  <c r="O15" i="6"/>
  <c r="J15" i="6"/>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K383" i="4"/>
  <c r="K384" i="4"/>
  <c r="K385" i="4"/>
  <c r="K386" i="4"/>
  <c r="K387" i="4"/>
  <c r="K388" i="4"/>
  <c r="K389" i="4"/>
  <c r="K390" i="4"/>
  <c r="K391" i="4"/>
  <c r="K392" i="4"/>
  <c r="K393" i="4"/>
  <c r="K394" i="4"/>
  <c r="K395" i="4"/>
  <c r="K396" i="4"/>
  <c r="K397" i="4"/>
  <c r="K400" i="4"/>
  <c r="K401" i="4"/>
  <c r="K402" i="4"/>
  <c r="K403" i="4"/>
  <c r="K404" i="4"/>
  <c r="K405" i="4"/>
  <c r="K406" i="4"/>
  <c r="K407" i="4"/>
  <c r="K408" i="4"/>
  <c r="K409" i="4"/>
  <c r="K410" i="4"/>
  <c r="K411" i="4"/>
  <c r="K412" i="4"/>
  <c r="K413" i="4"/>
  <c r="K414" i="4"/>
  <c r="K415" i="4"/>
  <c r="K416" i="4"/>
  <c r="K417" i="4"/>
  <c r="L383" i="4"/>
  <c r="L384" i="4"/>
  <c r="L385" i="4"/>
  <c r="L386" i="4"/>
  <c r="L387" i="4"/>
  <c r="L388" i="4"/>
  <c r="L389" i="4"/>
  <c r="L390" i="4"/>
  <c r="L391" i="4"/>
  <c r="L392" i="4"/>
  <c r="L393" i="4"/>
  <c r="L394" i="4"/>
  <c r="L395" i="4"/>
  <c r="L396" i="4"/>
  <c r="L397" i="4"/>
  <c r="L400" i="4"/>
  <c r="L401" i="4"/>
  <c r="L402" i="4"/>
  <c r="L403" i="4"/>
  <c r="L404" i="4"/>
  <c r="L405" i="4"/>
  <c r="L406" i="4"/>
  <c r="L407" i="4"/>
  <c r="L408" i="4"/>
  <c r="L409" i="4"/>
  <c r="L410" i="4"/>
  <c r="L411" i="4"/>
  <c r="L412" i="4"/>
  <c r="L413" i="4"/>
  <c r="L414" i="4"/>
  <c r="L415" i="4"/>
  <c r="L416" i="4"/>
  <c r="L417" i="4"/>
  <c r="O14" i="6" l="1"/>
  <c r="J14" i="6"/>
  <c r="C382" i="4"/>
  <c r="C379" i="4"/>
  <c r="C377" i="4"/>
  <c r="C378" i="4"/>
  <c r="C380" i="4"/>
  <c r="C381" i="4"/>
  <c r="K378" i="4"/>
  <c r="K379" i="4"/>
  <c r="K380" i="4"/>
  <c r="K381" i="4"/>
  <c r="K382" i="4"/>
  <c r="L378" i="4"/>
  <c r="L379" i="4"/>
  <c r="L380" i="4"/>
  <c r="L381" i="4"/>
  <c r="L382" i="4"/>
  <c r="K377" i="4"/>
  <c r="L377" i="4"/>
  <c r="C374" i="4"/>
  <c r="C373" i="4"/>
  <c r="C375" i="4"/>
  <c r="C376" i="4"/>
  <c r="K373" i="4"/>
  <c r="K374" i="4"/>
  <c r="K375" i="4"/>
  <c r="K376" i="4"/>
  <c r="L373" i="4"/>
  <c r="L374" i="4"/>
  <c r="L375" i="4"/>
  <c r="L376" i="4"/>
  <c r="J4" i="6" l="1"/>
  <c r="J5" i="6"/>
  <c r="J6" i="6"/>
  <c r="J7" i="6"/>
  <c r="J8" i="6"/>
  <c r="J9" i="6"/>
  <c r="J10" i="6"/>
  <c r="J11" i="6"/>
  <c r="J12" i="6"/>
  <c r="J13" i="6"/>
  <c r="Q40" i="3"/>
  <c r="Q39" i="3"/>
  <c r="Q38" i="3"/>
  <c r="Q37" i="3"/>
  <c r="Q36" i="3"/>
  <c r="Q35" i="3"/>
  <c r="Q33" i="3"/>
  <c r="Q29" i="3"/>
  <c r="Q26" i="3"/>
  <c r="Q25" i="3"/>
  <c r="Q24" i="3"/>
  <c r="Q22" i="3"/>
  <c r="Q21" i="3"/>
  <c r="Q20"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F21" i="3" l="1"/>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operador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 ref="I440" authorId="1">
      <text>
        <r>
          <rPr>
            <b/>
            <sz val="9"/>
            <color indexed="81"/>
            <rFont val="Tahoma"/>
            <family val="2"/>
          </rPr>
          <t>operador:</t>
        </r>
        <r>
          <rPr>
            <sz val="9"/>
            <color indexed="81"/>
            <rFont val="Tahoma"/>
            <family val="2"/>
          </rPr>
          <t xml:space="preserve">
La metodología permite tener mas de dos con el mismo nombre siempre y cuando se tenga varios lanzadores y un solo destino, pero en este caso los tres son cíclicos.</t>
        </r>
      </text>
    </comment>
  </commentList>
</comments>
</file>

<file path=xl/sharedStrings.xml><?xml version="1.0" encoding="utf-8"?>
<sst xmlns="http://schemas.openxmlformats.org/spreadsheetml/2006/main" count="3653" uniqueCount="1337">
  <si>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</si>
  <si>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</si>
  <si>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</si>
  <si>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</si>
  <si>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</si>
  <si>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</si>
  <si>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</si>
  <si>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</si>
  <si>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</si>
  <si>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</si>
  <si>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</si>
  <si>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</si>
  <si>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</si>
  <si>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</si>
  <si>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</si>
  <si>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</si>
  <si>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</si>
  <si>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</si>
  <si>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</si>
  <si>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</si>
  <si>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</si>
  <si>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</si>
  <si>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</si>
  <si>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</si>
  <si>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</si>
  <si>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</si>
  <si>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</si>
  <si>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</si>
  <si>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</si>
  <si>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</si>
  <si>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</si>
  <si>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</si>
  <si>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</si>
  <si>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</si>
  <si>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</si>
  <si>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</si>
  <si>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</si>
  <si>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</si>
  <si>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</si>
  <si>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</si>
  <si>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</si>
  <si>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</si>
  <si>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</si>
  <si>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</si>
  <si>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</si>
  <si>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</si>
  <si>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</si>
  <si>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</si>
  <si>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</si>
  <si>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</si>
  <si>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</si>
  <si>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</si>
  <si>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</si>
  <si>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</si>
  <si>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</si>
  <si>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</si>
  <si>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</si>
  <si>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</si>
  <si>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</si>
  <si>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</si>
  <si>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</si>
  <si>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</si>
  <si>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</si>
  <si>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</si>
  <si>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</si>
  <si>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</si>
  <si>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</si>
  <si>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</si>
  <si>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</si>
  <si>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</si>
  <si>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</si>
  <si>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</si>
  <si>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</si>
  <si>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</si>
  <si>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</si>
  <si>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</si>
  <si>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</si>
  <si>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</si>
  <si>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</si>
  <si>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</si>
  <si>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</si>
  <si>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</si>
  <si>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</si>
  <si>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</si>
  <si>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</si>
  <si>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</si>
  <si>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</si>
  <si>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</si>
  <si>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</si>
  <si>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</si>
  <si>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</si>
  <si>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</si>
  <si>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</si>
  <si>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</si>
  <si>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</si>
  <si>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</si>
  <si>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</si>
  <si>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</si>
  <si>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</si>
  <si>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</si>
  <si>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</si>
  <si>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</si>
  <si>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</si>
  <si>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</si>
  <si>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</si>
  <si>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</si>
  <si>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</si>
  <si>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</si>
  <si>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</si>
  <si>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</si>
  <si>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</si>
  <si>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</si>
  <si>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</si>
  <si>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</si>
  <si>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</si>
  <si>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</si>
  <si>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</si>
  <si>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</si>
  <si>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</si>
  <si>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</si>
  <si>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</si>
  <si>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</si>
  <si>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</si>
  <si>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</si>
  <si>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</si>
  <si>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</si>
  <si>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</si>
  <si>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</si>
  <si>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</si>
  <si>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</si>
  <si>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</si>
  <si>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</si>
  <si>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</si>
  <si>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</si>
  <si>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</si>
  <si>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</si>
  <si>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</si>
  <si>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</si>
  <si>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</si>
  <si>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</si>
  <si>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</si>
  <si>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</si>
  <si>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</si>
  <si>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</si>
  <si>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</si>
  <si>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</si>
  <si>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</si>
  <si>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</si>
  <si>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</si>
  <si>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</si>
  <si>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</si>
  <si>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</si>
  <si>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</si>
  <si>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</si>
  <si>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</si>
  <si>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</si>
  <si>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</si>
  <si>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</si>
  <si>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</si>
  <si>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</si>
  <si>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</si>
  <si>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</si>
  <si>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</si>
  <si>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</si>
  <si>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</si>
  <si>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</si>
  <si>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</si>
  <si>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</si>
  <si>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</si>
  <si>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</si>
  <si>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</si>
  <si>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</si>
  <si>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</si>
  <si>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</si>
  <si>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</si>
  <si>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</si>
  <si>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</si>
  <si>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</si>
  <si>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</si>
  <si>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</si>
  <si>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</si>
  <si>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</si>
  <si>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</si>
  <si>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</si>
  <si>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</si>
  <si>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</si>
  <si>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</si>
  <si>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</si>
  <si>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</si>
  <si>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</si>
  <si>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</si>
  <si>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</si>
  <si>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</si>
  <si>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</si>
  <si>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</si>
  <si>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</si>
  <si>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</si>
  <si>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</si>
  <si>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</si>
  <si>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</si>
  <si>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</si>
  <si>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</si>
  <si>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</si>
  <si>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</si>
  <si>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</si>
  <si>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</si>
  <si>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</si>
  <si>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</si>
  <si>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</si>
  <si>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</si>
  <si>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</si>
  <si>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</si>
  <si>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</si>
  <si>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</si>
  <si>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</si>
  <si>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</si>
  <si>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</si>
  <si>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</si>
  <si>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</si>
  <si>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</si>
  <si>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</si>
  <si>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</si>
  <si>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</si>
  <si>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</si>
  <si>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</si>
  <si>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</si>
  <si>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</si>
  <si>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</si>
  <si>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</si>
  <si>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</si>
  <si>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</si>
  <si>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</si>
  <si>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</si>
  <si>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</si>
  <si>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</si>
  <si>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</si>
  <si>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</si>
  <si>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</si>
  <si>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</si>
  <si>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</si>
  <si>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</si>
  <si>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</si>
  <si>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</si>
  <si>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</si>
  <si>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</si>
  <si>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</si>
  <si>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</si>
  <si>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</si>
  <si>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</si>
  <si>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</si>
  <si>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</si>
  <si>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</si>
  <si>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</si>
  <si>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</si>
  <si>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</si>
  <si>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</si>
  <si>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</si>
  <si>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</si>
  <si>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</si>
  <si>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</si>
  <si>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</si>
  <si>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</si>
  <si>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</si>
  <si>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</si>
  <si>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</si>
  <si>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</si>
  <si>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</si>
  <si>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</si>
  <si>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</si>
  <si>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</si>
  <si>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</si>
  <si>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</si>
  <si>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</si>
  <si>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</si>
  <si>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</si>
  <si>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</si>
  <si>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</si>
  <si>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</si>
  <si>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</si>
  <si>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</si>
  <si>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</si>
  <si>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</si>
  <si>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</si>
  <si>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</si>
  <si>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</si>
  <si>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</si>
  <si>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</si>
  <si>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</si>
  <si>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</si>
  <si>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</si>
  <si>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</si>
  <si>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</si>
  <si>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</si>
  <si>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</si>
  <si>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</si>
  <si>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</si>
  <si>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</si>
  <si>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</si>
  <si>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</si>
  <si>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</si>
  <si>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</si>
  <si>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</si>
  <si>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</si>
  <si>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</si>
  <si>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</si>
  <si>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</si>
  <si>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</si>
  <si>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</si>
  <si>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</si>
  <si>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</si>
  <si>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</si>
  <si>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</si>
  <si>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</si>
  <si>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</si>
  <si>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</si>
  <si>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</si>
  <si>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</si>
  <si>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</si>
  <si>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</si>
  <si>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</si>
  <si>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</si>
  <si>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</si>
  <si>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</si>
  <si>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</si>
  <si>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</si>
  <si>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</si>
  <si>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</si>
  <si>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</si>
  <si>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</si>
  <si>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</si>
  <si>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</si>
  <si>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</si>
  <si>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</si>
  <si>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</si>
  <si>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</si>
  <si>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</si>
  <si>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</si>
  <si>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</si>
  <si>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</si>
  <si>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</si>
  <si>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</si>
  <si>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</si>
  <si>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</si>
  <si>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</si>
  <si>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</si>
  <si>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</si>
  <si>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</si>
  <si>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</si>
  <si>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</si>
  <si>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</si>
  <si>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</si>
  <si>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</si>
  <si>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</si>
  <si>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</si>
  <si>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</si>
  <si>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</si>
  <si>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</si>
  <si>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</si>
  <si>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</si>
  <si>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</si>
  <si>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</si>
  <si>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</si>
  <si>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</si>
  <si>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</si>
  <si>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</si>
  <si>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</si>
  <si>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</si>
  <si>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</si>
  <si>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</si>
  <si>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</si>
  <si>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</si>
  <si>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</si>
  <si>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</si>
  <si>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</si>
  <si>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</si>
  <si>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</si>
  <si>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</si>
  <si>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</si>
  <si>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</si>
  <si>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</si>
  <si>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</si>
  <si>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</si>
  <si>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</si>
  <si>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</si>
  <si>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</si>
  <si>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</si>
  <si>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</si>
  <si>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</si>
  <si>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</si>
  <si>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</si>
  <si>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</si>
  <si>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</si>
  <si>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</si>
  <si>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</si>
  <si>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</si>
  <si>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</si>
  <si>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</si>
  <si>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</si>
  <si>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</si>
  <si>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</si>
  <si>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</si>
  <si>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</si>
  <si>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</si>
  <si>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</si>
  <si>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</si>
  <si>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</si>
  <si>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</si>
  <si>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</si>
  <si>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</si>
  <si>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</si>
  <si>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</si>
  <si>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</si>
  <si>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</si>
  <si>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</si>
  <si>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</si>
  <si>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</si>
  <si>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</si>
  <si>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</si>
  <si>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</si>
  <si>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</si>
  <si>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</si>
  <si>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</si>
  <si>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</si>
  <si>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</si>
  <si>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</si>
  <si>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</si>
  <si>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</si>
  <si>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</si>
  <si>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</si>
  <si>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</si>
  <si>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</si>
  <si>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</si>
  <si>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</si>
  <si>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</si>
  <si>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</si>
  <si>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</si>
  <si>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</si>
  <si>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</si>
  <si>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</si>
  <si>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</si>
  <si>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</si>
  <si>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</si>
  <si>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</si>
  <si>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</si>
  <si>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</si>
  <si>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</si>
  <si>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</si>
  <si>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</si>
  <si>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</si>
  <si>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</si>
  <si>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</si>
  <si>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</si>
  <si>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</si>
  <si>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</si>
  <si>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</si>
  <si>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</si>
  <si>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</si>
  <si>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</si>
  <si>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</si>
  <si>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</si>
  <si>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</si>
  <si>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</si>
  <si>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</si>
  <si>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</si>
  <si>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</si>
  <si>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</si>
  <si>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</si>
  <si>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</si>
  <si>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</si>
  <si>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</si>
  <si>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</si>
  <si>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</si>
  <si>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</si>
  <si>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</si>
  <si>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</si>
  <si>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</si>
  <si>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</si>
  <si>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</si>
  <si>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</si>
  <si>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</si>
  <si>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</si>
  <si>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</si>
  <si>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</si>
  <si>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</si>
  <si>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</si>
  <si>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</si>
  <si>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</si>
  <si>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</si>
  <si>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</si>
  <si>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</si>
  <si>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</si>
  <si>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</si>
  <si>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</si>
  <si>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</si>
  <si>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</si>
  <si>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</si>
  <si>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</si>
  <si>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</si>
  <si>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</si>
  <si>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</si>
  <si>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</si>
  <si>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</si>
  <si>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</si>
  <si>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</si>
  <si>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</si>
  <si>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</si>
  <si>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</si>
  <si>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</si>
  <si>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</si>
  <si>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</si>
  <si>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</si>
  <si>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</si>
  <si>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</si>
  <si>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</si>
  <si>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</si>
  <si>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</si>
  <si>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</si>
  <si>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</si>
  <si>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</si>
  <si>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</si>
  <si>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</si>
  <si>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</si>
  <si>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</si>
  <si>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</si>
  <si>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</si>
  <si>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</si>
  <si>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</si>
  <si>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</si>
  <si>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</si>
  <si>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</si>
  <si>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</si>
  <si>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</si>
  <si>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</si>
  <si>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</si>
  <si>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</si>
  <si>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</si>
  <si>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</si>
  <si>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</si>
  <si>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</si>
  <si>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</si>
  <si>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</si>
  <si>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</si>
  <si>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</si>
  <si>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</si>
  <si>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</si>
  <si>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</si>
  <si>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</si>
  <si>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</si>
  <si>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</si>
  <si>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</si>
  <si>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</si>
  <si>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</si>
  <si>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</si>
  <si>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</si>
  <si>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</si>
  <si>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</si>
  <si>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</si>
  <si>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</si>
  <si>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</si>
  <si>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</si>
  <si>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</si>
  <si>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</si>
  <si>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</si>
  <si>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</si>
  <si>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</si>
  <si>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</si>
  <si>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</si>
  <si>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</si>
  <si>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</si>
  <si>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</si>
  <si>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</si>
  <si>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</si>
  <si>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</si>
  <si>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</si>
  <si>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</si>
  <si>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</si>
  <si>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</si>
  <si>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</si>
  <si>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</si>
  <si>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</si>
  <si>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</si>
  <si>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</si>
  <si>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</si>
  <si>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</si>
  <si>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</si>
  <si>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</si>
  <si>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</si>
  <si>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</si>
  <si>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</si>
  <si>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</si>
  <si>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</si>
  <si>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</si>
  <si>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</si>
  <si>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</si>
  <si>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</si>
  <si>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</si>
  <si>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</si>
  <si>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</si>
  <si>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</si>
  <si>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</si>
  <si>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</si>
  <si>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</si>
  <si>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</si>
  <si>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</si>
  <si>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</si>
  <si>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</si>
  <si>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</si>
  <si>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</si>
  <si>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</si>
  <si>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</si>
  <si>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</si>
  <si>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</si>
  <si>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</si>
  <si>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</si>
  <si>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</si>
  <si>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</si>
  <si>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</si>
  <si>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</si>
  <si>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</si>
  <si>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</si>
  <si>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</si>
  <si>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</si>
  <si>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</si>
  <si>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</si>
  <si>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</si>
  <si>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</si>
  <si>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</si>
  <si>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</si>
  <si>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</si>
  <si>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</si>
  <si>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</si>
  <si>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</si>
  <si>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</si>
  <si>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</si>
  <si>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</si>
  <si>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</si>
  <si>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</si>
  <si>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</si>
  <si>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</si>
  <si>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</si>
  <si>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</si>
  <si>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</si>
  <si>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</si>
  <si>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</si>
  <si>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</si>
  <si>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</si>
  <si>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</si>
  <si>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</si>
  <si>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</si>
  <si>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</si>
  <si>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</si>
  <si>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</si>
  <si>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</si>
  <si>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</si>
  <si>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</si>
  <si>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</si>
  <si>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</si>
  <si>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</si>
  <si>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</si>
  <si>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</si>
  <si>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</si>
  <si>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</si>
  <si>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</si>
  <si>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</si>
  <si>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</si>
  <si>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</si>
  <si>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</si>
  <si>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</si>
  <si>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</si>
  <si>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</si>
  <si>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</si>
  <si>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</si>
  <si>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</si>
  <si>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</si>
  <si>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</si>
  <si>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</si>
  <si>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</si>
  <si>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</si>
  <si>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</si>
  <si>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</si>
  <si>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</si>
  <si>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</si>
  <si>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</si>
  <si>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</si>
  <si>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</si>
  <si>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</si>
  <si>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</si>
  <si>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</si>
  <si>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</si>
  <si>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</si>
  <si>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</si>
  <si>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</si>
  <si>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</si>
  <si>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</si>
  <si>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</si>
  <si>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</si>
  <si>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</si>
  <si>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</si>
  <si>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</si>
  <si>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</si>
  <si>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</si>
  <si>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</si>
  <si>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</si>
  <si>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</si>
  <si>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</si>
  <si>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</si>
  <si>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</si>
  <si>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</si>
  <si>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</si>
  <si>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</si>
  <si>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</si>
  <si>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</si>
  <si>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</si>
  <si>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</si>
  <si>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</si>
  <si>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</si>
  <si>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</si>
  <si>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</si>
  <si>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</si>
  <si>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</si>
  <si>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</si>
  <si>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</si>
  <si>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</si>
  <si>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</si>
  <si>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</si>
  <si>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</si>
  <si>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</si>
  <si>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</si>
  <si>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</si>
  <si>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</si>
  <si>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</si>
  <si>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</si>
  <si>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</si>
  <si>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</si>
  <si>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</si>
  <si>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</si>
  <si>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</si>
  <si>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</si>
  <si>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</si>
  <si>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</si>
  <si>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</si>
  <si>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</si>
  <si>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</si>
  <si>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</si>
  <si>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</si>
  <si>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</si>
  <si>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</si>
  <si>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</si>
  <si>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</si>
  <si>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</si>
  <si>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</si>
  <si>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</si>
  <si>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</si>
  <si>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</si>
  <si>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</si>
  <si>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</si>
  <si>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</si>
  <si>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</si>
  <si>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</si>
  <si>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</si>
  <si>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</si>
  <si>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</si>
  <si>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</si>
  <si>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</si>
  <si>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</si>
  <si>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</si>
  <si>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</si>
  <si>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</si>
  <si>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</si>
  <si>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</si>
  <si>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</si>
  <si>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</si>
  <si>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</si>
  <si>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</si>
  <si>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</si>
  <si>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</si>
  <si>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</si>
  <si>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</si>
  <si>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</si>
  <si>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</si>
  <si>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</si>
  <si>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</si>
  <si>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</si>
  <si>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</si>
  <si>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</si>
  <si>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</si>
  <si>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</si>
  <si>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</si>
  <si>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</si>
  <si>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</si>
  <si>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</si>
  <si>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</si>
  <si>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</si>
  <si>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</si>
  <si>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</si>
  <si>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</si>
  <si>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</si>
  <si>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</si>
  <si>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</si>
  <si>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</si>
  <si>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</si>
  <si>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</si>
  <si>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</si>
  <si>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</si>
  <si>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</si>
  <si>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</si>
  <si>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</si>
  <si>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</si>
  <si>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</si>
  <si>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</si>
  <si>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</si>
  <si>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</si>
  <si>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</si>
  <si>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</si>
  <si>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</si>
  <si>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</si>
  <si>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</si>
  <si>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</si>
  <si>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</si>
  <si>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</si>
  <si>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</si>
  <si>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</si>
  <si>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</si>
  <si>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</si>
  <si>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</si>
  <si>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</si>
  <si>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</si>
  <si>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</si>
  <si>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</si>
  <si>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</si>
  <si>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</si>
  <si>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</si>
  <si>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</si>
  <si>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</si>
  <si>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</si>
  <si>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</si>
  <si>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</si>
  <si>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</si>
  <si>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</si>
  <si>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</si>
  <si>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</si>
  <si>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</si>
  <si>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</si>
  <si>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</si>
  <si>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</si>
  <si>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</si>
  <si>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</si>
  <si>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</si>
  <si>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</si>
  <si>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</si>
  <si>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</si>
  <si>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</si>
  <si>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</si>
  <si>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</si>
  <si>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</si>
  <si>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</si>
  <si>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</si>
  <si>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</si>
  <si>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</si>
  <si>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</si>
  <si>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</si>
  <si>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</si>
  <si>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</si>
  <si>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</si>
  <si>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</si>
  <si>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</si>
  <si>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</si>
  <si>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</si>
  <si>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</si>
  <si>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</si>
  <si>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</si>
  <si>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</si>
  <si>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</si>
  <si>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</si>
  <si>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</si>
  <si>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</si>
  <si>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</si>
  <si>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</si>
  <si>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</si>
  <si>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</si>
  <si>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</si>
  <si>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</si>
  <si>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</si>
  <si>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</si>
  <si>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</si>
  <si>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</si>
  <si>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</si>
  <si>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</si>
  <si>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</si>
  <si>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</si>
  <si>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</si>
  <si>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</si>
  <si>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</si>
  <si>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</si>
  <si>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</si>
  <si>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</si>
  <si>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</si>
  <si>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</si>
  <si>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</si>
  <si>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</si>
  <si>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</si>
  <si>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</si>
  <si>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</si>
  <si>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</si>
  <si>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</si>
  <si>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</si>
  <si>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</si>
  <si>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</si>
  <si>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</si>
  <si>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</si>
  <si>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</si>
  <si>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</si>
  <si>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</si>
  <si>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</si>
  <si>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</si>
  <si>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</si>
  <si>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</si>
  <si>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</si>
  <si>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</si>
  <si>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</si>
  <si>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</si>
  <si>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</si>
  <si>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</si>
  <si>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</si>
  <si>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</si>
  <si>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</si>
  <si>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</si>
  <si>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</si>
  <si>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</si>
  <si>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</si>
  <si>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</si>
  <si>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</si>
  <si>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</si>
  <si>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</si>
  <si>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</si>
  <si>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</si>
  <si>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</si>
  <si>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</si>
  <si>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</si>
  <si>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</si>
  <si>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</si>
  <si>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</si>
  <si>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</si>
  <si>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</si>
  <si>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</si>
  <si>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</si>
  <si>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</si>
  <si>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</si>
  <si>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</si>
  <si>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</si>
  <si>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</si>
  <si>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</si>
  <si>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</si>
  <si>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</si>
  <si>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</si>
  <si>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</si>
  <si>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</si>
  <si>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</si>
  <si>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</si>
  <si>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</si>
  <si>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</si>
  <si>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</si>
  <si>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</si>
  <si>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</si>
  <si>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</si>
  <si>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</si>
  <si>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</si>
  <si>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</si>
  <si>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</si>
  <si>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</si>
  <si>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</si>
  <si>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</si>
  <si>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</si>
  <si>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</si>
  <si>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</si>
  <si>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</si>
  <si>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</si>
  <si>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</si>
  <si>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</si>
  <si>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</si>
  <si>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</si>
  <si>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</si>
  <si>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</si>
  <si>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</si>
  <si>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</si>
  <si>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</si>
  <si>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</si>
  <si>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</si>
  <si>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</si>
  <si>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</si>
  <si>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</si>
  <si>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</si>
  <si>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</si>
  <si>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</si>
  <si>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</si>
  <si>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</si>
  <si>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</si>
  <si>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</si>
  <si>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</si>
  <si>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</si>
  <si>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</si>
  <si>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</si>
  <si>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</si>
  <si>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</si>
  <si>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</si>
  <si>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</si>
  <si>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</si>
  <si>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</si>
  <si>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</si>
  <si>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</si>
  <si>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</si>
  <si>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</si>
  <si>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</si>
  <si>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</si>
  <si>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</si>
  <si>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</si>
  <si>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</si>
  <si>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</si>
  <si>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</si>
  <si>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</si>
  <si>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</si>
  <si>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</si>
  <si>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</si>
  <si>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</si>
  <si>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</si>
  <si>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</si>
  <si>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</si>
  <si>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</si>
  <si>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</si>
  <si>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</si>
  <si>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</si>
  <si>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</si>
  <si>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</si>
  <si>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</si>
  <si>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</si>
  <si>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</si>
  <si>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</si>
  <si>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</si>
  <si>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</si>
  <si>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</si>
  <si>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</si>
  <si>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</si>
  <si>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</si>
  <si>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</si>
  <si>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</si>
  <si>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</si>
  <si>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</si>
  <si>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</si>
  <si>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</si>
  <si>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</si>
  <si>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</si>
  <si>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</si>
  <si>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</si>
  <si>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</si>
  <si>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</si>
  <si>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</si>
  <si>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</si>
  <si>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</si>
  <si>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</si>
  <si>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</si>
  <si>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</si>
  <si>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</si>
  <si>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</si>
  <si>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</si>
  <si>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</si>
  <si>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</si>
  <si>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</si>
  <si>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</si>
  <si>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</si>
  <si>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</si>
  <si>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</si>
  <si>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</si>
  <si>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</si>
  <si>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</si>
  <si>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</si>
  <si>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</si>
  <si>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</si>
  <si>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</si>
  <si>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</si>
  <si>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</si>
  <si>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</si>
  <si>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</si>
  <si>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</si>
  <si>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</si>
  <si>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</si>
  <si>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</si>
  <si>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</si>
  <si>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</si>
  <si>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</si>
  <si>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</si>
  <si>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</si>
  <si>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</si>
  <si>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</si>
  <si>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</si>
  <si>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</si>
  <si>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</si>
  <si>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</si>
  <si>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</si>
  <si>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</si>
  <si>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</si>
  <si>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</si>
  <si>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</si>
  <si>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</si>
  <si>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</si>
  <si>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</si>
  <si>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</si>
  <si>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</si>
  <si>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</si>
  <si>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</si>
  <si>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</si>
  <si>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</si>
  <si>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</si>
  <si>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</si>
  <si>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</si>
  <si>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</si>
  <si>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</si>
  <si>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</si>
  <si>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</si>
  <si>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</si>
  <si>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</si>
  <si>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</si>
  <si>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</si>
  <si>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</si>
  <si>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</si>
  <si>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</si>
  <si>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</si>
  <si>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</si>
  <si>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</si>
  <si>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</si>
  <si>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</si>
  <si>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</si>
  <si>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</si>
  <si>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</si>
  <si>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</si>
  <si>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</si>
  <si>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</si>
  <si>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</si>
  <si>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</si>
  <si>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</si>
  <si>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</si>
  <si>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</si>
  <si>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</si>
  <si>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[OBS370]Respecto a la OBS342, falta cambiar el nombre del evento y de los gateways. Actividades 11, 12 y 14._x000D_
</t>
  </si>
  <si>
    <t xml:space="preserve">[OBS371]La actividad 13 no debería tener un dato de salida ya que al no tener un conector, se perdería dicho dato. O en todo caso agregar un conector saliente._x000D_
</t>
  </si>
  <si>
    <t xml:space="preserve">[OBS372]Respecto a la OBS348, Se le debe cambiar el nombre al Gateway 2 a infinitivo en el diagrama también._x000D_
</t>
  </si>
  <si>
    <t xml:space="preserve">[OBS376]Hay dos diagramas en el documento._x000D_
[OBS377]Verificar el responsable del inicio._x000D_
[OBS378]No hay relación entre los datos de las actividades 3, 4 y 5_x000D_
[OBS379]La actividad 5 no debería tener datos de entrada._x000D_
[OBS380]El dato de entrada "Informe trimestral" de la actividad 6 no está en acorde con el flujo._x000D_
</t>
  </si>
  <si>
    <t>Se modificaron los nombres de los gateways.</t>
  </si>
  <si>
    <t>Se asume que el error es del Caso de Prueba CP003. Conector agregado.</t>
  </si>
  <si>
    <t>Se modificó el nombre del gateway.</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</si>
  <si>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</si>
  <si>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</si>
  <si>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</si>
  <si>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</si>
  <si>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</si>
  <si>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</si>
  <si>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</si>
  <si>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</si>
  <si>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</si>
  <si>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</si>
  <si>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</si>
  <si>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</si>
  <si>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</si>
  <si>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</si>
  <si>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</si>
  <si>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</si>
  <si>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</si>
  <si>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</si>
  <si>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</si>
  <si>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</si>
  <si>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</si>
  <si>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</si>
  <si>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</si>
  <si>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</si>
  <si>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</si>
  <si>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</si>
  <si>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</si>
  <si>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</si>
  <si>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</si>
  <si>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</si>
  <si>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</si>
  <si>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</si>
  <si>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</si>
  <si>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</si>
  <si>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</si>
  <si>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</si>
  <si>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</si>
  <si>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</si>
  <si>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</si>
  <si>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</si>
  <si>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</si>
  <si>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</si>
  <si>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</si>
  <si>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No existe el artefacto arquitectura de Procesos, probablemente debe ser Arquitectura de Negocios, que es el artefacto que incluye el integrado de los procesos de la empresa.</t>
  </si>
  <si>
    <t>En el segundo parrafo "tampoco" no está en contexto, ya que no existe ninguna negación previa.</t>
  </si>
  <si>
    <t>CP036</t>
  </si>
  <si>
    <t>Toda tarea, actividad: proceso, subproceso, gateway, evento tiene que empezar con un verbo infinitivo. (-ar, -er, -ir). Actividades P6, A2, A22, A23 y A25.</t>
  </si>
  <si>
    <t>Las actividades no deben tener el mismo nombre, D4, ET2, I2, P4, P7 y R4 - Repartir, P9, I5, PY3 - Consolidar, A22 y P6 - Mínimo 1 mes después</t>
  </si>
  <si>
    <t>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t>
  </si>
  <si>
    <t>CP037</t>
  </si>
  <si>
    <t>RAM (Matriz de Asignación de Responsabilidades)</t>
  </si>
  <si>
    <t>En la descripción de la actividad P3, hay un error ortográfico con "apoyará".</t>
  </si>
  <si>
    <t>El dato de entrada "Fecha de inicio de año" de la actividad P5 no debería ser dato de entrada. Es más un evento timer. Además no es dato de salida de la actividad P4.</t>
  </si>
  <si>
    <t>Hay un error de tipeo en la descripción de la actividad P5 con "divida".</t>
  </si>
  <si>
    <t>Error gramatical en la descripción de P9 con el primer "la".</t>
  </si>
  <si>
    <t>En la descripción de la actividad P10 se menciona "Arquitectura de Procesos", dicho termino es incorrecto. OBS381</t>
  </si>
  <si>
    <t>El dato de entrada de la actividad I1, no concuerda con el nombre exacto de la salida de la actividad P2: "Solicitud de elaborar POA"</t>
  </si>
  <si>
    <t>El dato de salida "Plan de Requerimientos Institucionales" de la actividad I1 no se usa en los procesos con los que se conecta.</t>
  </si>
  <si>
    <t>"Plan de Requerimientos Institucionales" no debería ser dato de entrada de la actividad D1, no es salida de las actividad con las que interactúa.</t>
  </si>
  <si>
    <t>"Boleta o factura entregada" y "Donación recibida" no pueden ser datos de entrada de la actividad D3 ya que no son salidas de las actividades con las que interactúa.</t>
  </si>
  <si>
    <t>El dato de salida "Boleta o Factura solicitada" de la actividad D3 no se usa en los procesos con los que interactúa.</t>
  </si>
  <si>
    <t>El dato de entrada "Solicitud de elaboración de POA" de la actividad PY1 no concuerda con el dato de salida P2.</t>
  </si>
  <si>
    <t>Entre las actividades PY3 y PY4 hay un error con los datos que interactúan, de PY3, "Resultado de donación" y "Plan de Ejecución" de PY4.</t>
  </si>
  <si>
    <t>El dato de entrada de la actividad PY5 "Solicitud de realización de auditoria" no es salida de ninguna actividad.</t>
  </si>
  <si>
    <t>PY5 y X5 no tienen datos que los relacione</t>
  </si>
  <si>
    <t>El dato de entrada "Solicitud de elaboración de POA" de la actividad ET1 no concuerda con el dato de salida P2.</t>
  </si>
  <si>
    <t>Las actividad PE1 y X10 no tiene datos que los relacione.</t>
  </si>
  <si>
    <t>Todos los datos de entrada de PE1 no concuerdan con el flujo.</t>
  </si>
  <si>
    <t>La actividad X10 debería tener datos de entrada, hay un conector que le apunta.</t>
  </si>
  <si>
    <t>La actividad de salida "Fecha y lugar de reunión" de la acticidad PE1 no concuerda con el flujo.</t>
  </si>
  <si>
    <t>El dato de entrada "Fecha de visita" de la actividad PE2 no concuerda con el flujo.</t>
  </si>
  <si>
    <t>No hay relación entre los datos de las actividades X12 y PE4</t>
  </si>
  <si>
    <t>No hay relación entre los datos de las actividades X10 y PE4</t>
  </si>
  <si>
    <t>No hay relación entre los datos de la actividad F1 y F2.</t>
  </si>
  <si>
    <t>Los datos de salida "Notificación enviada" y "Actividades completas" de la actividad F1 no concuerdan con el flujo.</t>
  </si>
  <si>
    <t>Error ortográfico en la descripción de la actividad F1 con "despejará".</t>
  </si>
  <si>
    <t xml:space="preserve">El dato de entrada "Fecha de inicio de año" de la actividad F2 no debería ser dato de entrada. Es más un evento timer. </t>
  </si>
  <si>
    <t>No hay datos de salida de la actividad F2 que se relacionen con la actividad A1</t>
  </si>
  <si>
    <t>No hay datos de salida de la actividad F2 que se relacionen con la actividad X11</t>
  </si>
  <si>
    <t>No hay datos de salida de la actividad F2 que se relacionen con la actividad P9</t>
  </si>
  <si>
    <t>El dato de salida "Docentes capacitados" de la actividad F2, no está relacioando con el flujo.</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</si>
  <si>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</si>
  <si>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</si>
  <si>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</si>
  <si>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</si>
  <si>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</si>
  <si>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</si>
  <si>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</si>
  <si>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</si>
  <si>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</si>
  <si>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</si>
  <si>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</si>
  <si>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</si>
  <si>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</si>
  <si>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</si>
  <si>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</si>
  <si>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</si>
  <si>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</si>
  <si>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</si>
  <si>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</si>
  <si>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</si>
  <si>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</si>
  <si>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</si>
  <si>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</si>
  <si>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</si>
  <si>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</si>
  <si>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</si>
  <si>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</si>
  <si>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</si>
  <si>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</si>
  <si>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</si>
  <si>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La actividad A1 solo tiene realción con las activiad P2, PY1 y A2, el resto de conectores no significan relación de datos.</t>
  </si>
  <si>
    <t>La actividad A15 no tiene ningún dato de salida que vaya hacia la actividad A14</t>
  </si>
  <si>
    <t>En la descripción de la actividad A14 eliminar una de las palabras "existe" o "nace".</t>
  </si>
  <si>
    <t>El dato de salida "Voucher codificado" de la actividad A14 no tiene relación con el flujo.</t>
  </si>
  <si>
    <t>En la descripción de la actividad A16, luego de "Orden de Compra", debería haber una coma.</t>
  </si>
  <si>
    <t>La última oración de la descripción de la actividad A19 tiene errores gramaticales "recepcionar un conjunto de Curriculum Vitae."</t>
  </si>
  <si>
    <t>Formato distinto en los datos de entrada de la actividad X4</t>
  </si>
  <si>
    <t>El dato de salida "Informe de Necesidades" de la actividad x6 no tiene relación con el flujo.</t>
  </si>
  <si>
    <t>La actividad A7 depende de un proceso externo, tiene que tener conectores de flujo de secuencia que la unan al flujo principal.</t>
  </si>
  <si>
    <t>En la descripción de la actividad X25, probablemente debe ser "hace efectivo el recojo del bien donado"</t>
  </si>
  <si>
    <t>Se modificó la redacción del párrafo.</t>
  </si>
  <si>
    <t>Se cambiaron los nombres de los gateways.</t>
  </si>
  <si>
    <t>Se modificaron los nombres de las actividades mencionadas.</t>
  </si>
  <si>
    <t>Se corrigieron las entradas y salidas.</t>
  </si>
  <si>
    <t>Se homologaron los nombres.</t>
  </si>
  <si>
    <t>Se eliminó la salida correspondiente.</t>
  </si>
  <si>
    <t>Se agregó el conector correspondiente</t>
  </si>
  <si>
    <t>Salidas y entradas modificadas.</t>
  </si>
  <si>
    <t>Se modificaron las entradas y salidas.</t>
  </si>
  <si>
    <t>Es entrada de la actividad A1 (Considerando que es la actividad ET4).</t>
  </si>
  <si>
    <t>Se modificó la entrada de la actividad.</t>
  </si>
  <si>
    <t>Se agregaron las entradas y salidas en la actividad X10</t>
  </si>
  <si>
    <t>Se agregaron las flechas y entradas correspondientes</t>
  </si>
  <si>
    <t>Se corrigió la entrada de la actividad.</t>
  </si>
  <si>
    <t>Se agregó como entrada de la actividad X10.</t>
  </si>
  <si>
    <t>Se agregó como salida de la actividad PE1.</t>
  </si>
  <si>
    <t>Se agregó la entrada correspondiente.</t>
  </si>
  <si>
    <t>Se agregaron como entrada de la actividad F2.</t>
  </si>
  <si>
    <t>Se asume que es entre F3 y A1. Se arreglaron las entradas y salidas.</t>
  </si>
  <si>
    <t>Se asume que es entre F3 y X11. Se agregó salida de X11 como entrada de F3.</t>
  </si>
  <si>
    <t>Se asume que es entre F3 y P9. Se agregó salida de F2 "Docentes Capacitados" como entrada de la actividad P9.</t>
  </si>
  <si>
    <t>Se asume que es F3. Se agregó salida de F2 "Docentes Capacitados" como entrada de la actividad P9.</t>
  </si>
  <si>
    <t>Las actividades ET6, I3, ET4, F3 y PE3 tienen como salida "Cuestionario de Necesidades", la cual es entrada de la actividad A1.</t>
  </si>
  <si>
    <t>Actividad A15 "Realizar Arqueo de Caja" convertida en SubProceso.</t>
  </si>
  <si>
    <t>Se eliminó una palabra.</t>
  </si>
  <si>
    <t>Se corrigió el formato</t>
  </si>
  <si>
    <t>Se agregó como entrada de la actividad ET6.</t>
  </si>
  <si>
    <t>Se corrigió el error gramatical (Pastoral y Educación en Valores es una sola área).</t>
  </si>
  <si>
    <t>Las actividades no deben tener el mismo nombre, P2, ET2 - Repartir</t>
  </si>
  <si>
    <t>Hay un guión de mas en los datos de salida de la activdad P4.</t>
  </si>
  <si>
    <t>Hay un conector que sale de A20 que no se conecta a nada. Va hacia el pool de medio de comunicación.</t>
  </si>
  <si>
    <t>El dato de salida de la actividad 4, "Cuestionario  de Necesidades" no es entrada de ninguna actividad.</t>
  </si>
  <si>
    <t>En la OBS398 me refería a PY4</t>
  </si>
  <si>
    <t>El dato de entrada "Informe Anual de la Marcha Pastoral y Educación en Valores" de la actividad PE1 no es exactamente el mismo que el de la salida de PE2.</t>
  </si>
  <si>
    <t>La última oración de la descripción de la actividad A14 no se ve reflejado en el flujo, además en los datos de la actividad P9 y P10 aún esta el dato de Copia de arqueo de caja, que no muestra relación con el flujo.</t>
  </si>
  <si>
    <t>El dato de entrada "- Necesidad de pagar comprobantes de proveedores" de la actividad A15 no concuerda con el flujo.</t>
  </si>
  <si>
    <t>El dato de entrada "Invitación a Capacitación" de la actividad X7 no concuerda con el flujo de datos.</t>
  </si>
  <si>
    <t>Se eliminó la entrada correspondiente.</t>
  </si>
  <si>
    <t>Hay un error  gramatical en la descripción de la actividad X12 con "encuentran".</t>
  </si>
  <si>
    <t>La actividad A/ sigue fuera del flujo principal, si bien es cierto hay un conector desde A5, no hay dato que los relacione, por otro lado no hay conector de salida que lo mantenga en el flujo.</t>
  </si>
  <si>
    <t>El conector de ida de A7 hacia el evento enlace K no es correcto, ya que el evento K relacionado con X38 solo es para lanzar, y no de destino.</t>
  </si>
  <si>
    <t>Sugiero tener solo dos eventos D, para evitar confusión al seguir el flujo.</t>
  </si>
  <si>
    <t>Los datos de entrada de la actividad X15 "Copia de la Factura de Pago Parcial" y "Copia de  la Factura por Pago de Adelanto
" no van de acuerdo al flujo.</t>
  </si>
  <si>
    <t>Verificar los datos de entrada y salida de la actividad A6, salida: "Orden de Pago de Pago Parcial" y "Orden de Pago por Pago de Adelanto" no estan en el flujo, salida: "Fotos del Avance de la Obra" y "Acta de Recepción y Conformidad de Obra aprobada por el Administrador" lo relacionan con la actividad A7, pero no existe conector.</t>
  </si>
  <si>
    <t>Revisar los datos de entrada y salida de la actividad A20, Entrada: "Contrato firmado" y "Labores iniciadas"; salida: "Contrato" Y "Inducciones realizadas"</t>
  </si>
  <si>
    <t>Al iniciar la descripción de la actividad X32 hay un error de tipeo.</t>
  </si>
  <si>
    <t>En la descripción de la actividad X33, luego de "Orden de Compra" debería haber una coma.</t>
  </si>
  <si>
    <t>Actividad X41 y X42 no forman parte del flujo, el enlace M no se relaciona con ningúna otra actividad.</t>
  </si>
  <si>
    <t>Hay redundancia en la descripción de la actividad X42.</t>
  </si>
  <si>
    <t xml:space="preserve">[OBS381]No existe el artefacto arquitectura de Procesos, probablemente debe ser Arquitectura de Negocios, que es el artefacto que incluye el integrado de los procesos de la empresa._x000D_
[OBS385]Error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D._x000D_
[OBS390]En la descripción de la actividad P10 se menciona "Arquitectura de Procesos", dicho termino es incorrecto. OBS381_x000D_
[OBS429]Hay un conector que sale de A20 que no se conecta a nada. Va hacia el pool de medio de comunicación._x000D_
[OBS430]Las actividades no deben tener el mismo nombre, P2, ET2 - Repartir_x000D_
[OBS431]Hay un guión de mas en los datos de salida de la activdad P4._x000D_
[OBS432]En la OBS398 me refería a PY4_x000D_
[OBS433]El dato de entrada "Informe Anual de la Marcha Pastoral y Educación en Valores" de la actividad PE1 no es exactamente el mismo que el de la salida de PE2._x000D_
[OBS434]La última oración de la descripción de la actividad A14 no se ve reflejado en el flujo, además en los datos de la actividad P9 y P10 aún esta el dato de Copia de arqueo de caja, que no muestra relación con el flujo._x000D_
[OBS435]El dato de entrada "- Necesidad de pagar comprobantes de proveedores" de la actividad A15 no concuerda con el flujo._x000D_
[OBS436]La actividad A/ sigue fuera del flujo principal, si bien es cierto hay un conector desde A5, no hay dato que los relacione, por otro lado no hay conector de salida que lo mantenga en el flujo._x000D_
[OBS437]El conector de ida de A7 hacia el evento enlace K no es correcto, ya que el evento K relacionado con X38 solo es para lanzar, y no de destino._x000D_
[OBS438]Sugiero tener solo dos eventos D, para evitar confusión al seguir el flujo._x000D_
[OBS439]Los datos de entrada de la actividad X15 "Copia de la Factura de Pago Parcial" y "Copia de  la Factura por Pago de Adelanto
" no van de acuerdo al flujo._x000D_
[OBS440]Verificar los datos de entrada y salida de la actividad A6, salida: "Orden de Pago de Pago Parcial" y "Orden de Pago por Pago de Adelanto" no estan en el flujo, salida: "Fotos del Avance de la Obra" y "Acta de Recepción y Conformidad de Obra aprobada por el Administrador" lo relacionan con la actividad A7, pero no existe conector._x000D_
[OBS441]Revisar los datos de entrada y salida de la actividad A20, Entrada: "Contrato firmado" y "Labores iniciadas"; salida: "Contrato" Y "Inducciones realizadas"_x000D_
[OBS442]Al iniciar la descripción de la actividad X32 hay un error de tipeo._x000D_
[OBS443]En la descripción de la actividad X33, luego de "Orden de Compra" debería haber una coma._x000D_
[OBS444]Actividad X41 y X42 no forman parte del flujo, el enlace M no se relaciona con ningúna otra actividad._x000D_
[OBS445]Hay redundancia en la descripción de la actividad X42._x000D_
</t>
  </si>
  <si>
    <t>Según Profesora Rosario, Arquitectura de Procesos si existe.</t>
  </si>
  <si>
    <t>Conector eliminado. Se agregó Link M</t>
  </si>
  <si>
    <t>Link M agregado a actividad A20.</t>
  </si>
  <si>
    <t>Actividad ET2 cambió de nombre.</t>
  </si>
  <si>
    <t>Guión eliminado</t>
  </si>
  <si>
    <t>Última oración eliminada. Copia de Arqueo de Caja eliminado.</t>
  </si>
  <si>
    <t>Salida de PE2 y entrada de PE1 homologadas.</t>
  </si>
  <si>
    <t>Conector de salida desde el evento K hasta la actividad A7 eliminado.</t>
  </si>
  <si>
    <t>Salida agregada a la actividad A13.</t>
  </si>
  <si>
    <t>Se modificaron los conectores entre A5, A6 y A7.</t>
  </si>
  <si>
    <t>Se modificaron las entradas de la actividad.</t>
  </si>
  <si>
    <t>Salidas agregadas. Conector agregado</t>
  </si>
  <si>
    <t>Salidas y entradas coordinadas con activiadades X41 y X42.</t>
  </si>
  <si>
    <t>Error corregido.</t>
  </si>
  <si>
    <t>Redundancia eliminada.</t>
  </si>
  <si>
    <t>Conector entre PY4 y A1 agreado.</t>
  </si>
  <si>
    <t>Link N agregado entre actividades D3 y X25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</si>
</sst>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scheme val="minor"/>
    </font>
    <font>
      <b/>
      <sz val="11"/>
      <color rgb="FF000000"/>
      <name val="Calibri"/>
      <family val="2"/>
      <scheme val="minor"/>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31"/>
          <c:y val="0.20151813899974841"/>
          <c:w val="0.50142494135134441"/>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0.97297297297297303</c:v>
                </c:pt>
                <c:pt idx="1">
                  <c:v>2.7027027027027029E-2</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044" l="0.70000000000000062" r="0.70000000000000062" t="0.750000000000010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044" l="0.70000000000000062" r="0.70000000000000062" t="0.750000000000010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HistoricoAvance!$C$4:$C$17</c:f>
              <c:numCache>
                <c:formatCode>0</c:formatCode>
                <c:ptCount val="14"/>
                <c:pt idx="0">
                  <c:v>0</c:v>
                </c:pt>
                <c:pt idx="1">
                  <c:v>0</c:v>
                </c:pt>
                <c:pt idx="2">
                  <c:v>5</c:v>
                </c:pt>
                <c:pt idx="3">
                  <c:v>14</c:v>
                </c:pt>
                <c:pt idx="4">
                  <c:v>15</c:v>
                </c:pt>
                <c:pt idx="5">
                  <c:v>15</c:v>
                </c:pt>
                <c:pt idx="6">
                  <c:v>15</c:v>
                </c:pt>
                <c:pt idx="7">
                  <c:v>16</c:v>
                </c:pt>
                <c:pt idx="8">
                  <c:v>15</c:v>
                </c:pt>
                <c:pt idx="9">
                  <c:v>13</c:v>
                </c:pt>
                <c:pt idx="10">
                  <c:v>31</c:v>
                </c:pt>
                <c:pt idx="11">
                  <c:v>35</c:v>
                </c:pt>
                <c:pt idx="12">
                  <c:v>36</c:v>
                </c:pt>
                <c:pt idx="13">
                  <c:v>36</c:v>
                </c:pt>
              </c:numCache>
            </c:numRef>
          </c:val>
          <c:smooth val="0"/>
        </c:ser>
        <c:ser>
          <c:idx val="1"/>
          <c:order val="1"/>
          <c:tx>
            <c:strRef>
              <c:f>HistoricoAvance!$D$3</c:f>
              <c:strCache>
                <c:ptCount val="1"/>
                <c:pt idx="0">
                  <c:v>Fallos</c:v>
                </c:pt>
              </c:strCache>
            </c:strRef>
          </c:tx>
          <c:spPr>
            <a:ln w="50800"/>
          </c:spPr>
          <c:cat>
            <c:numRef>
              <c:f>HistoricoAvance!$B$4:$B$17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HistoricoAvance!$D$4:$D$17</c:f>
              <c:numCache>
                <c:formatCode>0</c:formatCode>
                <c:ptCount val="14"/>
                <c:pt idx="0">
                  <c:v>10</c:v>
                </c:pt>
                <c:pt idx="1">
                  <c:v>15</c:v>
                </c:pt>
                <c:pt idx="2">
                  <c:v>10</c:v>
                </c:pt>
                <c:pt idx="3">
                  <c:v>1</c:v>
                </c:pt>
                <c:pt idx="4">
                  <c:v>10</c:v>
                </c:pt>
                <c:pt idx="5">
                  <c:v>10</c:v>
                </c:pt>
                <c:pt idx="6">
                  <c:v>20</c:v>
                </c:pt>
                <c:pt idx="7">
                  <c:v>19</c:v>
                </c:pt>
                <c:pt idx="8">
                  <c:v>20</c:v>
                </c:pt>
                <c:pt idx="9">
                  <c:v>22</c:v>
                </c:pt>
                <c:pt idx="10">
                  <c:v>4</c:v>
                </c:pt>
                <c:pt idx="11">
                  <c:v>1</c:v>
                </c:pt>
                <c:pt idx="12">
                  <c:v>1</c:v>
                </c:pt>
                <c:pt idx="13">
                  <c:v>1</c:v>
                </c:pt>
              </c:numCache>
            </c:numRef>
          </c:val>
          <c:smooth val="0"/>
        </c:ser>
        <c:ser>
          <c:idx val="2"/>
          <c:order val="2"/>
          <c:tx>
            <c:strRef>
              <c:f>HistoricoAvance!$E$3</c:f>
              <c:strCache>
                <c:ptCount val="1"/>
                <c:pt idx="0">
                  <c:v>Bloqueado</c:v>
                </c:pt>
              </c:strCache>
            </c:strRef>
          </c:tx>
          <c:cat>
            <c:numRef>
              <c:f>HistoricoAvance!$B$4:$B$17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HistoricoAvance!$E$4:$E$17</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ser>
        <c:ser>
          <c:idx val="3"/>
          <c:order val="3"/>
          <c:tx>
            <c:strRef>
              <c:f>HistoricoAvance!$F$3</c:f>
              <c:strCache>
                <c:ptCount val="1"/>
                <c:pt idx="0">
                  <c:v>Pendiente</c:v>
                </c:pt>
              </c:strCache>
            </c:strRef>
          </c:tx>
          <c:cat>
            <c:numRef>
              <c:f>HistoricoAvance!$B$4:$B$17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HistoricoAvance!$F$4:$F$17</c:f>
              <c:numCache>
                <c:formatCode>0</c:formatCode>
                <c:ptCount val="14"/>
                <c:pt idx="0">
                  <c:v>0</c:v>
                </c:pt>
                <c:pt idx="1">
                  <c:v>0</c:v>
                </c:pt>
                <c:pt idx="2">
                  <c:v>0</c:v>
                </c:pt>
                <c:pt idx="3">
                  <c:v>0</c:v>
                </c:pt>
                <c:pt idx="4">
                  <c:v>0</c:v>
                </c:pt>
                <c:pt idx="5">
                  <c:v>0</c:v>
                </c:pt>
                <c:pt idx="6">
                  <c:v>0</c:v>
                </c:pt>
                <c:pt idx="7">
                  <c:v>0</c:v>
                </c:pt>
                <c:pt idx="8">
                  <c:v>0</c:v>
                </c:pt>
                <c:pt idx="9">
                  <c:v>1</c:v>
                </c:pt>
                <c:pt idx="10">
                  <c:v>1</c:v>
                </c:pt>
                <c:pt idx="11">
                  <c:v>0</c:v>
                </c:pt>
                <c:pt idx="12">
                  <c:v>0</c:v>
                </c:pt>
                <c:pt idx="13">
                  <c:v>0</c:v>
                </c:pt>
              </c:numCache>
            </c:numRef>
          </c:val>
          <c:smooth val="0"/>
        </c:ser>
        <c:ser>
          <c:idx val="4"/>
          <c:order val="4"/>
          <c:tx>
            <c:strRef>
              <c:f>HistoricoAvance!$G$3</c:f>
              <c:strCache>
                <c:ptCount val="1"/>
                <c:pt idx="0">
                  <c:v>No Aplica</c:v>
                </c:pt>
              </c:strCache>
            </c:strRef>
          </c:tx>
          <c:cat>
            <c:numRef>
              <c:f>HistoricoAvance!$B$4:$B$17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HistoricoAvance!$G$4:$G$17</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ser>
        <c:ser>
          <c:idx val="5"/>
          <c:order val="5"/>
          <c:tx>
            <c:strRef>
              <c:f>HistoricoAvance!$H$3</c:f>
              <c:strCache>
                <c:ptCount val="1"/>
                <c:pt idx="0">
                  <c:v>En Proceso</c:v>
                </c:pt>
              </c:strCache>
            </c:strRef>
          </c:tx>
          <c:cat>
            <c:numRef>
              <c:f>HistoricoAvance!$B$4:$B$17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HistoricoAvance!$H$4:$H$17</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ser>
        <c:ser>
          <c:idx val="6"/>
          <c:order val="6"/>
          <c:tx>
            <c:strRef>
              <c:f>HistoricoAvance!$I$3</c:f>
              <c:strCache>
                <c:ptCount val="1"/>
                <c:pt idx="0">
                  <c:v>Reejecuciones</c:v>
                </c:pt>
              </c:strCache>
            </c:strRef>
          </c:tx>
          <c:cat>
            <c:numRef>
              <c:f>HistoricoAvance!$B$4:$B$17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HistoricoAvance!$I$4:$I$17</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HistoricoAvance!$J$4:$J$17</c:f>
              <c:numCache>
                <c:formatCode>General</c:formatCode>
                <c:ptCount val="14"/>
                <c:pt idx="0">
                  <c:v>10</c:v>
                </c:pt>
                <c:pt idx="1">
                  <c:v>15</c:v>
                </c:pt>
                <c:pt idx="2">
                  <c:v>15</c:v>
                </c:pt>
                <c:pt idx="3">
                  <c:v>15</c:v>
                </c:pt>
                <c:pt idx="4">
                  <c:v>25</c:v>
                </c:pt>
                <c:pt idx="5">
                  <c:v>25</c:v>
                </c:pt>
                <c:pt idx="6">
                  <c:v>35</c:v>
                </c:pt>
                <c:pt idx="7">
                  <c:v>35</c:v>
                </c:pt>
                <c:pt idx="8">
                  <c:v>35</c:v>
                </c:pt>
                <c:pt idx="9">
                  <c:v>36</c:v>
                </c:pt>
                <c:pt idx="10">
                  <c:v>36</c:v>
                </c:pt>
                <c:pt idx="11">
                  <c:v>36</c:v>
                </c:pt>
                <c:pt idx="12">
                  <c:v>37</c:v>
                </c:pt>
                <c:pt idx="13">
                  <c:v>37</c:v>
                </c:pt>
              </c:numCache>
            </c:numRef>
          </c:val>
          <c:smooth val="0"/>
        </c:ser>
        <c:dLbls>
          <c:showLegendKey val="0"/>
          <c:showVal val="0"/>
          <c:showCatName val="0"/>
          <c:showSerName val="0"/>
          <c:showPercent val="0"/>
          <c:showBubbleSize val="0"/>
        </c:dLbls>
        <c:marker val="1"/>
        <c:smooth val="0"/>
        <c:axId val="138182016"/>
        <c:axId val="138192000"/>
      </c:lineChart>
      <c:dateAx>
        <c:axId val="138182016"/>
        <c:scaling>
          <c:orientation val="minMax"/>
        </c:scaling>
        <c:delete val="0"/>
        <c:axPos val="b"/>
        <c:numFmt formatCode="dd/mm/yyyy" sourceLinked="1"/>
        <c:majorTickMark val="out"/>
        <c:minorTickMark val="none"/>
        <c:tickLblPos val="nextTo"/>
        <c:txPr>
          <a:bodyPr/>
          <a:lstStyle/>
          <a:p>
            <a:pPr>
              <a:defRPr lang="es-ES"/>
            </a:pPr>
            <a:endParaRPr lang="es-PE"/>
          </a:p>
        </c:txPr>
        <c:crossAx val="138192000"/>
        <c:crosses val="autoZero"/>
        <c:auto val="1"/>
        <c:lblOffset val="100"/>
        <c:baseTimeUnit val="days"/>
      </c:dateAx>
      <c:valAx>
        <c:axId val="13819200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818201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HistoricoAvance!$M$4:$M$17</c:f>
              <c:numCache>
                <c:formatCode>0</c:formatCode>
                <c:ptCount val="14"/>
                <c:pt idx="0">
                  <c:v>55</c:v>
                </c:pt>
                <c:pt idx="1">
                  <c:v>101</c:v>
                </c:pt>
                <c:pt idx="2">
                  <c:v>19</c:v>
                </c:pt>
                <c:pt idx="3">
                  <c:v>3</c:v>
                </c:pt>
                <c:pt idx="4">
                  <c:v>92</c:v>
                </c:pt>
                <c:pt idx="5">
                  <c:v>21</c:v>
                </c:pt>
                <c:pt idx="6">
                  <c:v>63</c:v>
                </c:pt>
                <c:pt idx="7">
                  <c:v>87</c:v>
                </c:pt>
                <c:pt idx="8">
                  <c:v>111</c:v>
                </c:pt>
                <c:pt idx="9">
                  <c:v>36</c:v>
                </c:pt>
                <c:pt idx="10">
                  <c:v>11</c:v>
                </c:pt>
                <c:pt idx="11">
                  <c:v>5</c:v>
                </c:pt>
                <c:pt idx="12">
                  <c:v>48</c:v>
                </c:pt>
                <c:pt idx="13">
                  <c:v>20</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HistoricoAvance!$N$4:$N$17</c:f>
              <c:numCache>
                <c:formatCode>0</c:formatCode>
                <c:ptCount val="14"/>
                <c:pt idx="0">
                  <c:v>0</c:v>
                </c:pt>
                <c:pt idx="1">
                  <c:v>0</c:v>
                </c:pt>
                <c:pt idx="2">
                  <c:v>101</c:v>
                </c:pt>
                <c:pt idx="3">
                  <c:v>120</c:v>
                </c:pt>
                <c:pt idx="4">
                  <c:v>123</c:v>
                </c:pt>
                <c:pt idx="5">
                  <c:v>215</c:v>
                </c:pt>
                <c:pt idx="6">
                  <c:v>215</c:v>
                </c:pt>
                <c:pt idx="7">
                  <c:v>215</c:v>
                </c:pt>
                <c:pt idx="8">
                  <c:v>215</c:v>
                </c:pt>
                <c:pt idx="9">
                  <c:v>333</c:v>
                </c:pt>
                <c:pt idx="10">
                  <c:v>369</c:v>
                </c:pt>
                <c:pt idx="11">
                  <c:v>380</c:v>
                </c:pt>
                <c:pt idx="12">
                  <c:v>380</c:v>
                </c:pt>
                <c:pt idx="13">
                  <c:v>425</c:v>
                </c:pt>
              </c:numCache>
            </c:numRef>
          </c:val>
          <c:smooth val="0"/>
        </c:ser>
        <c:ser>
          <c:idx val="2"/>
          <c:order val="2"/>
          <c:tx>
            <c:strRef>
              <c:f>HistoricoAvance!$O$3</c:f>
              <c:strCache>
                <c:ptCount val="1"/>
                <c:pt idx="0">
                  <c:v>Totales</c:v>
                </c:pt>
              </c:strCache>
            </c:strRef>
          </c:tx>
          <c:cat>
            <c:numRef>
              <c:f>HistoricoAvance!$L$4:$L$17</c:f>
              <c:numCache>
                <c:formatCode>dd/mm/yyyy</c:formatCode>
                <c:ptCount val="14"/>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numCache>
            </c:numRef>
          </c:cat>
          <c:val>
            <c:numRef>
              <c:f>HistoricoAvance!$O$4:$O$17</c:f>
              <c:numCache>
                <c:formatCode>General</c:formatCode>
                <c:ptCount val="14"/>
                <c:pt idx="0">
                  <c:v>55</c:v>
                </c:pt>
                <c:pt idx="1">
                  <c:v>101</c:v>
                </c:pt>
                <c:pt idx="2">
                  <c:v>120</c:v>
                </c:pt>
                <c:pt idx="3">
                  <c:v>123</c:v>
                </c:pt>
                <c:pt idx="4">
                  <c:v>215</c:v>
                </c:pt>
                <c:pt idx="5">
                  <c:v>236</c:v>
                </c:pt>
                <c:pt idx="6">
                  <c:v>278</c:v>
                </c:pt>
                <c:pt idx="7">
                  <c:v>302</c:v>
                </c:pt>
                <c:pt idx="8">
                  <c:v>326</c:v>
                </c:pt>
                <c:pt idx="9">
                  <c:v>369</c:v>
                </c:pt>
                <c:pt idx="10">
                  <c:v>380</c:v>
                </c:pt>
                <c:pt idx="11">
                  <c:v>385</c:v>
                </c:pt>
                <c:pt idx="12">
                  <c:v>428</c:v>
                </c:pt>
                <c:pt idx="13">
                  <c:v>445</c:v>
                </c:pt>
              </c:numCache>
            </c:numRef>
          </c:val>
          <c:smooth val="0"/>
        </c:ser>
        <c:dLbls>
          <c:showLegendKey val="0"/>
          <c:showVal val="0"/>
          <c:showCatName val="0"/>
          <c:showSerName val="0"/>
          <c:showPercent val="0"/>
          <c:showBubbleSize val="0"/>
        </c:dLbls>
        <c:marker val="1"/>
        <c:smooth val="0"/>
        <c:axId val="140670080"/>
        <c:axId val="140671616"/>
      </c:lineChart>
      <c:dateAx>
        <c:axId val="140670080"/>
        <c:scaling>
          <c:orientation val="minMax"/>
        </c:scaling>
        <c:delete val="0"/>
        <c:axPos val="b"/>
        <c:numFmt formatCode="dd/mm/yyyy" sourceLinked="1"/>
        <c:majorTickMark val="out"/>
        <c:minorTickMark val="none"/>
        <c:tickLblPos val="nextTo"/>
        <c:txPr>
          <a:bodyPr/>
          <a:lstStyle/>
          <a:p>
            <a:pPr>
              <a:defRPr lang="es-ES"/>
            </a:pPr>
            <a:endParaRPr lang="es-PE"/>
          </a:p>
        </c:txPr>
        <c:crossAx val="140671616"/>
        <c:crosses val="autoZero"/>
        <c:auto val="1"/>
        <c:lblOffset val="100"/>
        <c:baseTimeUnit val="days"/>
      </c:dateAx>
      <c:valAx>
        <c:axId val="14067161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067008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v13.xlsm]CuadrosResumen!Tabla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0701056"/>
        <c:axId val="140702848"/>
      </c:barChart>
      <c:catAx>
        <c:axId val="140701056"/>
        <c:scaling>
          <c:orientation val="minMax"/>
        </c:scaling>
        <c:delete val="0"/>
        <c:axPos val="b"/>
        <c:majorTickMark val="out"/>
        <c:minorTickMark val="none"/>
        <c:tickLblPos val="nextTo"/>
        <c:txPr>
          <a:bodyPr/>
          <a:lstStyle/>
          <a:p>
            <a:pPr>
              <a:defRPr lang="es-ES"/>
            </a:pPr>
            <a:endParaRPr lang="es-PE"/>
          </a:p>
        </c:txPr>
        <c:crossAx val="140702848"/>
        <c:crosses val="autoZero"/>
        <c:auto val="1"/>
        <c:lblAlgn val="ctr"/>
        <c:lblOffset val="100"/>
        <c:noMultiLvlLbl val="0"/>
      </c:catAx>
      <c:valAx>
        <c:axId val="14070284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701056"/>
        <c:crosses val="autoZero"/>
        <c:crossBetween val="between"/>
      </c:valAx>
    </c:plotArea>
    <c:plotVisOnly val="1"/>
    <c:dispBlanksAs val="gap"/>
    <c:showDLblsOverMax val="0"/>
  </c:chart>
  <c:printSettings>
    <c:headerFooter/>
    <c:pageMargins b="0.75000000000001033" l="0.70000000000000062" r="0.70000000000000062" t="0.750000000000010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v13.xlsm]CuadrosResumen!Tabla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0748288"/>
        <c:axId val="140749824"/>
      </c:barChart>
      <c:catAx>
        <c:axId val="140748288"/>
        <c:scaling>
          <c:orientation val="minMax"/>
        </c:scaling>
        <c:delete val="0"/>
        <c:axPos val="b"/>
        <c:majorTickMark val="out"/>
        <c:minorTickMark val="none"/>
        <c:tickLblPos val="nextTo"/>
        <c:txPr>
          <a:bodyPr/>
          <a:lstStyle/>
          <a:p>
            <a:pPr>
              <a:defRPr lang="es-ES"/>
            </a:pPr>
            <a:endParaRPr lang="es-PE"/>
          </a:p>
        </c:txPr>
        <c:crossAx val="140749824"/>
        <c:crosses val="autoZero"/>
        <c:auto val="1"/>
        <c:lblAlgn val="ctr"/>
        <c:lblOffset val="100"/>
        <c:noMultiLvlLbl val="0"/>
      </c:catAx>
      <c:valAx>
        <c:axId val="1407498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748288"/>
        <c:crosses val="autoZero"/>
        <c:crossBetween val="between"/>
      </c:valAx>
    </c:plotArea>
    <c:plotVisOnly val="1"/>
    <c:dispBlanksAs val="gap"/>
    <c:showDLblsOverMax val="0"/>
  </c:chart>
  <c:printSettings>
    <c:headerFooter/>
    <c:pageMargins b="0.75000000000001033" l="0.70000000000000062" r="0.70000000000000062" t="0.750000000000010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v13.xlsm]CuadrosResumen!Tabla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0758400"/>
        <c:axId val="142152832"/>
      </c:barChart>
      <c:catAx>
        <c:axId val="140758400"/>
        <c:scaling>
          <c:orientation val="minMax"/>
        </c:scaling>
        <c:delete val="0"/>
        <c:axPos val="b"/>
        <c:majorTickMark val="out"/>
        <c:minorTickMark val="none"/>
        <c:tickLblPos val="nextTo"/>
        <c:txPr>
          <a:bodyPr/>
          <a:lstStyle/>
          <a:p>
            <a:pPr>
              <a:defRPr lang="es-ES"/>
            </a:pPr>
            <a:endParaRPr lang="es-PE"/>
          </a:p>
        </c:txPr>
        <c:crossAx val="142152832"/>
        <c:crosses val="autoZero"/>
        <c:auto val="1"/>
        <c:lblAlgn val="ctr"/>
        <c:lblOffset val="100"/>
        <c:noMultiLvlLbl val="0"/>
      </c:catAx>
      <c:valAx>
        <c:axId val="14215283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758400"/>
        <c:crosses val="autoZero"/>
        <c:crossBetween val="between"/>
      </c:valAx>
    </c:plotArea>
    <c:plotVisOnly val="1"/>
    <c:dispBlanksAs val="gap"/>
    <c:showDLblsOverMax val="0"/>
  </c:chart>
  <c:printSettings>
    <c:headerFooter/>
    <c:pageMargins b="0.75000000000001033" l="0.70000000000000062" r="0.70000000000000062" t="0.75000000000001033"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v13.xlsm]CuadrosResumen!Tabla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2181504"/>
        <c:axId val="142183040"/>
      </c:barChart>
      <c:catAx>
        <c:axId val="142181504"/>
        <c:scaling>
          <c:orientation val="minMax"/>
        </c:scaling>
        <c:delete val="0"/>
        <c:axPos val="b"/>
        <c:majorTickMark val="out"/>
        <c:minorTickMark val="none"/>
        <c:tickLblPos val="nextTo"/>
        <c:txPr>
          <a:bodyPr/>
          <a:lstStyle/>
          <a:p>
            <a:pPr>
              <a:defRPr lang="es-ES"/>
            </a:pPr>
            <a:endParaRPr lang="es-PE"/>
          </a:p>
        </c:txPr>
        <c:crossAx val="142183040"/>
        <c:crosses val="autoZero"/>
        <c:auto val="1"/>
        <c:lblAlgn val="ctr"/>
        <c:lblOffset val="100"/>
        <c:noMultiLvlLbl val="0"/>
      </c:catAx>
      <c:valAx>
        <c:axId val="14218304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2181504"/>
        <c:crosses val="autoZero"/>
        <c:crossBetween val="between"/>
      </c:valAx>
    </c:plotArea>
    <c:plotVisOnly val="1"/>
    <c:dispBlanksAs val="gap"/>
    <c:showDLblsOverMax val="0"/>
  </c:chart>
  <c:printSettings>
    <c:headerFooter/>
    <c:pageMargins b="0.75000000000001021" l="0.70000000000000062" r="0.70000000000000062" t="0.750000000000010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v13.xlsm]CuadrosResumen!Tabla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2203904"/>
        <c:axId val="142361344"/>
      </c:barChart>
      <c:catAx>
        <c:axId val="142203904"/>
        <c:scaling>
          <c:orientation val="minMax"/>
        </c:scaling>
        <c:delete val="0"/>
        <c:axPos val="b"/>
        <c:majorTickMark val="out"/>
        <c:minorTickMark val="none"/>
        <c:tickLblPos val="nextTo"/>
        <c:txPr>
          <a:bodyPr/>
          <a:lstStyle/>
          <a:p>
            <a:pPr>
              <a:defRPr lang="es-ES"/>
            </a:pPr>
            <a:endParaRPr lang="es-PE"/>
          </a:p>
        </c:txPr>
        <c:crossAx val="142361344"/>
        <c:crosses val="autoZero"/>
        <c:auto val="1"/>
        <c:lblAlgn val="ctr"/>
        <c:lblOffset val="100"/>
        <c:noMultiLvlLbl val="0"/>
      </c:catAx>
      <c:valAx>
        <c:axId val="1423613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2203904"/>
        <c:crosses val="autoZero"/>
        <c:crossBetween val="between"/>
      </c:valAx>
    </c:plotArea>
    <c:plotVisOnly val="1"/>
    <c:dispBlanksAs val="gap"/>
    <c:showDLblsOverMax val="0"/>
  </c:chart>
  <c:printSettings>
    <c:headerFooter/>
    <c:pageMargins b="0.75000000000001021" l="0.70000000000000062" r="0.70000000000000062" t="0.7500000000000102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v13.xlsm]CuadrosResumen!Tabla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2368128"/>
        <c:axId val="142398592"/>
      </c:barChart>
      <c:catAx>
        <c:axId val="142368128"/>
        <c:scaling>
          <c:orientation val="minMax"/>
        </c:scaling>
        <c:delete val="0"/>
        <c:axPos val="b"/>
        <c:majorTickMark val="out"/>
        <c:minorTickMark val="none"/>
        <c:tickLblPos val="nextTo"/>
        <c:txPr>
          <a:bodyPr/>
          <a:lstStyle/>
          <a:p>
            <a:pPr>
              <a:defRPr lang="es-ES"/>
            </a:pPr>
            <a:endParaRPr lang="es-PE"/>
          </a:p>
        </c:txPr>
        <c:crossAx val="142398592"/>
        <c:crosses val="autoZero"/>
        <c:auto val="1"/>
        <c:lblAlgn val="ctr"/>
        <c:lblOffset val="100"/>
        <c:noMultiLvlLbl val="0"/>
      </c:catAx>
      <c:valAx>
        <c:axId val="1423985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2368128"/>
        <c:crosses val="autoZero"/>
        <c:crossBetween val="between"/>
      </c:valAx>
    </c:plotArea>
    <c:plotVisOnly val="1"/>
    <c:dispBlanksAs val="gap"/>
    <c:showDLblsOverMax val="0"/>
  </c:chart>
  <c:printSettings>
    <c:headerFooter/>
    <c:pageMargins b="0.75000000000001021" l="0.70000000000000062" r="0.70000000000000062" t="0.7500000000000102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1" totalsRowShown="0" headerRowDxfId="68" dataDxfId="66" headerRowBorderDxfId="67" tableBorderDxfId="65">
  <autoFilter ref="A4:Q41"/>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447" totalsRowShown="0" headerRowDxfId="47" dataDxfId="45" headerRowBorderDxfId="46" tableBorderDxfId="44">
  <autoFilter ref="A2:L447">
    <filterColumn colId="4">
      <filters>
        <filter val="Abierta"/>
      </filters>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7"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7"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4" sqref="G4:O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0.97297297297297303</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37</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37</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v>
      </c>
      <c r="D13" s="74"/>
      <c r="E13" s="5">
        <f>COUNTIF(CasoPrueba[[#All],[Estado Testing]],$P$28)</f>
        <v>36</v>
      </c>
      <c r="F13" s="5">
        <f>COUNTIF(CasoPrueba[[#All],[Estado Testing]],$P$29)</f>
        <v>1</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0.97297297297297303</v>
      </c>
      <c r="F14" s="15">
        <f t="shared" si="0"/>
        <v>2.7027027027027029E-2</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36</v>
      </c>
      <c r="D18" s="45">
        <f>C18/$C$10</f>
        <v>0.97297297297297303</v>
      </c>
      <c r="E18" s="46">
        <f>COUNTIFS(CasoPrueba[[#All],[Estado Testing]],$P$29,CasoPrueba[[#All],[Prioridad]],$P$17)</f>
        <v>1</v>
      </c>
      <c r="F18" s="47">
        <f>E18/$C$10</f>
        <v>2.7027027027027029E-2</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v>
      </c>
      <c r="N18" s="53">
        <f>M18/$C$10</f>
        <v>2.7027027027027029E-2</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36</v>
      </c>
      <c r="D21" s="63">
        <f t="shared" ref="D21:N21" si="2">SUM(D18:D20)</f>
        <v>0.97297297297297303</v>
      </c>
      <c r="E21" s="62">
        <f t="shared" si="2"/>
        <v>1</v>
      </c>
      <c r="F21" s="63">
        <f t="shared" si="2"/>
        <v>2.7027027027027029E-2</v>
      </c>
      <c r="G21" s="62">
        <f t="shared" si="2"/>
        <v>0</v>
      </c>
      <c r="H21" s="63">
        <f t="shared" si="2"/>
        <v>0</v>
      </c>
      <c r="I21" s="62">
        <f t="shared" si="2"/>
        <v>0</v>
      </c>
      <c r="J21" s="63">
        <f t="shared" si="2"/>
        <v>0</v>
      </c>
      <c r="K21" s="62">
        <f>SUM(K18:K20)</f>
        <v>0</v>
      </c>
      <c r="L21" s="63">
        <f>SUM(L18:L20)</f>
        <v>0</v>
      </c>
      <c r="M21" s="62">
        <f t="shared" si="2"/>
        <v>1</v>
      </c>
      <c r="N21" s="63">
        <f t="shared" si="2"/>
        <v>2.7027027027027029E-2</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7</v>
      </c>
      <c r="D30" s="124">
        <f>C30/$C$10</f>
        <v>0.1891891891891892</v>
      </c>
      <c r="E30" s="125">
        <f>COUNTIFS(Observaciones[[#All],[Estado]],Resumen!$P$24,Observaciones[[#All],[Severidad]],Resumen!$P$11)</f>
        <v>87</v>
      </c>
      <c r="F30" s="124">
        <f>E30/$C$10</f>
        <v>2.3513513513513513</v>
      </c>
      <c r="G30" s="119"/>
      <c r="H30" s="122" t="s">
        <v>33</v>
      </c>
      <c r="I30" s="126">
        <f>COUNTIFS(Observaciones[[#All],[Severidad]],Resumen!$P$11,Observaciones[[#All],[Prioridad]],Resumen!$P$17)</f>
        <v>94</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5</v>
      </c>
      <c r="D31" s="124">
        <f>C31/$C$10</f>
        <v>0.13513513513513514</v>
      </c>
      <c r="E31" s="125">
        <f>COUNTIFS(Observaciones[[#All],[Estado]],Resumen!$P$24,Observaciones[[#All],[Severidad]],Resumen!$P$12)</f>
        <v>141</v>
      </c>
      <c r="F31" s="124">
        <f>E31/$C$10</f>
        <v>3.810810810810811</v>
      </c>
      <c r="G31" s="119"/>
      <c r="H31" s="122" t="s">
        <v>35</v>
      </c>
      <c r="I31" s="126">
        <f>COUNTIFS(Observaciones[[#All],[Severidad]],Resumen!$P$12,Observaciones[[#All],[Prioridad]],Resumen!$P$17)</f>
        <v>146</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5</v>
      </c>
      <c r="D32" s="124">
        <f>C32/$C$10</f>
        <v>0.13513513513513514</v>
      </c>
      <c r="E32" s="125">
        <f>COUNTIFS(Observaciones[[#All],[Estado]],Resumen!$P$24,Observaciones[[#All],[Severidad]],Resumen!$P$13)</f>
        <v>91</v>
      </c>
      <c r="F32" s="124">
        <f>E32/$C$10</f>
        <v>2.4594594594594597</v>
      </c>
      <c r="G32" s="119"/>
      <c r="H32" s="122" t="s">
        <v>37</v>
      </c>
      <c r="I32" s="126">
        <f>COUNTIFS(Observaciones[[#All],[Severidad]],Resumen!$P$13,Observaciones[[#All],[Prioridad]],Resumen!$P$17)</f>
        <v>96</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3</v>
      </c>
      <c r="D33" s="124">
        <f>C33/$C$10</f>
        <v>8.1081081081081086E-2</v>
      </c>
      <c r="E33" s="125">
        <f>COUNTIFS(Observaciones[[#All],[Estado]],Resumen!$P$24,Observaciones[[#All],[Severidad]],Resumen!$P$14)</f>
        <v>106</v>
      </c>
      <c r="F33" s="124">
        <f>E33/$C$10</f>
        <v>2.8648648648648649</v>
      </c>
      <c r="G33" s="119"/>
      <c r="H33" s="122" t="s">
        <v>39</v>
      </c>
      <c r="I33" s="126">
        <f>COUNTIFS(Observaciones[[#All],[Severidad]],Resumen!$P$14,Observaciones[[#All],[Prioridad]],Resumen!$P$17)</f>
        <v>109</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20</v>
      </c>
      <c r="D34" s="129">
        <f>SUM(D30:D33)</f>
        <v>0.54054054054054057</v>
      </c>
      <c r="E34" s="128">
        <f>SUM(E30:E33)</f>
        <v>425</v>
      </c>
      <c r="F34" s="129">
        <f>SUM(F30:F33)</f>
        <v>11.486486486486486</v>
      </c>
      <c r="G34" s="119"/>
      <c r="H34" s="122" t="s">
        <v>72</v>
      </c>
      <c r="I34" s="130">
        <f>SUM(I30:I33)</f>
        <v>445</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73" workbookViewId="0">
      <selection activeCell="E111" sqref="E11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6.9639639639639643</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1"/>
  <sheetViews>
    <sheetView topLeftCell="A40" zoomScale="85" zoomScaleNormal="85" workbookViewId="0">
      <selection activeCell="A41" sqref="A41"/>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1142</v>
      </c>
      <c r="R5" s="102"/>
    </row>
    <row r="6" spans="1:18" ht="4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1143</v>
      </c>
      <c r="Q6" s="90"/>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1090</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1144</v>
      </c>
      <c r="Q8" s="90"/>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1091</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1092</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1093</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1094</v>
      </c>
      <c r="Q12" s="90"/>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1095</v>
      </c>
      <c r="Q13" s="90"/>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t="s">
        <v>1096</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1097</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1098</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1099</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1100</v>
      </c>
      <c r="Q18" s="90"/>
    </row>
    <row r="19" spans="1:17" ht="78.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1145</v>
      </c>
      <c r="Q19" s="90"/>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1064</v>
      </c>
      <c r="Q23" s="90"/>
    </row>
    <row r="24" spans="1:17" ht="112.5">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OK</v>
      </c>
      <c r="G27" s="92" t="s">
        <v>19</v>
      </c>
      <c r="H27" s="90" t="s">
        <v>28</v>
      </c>
      <c r="I27" s="92"/>
      <c r="J27" s="90"/>
      <c r="K27" s="90"/>
      <c r="L27" s="93">
        <f>General!$A$10</f>
        <v>0</v>
      </c>
      <c r="M27" s="93"/>
      <c r="N27" s="90"/>
      <c r="O27" s="90"/>
      <c r="P27" s="92" t="s">
        <v>1065</v>
      </c>
      <c r="Q27" s="90"/>
    </row>
    <row r="28" spans="1:17" ht="22.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OK</v>
      </c>
      <c r="G28" s="92" t="s">
        <v>19</v>
      </c>
      <c r="H28" s="90" t="s">
        <v>28</v>
      </c>
      <c r="I28" s="92"/>
      <c r="J28" s="90"/>
      <c r="K28" s="90"/>
      <c r="L28" s="93">
        <f>General!$A$10</f>
        <v>0</v>
      </c>
      <c r="M28" s="93"/>
      <c r="N28" s="90"/>
      <c r="O28" s="90"/>
      <c r="P28" s="92" t="s">
        <v>1066</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8"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1039</v>
      </c>
      <c r="Q30" s="90"/>
    </row>
    <row r="31" spans="1:17" ht="30">
      <c r="A31" s="90" t="s">
        <v>159</v>
      </c>
      <c r="B31" s="168"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1040</v>
      </c>
      <c r="Q31" s="90"/>
    </row>
    <row r="32" spans="1:17" ht="56.25">
      <c r="A32" s="90" t="s">
        <v>159</v>
      </c>
      <c r="B32" s="168"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1067</v>
      </c>
      <c r="Q32" s="90"/>
    </row>
    <row r="33" spans="1:17" ht="168.75">
      <c r="A33" s="90" t="s">
        <v>159</v>
      </c>
      <c r="B33" s="168"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8"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1041</v>
      </c>
      <c r="Q34" s="90"/>
    </row>
    <row r="35" spans="1:17" ht="180">
      <c r="A35" s="90" t="s">
        <v>159</v>
      </c>
      <c r="B35" s="168"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8"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8" t="s">
        <v>904</v>
      </c>
      <c r="C37" s="90" t="s">
        <v>170</v>
      </c>
      <c r="D37" s="169"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1022</v>
      </c>
      <c r="Q37" s="90" t="str">
        <f>CONCATENATE(General!$B$7," ",General!$B$6)</f>
        <v>Nicolay García José Ramos Ramírez</v>
      </c>
    </row>
    <row r="38" spans="1:17" ht="202.5">
      <c r="A38" s="90" t="s">
        <v>159</v>
      </c>
      <c r="B38" s="168" t="s">
        <v>905</v>
      </c>
      <c r="C38" s="90" t="s">
        <v>170</v>
      </c>
      <c r="D38" s="169"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1023</v>
      </c>
      <c r="Q38" s="90" t="str">
        <f>CONCATENATE(General!$B$7," ",General!$B$6)</f>
        <v>Nicolay García José Ramos Ramírez</v>
      </c>
    </row>
    <row r="39" spans="1:17" ht="90">
      <c r="A39" s="90" t="s">
        <v>159</v>
      </c>
      <c r="B39" s="168" t="s">
        <v>906</v>
      </c>
      <c r="C39" s="90" t="s">
        <v>170</v>
      </c>
      <c r="D39" s="169"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8"/>
      <c r="L39" s="172">
        <f>General!$A$10</f>
        <v>0</v>
      </c>
      <c r="M39" s="172"/>
      <c r="N39" s="168"/>
      <c r="O39" s="168"/>
      <c r="P39" s="171" t="s">
        <v>1024</v>
      </c>
      <c r="Q39" s="90" t="str">
        <f>CONCATENATE(General!$B$7," ",General!$B$6)</f>
        <v>Nicolay García José Ramos Ramírez</v>
      </c>
    </row>
    <row r="40" spans="1:17" ht="409.5">
      <c r="A40" s="168" t="s">
        <v>159</v>
      </c>
      <c r="B40" s="168" t="s">
        <v>1194</v>
      </c>
      <c r="C40" s="90" t="s">
        <v>170</v>
      </c>
      <c r="D40" s="169" t="s">
        <v>1101</v>
      </c>
      <c r="E40" s="90" t="s">
        <v>160</v>
      </c>
      <c r="F40" s="91" t="str">
        <f>IF(CasoPrueba[[#This Row],[Estado Testing]]=Resumen!$P$28,"OK",IF(CasoPrueba[[#This Row],[Estado Testing]]=Resumen!$P$29,"NO OK",IF((CasoPrueba[[#This Row],[Estado Testing]]=Resumen!$P$30)+(CasoPrueba[[#This Row],[Estado Testing]]=Resumen!$P$31),"OBSERVADO","")))</f>
        <v>NO OK</v>
      </c>
      <c r="G40" s="92" t="s">
        <v>20</v>
      </c>
      <c r="H40" s="90" t="s">
        <v>28</v>
      </c>
      <c r="I40" s="92" t="s">
        <v>28</v>
      </c>
      <c r="J40" s="90" t="s">
        <v>47</v>
      </c>
      <c r="K40" s="168"/>
      <c r="L40" s="172">
        <f>General!$A$10</f>
        <v>0</v>
      </c>
      <c r="M40" s="172"/>
      <c r="N40" s="168"/>
      <c r="O40" s="168"/>
      <c r="P40" s="171" t="s">
        <v>1319</v>
      </c>
      <c r="Q40" s="90" t="str">
        <f>CONCATENATE(General!$B$7," ",General!$B$6)</f>
        <v>Nicolay García José Ramos Ramírez</v>
      </c>
    </row>
    <row r="41" spans="1:17" ht="22.5">
      <c r="A41" s="168" t="s">
        <v>159</v>
      </c>
      <c r="B41" s="168" t="s">
        <v>1198</v>
      </c>
      <c r="C41" s="90" t="s">
        <v>170</v>
      </c>
      <c r="D41" s="31" t="s">
        <v>1199</v>
      </c>
      <c r="E41" s="90" t="s">
        <v>160</v>
      </c>
      <c r="F41" s="91" t="str">
        <f>IF(CasoPrueba[[#This Row],[Estado Testing]]=Resumen!$P$28,"OK",IF(CasoPrueba[[#This Row],[Estado Testing]]=Resumen!$P$29,"NO OK",IF((CasoPrueba[[#This Row],[Estado Testing]]=Resumen!$P$30)+(CasoPrueba[[#This Row],[Estado Testing]]=Resumen!$P$31),"OBSERVADO","")))</f>
        <v>OK</v>
      </c>
      <c r="G41" s="92" t="s">
        <v>19</v>
      </c>
      <c r="H41" s="90" t="s">
        <v>28</v>
      </c>
      <c r="I41" s="92" t="s">
        <v>28</v>
      </c>
      <c r="J41" s="90" t="s">
        <v>47</v>
      </c>
      <c r="K41" s="168"/>
      <c r="L41" s="172">
        <f>General!$A$10</f>
        <v>0</v>
      </c>
      <c r="M41" s="172"/>
      <c r="N41" s="168"/>
      <c r="O41" s="168"/>
      <c r="P41" s="171"/>
      <c r="Q41"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447"/>
  <sheetViews>
    <sheetView tabSelected="1" zoomScale="85" zoomScaleNormal="85" workbookViewId="0">
      <selection activeCell="J448" sqref="J448"/>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6"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6"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6"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6"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6"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6"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6"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6"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6"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6"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6"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6"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6"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6"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6"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960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6"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6"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6"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6"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6"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6" t="s">
        <v>680</v>
      </c>
      <c r="B239" s="34" t="s">
        <v>887</v>
      </c>
      <c r="C239" s="34" t="str">
        <f>VLOOKUP(Observaciones[Caso de Prueba],CasoPrueba[[#All],[Código CP]:[Prioridad]],7,TRUE)</f>
        <v>Alta</v>
      </c>
      <c r="D239" s="34" t="s">
        <v>162</v>
      </c>
      <c r="E239" s="34" t="s">
        <v>49</v>
      </c>
      <c r="F239" s="73">
        <v>40838</v>
      </c>
      <c r="G239" s="73">
        <v>40843</v>
      </c>
      <c r="H239" s="94" t="s">
        <v>132</v>
      </c>
      <c r="I239" s="34" t="s">
        <v>907</v>
      </c>
      <c r="J239" s="34" t="s">
        <v>966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6" t="s">
        <v>681</v>
      </c>
      <c r="B240" s="34" t="s">
        <v>887</v>
      </c>
      <c r="C240" s="34" t="str">
        <f>VLOOKUP(Observaciones[Caso de Prueba],CasoPrueba[[#All],[Código CP]:[Prioridad]],7,TRUE)</f>
        <v>Alta</v>
      </c>
      <c r="D240" s="34" t="s">
        <v>162</v>
      </c>
      <c r="E240" s="34" t="s">
        <v>49</v>
      </c>
      <c r="F240" s="73">
        <v>40838</v>
      </c>
      <c r="G240" s="73">
        <v>40843</v>
      </c>
      <c r="H240" s="94" t="s">
        <v>132</v>
      </c>
      <c r="I240" s="34" t="s">
        <v>908</v>
      </c>
      <c r="J240" s="34" t="s">
        <v>967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6" t="s">
        <v>682</v>
      </c>
      <c r="B241" s="34" t="s">
        <v>887</v>
      </c>
      <c r="C241" s="34" t="str">
        <f>VLOOKUP(Observaciones[Caso de Prueba],CasoPrueba[[#All],[Código CP]:[Prioridad]],7,TRUE)</f>
        <v>Alta</v>
      </c>
      <c r="D241" s="34" t="s">
        <v>162</v>
      </c>
      <c r="E241" s="34" t="s">
        <v>49</v>
      </c>
      <c r="F241" s="73">
        <v>40838</v>
      </c>
      <c r="G241" s="73">
        <v>40843</v>
      </c>
      <c r="H241" s="94" t="s">
        <v>132</v>
      </c>
      <c r="I241" s="34" t="s">
        <v>909</v>
      </c>
      <c r="J241" s="34" t="s">
        <v>968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6" t="s">
        <v>683</v>
      </c>
      <c r="B242" s="34" t="s">
        <v>887</v>
      </c>
      <c r="C242" s="34" t="str">
        <f>VLOOKUP(Observaciones[Caso de Prueba],CasoPrueba[[#All],[Código CP]:[Prioridad]],7,TRUE)</f>
        <v>Alta</v>
      </c>
      <c r="D242" s="34" t="s">
        <v>162</v>
      </c>
      <c r="E242" s="34" t="s">
        <v>49</v>
      </c>
      <c r="F242" s="73">
        <v>40838</v>
      </c>
      <c r="G242" s="73">
        <v>40843</v>
      </c>
      <c r="H242" s="94" t="s">
        <v>132</v>
      </c>
      <c r="I242" s="34" t="s">
        <v>917</v>
      </c>
      <c r="J242" s="34" t="s">
        <v>969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6" t="s">
        <v>684</v>
      </c>
      <c r="B243" s="34" t="s">
        <v>887</v>
      </c>
      <c r="C243" s="34" t="str">
        <f>VLOOKUP(Observaciones[Caso de Prueba],CasoPrueba[[#All],[Código CP]:[Prioridad]],7,TRUE)</f>
        <v>Alta</v>
      </c>
      <c r="D243" s="34" t="s">
        <v>28</v>
      </c>
      <c r="E243" s="34" t="s">
        <v>49</v>
      </c>
      <c r="F243" s="73">
        <v>40838</v>
      </c>
      <c r="G243" s="73">
        <v>40843</v>
      </c>
      <c r="H243" s="94" t="s">
        <v>132</v>
      </c>
      <c r="I243" s="34" t="s">
        <v>597</v>
      </c>
      <c r="J243" s="34" t="s">
        <v>970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6" t="s">
        <v>685</v>
      </c>
      <c r="B244" s="34" t="s">
        <v>887</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6" t="s">
        <v>686</v>
      </c>
      <c r="B245" s="34" t="s">
        <v>887</v>
      </c>
      <c r="C245" s="34" t="str">
        <f>VLOOKUP(Observaciones[Caso de Prueba],CasoPrueba[[#All],[Código CP]:[Prioridad]],7,TRUE)</f>
        <v>Alta</v>
      </c>
      <c r="D245" s="34" t="s">
        <v>162</v>
      </c>
      <c r="E245" s="34" t="s">
        <v>49</v>
      </c>
      <c r="F245" s="73">
        <v>40838</v>
      </c>
      <c r="G245" s="73">
        <v>40843</v>
      </c>
      <c r="H245" s="94" t="s">
        <v>132</v>
      </c>
      <c r="I245" s="34" t="s">
        <v>910</v>
      </c>
      <c r="J245" s="34" t="s">
        <v>971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6" t="s">
        <v>687</v>
      </c>
      <c r="B246" s="34" t="s">
        <v>887</v>
      </c>
      <c r="C246" s="34" t="str">
        <f>VLOOKUP(Observaciones[Caso de Prueba],CasoPrueba[[#All],[Código CP]:[Prioridad]],7,TRUE)</f>
        <v>Alta</v>
      </c>
      <c r="D246" s="34" t="s">
        <v>29</v>
      </c>
      <c r="E246" s="34" t="s">
        <v>49</v>
      </c>
      <c r="F246" s="73">
        <v>40838</v>
      </c>
      <c r="G246" s="73">
        <v>40843</v>
      </c>
      <c r="H246" s="94" t="s">
        <v>132</v>
      </c>
      <c r="I246" s="34" t="s">
        <v>911</v>
      </c>
      <c r="J246" s="34" t="s">
        <v>972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6" t="s">
        <v>688</v>
      </c>
      <c r="B247" s="34" t="s">
        <v>887</v>
      </c>
      <c r="C247" s="34" t="str">
        <f>VLOOKUP(Observaciones[Caso de Prueba],CasoPrueba[[#All],[Código CP]:[Prioridad]],7,TRUE)</f>
        <v>Alta</v>
      </c>
      <c r="D247" s="34" t="s">
        <v>162</v>
      </c>
      <c r="E247" s="34" t="s">
        <v>49</v>
      </c>
      <c r="F247" s="73">
        <v>40838</v>
      </c>
      <c r="G247" s="73">
        <v>40843</v>
      </c>
      <c r="H247" s="94" t="s">
        <v>132</v>
      </c>
      <c r="I247" s="34" t="s">
        <v>912</v>
      </c>
      <c r="J247" s="34" t="s">
        <v>968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6" t="s">
        <v>689</v>
      </c>
      <c r="B248" s="34" t="s">
        <v>887</v>
      </c>
      <c r="C248" s="34" t="str">
        <f>VLOOKUP(Observaciones[Caso de Prueba],CasoPrueba[[#All],[Código CP]:[Prioridad]],7,TRUE)</f>
        <v>Alta</v>
      </c>
      <c r="D248" s="34" t="s">
        <v>29</v>
      </c>
      <c r="E248" s="34" t="s">
        <v>49</v>
      </c>
      <c r="F248" s="73">
        <v>40838</v>
      </c>
      <c r="G248" s="73">
        <v>40843</v>
      </c>
      <c r="H248" s="94" t="s">
        <v>132</v>
      </c>
      <c r="I248" s="34" t="s">
        <v>913</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6" t="s">
        <v>690</v>
      </c>
      <c r="B249" s="34" t="s">
        <v>887</v>
      </c>
      <c r="C249" s="34" t="str">
        <f>VLOOKUP(Observaciones[Caso de Prueba],CasoPrueba[[#All],[Código CP]:[Prioridad]],7,TRUE)</f>
        <v>Alta</v>
      </c>
      <c r="D249" s="34" t="s">
        <v>29</v>
      </c>
      <c r="E249" s="34" t="s">
        <v>49</v>
      </c>
      <c r="F249" s="73">
        <v>40838</v>
      </c>
      <c r="G249" s="73">
        <v>40843</v>
      </c>
      <c r="H249" s="94" t="s">
        <v>132</v>
      </c>
      <c r="I249" s="34" t="s">
        <v>1037</v>
      </c>
      <c r="J249" s="34" t="s">
        <v>973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6" t="s">
        <v>691</v>
      </c>
      <c r="B250" s="34" t="s">
        <v>887</v>
      </c>
      <c r="C250" s="34" t="str">
        <f>VLOOKUP(Observaciones[Caso de Prueba],CasoPrueba[[#All],[Código CP]:[Prioridad]],7,TRUE)</f>
        <v>Alta</v>
      </c>
      <c r="D250" s="34" t="s">
        <v>162</v>
      </c>
      <c r="E250" s="34" t="s">
        <v>49</v>
      </c>
      <c r="F250" s="73">
        <v>40838</v>
      </c>
      <c r="G250" s="73">
        <v>40843</v>
      </c>
      <c r="H250" s="94" t="s">
        <v>132</v>
      </c>
      <c r="I250" s="34" t="s">
        <v>914</v>
      </c>
      <c r="J250" s="34" t="s">
        <v>968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6" t="s">
        <v>692</v>
      </c>
      <c r="B251" s="34" t="s">
        <v>887</v>
      </c>
      <c r="C251" s="34" t="str">
        <f>VLOOKUP(Observaciones[Caso de Prueba],CasoPrueba[[#All],[Código CP]:[Prioridad]],7,TRUE)</f>
        <v>Alta</v>
      </c>
      <c r="D251" s="34" t="s">
        <v>162</v>
      </c>
      <c r="E251" s="34" t="s">
        <v>49</v>
      </c>
      <c r="F251" s="73">
        <v>40838</v>
      </c>
      <c r="G251" s="73">
        <v>40843</v>
      </c>
      <c r="H251" s="94" t="s">
        <v>132</v>
      </c>
      <c r="I251" s="34" t="s">
        <v>915</v>
      </c>
      <c r="J251" s="34" t="s">
        <v>968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6" t="s">
        <v>693</v>
      </c>
      <c r="B252" s="34" t="s">
        <v>887</v>
      </c>
      <c r="C252" s="34" t="str">
        <f>VLOOKUP(Observaciones[Caso de Prueba],CasoPrueba[[#All],[Código CP]:[Prioridad]],7,TRUE)</f>
        <v>Alta</v>
      </c>
      <c r="D252" s="34" t="s">
        <v>29</v>
      </c>
      <c r="E252" s="34" t="s">
        <v>49</v>
      </c>
      <c r="F252" s="73">
        <v>40838</v>
      </c>
      <c r="G252" s="73">
        <v>40843</v>
      </c>
      <c r="H252" s="94" t="s">
        <v>132</v>
      </c>
      <c r="I252" s="34" t="s">
        <v>916</v>
      </c>
      <c r="J252" s="34" t="s">
        <v>974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6" t="s">
        <v>694</v>
      </c>
      <c r="B253" s="34" t="s">
        <v>888</v>
      </c>
      <c r="C253" s="34" t="str">
        <f>VLOOKUP(Observaciones[Caso de Prueba],CasoPrueba[[#All],[Código CP]:[Prioridad]],7,TRUE)</f>
        <v>Alta</v>
      </c>
      <c r="D253" s="34" t="s">
        <v>28</v>
      </c>
      <c r="E253" s="34" t="s">
        <v>49</v>
      </c>
      <c r="F253" s="73">
        <v>40838</v>
      </c>
      <c r="G253" s="73">
        <v>40843</v>
      </c>
      <c r="H253" s="94" t="s">
        <v>132</v>
      </c>
      <c r="I253" s="34" t="s">
        <v>597</v>
      </c>
      <c r="J253" s="34" t="s">
        <v>975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6" t="s">
        <v>695</v>
      </c>
      <c r="B254" s="34" t="s">
        <v>888</v>
      </c>
      <c r="C254" s="34" t="str">
        <f>VLOOKUP(Observaciones[Caso de Prueba],CasoPrueba[[#All],[Código CP]:[Prioridad]],7,TRUE)</f>
        <v>Alta</v>
      </c>
      <c r="D254" s="34" t="s">
        <v>162</v>
      </c>
      <c r="E254" s="34" t="s">
        <v>49</v>
      </c>
      <c r="F254" s="73">
        <v>40838</v>
      </c>
      <c r="G254" s="73">
        <v>40843</v>
      </c>
      <c r="H254" s="94" t="s">
        <v>132</v>
      </c>
      <c r="I254" s="34" t="s">
        <v>918</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6" t="s">
        <v>696</v>
      </c>
      <c r="B255" s="34" t="s">
        <v>888</v>
      </c>
      <c r="C255" s="34" t="str">
        <f>VLOOKUP(Observaciones[Caso de Prueba],CasoPrueba[[#All],[Código CP]:[Prioridad]],7,TRUE)</f>
        <v>Alta</v>
      </c>
      <c r="D255" s="34" t="s">
        <v>162</v>
      </c>
      <c r="E255" s="34" t="s">
        <v>49</v>
      </c>
      <c r="F255" s="73">
        <v>40838</v>
      </c>
      <c r="G255" s="73">
        <v>40843</v>
      </c>
      <c r="H255" s="94" t="s">
        <v>132</v>
      </c>
      <c r="I255" s="34" t="s">
        <v>919</v>
      </c>
      <c r="J255" s="34" t="s">
        <v>976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6" t="s">
        <v>697</v>
      </c>
      <c r="B256" s="34" t="s">
        <v>888</v>
      </c>
      <c r="C256" s="34" t="str">
        <f>VLOOKUP(Observaciones[Caso de Prueba],CasoPrueba[[#All],[Código CP]:[Prioridad]],7,TRUE)</f>
        <v>Alta</v>
      </c>
      <c r="D256" s="34" t="s">
        <v>29</v>
      </c>
      <c r="E256" s="34" t="s">
        <v>49</v>
      </c>
      <c r="F256" s="73">
        <v>40838</v>
      </c>
      <c r="G256" s="73">
        <v>40843</v>
      </c>
      <c r="H256" s="94" t="s">
        <v>132</v>
      </c>
      <c r="I256" s="34" t="s">
        <v>599</v>
      </c>
      <c r="J256" s="34" t="s">
        <v>981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6" t="s">
        <v>698</v>
      </c>
      <c r="B257" s="34" t="s">
        <v>888</v>
      </c>
      <c r="C257" s="34" t="str">
        <f>VLOOKUP(Observaciones[Caso de Prueba],CasoPrueba[[#All],[Código CP]:[Prioridad]],7,TRUE)</f>
        <v>Alta</v>
      </c>
      <c r="D257" s="34" t="s">
        <v>28</v>
      </c>
      <c r="E257" s="34" t="s">
        <v>49</v>
      </c>
      <c r="F257" s="73">
        <v>40838</v>
      </c>
      <c r="G257" s="73">
        <v>40843</v>
      </c>
      <c r="H257" s="94" t="s">
        <v>132</v>
      </c>
      <c r="I257" s="34" t="s">
        <v>871</v>
      </c>
      <c r="J257" s="34" t="s">
        <v>977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6" t="s">
        <v>699</v>
      </c>
      <c r="B258" s="34" t="s">
        <v>888</v>
      </c>
      <c r="C258" s="34" t="str">
        <f>VLOOKUP(Observaciones[Caso de Prueba],CasoPrueba[[#All],[Código CP]:[Prioridad]],7,TRUE)</f>
        <v>Alta</v>
      </c>
      <c r="D258" s="34" t="s">
        <v>28</v>
      </c>
      <c r="E258" s="34" t="s">
        <v>49</v>
      </c>
      <c r="F258" s="73">
        <v>40838</v>
      </c>
      <c r="G258" s="73">
        <v>40843</v>
      </c>
      <c r="H258" s="94" t="s">
        <v>132</v>
      </c>
      <c r="I258" s="34" t="s">
        <v>920</v>
      </c>
      <c r="J258" s="34" t="s">
        <v>982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6" t="s">
        <v>700</v>
      </c>
      <c r="B259" s="34" t="s">
        <v>888</v>
      </c>
      <c r="C259" s="34" t="str">
        <f>VLOOKUP(Observaciones[Caso de Prueba],CasoPrueba[[#All],[Código CP]:[Prioridad]],7,TRUE)</f>
        <v>Alta</v>
      </c>
      <c r="D259" s="34" t="s">
        <v>29</v>
      </c>
      <c r="E259" s="34" t="s">
        <v>49</v>
      </c>
      <c r="F259" s="73">
        <v>40838</v>
      </c>
      <c r="G259" s="73">
        <v>40843</v>
      </c>
      <c r="H259" s="94" t="s">
        <v>132</v>
      </c>
      <c r="I259" s="34" t="s">
        <v>921</v>
      </c>
      <c r="J259" s="34" t="s">
        <v>978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6" t="s">
        <v>701</v>
      </c>
      <c r="B260" s="34" t="s">
        <v>888</v>
      </c>
      <c r="C260" s="34" t="str">
        <f>VLOOKUP(Observaciones[Caso de Prueba],CasoPrueba[[#All],[Código CP]:[Prioridad]],7,TRUE)</f>
        <v>Alta</v>
      </c>
      <c r="D260" s="34" t="s">
        <v>29</v>
      </c>
      <c r="E260" s="34" t="s">
        <v>49</v>
      </c>
      <c r="F260" s="73">
        <v>40838</v>
      </c>
      <c r="G260" s="73">
        <v>40843</v>
      </c>
      <c r="H260" s="94" t="s">
        <v>132</v>
      </c>
      <c r="I260" s="34" t="s">
        <v>922</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6" t="s">
        <v>702</v>
      </c>
      <c r="B261" s="34" t="s">
        <v>888</v>
      </c>
      <c r="C261" s="34" t="str">
        <f>VLOOKUP(Observaciones[Caso de Prueba],CasoPrueba[[#All],[Código CP]:[Prioridad]],7,TRUE)</f>
        <v>Alta</v>
      </c>
      <c r="D261" s="34" t="s">
        <v>162</v>
      </c>
      <c r="E261" s="34" t="s">
        <v>49</v>
      </c>
      <c r="F261" s="73">
        <v>40838</v>
      </c>
      <c r="G261" s="73">
        <v>40843</v>
      </c>
      <c r="H261" s="94" t="s">
        <v>132</v>
      </c>
      <c r="I261" s="34" t="s">
        <v>923</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6" t="s">
        <v>703</v>
      </c>
      <c r="B262" s="34" t="s">
        <v>888</v>
      </c>
      <c r="C262" s="34" t="str">
        <f>VLOOKUP(Observaciones[Caso de Prueba],CasoPrueba[[#All],[Código CP]:[Prioridad]],7,TRUE)</f>
        <v>Alta</v>
      </c>
      <c r="D262" s="34" t="s">
        <v>29</v>
      </c>
      <c r="E262" s="34" t="s">
        <v>49</v>
      </c>
      <c r="F262" s="73">
        <v>40838</v>
      </c>
      <c r="G262" s="73">
        <v>40843</v>
      </c>
      <c r="H262" s="94" t="s">
        <v>132</v>
      </c>
      <c r="I262" s="34" t="s">
        <v>925</v>
      </c>
      <c r="J262" s="34" t="s">
        <v>979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6" t="s">
        <v>704</v>
      </c>
      <c r="B263" s="34" t="s">
        <v>888</v>
      </c>
      <c r="C263" s="34" t="str">
        <f>VLOOKUP(Observaciones[Caso de Prueba],CasoPrueba[[#All],[Código CP]:[Prioridad]],7,TRUE)</f>
        <v>Alta</v>
      </c>
      <c r="D263" s="34" t="s">
        <v>29</v>
      </c>
      <c r="E263" s="34" t="s">
        <v>49</v>
      </c>
      <c r="F263" s="73">
        <v>40838</v>
      </c>
      <c r="G263" s="73">
        <v>40843</v>
      </c>
      <c r="H263" s="94" t="s">
        <v>132</v>
      </c>
      <c r="I263" s="34" t="s">
        <v>924</v>
      </c>
      <c r="J263" s="34" t="s">
        <v>980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6" t="s">
        <v>705</v>
      </c>
      <c r="B264" s="34" t="s">
        <v>889</v>
      </c>
      <c r="C264" s="34" t="str">
        <f>VLOOKUP(Observaciones[Caso de Prueba],CasoPrueba[[#All],[Código CP]:[Prioridad]],7,TRUE)</f>
        <v>Alta</v>
      </c>
      <c r="D264" s="34" t="s">
        <v>162</v>
      </c>
      <c r="E264" s="34" t="s">
        <v>49</v>
      </c>
      <c r="F264" s="73">
        <v>40838</v>
      </c>
      <c r="G264" s="73">
        <v>40843</v>
      </c>
      <c r="H264" s="94" t="s">
        <v>132</v>
      </c>
      <c r="I264" s="34" t="s">
        <v>926</v>
      </c>
      <c r="J264" s="34" t="s">
        <v>987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6" t="s">
        <v>706</v>
      </c>
      <c r="B265" s="34" t="s">
        <v>889</v>
      </c>
      <c r="C265" s="34" t="str">
        <f>VLOOKUP(Observaciones[Caso de Prueba],CasoPrueba[[#All],[Código CP]:[Prioridad]],7,TRUE)</f>
        <v>Alta</v>
      </c>
      <c r="D265" s="34" t="s">
        <v>162</v>
      </c>
      <c r="E265" s="34" t="s">
        <v>49</v>
      </c>
      <c r="F265" s="73">
        <v>40838</v>
      </c>
      <c r="G265" s="73">
        <v>40843</v>
      </c>
      <c r="H265" s="94" t="s">
        <v>132</v>
      </c>
      <c r="I265" s="34" t="s">
        <v>931</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6" t="s">
        <v>707</v>
      </c>
      <c r="B266" s="34" t="s">
        <v>889</v>
      </c>
      <c r="C266" s="34" t="str">
        <f>VLOOKUP(Observaciones[Caso de Prueba],CasoPrueba[[#All],[Código CP]:[Prioridad]],7,TRUE)</f>
        <v>Alta</v>
      </c>
      <c r="D266" s="34" t="s">
        <v>30</v>
      </c>
      <c r="E266" s="34" t="s">
        <v>49</v>
      </c>
      <c r="F266" s="73">
        <v>40838</v>
      </c>
      <c r="G266" s="73">
        <v>40843</v>
      </c>
      <c r="H266" s="94" t="s">
        <v>132</v>
      </c>
      <c r="I266" s="34" t="s">
        <v>932</v>
      </c>
      <c r="J266" s="34" t="s">
        <v>990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6" t="s">
        <v>708</v>
      </c>
      <c r="B267" s="34" t="s">
        <v>889</v>
      </c>
      <c r="C267" s="34" t="str">
        <f>VLOOKUP(Observaciones[Caso de Prueba],CasoPrueba[[#All],[Código CP]:[Prioridad]],7,TRUE)</f>
        <v>Alta</v>
      </c>
      <c r="D267" s="34" t="s">
        <v>162</v>
      </c>
      <c r="E267" s="34" t="s">
        <v>49</v>
      </c>
      <c r="F267" s="73">
        <v>40838</v>
      </c>
      <c r="G267" s="73">
        <v>40843</v>
      </c>
      <c r="H267" s="94" t="s">
        <v>132</v>
      </c>
      <c r="I267" s="34" t="s">
        <v>927</v>
      </c>
      <c r="J267" s="34" t="s">
        <v>988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6" t="s">
        <v>709</v>
      </c>
      <c r="B268" s="34" t="s">
        <v>889</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6" t="s">
        <v>710</v>
      </c>
      <c r="B269" s="34" t="s">
        <v>889</v>
      </c>
      <c r="C269" s="34" t="str">
        <f>VLOOKUP(Observaciones[Caso de Prueba],CasoPrueba[[#All],[Código CP]:[Prioridad]],7,TRUE)</f>
        <v>Alta</v>
      </c>
      <c r="D269" s="34" t="s">
        <v>28</v>
      </c>
      <c r="E269" s="34" t="s">
        <v>49</v>
      </c>
      <c r="F269" s="73">
        <v>40838</v>
      </c>
      <c r="G269" s="73">
        <v>40843</v>
      </c>
      <c r="H269" s="94" t="s">
        <v>132</v>
      </c>
      <c r="I269" s="34" t="s">
        <v>871</v>
      </c>
      <c r="J269" s="34" t="s">
        <v>986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6" t="s">
        <v>711</v>
      </c>
      <c r="B270" s="34" t="s">
        <v>889</v>
      </c>
      <c r="C270" s="34" t="str">
        <f>VLOOKUP(Observaciones[Caso de Prueba],CasoPrueba[[#All],[Código CP]:[Prioridad]],7,TRUE)</f>
        <v>Alta</v>
      </c>
      <c r="D270" s="34" t="s">
        <v>28</v>
      </c>
      <c r="E270" s="34" t="s">
        <v>49</v>
      </c>
      <c r="F270" s="73">
        <v>40838</v>
      </c>
      <c r="G270" s="73">
        <v>40843</v>
      </c>
      <c r="H270" s="94" t="s">
        <v>132</v>
      </c>
      <c r="I270" s="34" t="s">
        <v>928</v>
      </c>
      <c r="J270" s="34" t="s">
        <v>995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6" t="s">
        <v>712</v>
      </c>
      <c r="B271" s="34" t="s">
        <v>889</v>
      </c>
      <c r="C271" s="34" t="str">
        <f>VLOOKUP(Observaciones[Caso de Prueba],CasoPrueba[[#All],[Código CP]:[Prioridad]],7,TRUE)</f>
        <v>Alta</v>
      </c>
      <c r="D271" s="34" t="s">
        <v>29</v>
      </c>
      <c r="E271" s="34" t="s">
        <v>49</v>
      </c>
      <c r="F271" s="73">
        <v>40838</v>
      </c>
      <c r="G271" s="73">
        <v>40843</v>
      </c>
      <c r="H271" s="94" t="s">
        <v>132</v>
      </c>
      <c r="I271" s="34" t="s">
        <v>929</v>
      </c>
      <c r="J271" s="34" t="s">
        <v>992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6" t="s">
        <v>713</v>
      </c>
      <c r="B272" s="34" t="s">
        <v>889</v>
      </c>
      <c r="C272" s="34" t="str">
        <f>VLOOKUP(Observaciones[Caso de Prueba],CasoPrueba[[#All],[Código CP]:[Prioridad]],7,TRUE)</f>
        <v>Alta</v>
      </c>
      <c r="D272" s="34" t="s">
        <v>29</v>
      </c>
      <c r="E272" s="34" t="s">
        <v>49</v>
      </c>
      <c r="F272" s="73">
        <v>40838</v>
      </c>
      <c r="G272" s="73">
        <v>40843</v>
      </c>
      <c r="H272" s="94" t="s">
        <v>132</v>
      </c>
      <c r="I272" s="34" t="s">
        <v>930</v>
      </c>
      <c r="J272" s="34" t="s">
        <v>993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6" t="s">
        <v>714</v>
      </c>
      <c r="B273" s="34" t="s">
        <v>889</v>
      </c>
      <c r="C273" s="34" t="str">
        <f>VLOOKUP(Observaciones[Caso de Prueba],CasoPrueba[[#All],[Código CP]:[Prioridad]],7,TRUE)</f>
        <v>Alta</v>
      </c>
      <c r="D273" s="34" t="s">
        <v>30</v>
      </c>
      <c r="E273" s="34" t="s">
        <v>49</v>
      </c>
      <c r="F273" s="73">
        <v>40838</v>
      </c>
      <c r="G273" s="73">
        <v>40843</v>
      </c>
      <c r="H273" s="94" t="s">
        <v>132</v>
      </c>
      <c r="I273" s="34" t="s">
        <v>933</v>
      </c>
      <c r="J273" s="34" t="s">
        <v>991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6" t="s">
        <v>715</v>
      </c>
      <c r="B274" s="34" t="s">
        <v>889</v>
      </c>
      <c r="C274" s="34" t="str">
        <f>VLOOKUP(Observaciones[Caso de Prueba],CasoPrueba[[#All],[Código CP]:[Prioridad]],7,TRUE)</f>
        <v>Alta</v>
      </c>
      <c r="D274" s="34" t="s">
        <v>29</v>
      </c>
      <c r="E274" s="34" t="s">
        <v>49</v>
      </c>
      <c r="F274" s="73">
        <v>40838</v>
      </c>
      <c r="G274" s="73">
        <v>40843</v>
      </c>
      <c r="H274" s="94" t="s">
        <v>132</v>
      </c>
      <c r="I274" s="34" t="s">
        <v>934</v>
      </c>
      <c r="J274" s="34" t="s">
        <v>994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6" t="s">
        <v>716</v>
      </c>
      <c r="B275" s="34" t="s">
        <v>889</v>
      </c>
      <c r="C275" s="34" t="str">
        <f>VLOOKUP(Observaciones[Caso de Prueba],CasoPrueba[[#All],[Código CP]:[Prioridad]],7,TRUE)</f>
        <v>Alta</v>
      </c>
      <c r="D275" s="34" t="s">
        <v>30</v>
      </c>
      <c r="E275" s="34" t="s">
        <v>49</v>
      </c>
      <c r="F275" s="73">
        <v>40838</v>
      </c>
      <c r="G275" s="73">
        <v>40843</v>
      </c>
      <c r="H275" s="94" t="s">
        <v>132</v>
      </c>
      <c r="I275" s="34" t="s">
        <v>935</v>
      </c>
      <c r="J275" s="34" t="s">
        <v>991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6" t="s">
        <v>717</v>
      </c>
      <c r="B276" s="34" t="s">
        <v>889</v>
      </c>
      <c r="C276" s="34" t="str">
        <f>VLOOKUP(Observaciones[Caso de Prueba],CasoPrueba[[#All],[Código CP]:[Prioridad]],7,TRUE)</f>
        <v>Alta</v>
      </c>
      <c r="D276" s="34" t="s">
        <v>162</v>
      </c>
      <c r="E276" s="34" t="s">
        <v>49</v>
      </c>
      <c r="F276" s="73">
        <v>40838</v>
      </c>
      <c r="G276" s="73">
        <v>40843</v>
      </c>
      <c r="H276" s="94" t="s">
        <v>132</v>
      </c>
      <c r="I276" s="34" t="s">
        <v>936</v>
      </c>
      <c r="J276" s="34" t="s">
        <v>989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6" t="s">
        <v>718</v>
      </c>
      <c r="B277" s="34" t="s">
        <v>890</v>
      </c>
      <c r="C277" s="34" t="str">
        <f>VLOOKUP(Observaciones[Caso de Prueba],CasoPrueba[[#All],[Código CP]:[Prioridad]],7,TRUE)</f>
        <v>Alta</v>
      </c>
      <c r="D277" s="34" t="s">
        <v>28</v>
      </c>
      <c r="E277" s="34" t="s">
        <v>49</v>
      </c>
      <c r="F277" s="73">
        <v>40838</v>
      </c>
      <c r="G277" s="73">
        <v>40843</v>
      </c>
      <c r="H277" s="94" t="s">
        <v>132</v>
      </c>
      <c r="I277" s="34" t="s">
        <v>597</v>
      </c>
      <c r="J277" s="34" t="s">
        <v>986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6" t="s">
        <v>719</v>
      </c>
      <c r="B278" s="34" t="s">
        <v>890</v>
      </c>
      <c r="C278" s="34" t="str">
        <f>VLOOKUP(Observaciones[Caso de Prueba],CasoPrueba[[#All],[Código CP]:[Prioridad]],7,TRUE)</f>
        <v>Alta</v>
      </c>
      <c r="D278" s="34" t="s">
        <v>162</v>
      </c>
      <c r="E278" s="34" t="s">
        <v>49</v>
      </c>
      <c r="F278" s="73">
        <v>40838</v>
      </c>
      <c r="G278" s="73">
        <v>40843</v>
      </c>
      <c r="H278" s="94" t="s">
        <v>132</v>
      </c>
      <c r="I278" s="34" t="s">
        <v>926</v>
      </c>
      <c r="J278" s="34" t="s">
        <v>987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6" t="s">
        <v>720</v>
      </c>
      <c r="B279" s="34" t="s">
        <v>890</v>
      </c>
      <c r="C279" s="34" t="str">
        <f>VLOOKUP(Observaciones[Caso de Prueba],CasoPrueba[[#All],[Código CP]:[Prioridad]],7,TRUE)</f>
        <v>Alta</v>
      </c>
      <c r="D279" s="34" t="s">
        <v>29</v>
      </c>
      <c r="E279" s="34" t="s">
        <v>49</v>
      </c>
      <c r="F279" s="73">
        <v>40838</v>
      </c>
      <c r="G279" s="73">
        <v>40843</v>
      </c>
      <c r="H279" s="94" t="s">
        <v>132</v>
      </c>
      <c r="I279" s="34" t="s">
        <v>599</v>
      </c>
      <c r="J279" s="34" t="s">
        <v>996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6" t="s">
        <v>721</v>
      </c>
      <c r="B280" s="34" t="s">
        <v>890</v>
      </c>
      <c r="C280" s="34" t="str">
        <f>VLOOKUP(Observaciones[Caso de Prueba],CasoPrueba[[#All],[Código CP]:[Prioridad]],7,TRUE)</f>
        <v>Alta</v>
      </c>
      <c r="D280" s="34" t="s">
        <v>28</v>
      </c>
      <c r="E280" s="34" t="s">
        <v>49</v>
      </c>
      <c r="F280" s="73">
        <v>40838</v>
      </c>
      <c r="G280" s="73">
        <v>40843</v>
      </c>
      <c r="H280" s="94" t="s">
        <v>132</v>
      </c>
      <c r="I280" s="34" t="s">
        <v>871</v>
      </c>
      <c r="J280" s="34" t="s">
        <v>998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6" t="s">
        <v>722</v>
      </c>
      <c r="B281" s="34" t="s">
        <v>890</v>
      </c>
      <c r="C281" s="34" t="str">
        <f>VLOOKUP(Observaciones[Caso de Prueba],CasoPrueba[[#All],[Código CP]:[Prioridad]],7,TRUE)</f>
        <v>Alta</v>
      </c>
      <c r="D281" s="34" t="s">
        <v>162</v>
      </c>
      <c r="E281" s="34" t="s">
        <v>49</v>
      </c>
      <c r="F281" s="73">
        <v>40840</v>
      </c>
      <c r="G281" s="73">
        <v>40843</v>
      </c>
      <c r="H281" s="94" t="s">
        <v>132</v>
      </c>
      <c r="I281" s="34" t="s">
        <v>937</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6" t="s">
        <v>723</v>
      </c>
      <c r="B282" s="34" t="s">
        <v>890</v>
      </c>
      <c r="C282" s="34" t="str">
        <f>VLOOKUP(Observaciones[Caso de Prueba],CasoPrueba[[#All],[Código CP]:[Prioridad]],7,TRUE)</f>
        <v>Alta</v>
      </c>
      <c r="D282" s="34" t="s">
        <v>29</v>
      </c>
      <c r="E282" s="34" t="s">
        <v>49</v>
      </c>
      <c r="F282" s="73">
        <v>40840</v>
      </c>
      <c r="G282" s="73">
        <v>40843</v>
      </c>
      <c r="H282" s="94" t="s">
        <v>132</v>
      </c>
      <c r="I282" s="34" t="s">
        <v>938</v>
      </c>
      <c r="J282" s="34" t="s">
        <v>997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6" t="s">
        <v>724</v>
      </c>
      <c r="B283" s="34" t="s">
        <v>891</v>
      </c>
      <c r="C283" s="34" t="str">
        <f>VLOOKUP(Observaciones[Caso de Prueba],CasoPrueba[[#All],[Código CP]:[Prioridad]],7,TRUE)</f>
        <v>Alta</v>
      </c>
      <c r="D283" s="34" t="s">
        <v>28</v>
      </c>
      <c r="E283" s="34" t="s">
        <v>49</v>
      </c>
      <c r="F283" s="73">
        <v>40840</v>
      </c>
      <c r="G283" s="73">
        <v>40843</v>
      </c>
      <c r="H283" s="94" t="s">
        <v>132</v>
      </c>
      <c r="I283" s="34" t="s">
        <v>597</v>
      </c>
      <c r="J283" s="34" t="s">
        <v>1002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6" t="s">
        <v>725</v>
      </c>
      <c r="B284" s="34" t="s">
        <v>891</v>
      </c>
      <c r="C284" s="34" t="str">
        <f>VLOOKUP(Observaciones[Caso de Prueba],CasoPrueba[[#All],[Código CP]:[Prioridad]],7,TRUE)</f>
        <v>Alta</v>
      </c>
      <c r="D284" s="34" t="s">
        <v>162</v>
      </c>
      <c r="E284" s="34" t="s">
        <v>49</v>
      </c>
      <c r="F284" s="73">
        <v>40840</v>
      </c>
      <c r="G284" s="73">
        <v>40843</v>
      </c>
      <c r="H284" s="94" t="s">
        <v>132</v>
      </c>
      <c r="I284" s="34" t="s">
        <v>926</v>
      </c>
      <c r="J284" s="34" t="s">
        <v>987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6" t="s">
        <v>726</v>
      </c>
      <c r="B285" s="34" t="s">
        <v>891</v>
      </c>
      <c r="C285" s="34" t="str">
        <f>VLOOKUP(Observaciones[Caso de Prueba],CasoPrueba[[#All],[Código CP]:[Prioridad]],7,TRUE)</f>
        <v>Alta</v>
      </c>
      <c r="D285" s="34" t="s">
        <v>29</v>
      </c>
      <c r="E285" s="34" t="s">
        <v>49</v>
      </c>
      <c r="F285" s="73">
        <v>40840</v>
      </c>
      <c r="G285" s="73">
        <v>40843</v>
      </c>
      <c r="H285" s="94" t="s">
        <v>132</v>
      </c>
      <c r="I285" s="34" t="s">
        <v>599</v>
      </c>
      <c r="J285" s="34" t="s">
        <v>996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6" t="s">
        <v>727</v>
      </c>
      <c r="B286" s="34" t="s">
        <v>891</v>
      </c>
      <c r="C286" s="34" t="str">
        <f>VLOOKUP(Observaciones[Caso de Prueba],CasoPrueba[[#All],[Código CP]:[Prioridad]],7,TRUE)</f>
        <v>Alta</v>
      </c>
      <c r="D286" s="34" t="s">
        <v>28</v>
      </c>
      <c r="E286" s="34" t="s">
        <v>49</v>
      </c>
      <c r="F286" s="73">
        <v>40840</v>
      </c>
      <c r="G286" s="73">
        <v>40843</v>
      </c>
      <c r="H286" s="94" t="s">
        <v>132</v>
      </c>
      <c r="I286" s="34" t="s">
        <v>871</v>
      </c>
      <c r="J286" s="34" t="s">
        <v>1001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6" t="s">
        <v>728</v>
      </c>
      <c r="B287" s="34" t="s">
        <v>891</v>
      </c>
      <c r="C287" s="34" t="str">
        <f>VLOOKUP(Observaciones[Caso de Prueba],CasoPrueba[[#All],[Código CP]:[Prioridad]],7,TRUE)</f>
        <v>Alta</v>
      </c>
      <c r="D287" s="34" t="s">
        <v>162</v>
      </c>
      <c r="E287" s="34" t="s">
        <v>49</v>
      </c>
      <c r="F287" s="73">
        <v>40840</v>
      </c>
      <c r="G287" s="73">
        <v>40843</v>
      </c>
      <c r="H287" s="94" t="s">
        <v>132</v>
      </c>
      <c r="I287" s="34" t="s">
        <v>939</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6" t="s">
        <v>729</v>
      </c>
      <c r="B288" s="34" t="s">
        <v>891</v>
      </c>
      <c r="C288" s="34" t="str">
        <f>VLOOKUP(Observaciones[Caso de Prueba],CasoPrueba[[#All],[Código CP]:[Prioridad]],7,TRUE)</f>
        <v>Alta</v>
      </c>
      <c r="D288" s="34" t="s">
        <v>162</v>
      </c>
      <c r="E288" s="34" t="s">
        <v>49</v>
      </c>
      <c r="F288" s="73">
        <v>40840</v>
      </c>
      <c r="G288" s="73">
        <v>40843</v>
      </c>
      <c r="H288" s="94" t="s">
        <v>132</v>
      </c>
      <c r="I288" s="34" t="s">
        <v>940</v>
      </c>
      <c r="J288" s="34" t="s">
        <v>982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6" t="s">
        <v>730</v>
      </c>
      <c r="B289" s="34" t="s">
        <v>891</v>
      </c>
      <c r="C289" s="34" t="str">
        <f>VLOOKUP(Observaciones[Caso de Prueba],CasoPrueba[[#All],[Código CP]:[Prioridad]],7,TRUE)</f>
        <v>Alta</v>
      </c>
      <c r="D289" s="34" t="s">
        <v>162</v>
      </c>
      <c r="E289" s="34" t="s">
        <v>49</v>
      </c>
      <c r="F289" s="73">
        <v>40840</v>
      </c>
      <c r="G289" s="73">
        <v>40843</v>
      </c>
      <c r="H289" s="94" t="s">
        <v>132</v>
      </c>
      <c r="I289" s="34" t="s">
        <v>941</v>
      </c>
      <c r="J289" s="34" t="s">
        <v>999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6" t="s">
        <v>731</v>
      </c>
      <c r="B290" s="34" t="s">
        <v>891</v>
      </c>
      <c r="C290" s="34" t="str">
        <f>VLOOKUP(Observaciones[Caso de Prueba],CasoPrueba[[#All],[Código CP]:[Prioridad]],7,TRUE)</f>
        <v>Alta</v>
      </c>
      <c r="D290" s="34" t="s">
        <v>29</v>
      </c>
      <c r="E290" s="34" t="s">
        <v>49</v>
      </c>
      <c r="F290" s="73">
        <v>40840</v>
      </c>
      <c r="G290" s="73">
        <v>40843</v>
      </c>
      <c r="H290" s="94" t="s">
        <v>132</v>
      </c>
      <c r="I290" s="34" t="s">
        <v>942</v>
      </c>
      <c r="J290" s="34" t="s">
        <v>1000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6" t="s">
        <v>732</v>
      </c>
      <c r="B291" s="34" t="s">
        <v>892</v>
      </c>
      <c r="C291" s="34" t="str">
        <f>VLOOKUP(Observaciones[Caso de Prueba],CasoPrueba[[#All],[Código CP]:[Prioridad]],7,TRUE)</f>
        <v>Alta</v>
      </c>
      <c r="D291" s="34" t="s">
        <v>162</v>
      </c>
      <c r="E291" s="34" t="s">
        <v>49</v>
      </c>
      <c r="F291" s="73">
        <v>40840</v>
      </c>
      <c r="G291" s="73">
        <v>40843</v>
      </c>
      <c r="H291" s="94" t="s">
        <v>132</v>
      </c>
      <c r="I291" s="34" t="s">
        <v>943</v>
      </c>
      <c r="J291" s="34" t="s">
        <v>976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6" t="s">
        <v>733</v>
      </c>
      <c r="B292" s="34" t="s">
        <v>892</v>
      </c>
      <c r="C292" s="34" t="str">
        <f>VLOOKUP(Observaciones[Caso de Prueba],CasoPrueba[[#All],[Código CP]:[Prioridad]],7,TRUE)</f>
        <v>Alta</v>
      </c>
      <c r="D292" s="34" t="s">
        <v>162</v>
      </c>
      <c r="E292" s="34" t="s">
        <v>49</v>
      </c>
      <c r="F292" s="73">
        <v>40840</v>
      </c>
      <c r="G292" s="73">
        <v>40843</v>
      </c>
      <c r="H292" s="94" t="s">
        <v>132</v>
      </c>
      <c r="I292" s="34" t="s">
        <v>944</v>
      </c>
      <c r="J292" s="34" t="s">
        <v>976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6" t="s">
        <v>734</v>
      </c>
      <c r="B293" s="34" t="s">
        <v>892</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6" t="s">
        <v>735</v>
      </c>
      <c r="B294" s="34" t="s">
        <v>892</v>
      </c>
      <c r="C294" s="34" t="str">
        <f>VLOOKUP(Observaciones[Caso de Prueba],CasoPrueba[[#All],[Código CP]:[Prioridad]],7,TRUE)</f>
        <v>Alta</v>
      </c>
      <c r="D294" s="34" t="s">
        <v>28</v>
      </c>
      <c r="E294" s="34" t="s">
        <v>49</v>
      </c>
      <c r="F294" s="73">
        <v>40840</v>
      </c>
      <c r="G294" s="73">
        <v>40843</v>
      </c>
      <c r="H294" s="94" t="s">
        <v>132</v>
      </c>
      <c r="I294" s="34" t="s">
        <v>871</v>
      </c>
      <c r="J294" s="34" t="s">
        <v>977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6" t="s">
        <v>736</v>
      </c>
      <c r="B295" s="34" t="s">
        <v>892</v>
      </c>
      <c r="C295" s="34" t="str">
        <f>VLOOKUP(Observaciones[Caso de Prueba],CasoPrueba[[#All],[Código CP]:[Prioridad]],7,TRUE)</f>
        <v>Alta</v>
      </c>
      <c r="D295" s="34" t="s">
        <v>30</v>
      </c>
      <c r="E295" s="34" t="s">
        <v>49</v>
      </c>
      <c r="F295" s="73">
        <v>40840</v>
      </c>
      <c r="G295" s="73">
        <v>40843</v>
      </c>
      <c r="H295" s="94" t="s">
        <v>132</v>
      </c>
      <c r="I295" s="34" t="s">
        <v>945</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6" t="s">
        <v>737</v>
      </c>
      <c r="B296" s="34" t="s">
        <v>892</v>
      </c>
      <c r="C296" s="34" t="str">
        <f>VLOOKUP(Observaciones[Caso de Prueba],CasoPrueba[[#All],[Código CP]:[Prioridad]],7,TRUE)</f>
        <v>Alta</v>
      </c>
      <c r="D296" s="34" t="s">
        <v>28</v>
      </c>
      <c r="E296" s="34" t="s">
        <v>49</v>
      </c>
      <c r="F296" s="73">
        <v>40840</v>
      </c>
      <c r="G296" s="73">
        <v>40843</v>
      </c>
      <c r="H296" s="94" t="s">
        <v>132</v>
      </c>
      <c r="I296" s="34" t="s">
        <v>946</v>
      </c>
      <c r="J296" s="34" t="s">
        <v>983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6" t="s">
        <v>738</v>
      </c>
      <c r="B297" s="34" t="s">
        <v>892</v>
      </c>
      <c r="C297" s="34" t="str">
        <f>VLOOKUP(Observaciones[Caso de Prueba],CasoPrueba[[#All],[Código CP]:[Prioridad]],7,TRUE)</f>
        <v>Alta</v>
      </c>
      <c r="D297" s="34" t="s">
        <v>162</v>
      </c>
      <c r="E297" s="34" t="s">
        <v>49</v>
      </c>
      <c r="F297" s="73">
        <v>40840</v>
      </c>
      <c r="G297" s="73">
        <v>40843</v>
      </c>
      <c r="H297" s="94" t="s">
        <v>132</v>
      </c>
      <c r="I297" s="34" t="s">
        <v>947</v>
      </c>
      <c r="J297" s="34" t="s">
        <v>968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6" t="s">
        <v>739</v>
      </c>
      <c r="B298" s="34" t="s">
        <v>892</v>
      </c>
      <c r="C298" s="34" t="str">
        <f>VLOOKUP(Observaciones[Caso de Prueba],CasoPrueba[[#All],[Código CP]:[Prioridad]],7,TRUE)</f>
        <v>Alta</v>
      </c>
      <c r="D298" s="34" t="s">
        <v>162</v>
      </c>
      <c r="E298" s="34" t="s">
        <v>49</v>
      </c>
      <c r="F298" s="73">
        <v>40840</v>
      </c>
      <c r="G298" s="73">
        <v>40843</v>
      </c>
      <c r="H298" s="94" t="s">
        <v>132</v>
      </c>
      <c r="I298" s="34" t="s">
        <v>948</v>
      </c>
      <c r="J298" s="34" t="s">
        <v>968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6" t="s">
        <v>740</v>
      </c>
      <c r="B299" s="34" t="s">
        <v>893</v>
      </c>
      <c r="C299" s="34" t="str">
        <f>VLOOKUP(Observaciones[Caso de Prueba],CasoPrueba[[#All],[Código CP]:[Prioridad]],7,TRUE)</f>
        <v>Alta</v>
      </c>
      <c r="D299" s="34" t="s">
        <v>28</v>
      </c>
      <c r="E299" s="34" t="s">
        <v>49</v>
      </c>
      <c r="F299" s="73">
        <v>40838</v>
      </c>
      <c r="G299" s="73">
        <v>40843</v>
      </c>
      <c r="H299" s="94" t="s">
        <v>132</v>
      </c>
      <c r="I299" s="34" t="s">
        <v>597</v>
      </c>
      <c r="J299" s="34" t="s">
        <v>984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6" t="s">
        <v>741</v>
      </c>
      <c r="B300" s="34" t="s">
        <v>893</v>
      </c>
      <c r="C300" s="34" t="str">
        <f>VLOOKUP(Observaciones[Caso de Prueba],CasoPrueba[[#All],[Código CP]:[Prioridad]],7,TRUE)</f>
        <v>Alta</v>
      </c>
      <c r="D300" s="34" t="s">
        <v>30</v>
      </c>
      <c r="E300" s="34" t="s">
        <v>49</v>
      </c>
      <c r="F300" s="73">
        <v>40838</v>
      </c>
      <c r="G300" s="73">
        <v>40843</v>
      </c>
      <c r="H300" s="94" t="s">
        <v>132</v>
      </c>
      <c r="I300" s="34" t="s">
        <v>949</v>
      </c>
      <c r="J300" s="34" t="s">
        <v>969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6" t="s">
        <v>742</v>
      </c>
      <c r="B301" s="34" t="s">
        <v>893</v>
      </c>
      <c r="C301" s="34" t="str">
        <f>VLOOKUP(Observaciones[Caso de Prueba],CasoPrueba[[#All],[Código CP]:[Prioridad]],7,TRUE)</f>
        <v>Alta</v>
      </c>
      <c r="D301" s="34" t="s">
        <v>29</v>
      </c>
      <c r="E301" s="34" t="s">
        <v>49</v>
      </c>
      <c r="F301" s="73">
        <v>40840</v>
      </c>
      <c r="G301" s="73">
        <v>40843</v>
      </c>
      <c r="H301" s="94" t="s">
        <v>132</v>
      </c>
      <c r="I301" s="34" t="s">
        <v>599</v>
      </c>
      <c r="J301" s="34" t="s">
        <v>981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6" t="s">
        <v>743</v>
      </c>
      <c r="B302" s="34" t="s">
        <v>893</v>
      </c>
      <c r="C302" s="34" t="str">
        <f>VLOOKUP(Observaciones[Caso de Prueba],CasoPrueba[[#All],[Código CP]:[Prioridad]],7,TRUE)</f>
        <v>Alta</v>
      </c>
      <c r="D302" s="34" t="s">
        <v>28</v>
      </c>
      <c r="E302" s="34" t="s">
        <v>49</v>
      </c>
      <c r="F302" s="73">
        <v>40840</v>
      </c>
      <c r="G302" s="73">
        <v>40843</v>
      </c>
      <c r="H302" s="94" t="s">
        <v>132</v>
      </c>
      <c r="I302" s="34" t="s">
        <v>871</v>
      </c>
      <c r="J302" s="34" t="s">
        <v>977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6" t="s">
        <v>744</v>
      </c>
      <c r="B303" s="34" t="s">
        <v>893</v>
      </c>
      <c r="C303" s="34" t="str">
        <f>VLOOKUP(Observaciones[Caso de Prueba],CasoPrueba[[#All],[Código CP]:[Prioridad]],7,TRUE)</f>
        <v>Alta</v>
      </c>
      <c r="D303" s="34" t="s">
        <v>30</v>
      </c>
      <c r="E303" s="34" t="s">
        <v>49</v>
      </c>
      <c r="F303" s="73">
        <v>40840</v>
      </c>
      <c r="G303" s="73">
        <v>40843</v>
      </c>
      <c r="H303" s="94" t="s">
        <v>132</v>
      </c>
      <c r="I303" s="34" t="s">
        <v>950</v>
      </c>
      <c r="J303" s="34" t="s">
        <v>985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6" t="s">
        <v>745</v>
      </c>
      <c r="B304" s="34" t="s">
        <v>893</v>
      </c>
      <c r="C304" s="34" t="str">
        <f>VLOOKUP(Observaciones[Caso de Prueba],CasoPrueba[[#All],[Código CP]:[Prioridad]],7,TRUE)</f>
        <v>Alta</v>
      </c>
      <c r="D304" s="34" t="s">
        <v>162</v>
      </c>
      <c r="E304" s="34" t="s">
        <v>49</v>
      </c>
      <c r="F304" s="73">
        <v>40840</v>
      </c>
      <c r="G304" s="73">
        <v>40843</v>
      </c>
      <c r="H304" s="94" t="s">
        <v>132</v>
      </c>
      <c r="I304" s="34" t="s">
        <v>951</v>
      </c>
      <c r="J304" s="34" t="s">
        <v>968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6" t="s">
        <v>746</v>
      </c>
      <c r="B305" s="164" t="s">
        <v>904</v>
      </c>
      <c r="C305" s="164" t="str">
        <f>VLOOKUP(Observaciones[Caso de Prueba],CasoPrueba[[#All],[Código CP]:[Prioridad]],7,TRUE)</f>
        <v>Alta</v>
      </c>
      <c r="D305" s="164" t="s">
        <v>162</v>
      </c>
      <c r="E305" s="34" t="s">
        <v>49</v>
      </c>
      <c r="F305" s="165">
        <v>40845</v>
      </c>
      <c r="G305" s="165">
        <v>40847</v>
      </c>
      <c r="H305" s="94" t="s">
        <v>132</v>
      </c>
      <c r="I305" s="164" t="s">
        <v>1003</v>
      </c>
      <c r="J305" s="164" t="s">
        <v>1042</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45" hidden="1">
      <c r="A306" s="166" t="s">
        <v>747</v>
      </c>
      <c r="B306" s="164" t="s">
        <v>904</v>
      </c>
      <c r="C306" s="164" t="str">
        <f>VLOOKUP(Observaciones[Caso de Prueba],CasoPrueba[[#All],[Código CP]:[Prioridad]],7,TRUE)</f>
        <v>Alta</v>
      </c>
      <c r="D306" s="34" t="s">
        <v>28</v>
      </c>
      <c r="E306" s="34" t="s">
        <v>49</v>
      </c>
      <c r="F306" s="165">
        <v>40845</v>
      </c>
      <c r="G306" s="165">
        <v>40847</v>
      </c>
      <c r="H306" s="94" t="s">
        <v>132</v>
      </c>
      <c r="I306" s="34" t="s">
        <v>871</v>
      </c>
      <c r="J306" s="164" t="s">
        <v>986</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45" hidden="1">
      <c r="A307" s="166" t="s">
        <v>748</v>
      </c>
      <c r="B307" s="164" t="s">
        <v>904</v>
      </c>
      <c r="C307" s="164" t="str">
        <f>VLOOKUP(Observaciones[Caso de Prueba],CasoPrueba[[#All],[Código CP]:[Prioridad]],7,TRUE)</f>
        <v>Alta</v>
      </c>
      <c r="D307" s="164" t="s">
        <v>29</v>
      </c>
      <c r="E307" s="34" t="s">
        <v>49</v>
      </c>
      <c r="F307" s="165">
        <v>40845</v>
      </c>
      <c r="G307" s="165">
        <v>40847</v>
      </c>
      <c r="H307" s="94" t="s">
        <v>132</v>
      </c>
      <c r="I307" s="164" t="s">
        <v>1004</v>
      </c>
      <c r="J307" s="164" t="s">
        <v>1043</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ht="30" hidden="1">
      <c r="A308" s="166" t="s">
        <v>749</v>
      </c>
      <c r="B308" s="164" t="s">
        <v>904</v>
      </c>
      <c r="C308" s="164" t="str">
        <f>VLOOKUP(Observaciones[Caso de Prueba],CasoPrueba[[#All],[Código CP]:[Prioridad]],7,TRUE)</f>
        <v>Alta</v>
      </c>
      <c r="D308" s="164" t="s">
        <v>162</v>
      </c>
      <c r="E308" s="34" t="s">
        <v>49</v>
      </c>
      <c r="F308" s="165">
        <v>40845</v>
      </c>
      <c r="G308" s="165">
        <v>40847</v>
      </c>
      <c r="H308" s="94" t="s">
        <v>132</v>
      </c>
      <c r="I308" s="164" t="s">
        <v>1005</v>
      </c>
      <c r="J308" s="164" t="s">
        <v>1044</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60" hidden="1">
      <c r="A309" s="166" t="s">
        <v>750</v>
      </c>
      <c r="B309" s="164" t="s">
        <v>904</v>
      </c>
      <c r="C309" s="164" t="str">
        <f>VLOOKUP(Observaciones[Caso de Prueba],CasoPrueba[[#All],[Código CP]:[Prioridad]],7,TRUE)</f>
        <v>Alta</v>
      </c>
      <c r="D309" s="164" t="s">
        <v>30</v>
      </c>
      <c r="E309" s="34" t="s">
        <v>49</v>
      </c>
      <c r="F309" s="165">
        <v>40845</v>
      </c>
      <c r="G309" s="165">
        <v>40847</v>
      </c>
      <c r="H309" s="94" t="s">
        <v>132</v>
      </c>
      <c r="I309" s="164" t="s">
        <v>1006</v>
      </c>
      <c r="J309" s="164" t="s">
        <v>1045</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30" hidden="1">
      <c r="A310" s="166" t="s">
        <v>751</v>
      </c>
      <c r="B310" s="164" t="s">
        <v>904</v>
      </c>
      <c r="C310" s="164" t="str">
        <f>VLOOKUP(Observaciones[Caso de Prueba],CasoPrueba[[#All],[Código CP]:[Prioridad]],7,TRUE)</f>
        <v>Alta</v>
      </c>
      <c r="D310" s="164" t="s">
        <v>162</v>
      </c>
      <c r="E310" s="34" t="s">
        <v>49</v>
      </c>
      <c r="F310" s="165">
        <v>40845</v>
      </c>
      <c r="G310" s="165">
        <v>40847</v>
      </c>
      <c r="H310" s="94" t="s">
        <v>132</v>
      </c>
      <c r="I310" s="164" t="s">
        <v>1007</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45" hidden="1">
      <c r="A311" s="166" t="s">
        <v>752</v>
      </c>
      <c r="B311" s="164" t="s">
        <v>904</v>
      </c>
      <c r="C311" s="164" t="str">
        <f>VLOOKUP(Observaciones[Caso de Prueba],CasoPrueba[[#All],[Código CP]:[Prioridad]],7,TRUE)</f>
        <v>Alta</v>
      </c>
      <c r="D311" s="164" t="s">
        <v>29</v>
      </c>
      <c r="E311" s="34" t="s">
        <v>49</v>
      </c>
      <c r="F311" s="165">
        <v>40845</v>
      </c>
      <c r="G311" s="165">
        <v>40847</v>
      </c>
      <c r="H311" s="94" t="s">
        <v>132</v>
      </c>
      <c r="I311" s="164" t="s">
        <v>1008</v>
      </c>
      <c r="J311" s="164" t="s">
        <v>1046</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ht="30.75" hidden="1" customHeight="1">
      <c r="A312" s="166" t="s">
        <v>753</v>
      </c>
      <c r="B312" s="164" t="s">
        <v>904</v>
      </c>
      <c r="C312" s="164" t="str">
        <f>VLOOKUP(Observaciones[Caso de Prueba],CasoPrueba[[#All],[Código CP]:[Prioridad]],7,TRUE)</f>
        <v>Alta</v>
      </c>
      <c r="D312" s="164" t="s">
        <v>162</v>
      </c>
      <c r="E312" s="34" t="s">
        <v>49</v>
      </c>
      <c r="F312" s="165">
        <v>40845</v>
      </c>
      <c r="G312" s="165">
        <v>40847</v>
      </c>
      <c r="H312" s="94" t="s">
        <v>132</v>
      </c>
      <c r="I312" s="164" t="s">
        <v>1009</v>
      </c>
      <c r="J312" s="164" t="s">
        <v>1047</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45" hidden="1">
      <c r="A313" s="166" t="s">
        <v>754</v>
      </c>
      <c r="B313" s="164" t="s">
        <v>904</v>
      </c>
      <c r="C313" s="164" t="str">
        <f>VLOOKUP(Observaciones[Caso de Prueba],CasoPrueba[[#All],[Código CP]:[Prioridad]],7,TRUE)</f>
        <v>Alta</v>
      </c>
      <c r="D313" s="164" t="s">
        <v>162</v>
      </c>
      <c r="E313" s="34" t="s">
        <v>49</v>
      </c>
      <c r="F313" s="165">
        <v>40845</v>
      </c>
      <c r="G313" s="165">
        <v>40847</v>
      </c>
      <c r="H313" s="94" t="s">
        <v>132</v>
      </c>
      <c r="I313" s="164" t="s">
        <v>1010</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30" hidden="1">
      <c r="A314" s="166" t="s">
        <v>755</v>
      </c>
      <c r="B314" s="164" t="s">
        <v>904</v>
      </c>
      <c r="C314" s="34" t="str">
        <f>VLOOKUP(Observaciones[Caso de Prueba],CasoPrueba[[#All],[Código CP]:[Prioridad]],7,TRUE)</f>
        <v>Alta</v>
      </c>
      <c r="D314" s="34" t="s">
        <v>30</v>
      </c>
      <c r="E314" s="34" t="s">
        <v>49</v>
      </c>
      <c r="F314" s="165">
        <v>40845</v>
      </c>
      <c r="G314" s="165">
        <v>40847</v>
      </c>
      <c r="H314" s="94" t="s">
        <v>132</v>
      </c>
      <c r="I314" s="34" t="s">
        <v>1011</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6" t="s">
        <v>756</v>
      </c>
      <c r="B315" s="164" t="s">
        <v>905</v>
      </c>
      <c r="C315" s="34" t="str">
        <f>VLOOKUP(Observaciones[Caso de Prueba],CasoPrueba[[#All],[Código CP]:[Prioridad]],7,TRUE)</f>
        <v>Alta</v>
      </c>
      <c r="D315" s="34" t="s">
        <v>28</v>
      </c>
      <c r="E315" s="34" t="s">
        <v>49</v>
      </c>
      <c r="F315" s="165">
        <v>40845</v>
      </c>
      <c r="G315" s="165">
        <v>40847</v>
      </c>
      <c r="H315" s="94" t="s">
        <v>132</v>
      </c>
      <c r="I315" s="34" t="s">
        <v>597</v>
      </c>
      <c r="J315" s="34" t="s">
        <v>1048</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6" t="s">
        <v>757</v>
      </c>
      <c r="B316" s="164" t="s">
        <v>905</v>
      </c>
      <c r="C316" s="34" t="str">
        <f>VLOOKUP(Observaciones[Caso de Prueba],CasoPrueba[[#All],[Código CP]:[Prioridad]],7,TRUE)</f>
        <v>Alta</v>
      </c>
      <c r="D316" s="164" t="s">
        <v>162</v>
      </c>
      <c r="E316" s="34" t="s">
        <v>49</v>
      </c>
      <c r="F316" s="165">
        <v>40845</v>
      </c>
      <c r="G316" s="165">
        <v>40847</v>
      </c>
      <c r="H316" s="94" t="s">
        <v>132</v>
      </c>
      <c r="I316" s="34" t="s">
        <v>1012</v>
      </c>
      <c r="J316" s="34" t="s">
        <v>1049</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6" t="s">
        <v>758</v>
      </c>
      <c r="B317" s="164" t="s">
        <v>905</v>
      </c>
      <c r="C317" s="34" t="str">
        <f>VLOOKUP(Observaciones[Caso de Prueba],CasoPrueba[[#All],[Código CP]:[Prioridad]],7,TRUE)</f>
        <v>Alta</v>
      </c>
      <c r="D317" s="34" t="s">
        <v>28</v>
      </c>
      <c r="E317" s="34" t="s">
        <v>49</v>
      </c>
      <c r="F317" s="165">
        <v>40845</v>
      </c>
      <c r="G317" s="165">
        <v>40847</v>
      </c>
      <c r="H317" s="94" t="s">
        <v>132</v>
      </c>
      <c r="I317" s="34" t="s">
        <v>1015</v>
      </c>
      <c r="J317" s="34" t="s">
        <v>1050</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6" t="s">
        <v>759</v>
      </c>
      <c r="B318" s="164" t="s">
        <v>905</v>
      </c>
      <c r="C318" s="34" t="str">
        <f>VLOOKUP(Observaciones[Caso de Prueba],CasoPrueba[[#All],[Código CP]:[Prioridad]],7,TRUE)</f>
        <v>Alta</v>
      </c>
      <c r="D318" s="34" t="s">
        <v>29</v>
      </c>
      <c r="E318" s="34" t="s">
        <v>49</v>
      </c>
      <c r="F318" s="165">
        <v>40845</v>
      </c>
      <c r="G318" s="165">
        <v>40847</v>
      </c>
      <c r="H318" s="94" t="s">
        <v>132</v>
      </c>
      <c r="I318" s="34" t="s">
        <v>1019</v>
      </c>
      <c r="J318" s="34" t="s">
        <v>981</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6" t="s">
        <v>760</v>
      </c>
      <c r="B319" s="164" t="s">
        <v>905</v>
      </c>
      <c r="C319" s="34" t="str">
        <f>VLOOKUP(Observaciones[Caso de Prueba],CasoPrueba[[#All],[Código CP]:[Prioridad]],7,TRUE)</f>
        <v>Alta</v>
      </c>
      <c r="D319" s="34" t="s">
        <v>28</v>
      </c>
      <c r="E319" s="34" t="s">
        <v>49</v>
      </c>
      <c r="F319" s="165">
        <v>40845</v>
      </c>
      <c r="G319" s="165">
        <v>40847</v>
      </c>
      <c r="H319" s="94" t="s">
        <v>132</v>
      </c>
      <c r="I319" s="34" t="s">
        <v>1013</v>
      </c>
      <c r="J319" s="34" t="s">
        <v>1051</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6" t="s">
        <v>761</v>
      </c>
      <c r="B320" s="164" t="s">
        <v>905</v>
      </c>
      <c r="C320" s="34" t="str">
        <f>VLOOKUP(Observaciones[Caso de Prueba],CasoPrueba[[#All],[Código CP]:[Prioridad]],7,TRUE)</f>
        <v>Alta</v>
      </c>
      <c r="D320" s="34" t="s">
        <v>30</v>
      </c>
      <c r="E320" s="34" t="s">
        <v>49</v>
      </c>
      <c r="F320" s="165">
        <v>40845</v>
      </c>
      <c r="G320" s="165">
        <v>40847</v>
      </c>
      <c r="H320" s="94" t="s">
        <v>132</v>
      </c>
      <c r="I320" s="34" t="s">
        <v>1014</v>
      </c>
      <c r="J320" s="34" t="s">
        <v>1052</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6" t="s">
        <v>762</v>
      </c>
      <c r="B321" s="164" t="s">
        <v>905</v>
      </c>
      <c r="C321" s="34" t="str">
        <f>VLOOKUP(Observaciones[Caso de Prueba],CasoPrueba[[#All],[Código CP]:[Prioridad]],7,TRUE)</f>
        <v>Alta</v>
      </c>
      <c r="D321" s="34" t="s">
        <v>162</v>
      </c>
      <c r="E321" s="34" t="s">
        <v>49</v>
      </c>
      <c r="F321" s="165">
        <v>40845</v>
      </c>
      <c r="G321" s="165">
        <v>40847</v>
      </c>
      <c r="H321" s="94" t="s">
        <v>132</v>
      </c>
      <c r="I321" s="34" t="s">
        <v>1059</v>
      </c>
      <c r="J321" s="34" t="s">
        <v>1053</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6" t="s">
        <v>763</v>
      </c>
      <c r="B322" s="164" t="s">
        <v>905</v>
      </c>
      <c r="C322" s="34" t="str">
        <f>VLOOKUP(Observaciones[Caso de Prueba],CasoPrueba[[#All],[Código CP]:[Prioridad]],7,TRUE)</f>
        <v>Alta</v>
      </c>
      <c r="D322" s="34" t="s">
        <v>29</v>
      </c>
      <c r="E322" s="34" t="s">
        <v>49</v>
      </c>
      <c r="F322" s="165">
        <v>40845</v>
      </c>
      <c r="G322" s="165">
        <v>40847</v>
      </c>
      <c r="H322" s="94" t="s">
        <v>132</v>
      </c>
      <c r="I322" s="34" t="s">
        <v>1016</v>
      </c>
      <c r="J322" s="34" t="s">
        <v>1054</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6" t="s">
        <v>764</v>
      </c>
      <c r="B323" s="164" t="s">
        <v>905</v>
      </c>
      <c r="C323" s="34" t="str">
        <f>VLOOKUP(Observaciones[Caso de Prueba],CasoPrueba[[#All],[Código CP]:[Prioridad]],7,TRUE)</f>
        <v>Alta</v>
      </c>
      <c r="D323" s="34" t="s">
        <v>162</v>
      </c>
      <c r="E323" s="34" t="s">
        <v>49</v>
      </c>
      <c r="F323" s="165">
        <v>40845</v>
      </c>
      <c r="G323" s="165">
        <v>40847</v>
      </c>
      <c r="H323" s="94" t="s">
        <v>132</v>
      </c>
      <c r="I323" s="34" t="s">
        <v>1017</v>
      </c>
      <c r="J323" s="34" t="s">
        <v>1055</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6" t="s">
        <v>765</v>
      </c>
      <c r="B324" s="164" t="s">
        <v>906</v>
      </c>
      <c r="C324" s="34" t="str">
        <f>VLOOKUP(Observaciones[Caso de Prueba],CasoPrueba[[#All],[Código CP]:[Prioridad]],7,TRUE)</f>
        <v>Alta</v>
      </c>
      <c r="D324" s="34" t="s">
        <v>28</v>
      </c>
      <c r="E324" s="34" t="s">
        <v>49</v>
      </c>
      <c r="F324" s="165">
        <v>40845</v>
      </c>
      <c r="G324" s="165">
        <v>40847</v>
      </c>
      <c r="H324" s="94" t="s">
        <v>132</v>
      </c>
      <c r="I324" s="34" t="s">
        <v>597</v>
      </c>
      <c r="J324" s="34" t="s">
        <v>1056</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6" t="s">
        <v>766</v>
      </c>
      <c r="B325" s="164" t="s">
        <v>906</v>
      </c>
      <c r="C325" s="34" t="str">
        <f>VLOOKUP(Observaciones[Caso de Prueba],CasoPrueba[[#All],[Código CP]:[Prioridad]],7,TRUE)</f>
        <v>Alta</v>
      </c>
      <c r="D325" s="164" t="s">
        <v>162</v>
      </c>
      <c r="E325" s="34" t="s">
        <v>49</v>
      </c>
      <c r="F325" s="165">
        <v>40845</v>
      </c>
      <c r="G325" s="165">
        <v>40847</v>
      </c>
      <c r="H325" s="94" t="s">
        <v>132</v>
      </c>
      <c r="I325" s="34" t="s">
        <v>1012</v>
      </c>
      <c r="J325" s="34" t="s">
        <v>1049</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6" t="s">
        <v>767</v>
      </c>
      <c r="B326" s="164" t="s">
        <v>906</v>
      </c>
      <c r="C326" s="34" t="str">
        <f>VLOOKUP(Observaciones[Caso de Prueba],CasoPrueba[[#All],[Código CP]:[Prioridad]],7,TRUE)</f>
        <v>Alta</v>
      </c>
      <c r="D326" s="34" t="s">
        <v>28</v>
      </c>
      <c r="E326" s="34" t="s">
        <v>49</v>
      </c>
      <c r="F326" s="165">
        <v>40845</v>
      </c>
      <c r="G326" s="165">
        <v>40847</v>
      </c>
      <c r="H326" s="94" t="s">
        <v>132</v>
      </c>
      <c r="I326" s="34" t="s">
        <v>1018</v>
      </c>
      <c r="J326" s="34" t="s">
        <v>977</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6" t="s">
        <v>768</v>
      </c>
      <c r="B327" s="164" t="s">
        <v>906</v>
      </c>
      <c r="C327" s="34" t="str">
        <f>VLOOKUP(Observaciones[Caso de Prueba],CasoPrueba[[#All],[Código CP]:[Prioridad]],7,TRUE)</f>
        <v>Alta</v>
      </c>
      <c r="D327" s="34" t="s">
        <v>162</v>
      </c>
      <c r="E327" s="34" t="s">
        <v>49</v>
      </c>
      <c r="F327" s="165">
        <v>40845</v>
      </c>
      <c r="G327" s="165">
        <v>40847</v>
      </c>
      <c r="H327" s="94" t="s">
        <v>132</v>
      </c>
      <c r="I327" s="34" t="s">
        <v>1020</v>
      </c>
      <c r="J327" s="34" t="s">
        <v>1057</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6" t="s">
        <v>769</v>
      </c>
      <c r="B328" s="164" t="s">
        <v>906</v>
      </c>
      <c r="C328" s="34" t="str">
        <f>VLOOKUP(Observaciones[Caso de Prueba],CasoPrueba[[#All],[Código CP]:[Prioridad]],7,TRUE)</f>
        <v>Alta</v>
      </c>
      <c r="D328" s="34" t="s">
        <v>29</v>
      </c>
      <c r="E328" s="34" t="s">
        <v>49</v>
      </c>
      <c r="F328" s="165">
        <v>40845</v>
      </c>
      <c r="G328" s="165">
        <v>40847</v>
      </c>
      <c r="H328" s="94" t="s">
        <v>132</v>
      </c>
      <c r="I328" s="34" t="s">
        <v>1021</v>
      </c>
      <c r="J328" s="34" t="s">
        <v>1058</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6" t="s">
        <v>770</v>
      </c>
      <c r="B329" s="164" t="s">
        <v>489</v>
      </c>
      <c r="C329" s="34" t="str">
        <f>VLOOKUP(Observaciones[Caso de Prueba],CasoPrueba[[#All],[Código CP]:[Prioridad]],7,TRUE)</f>
        <v>Alta</v>
      </c>
      <c r="D329" s="34" t="s">
        <v>30</v>
      </c>
      <c r="E329" s="34" t="s">
        <v>49</v>
      </c>
      <c r="F329" s="165">
        <v>40847</v>
      </c>
      <c r="G329" s="73">
        <v>40848</v>
      </c>
      <c r="H329" s="94" t="s">
        <v>132</v>
      </c>
      <c r="I329" s="34" t="s">
        <v>1014</v>
      </c>
      <c r="J329" s="34" t="s">
        <v>1032</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6" t="s">
        <v>771</v>
      </c>
      <c r="B330" s="164" t="s">
        <v>489</v>
      </c>
      <c r="C330" s="34" t="str">
        <f>VLOOKUP(Observaciones[Caso de Prueba],CasoPrueba[[#All],[Código CP]:[Prioridad]],7,TRUE)</f>
        <v>Alta</v>
      </c>
      <c r="D330" s="34" t="s">
        <v>162</v>
      </c>
      <c r="E330" s="34" t="s">
        <v>49</v>
      </c>
      <c r="F330" s="165">
        <v>40847</v>
      </c>
      <c r="G330" s="73">
        <v>40848</v>
      </c>
      <c r="H330" s="94" t="s">
        <v>132</v>
      </c>
      <c r="I330" s="34" t="s">
        <v>1025</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57" hidden="1" customHeight="1">
      <c r="A331" s="164" t="s">
        <v>772</v>
      </c>
      <c r="B331" s="164" t="s">
        <v>614</v>
      </c>
      <c r="C331" s="34" t="str">
        <f>VLOOKUP(Observaciones[Caso de Prueba],CasoPrueba[[#All],[Código CP]:[Prioridad]],7,TRUE)</f>
        <v>Alta</v>
      </c>
      <c r="D331" s="34" t="s">
        <v>30</v>
      </c>
      <c r="E331" s="34" t="s">
        <v>49</v>
      </c>
      <c r="F331" s="165">
        <v>40847</v>
      </c>
      <c r="G331" s="73">
        <v>40848</v>
      </c>
      <c r="H331" s="94" t="s">
        <v>132</v>
      </c>
      <c r="I331" s="34" t="s">
        <v>1026</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6" t="s">
        <v>773</v>
      </c>
      <c r="B332" s="34" t="s">
        <v>619</v>
      </c>
      <c r="C332" s="34" t="str">
        <f>VLOOKUP(Observaciones[Caso de Prueba],CasoPrueba[[#All],[Código CP]:[Prioridad]],7,TRUE)</f>
        <v>Alta</v>
      </c>
      <c r="D332" s="34" t="s">
        <v>30</v>
      </c>
      <c r="E332" s="34" t="s">
        <v>49</v>
      </c>
      <c r="F332" s="165">
        <v>40847</v>
      </c>
      <c r="G332" s="73">
        <v>40848</v>
      </c>
      <c r="H332" s="94" t="s">
        <v>132</v>
      </c>
      <c r="I332" s="34" t="s">
        <v>1027</v>
      </c>
      <c r="J332" s="34" t="s">
        <v>1033</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6" t="s">
        <v>774</v>
      </c>
      <c r="B333" s="34" t="s">
        <v>619</v>
      </c>
      <c r="C333" s="34" t="str">
        <f>VLOOKUP(Observaciones[Caso de Prueba],CasoPrueba[[#All],[Código CP]:[Prioridad]],7,TRUE)</f>
        <v>Alta</v>
      </c>
      <c r="D333" s="34" t="s">
        <v>162</v>
      </c>
      <c r="E333" s="34" t="s">
        <v>49</v>
      </c>
      <c r="F333" s="165">
        <v>40847</v>
      </c>
      <c r="G333" s="73">
        <v>40848</v>
      </c>
      <c r="H333" s="94" t="s">
        <v>132</v>
      </c>
      <c r="I333" s="34" t="s">
        <v>1028</v>
      </c>
      <c r="J333" s="34" t="s">
        <v>1034</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6" t="s">
        <v>775</v>
      </c>
      <c r="B334" s="34" t="s">
        <v>653</v>
      </c>
      <c r="C334" s="34" t="str">
        <f>VLOOKUP(Observaciones[Caso de Prueba],CasoPrueba[[#All],[Código CP]:[Prioridad]],7,TRUE)</f>
        <v>Alta</v>
      </c>
      <c r="D334" s="34" t="s">
        <v>29</v>
      </c>
      <c r="E334" s="34" t="s">
        <v>49</v>
      </c>
      <c r="F334" s="165">
        <v>40847</v>
      </c>
      <c r="G334" s="73">
        <v>40848</v>
      </c>
      <c r="H334" s="94" t="s">
        <v>132</v>
      </c>
      <c r="I334" s="34" t="s">
        <v>1029</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6" t="s">
        <v>776</v>
      </c>
      <c r="B335" s="34" t="s">
        <v>653</v>
      </c>
      <c r="C335" s="34" t="str">
        <f>VLOOKUP(Observaciones[Caso de Prueba],CasoPrueba[[#All],[Código CP]:[Prioridad]],7,TRUE)</f>
        <v>Alta</v>
      </c>
      <c r="D335" s="34" t="s">
        <v>29</v>
      </c>
      <c r="E335" s="34" t="s">
        <v>49</v>
      </c>
      <c r="F335" s="165">
        <v>40847</v>
      </c>
      <c r="G335" s="73">
        <v>40848</v>
      </c>
      <c r="H335" s="94" t="s">
        <v>132</v>
      </c>
      <c r="I335" s="34" t="s">
        <v>1030</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hidden="1">
      <c r="A336" s="166" t="s">
        <v>777</v>
      </c>
      <c r="B336" s="34" t="s">
        <v>887</v>
      </c>
      <c r="C336" s="34" t="str">
        <f>VLOOKUP(Observaciones[Caso de Prueba],CasoPrueba[[#All],[Código CP]:[Prioridad]],7,TRUE)</f>
        <v>Alta</v>
      </c>
      <c r="D336" s="34" t="s">
        <v>162</v>
      </c>
      <c r="E336" s="34" t="s">
        <v>49</v>
      </c>
      <c r="F336" s="73">
        <v>40848</v>
      </c>
      <c r="G336" s="73">
        <v>40850</v>
      </c>
      <c r="H336" s="94" t="s">
        <v>132</v>
      </c>
      <c r="I336" s="34" t="s">
        <v>1035</v>
      </c>
      <c r="J336" s="34" t="s">
        <v>851</v>
      </c>
      <c r="K336" s="34">
        <f>IF((Observaciones[[#This Row],[Fecha Levantamiento]]-Observaciones[[#This Row],[Fecha Detección]])&gt;=0,Observaciones[[#This Row],[Fecha Levantamiento]]-Observaciones[[#This Row],[Fecha Detección]]+1,0)</f>
        <v>3</v>
      </c>
      <c r="L336" s="34" t="str">
        <f>LOOKUP(Observaciones[[#This Row],[Caso de Prueba]],CasoPrueba[Código CP],CasoPrueba[Código de REQ])</f>
        <v>INSPECCIÓN</v>
      </c>
    </row>
    <row r="337" spans="1:12" ht="30" hidden="1">
      <c r="A337" s="166" t="s">
        <v>778</v>
      </c>
      <c r="B337" s="34" t="s">
        <v>887</v>
      </c>
      <c r="C337" s="34" t="str">
        <f>VLOOKUP(Observaciones[Caso de Prueba],CasoPrueba[[#All],[Código CP]:[Prioridad]],7,TRUE)</f>
        <v>Alta</v>
      </c>
      <c r="D337" s="34" t="s">
        <v>30</v>
      </c>
      <c r="E337" s="34" t="s">
        <v>49</v>
      </c>
      <c r="F337" s="73">
        <v>40848</v>
      </c>
      <c r="G337" s="73">
        <v>40850</v>
      </c>
      <c r="H337" s="94" t="s">
        <v>132</v>
      </c>
      <c r="I337" s="34" t="s">
        <v>1036</v>
      </c>
      <c r="J337" s="34" t="s">
        <v>1102</v>
      </c>
      <c r="K337" s="34">
        <f>IF((Observaciones[[#This Row],[Fecha Levantamiento]]-Observaciones[[#This Row],[Fecha Detección]])&gt;=0,Observaciones[[#This Row],[Fecha Levantamiento]]-Observaciones[[#This Row],[Fecha Detección]]+1,0)</f>
        <v>3</v>
      </c>
      <c r="L337" s="34" t="str">
        <f>LOOKUP(Observaciones[[#This Row],[Caso de Prueba]],CasoPrueba[Código CP],CasoPrueba[Código de REQ])</f>
        <v>INSPECCIÓN</v>
      </c>
    </row>
    <row r="338" spans="1:12" ht="30" hidden="1">
      <c r="A338" s="166" t="s">
        <v>779</v>
      </c>
      <c r="B338" s="34" t="s">
        <v>888</v>
      </c>
      <c r="C338" s="34" t="str">
        <f>VLOOKUP(Observaciones[Caso de Prueba],CasoPrueba[[#All],[Código CP]:[Prioridad]],7,TRUE)</f>
        <v>Alta</v>
      </c>
      <c r="D338" s="34" t="s">
        <v>30</v>
      </c>
      <c r="E338" s="34" t="s">
        <v>49</v>
      </c>
      <c r="F338" s="73">
        <v>40848</v>
      </c>
      <c r="G338" s="73">
        <v>40850</v>
      </c>
      <c r="H338" s="94" t="s">
        <v>132</v>
      </c>
      <c r="I338" s="34" t="s">
        <v>1014</v>
      </c>
      <c r="J338" s="34" t="s">
        <v>1103</v>
      </c>
      <c r="K338" s="34">
        <f>IF((Observaciones[[#This Row],[Fecha Levantamiento]]-Observaciones[[#This Row],[Fecha Detección]])&gt;=0,Observaciones[[#This Row],[Fecha Levantamiento]]-Observaciones[[#This Row],[Fecha Detección]]+1,0)</f>
        <v>3</v>
      </c>
      <c r="L338" s="34" t="str">
        <f>LOOKUP(Observaciones[[#This Row],[Caso de Prueba]],CasoPrueba[Código CP],CasoPrueba[Código de REQ])</f>
        <v>INSPECCIÓN</v>
      </c>
    </row>
    <row r="339" spans="1:12" ht="105" hidden="1">
      <c r="A339" s="164" t="s">
        <v>780</v>
      </c>
      <c r="B339" s="34" t="s">
        <v>889</v>
      </c>
      <c r="C339" s="34" t="str">
        <f>VLOOKUP(Observaciones[Caso de Prueba],CasoPrueba[[#All],[Código CP]:[Prioridad]],7,TRUE)</f>
        <v>Alta</v>
      </c>
      <c r="D339" s="34" t="s">
        <v>30</v>
      </c>
      <c r="E339" s="34" t="s">
        <v>49</v>
      </c>
      <c r="F339" s="73">
        <v>40848</v>
      </c>
      <c r="G339" s="73">
        <v>40850</v>
      </c>
      <c r="H339" s="94" t="s">
        <v>132</v>
      </c>
      <c r="I339" s="34" t="s">
        <v>1063</v>
      </c>
      <c r="J339" s="34" t="s">
        <v>1104</v>
      </c>
      <c r="K339" s="34">
        <f>IF((Observaciones[[#This Row],[Fecha Levantamiento]]-Observaciones[[#This Row],[Fecha Detección]])&gt;=0,Observaciones[[#This Row],[Fecha Levantamiento]]-Observaciones[[#This Row],[Fecha Detección]]+1,0)</f>
        <v>3</v>
      </c>
      <c r="L339" s="34" t="str">
        <f>LOOKUP(Observaciones[[#This Row],[Caso de Prueba]],CasoPrueba[Código CP],CasoPrueba[Código de REQ])</f>
        <v>INSPECCIÓN</v>
      </c>
    </row>
    <row r="340" spans="1:12" ht="30" hidden="1">
      <c r="A340" s="166" t="s">
        <v>781</v>
      </c>
      <c r="B340" s="34" t="s">
        <v>891</v>
      </c>
      <c r="C340" s="34" t="str">
        <f>VLOOKUP(Observaciones[Caso de Prueba],CasoPrueba[[#All],[Código CP]:[Prioridad]],7,TRUE)</f>
        <v>Alta</v>
      </c>
      <c r="D340" s="34" t="s">
        <v>162</v>
      </c>
      <c r="E340" s="34" t="s">
        <v>49</v>
      </c>
      <c r="F340" s="73">
        <v>40848</v>
      </c>
      <c r="G340" s="73">
        <v>40850</v>
      </c>
      <c r="H340" s="94" t="s">
        <v>132</v>
      </c>
      <c r="I340" s="34" t="s">
        <v>1038</v>
      </c>
      <c r="J340" s="34" t="s">
        <v>1105</v>
      </c>
      <c r="K340" s="34">
        <f>IF((Observaciones[[#This Row],[Fecha Levantamiento]]-Observaciones[[#This Row],[Fecha Detección]])&gt;=0,Observaciones[[#This Row],[Fecha Levantamiento]]-Observaciones[[#This Row],[Fecha Detección]]+1,0)</f>
        <v>3</v>
      </c>
      <c r="L340" s="34" t="str">
        <f>LOOKUP(Observaciones[[#This Row],[Caso de Prueba]],CasoPrueba[Código CP],CasoPrueba[Código de REQ])</f>
        <v>INSPECCIÓN</v>
      </c>
    </row>
    <row r="341" spans="1:12" ht="45" hidden="1">
      <c r="A341" s="166" t="s">
        <v>782</v>
      </c>
      <c r="B341" s="164" t="s">
        <v>614</v>
      </c>
      <c r="C341" s="34" t="str">
        <f>VLOOKUP(Observaciones[Caso de Prueba],CasoPrueba[[#All],[Código CP]:[Prioridad]],7,TRUE)</f>
        <v>Alta</v>
      </c>
      <c r="D341" s="34" t="s">
        <v>30</v>
      </c>
      <c r="E341" s="34" t="s">
        <v>49</v>
      </c>
      <c r="F341" s="73">
        <v>40848</v>
      </c>
      <c r="G341" s="73">
        <v>40850</v>
      </c>
      <c r="H341" s="94" t="s">
        <v>132</v>
      </c>
      <c r="I341" s="34" t="s">
        <v>1060</v>
      </c>
      <c r="J341" s="34" t="s">
        <v>858</v>
      </c>
      <c r="K341" s="34">
        <f>IF((Observaciones[[#This Row],[Fecha Levantamiento]]-Observaciones[[#This Row],[Fecha Detección]])&gt;=0,Observaciones[[#This Row],[Fecha Levantamiento]]-Observaciones[[#This Row],[Fecha Detección]]+1,0)</f>
        <v>3</v>
      </c>
      <c r="L341" s="34" t="str">
        <f>LOOKUP(Observaciones[[#This Row],[Caso de Prueba]],CasoPrueba[Código CP],CasoPrueba[Código de REQ])</f>
        <v>INSPECCIÓN</v>
      </c>
    </row>
    <row r="342" spans="1:12" ht="30" hidden="1">
      <c r="A342" s="166" t="s">
        <v>783</v>
      </c>
      <c r="B342" s="34" t="s">
        <v>619</v>
      </c>
      <c r="C342" s="34" t="str">
        <f>VLOOKUP(Observaciones[Caso de Prueba],CasoPrueba[[#All],[Código CP]:[Prioridad]],7,TRUE)</f>
        <v>Alta</v>
      </c>
      <c r="D342" s="34" t="s">
        <v>162</v>
      </c>
      <c r="E342" s="34" t="s">
        <v>49</v>
      </c>
      <c r="F342" s="73">
        <v>40848</v>
      </c>
      <c r="G342" s="73">
        <v>40850</v>
      </c>
      <c r="H342" s="94" t="s">
        <v>132</v>
      </c>
      <c r="I342" s="34" t="s">
        <v>1061</v>
      </c>
      <c r="J342" s="34" t="s">
        <v>1044</v>
      </c>
      <c r="K342" s="34">
        <f>IF((Observaciones[[#This Row],[Fecha Levantamiento]]-Observaciones[[#This Row],[Fecha Detección]])&gt;=0,Observaciones[[#This Row],[Fecha Levantamiento]]-Observaciones[[#This Row],[Fecha Detección]]+1,0)</f>
        <v>3</v>
      </c>
      <c r="L342" s="34" t="str">
        <f>LOOKUP(Observaciones[[#This Row],[Caso de Prueba]],CasoPrueba[Código CP],CasoPrueba[Código de REQ])</f>
        <v>INSPECCIÓN</v>
      </c>
    </row>
    <row r="343" spans="1:12" ht="30" hidden="1">
      <c r="A343" s="166" t="s">
        <v>784</v>
      </c>
      <c r="B343" s="34" t="s">
        <v>653</v>
      </c>
      <c r="C343" s="34" t="str">
        <f>VLOOKUP(Observaciones[Caso de Prueba],CasoPrueba[[#All],[Código CP]:[Prioridad]],7,TRUE)</f>
        <v>Alta</v>
      </c>
      <c r="D343" s="34" t="s">
        <v>162</v>
      </c>
      <c r="E343" s="34" t="s">
        <v>49</v>
      </c>
      <c r="F343" s="73">
        <v>40848</v>
      </c>
      <c r="G343" s="73">
        <v>40850</v>
      </c>
      <c r="H343" s="94" t="s">
        <v>132</v>
      </c>
      <c r="I343" s="34" t="s">
        <v>1062</v>
      </c>
      <c r="J343" s="34" t="s">
        <v>1106</v>
      </c>
      <c r="K343" s="34">
        <f>IF((Observaciones[[#This Row],[Fecha Levantamiento]]-Observaciones[[#This Row],[Fecha Detección]])&gt;=0,Observaciones[[#This Row],[Fecha Levantamiento]]-Observaciones[[#This Row],[Fecha Detección]]+1,0)</f>
        <v>3</v>
      </c>
      <c r="L343" s="34" t="str">
        <f>LOOKUP(Observaciones[[#This Row],[Caso de Prueba]],CasoPrueba[Código CP],CasoPrueba[Código de REQ])</f>
        <v>INSPECCIÓN</v>
      </c>
    </row>
    <row r="344" spans="1:12" ht="45" hidden="1">
      <c r="A344" s="166" t="s">
        <v>785</v>
      </c>
      <c r="B344" s="34" t="s">
        <v>88</v>
      </c>
      <c r="C344" s="34" t="str">
        <f>VLOOKUP(Observaciones[Caso de Prueba],CasoPrueba[[#All],[Código CP]:[Prioridad]],7,TRUE)</f>
        <v>Alta</v>
      </c>
      <c r="D344" s="34" t="s">
        <v>28</v>
      </c>
      <c r="E344" s="34" t="s">
        <v>49</v>
      </c>
      <c r="F344" s="73">
        <v>40848</v>
      </c>
      <c r="G344" s="73">
        <v>40850</v>
      </c>
      <c r="H344" s="94" t="s">
        <v>132</v>
      </c>
      <c r="I344" s="34" t="s">
        <v>871</v>
      </c>
      <c r="J344" s="34" t="s">
        <v>977</v>
      </c>
      <c r="K344" s="34">
        <f>IF((Observaciones[[#This Row],[Fecha Levantamiento]]-Observaciones[[#This Row],[Fecha Detección]])&gt;=0,Observaciones[[#This Row],[Fecha Levantamiento]]-Observaciones[[#This Row],[Fecha Detección]]+1,0)</f>
        <v>3</v>
      </c>
      <c r="L344" s="34" t="str">
        <f>LOOKUP(Observaciones[[#This Row],[Caso de Prueba]],CasoPrueba[Código CP],CasoPrueba[Código de REQ])</f>
        <v>INSPECCIÓN</v>
      </c>
    </row>
    <row r="345" spans="1:12" ht="45" hidden="1">
      <c r="A345" s="166" t="s">
        <v>786</v>
      </c>
      <c r="B345" s="34" t="s">
        <v>151</v>
      </c>
      <c r="C345" s="34" t="str">
        <f>VLOOKUP(Observaciones[Caso de Prueba],CasoPrueba[[#All],[Código CP]:[Prioridad]],7,TRUE)</f>
        <v>Alta</v>
      </c>
      <c r="D345" s="34" t="s">
        <v>28</v>
      </c>
      <c r="E345" s="34" t="s">
        <v>49</v>
      </c>
      <c r="F345" s="73">
        <v>40848</v>
      </c>
      <c r="G345" s="73">
        <v>40850</v>
      </c>
      <c r="H345" s="94" t="s">
        <v>132</v>
      </c>
      <c r="I345" s="34" t="s">
        <v>597</v>
      </c>
      <c r="J345" s="34" t="s">
        <v>1107</v>
      </c>
      <c r="K345" s="34">
        <f>IF((Observaciones[[#This Row],[Fecha Levantamiento]]-Observaciones[[#This Row],[Fecha Detección]])&gt;=0,Observaciones[[#This Row],[Fecha Levantamiento]]-Observaciones[[#This Row],[Fecha Detección]]+1,0)</f>
        <v>3</v>
      </c>
      <c r="L345" s="34" t="str">
        <f>LOOKUP(Observaciones[[#This Row],[Caso de Prueba]],CasoPrueba[Código CP],CasoPrueba[Código de REQ])</f>
        <v>INSPECCIÓN</v>
      </c>
    </row>
    <row r="346" spans="1:12" ht="45" hidden="1">
      <c r="A346" s="166" t="s">
        <v>787</v>
      </c>
      <c r="B346" s="34" t="s">
        <v>152</v>
      </c>
      <c r="C346" s="34" t="str">
        <f>VLOOKUP(Observaciones[Caso de Prueba],CasoPrueba[[#All],[Código CP]:[Prioridad]],7,TRUE)</f>
        <v>Alta</v>
      </c>
      <c r="D346" s="34" t="s">
        <v>28</v>
      </c>
      <c r="E346" s="34" t="s">
        <v>49</v>
      </c>
      <c r="F346" s="73">
        <v>40848</v>
      </c>
      <c r="G346" s="73">
        <v>40850</v>
      </c>
      <c r="H346" s="94" t="s">
        <v>132</v>
      </c>
      <c r="I346" s="34" t="s">
        <v>871</v>
      </c>
      <c r="J346" s="34" t="s">
        <v>955</v>
      </c>
      <c r="K346" s="34">
        <f>IF((Observaciones[[#This Row],[Fecha Levantamiento]]-Observaciones[[#This Row],[Fecha Detección]])&gt;=0,Observaciones[[#This Row],[Fecha Levantamiento]]-Observaciones[[#This Row],[Fecha Detección]]+1,0)</f>
        <v>3</v>
      </c>
      <c r="L346" s="34" t="str">
        <f>LOOKUP(Observaciones[[#This Row],[Caso de Prueba]],CasoPrueba[Código CP],CasoPrueba[Código de REQ])</f>
        <v>INSPECCIÓN</v>
      </c>
    </row>
    <row r="347" spans="1:12" ht="75" hidden="1">
      <c r="A347" s="166" t="s">
        <v>788</v>
      </c>
      <c r="B347" s="34" t="s">
        <v>152</v>
      </c>
      <c r="C347" s="34" t="str">
        <f>VLOOKUP(Observaciones[Caso de Prueba],CasoPrueba[[#All],[Código CP]:[Prioridad]],7,TRUE)</f>
        <v>Alta</v>
      </c>
      <c r="D347" s="34" t="s">
        <v>28</v>
      </c>
      <c r="E347" s="34" t="s">
        <v>49</v>
      </c>
      <c r="F347" s="73">
        <v>40848</v>
      </c>
      <c r="G347" s="73">
        <v>40850</v>
      </c>
      <c r="H347" s="94" t="s">
        <v>132</v>
      </c>
      <c r="I347" s="34" t="s">
        <v>1068</v>
      </c>
      <c r="J347" s="34" t="s">
        <v>817</v>
      </c>
      <c r="K347" s="34">
        <f>IF((Observaciones[[#This Row],[Fecha Levantamiento]]-Observaciones[[#This Row],[Fecha Detección]])&gt;=0,Observaciones[[#This Row],[Fecha Levantamiento]]-Observaciones[[#This Row],[Fecha Detección]]+1,0)</f>
        <v>3</v>
      </c>
      <c r="L347" s="34" t="str">
        <f>LOOKUP(Observaciones[[#This Row],[Caso de Prueba]],CasoPrueba[Código CP],CasoPrueba[Código de REQ])</f>
        <v>INSPECCIÓN</v>
      </c>
    </row>
    <row r="348" spans="1:12" hidden="1">
      <c r="A348" s="166" t="s">
        <v>789</v>
      </c>
      <c r="B348" s="34" t="s">
        <v>152</v>
      </c>
      <c r="C348" s="34" t="str">
        <f>VLOOKUP(Observaciones[Caso de Prueba],CasoPrueba[[#All],[Código CP]:[Prioridad]],7,TRUE)</f>
        <v>Alta</v>
      </c>
      <c r="D348" s="34" t="s">
        <v>28</v>
      </c>
      <c r="E348" s="34" t="s">
        <v>49</v>
      </c>
      <c r="F348" s="73">
        <v>40848</v>
      </c>
      <c r="G348" s="73">
        <v>40850</v>
      </c>
      <c r="H348" s="94" t="s">
        <v>132</v>
      </c>
      <c r="I348" s="34" t="s">
        <v>645</v>
      </c>
      <c r="J348" s="34" t="s">
        <v>1108</v>
      </c>
      <c r="K348" s="34">
        <f>IF((Observaciones[[#This Row],[Fecha Levantamiento]]-Observaciones[[#This Row],[Fecha Detección]])&gt;=0,Observaciones[[#This Row],[Fecha Levantamiento]]-Observaciones[[#This Row],[Fecha Detección]]+1,0)</f>
        <v>3</v>
      </c>
      <c r="L348" s="34" t="str">
        <f>LOOKUP(Observaciones[[#This Row],[Caso de Prueba]],CasoPrueba[Código CP],CasoPrueba[Código de REQ])</f>
        <v>INSPECCIÓN</v>
      </c>
    </row>
    <row r="349" spans="1:12" ht="45" hidden="1">
      <c r="A349" s="166" t="s">
        <v>790</v>
      </c>
      <c r="B349" s="34" t="s">
        <v>153</v>
      </c>
      <c r="C349" s="34" t="str">
        <f>VLOOKUP(Observaciones[Caso de Prueba],CasoPrueba[[#All],[Código CP]:[Prioridad]],7,TRUE)</f>
        <v>Alta</v>
      </c>
      <c r="D349" s="34" t="s">
        <v>28</v>
      </c>
      <c r="E349" s="34" t="s">
        <v>49</v>
      </c>
      <c r="F349" s="73">
        <v>40848</v>
      </c>
      <c r="G349" s="73">
        <v>40850</v>
      </c>
      <c r="H349" s="94" t="s">
        <v>132</v>
      </c>
      <c r="I349" s="34" t="s">
        <v>597</v>
      </c>
      <c r="J349" s="34" t="s">
        <v>1109</v>
      </c>
      <c r="K349" s="34">
        <f>IF((Observaciones[[#This Row],[Fecha Levantamiento]]-Observaciones[[#This Row],[Fecha Detección]])&gt;=0,Observaciones[[#This Row],[Fecha Levantamiento]]-Observaciones[[#This Row],[Fecha Detección]]+1,0)</f>
        <v>3</v>
      </c>
      <c r="L349" s="34" t="str">
        <f>LOOKUP(Observaciones[[#This Row],[Caso de Prueba]],CasoPrueba[Código CP],CasoPrueba[Código de REQ])</f>
        <v>INSPECCIÓN</v>
      </c>
    </row>
    <row r="350" spans="1:12" ht="45" hidden="1">
      <c r="A350" s="166" t="s">
        <v>791</v>
      </c>
      <c r="B350" s="34" t="s">
        <v>153</v>
      </c>
      <c r="C350" s="34" t="str">
        <f>VLOOKUP(Observaciones[Caso de Prueba],CasoPrueba[[#All],[Código CP]:[Prioridad]],7,TRUE)</f>
        <v>Alta</v>
      </c>
      <c r="D350" s="34" t="s">
        <v>30</v>
      </c>
      <c r="E350" s="34" t="s">
        <v>49</v>
      </c>
      <c r="F350" s="73">
        <v>40848</v>
      </c>
      <c r="G350" s="73">
        <v>40850</v>
      </c>
      <c r="H350" s="94" t="s">
        <v>132</v>
      </c>
      <c r="I350" s="34" t="s">
        <v>1069</v>
      </c>
      <c r="J350" s="34" t="s">
        <v>955</v>
      </c>
      <c r="K350" s="34">
        <f>IF((Observaciones[[#This Row],[Fecha Levantamiento]]-Observaciones[[#This Row],[Fecha Detección]])&gt;=0,Observaciones[[#This Row],[Fecha Levantamiento]]-Observaciones[[#This Row],[Fecha Detección]]+1,0)</f>
        <v>3</v>
      </c>
      <c r="L350" s="34" t="str">
        <f>LOOKUP(Observaciones[[#This Row],[Caso de Prueba]],CasoPrueba[Código CP],CasoPrueba[Código de REQ])</f>
        <v>INSPECCIÓN</v>
      </c>
    </row>
    <row r="351" spans="1:12" ht="45" hidden="1">
      <c r="A351" s="166" t="s">
        <v>792</v>
      </c>
      <c r="B351" s="34" t="s">
        <v>154</v>
      </c>
      <c r="C351" s="34" t="str">
        <f>VLOOKUP(Observaciones[Caso de Prueba],CasoPrueba[[#All],[Código CP]:[Prioridad]],7,TRUE)</f>
        <v>Alta</v>
      </c>
      <c r="D351" s="34" t="s">
        <v>28</v>
      </c>
      <c r="E351" s="34" t="s">
        <v>49</v>
      </c>
      <c r="F351" s="73">
        <v>40848</v>
      </c>
      <c r="G351" s="73">
        <v>40850</v>
      </c>
      <c r="H351" s="94" t="s">
        <v>132</v>
      </c>
      <c r="I351" s="34" t="s">
        <v>597</v>
      </c>
      <c r="J351" s="34" t="s">
        <v>1110</v>
      </c>
      <c r="K351" s="34">
        <f>IF((Observaciones[[#This Row],[Fecha Levantamiento]]-Observaciones[[#This Row],[Fecha Detección]])&gt;=0,Observaciones[[#This Row],[Fecha Levantamiento]]-Observaciones[[#This Row],[Fecha Detección]]+1,0)</f>
        <v>3</v>
      </c>
      <c r="L351" s="34" t="str">
        <f>LOOKUP(Observaciones[[#This Row],[Caso de Prueba]],CasoPrueba[Código CP],CasoPrueba[Código de REQ])</f>
        <v>INSPECCIÓN</v>
      </c>
    </row>
    <row r="352" spans="1:12" ht="45" hidden="1">
      <c r="A352" s="166" t="s">
        <v>793</v>
      </c>
      <c r="B352" s="34" t="s">
        <v>155</v>
      </c>
      <c r="C352" s="34" t="str">
        <f>VLOOKUP(Observaciones[Caso de Prueba],CasoPrueba[[#All],[Código CP]:[Prioridad]],7,TRUE)</f>
        <v>Alta</v>
      </c>
      <c r="D352" s="34" t="s">
        <v>28</v>
      </c>
      <c r="E352" s="34" t="s">
        <v>49</v>
      </c>
      <c r="F352" s="73">
        <v>40848</v>
      </c>
      <c r="G352" s="73">
        <v>40850</v>
      </c>
      <c r="H352" s="94" t="s">
        <v>132</v>
      </c>
      <c r="I352" s="34" t="s">
        <v>597</v>
      </c>
      <c r="J352" s="34" t="s">
        <v>1111</v>
      </c>
      <c r="K352" s="34">
        <f>IF((Observaciones[[#This Row],[Fecha Levantamiento]]-Observaciones[[#This Row],[Fecha Detección]])&gt;=0,Observaciones[[#This Row],[Fecha Levantamiento]]-Observaciones[[#This Row],[Fecha Detección]]+1,0)</f>
        <v>3</v>
      </c>
      <c r="L352" s="34" t="str">
        <f>LOOKUP(Observaciones[[#This Row],[Caso de Prueba]],CasoPrueba[Código CP],CasoPrueba[Código de REQ])</f>
        <v>INSPECCIÓN</v>
      </c>
    </row>
    <row r="353" spans="1:12" ht="45" hidden="1">
      <c r="A353" s="166" t="s">
        <v>794</v>
      </c>
      <c r="B353" s="34" t="s">
        <v>155</v>
      </c>
      <c r="C353" s="34" t="str">
        <f>VLOOKUP(Observaciones[Caso de Prueba],CasoPrueba[[#All],[Código CP]:[Prioridad]],7,TRUE)</f>
        <v>Alta</v>
      </c>
      <c r="D353" s="34" t="s">
        <v>28</v>
      </c>
      <c r="E353" s="34" t="s">
        <v>49</v>
      </c>
      <c r="F353" s="73">
        <v>40848</v>
      </c>
      <c r="G353" s="73">
        <v>40850</v>
      </c>
      <c r="H353" s="94" t="s">
        <v>132</v>
      </c>
      <c r="I353" s="34" t="s">
        <v>1085</v>
      </c>
      <c r="J353" s="34" t="s">
        <v>857</v>
      </c>
      <c r="K353" s="34">
        <f>IF((Observaciones[[#This Row],[Fecha Levantamiento]]-Observaciones[[#This Row],[Fecha Detección]])&gt;=0,Observaciones[[#This Row],[Fecha Levantamiento]]-Observaciones[[#This Row],[Fecha Detección]]+1,0)</f>
        <v>3</v>
      </c>
      <c r="L353" s="34" t="str">
        <f>LOOKUP(Observaciones[[#This Row],[Caso de Prueba]],CasoPrueba[Código CP],CasoPrueba[Código de REQ])</f>
        <v>INSPECCIÓN</v>
      </c>
    </row>
    <row r="354" spans="1:12" ht="75" hidden="1">
      <c r="A354" s="166" t="s">
        <v>795</v>
      </c>
      <c r="B354" s="34" t="s">
        <v>155</v>
      </c>
      <c r="C354" s="34" t="str">
        <f>VLOOKUP(Observaciones[Caso de Prueba],CasoPrueba[[#All],[Código CP]:[Prioridad]],7,TRUE)</f>
        <v>Alta</v>
      </c>
      <c r="D354" s="34" t="s">
        <v>28</v>
      </c>
      <c r="E354" s="34" t="s">
        <v>49</v>
      </c>
      <c r="F354" s="73">
        <v>40848</v>
      </c>
      <c r="G354" s="73">
        <v>40850</v>
      </c>
      <c r="H354" s="94" t="s">
        <v>132</v>
      </c>
      <c r="I354" s="34" t="s">
        <v>1081</v>
      </c>
      <c r="J354" s="34" t="s">
        <v>857</v>
      </c>
      <c r="K354" s="34">
        <f>IF((Observaciones[[#This Row],[Fecha Levantamiento]]-Observaciones[[#This Row],[Fecha Detección]])&gt;=0,Observaciones[[#This Row],[Fecha Levantamiento]]-Observaciones[[#This Row],[Fecha Detección]]+1,0)</f>
        <v>3</v>
      </c>
      <c r="L354" s="34" t="str">
        <f>LOOKUP(Observaciones[[#This Row],[Caso de Prueba]],CasoPrueba[Código CP],CasoPrueba[Código de REQ])</f>
        <v>INSPECCIÓN</v>
      </c>
    </row>
    <row r="355" spans="1:12" ht="45" hidden="1">
      <c r="A355" s="166" t="s">
        <v>796</v>
      </c>
      <c r="B355" s="34" t="s">
        <v>156</v>
      </c>
      <c r="C355" s="34" t="str">
        <f>VLOOKUP(Observaciones[Caso de Prueba],CasoPrueba[[#All],[Código CP]:[Prioridad]],7,TRUE)</f>
        <v>Alta</v>
      </c>
      <c r="D355" s="34" t="s">
        <v>28</v>
      </c>
      <c r="E355" s="34" t="s">
        <v>49</v>
      </c>
      <c r="F355" s="73">
        <v>40848</v>
      </c>
      <c r="G355" s="73">
        <v>40850</v>
      </c>
      <c r="H355" s="94" t="s">
        <v>132</v>
      </c>
      <c r="I355" s="34" t="s">
        <v>597</v>
      </c>
      <c r="J355" s="34" t="s">
        <v>1112</v>
      </c>
      <c r="K355" s="34">
        <f>IF((Observaciones[[#This Row],[Fecha Levantamiento]]-Observaciones[[#This Row],[Fecha Detección]])&gt;=0,Observaciones[[#This Row],[Fecha Levantamiento]]-Observaciones[[#This Row],[Fecha Detección]]+1,0)</f>
        <v>3</v>
      </c>
      <c r="L355" s="34" t="str">
        <f>LOOKUP(Observaciones[[#This Row],[Caso de Prueba]],CasoPrueba[Código CP],CasoPrueba[Código de REQ])</f>
        <v>INSPECCIÓN</v>
      </c>
    </row>
    <row r="356" spans="1:12" ht="45" hidden="1">
      <c r="A356" s="166" t="s">
        <v>797</v>
      </c>
      <c r="B356" s="34" t="s">
        <v>157</v>
      </c>
      <c r="C356" s="34" t="str">
        <f>VLOOKUP(Observaciones[Caso de Prueba],CasoPrueba[[#All],[Código CP]:[Prioridad]],7,TRUE)</f>
        <v>Alta</v>
      </c>
      <c r="D356" s="34" t="s">
        <v>28</v>
      </c>
      <c r="E356" s="34" t="s">
        <v>49</v>
      </c>
      <c r="F356" s="73">
        <v>40848</v>
      </c>
      <c r="G356" s="73">
        <v>40850</v>
      </c>
      <c r="H356" s="94" t="s">
        <v>132</v>
      </c>
      <c r="I356" s="34" t="s">
        <v>597</v>
      </c>
      <c r="J356" s="34" t="s">
        <v>1113</v>
      </c>
      <c r="K356" s="34">
        <f>IF((Observaciones[[#This Row],[Fecha Levantamiento]]-Observaciones[[#This Row],[Fecha Detección]])&gt;=0,Observaciones[[#This Row],[Fecha Levantamiento]]-Observaciones[[#This Row],[Fecha Detección]]+1,0)</f>
        <v>3</v>
      </c>
      <c r="L356" s="34" t="str">
        <f>LOOKUP(Observaciones[[#This Row],[Caso de Prueba]],CasoPrueba[Código CP],CasoPrueba[Código de REQ])</f>
        <v>INSPECCIÓN</v>
      </c>
    </row>
    <row r="357" spans="1:12" ht="45" hidden="1">
      <c r="A357" s="166" t="s">
        <v>798</v>
      </c>
      <c r="B357" s="34" t="s">
        <v>158</v>
      </c>
      <c r="C357" s="34" t="str">
        <f>VLOOKUP(Observaciones[Caso de Prueba],CasoPrueba[[#All],[Código CP]:[Prioridad]],7,TRUE)</f>
        <v>Alta</v>
      </c>
      <c r="D357" s="34" t="s">
        <v>28</v>
      </c>
      <c r="E357" s="34" t="s">
        <v>49</v>
      </c>
      <c r="F357" s="73">
        <v>40848</v>
      </c>
      <c r="G357" s="73">
        <v>40850</v>
      </c>
      <c r="H357" s="94" t="s">
        <v>132</v>
      </c>
      <c r="I357" s="34" t="s">
        <v>597</v>
      </c>
      <c r="J357" s="34" t="s">
        <v>1114</v>
      </c>
      <c r="K357" s="34">
        <f>IF((Observaciones[[#This Row],[Fecha Levantamiento]]-Observaciones[[#This Row],[Fecha Detección]])&gt;=0,Observaciones[[#This Row],[Fecha Levantamiento]]-Observaciones[[#This Row],[Fecha Detección]]+1,0)</f>
        <v>3</v>
      </c>
      <c r="L357" s="34" t="str">
        <f>LOOKUP(Observaciones[[#This Row],[Caso de Prueba]],CasoPrueba[Código CP],CasoPrueba[Código de REQ])</f>
        <v>INSPECCIÓN</v>
      </c>
    </row>
    <row r="358" spans="1:12" ht="45" hidden="1">
      <c r="A358" s="166" t="s">
        <v>799</v>
      </c>
      <c r="B358" s="34" t="s">
        <v>171</v>
      </c>
      <c r="C358" s="34" t="str">
        <f>VLOOKUP(Observaciones[Caso de Prueba],CasoPrueba[[#All],[Código CP]:[Prioridad]],7,TRUE)</f>
        <v>Alta</v>
      </c>
      <c r="D358" s="34" t="s">
        <v>28</v>
      </c>
      <c r="E358" s="34" t="s">
        <v>49</v>
      </c>
      <c r="F358" s="73">
        <v>40848</v>
      </c>
      <c r="G358" s="73">
        <v>40850</v>
      </c>
      <c r="H358" s="94" t="s">
        <v>132</v>
      </c>
      <c r="I358" s="34" t="s">
        <v>597</v>
      </c>
      <c r="J358" s="34" t="s">
        <v>1115</v>
      </c>
      <c r="K358" s="34">
        <f>IF((Observaciones[[#This Row],[Fecha Levantamiento]]-Observaciones[[#This Row],[Fecha Detección]])&gt;=0,Observaciones[[#This Row],[Fecha Levantamiento]]-Observaciones[[#This Row],[Fecha Detección]]+1,0)</f>
        <v>3</v>
      </c>
      <c r="L358" s="34" t="str">
        <f>LOOKUP(Observaciones[[#This Row],[Caso de Prueba]],CasoPrueba[Código CP],CasoPrueba[Código de REQ])</f>
        <v>INSPECCIÓN</v>
      </c>
    </row>
    <row r="359" spans="1:12" ht="45" hidden="1">
      <c r="A359" s="166" t="s">
        <v>800</v>
      </c>
      <c r="B359" s="34" t="s">
        <v>172</v>
      </c>
      <c r="C359" s="34" t="str">
        <f>VLOOKUP(Observaciones[Caso de Prueba],CasoPrueba[[#All],[Código CP]:[Prioridad]],7,TRUE)</f>
        <v>Alta</v>
      </c>
      <c r="D359" s="34" t="s">
        <v>28</v>
      </c>
      <c r="E359" s="34" t="s">
        <v>49</v>
      </c>
      <c r="F359" s="73">
        <v>40848</v>
      </c>
      <c r="G359" s="73">
        <v>40850</v>
      </c>
      <c r="H359" s="94" t="s">
        <v>132</v>
      </c>
      <c r="I359" s="34" t="s">
        <v>871</v>
      </c>
      <c r="J359" s="34" t="s">
        <v>1001</v>
      </c>
      <c r="K359" s="34">
        <f>IF((Observaciones[[#This Row],[Fecha Levantamiento]]-Observaciones[[#This Row],[Fecha Detección]])&gt;=0,Observaciones[[#This Row],[Fecha Levantamiento]]-Observaciones[[#This Row],[Fecha Detección]]+1,0)</f>
        <v>3</v>
      </c>
      <c r="L359" s="34" t="str">
        <f>LOOKUP(Observaciones[[#This Row],[Caso de Prueba]],CasoPrueba[Código CP],CasoPrueba[Código de REQ])</f>
        <v>INSPECCIÓN</v>
      </c>
    </row>
    <row r="360" spans="1:12" ht="45" hidden="1">
      <c r="A360" s="166" t="s">
        <v>801</v>
      </c>
      <c r="B360" s="34" t="s">
        <v>173</v>
      </c>
      <c r="C360" s="34" t="str">
        <f>VLOOKUP(Observaciones[Caso de Prueba],CasoPrueba[[#All],[Código CP]:[Prioridad]],7,TRUE)</f>
        <v>Alta</v>
      </c>
      <c r="D360" s="34" t="s">
        <v>28</v>
      </c>
      <c r="E360" s="34" t="s">
        <v>49</v>
      </c>
      <c r="F360" s="73">
        <v>40848</v>
      </c>
      <c r="G360" s="73">
        <v>40850</v>
      </c>
      <c r="H360" s="94" t="s">
        <v>132</v>
      </c>
      <c r="I360" s="34" t="s">
        <v>597</v>
      </c>
      <c r="J360" s="34" t="s">
        <v>1001</v>
      </c>
      <c r="K360" s="34">
        <f>IF((Observaciones[[#This Row],[Fecha Levantamiento]]-Observaciones[[#This Row],[Fecha Detección]])&gt;=0,Observaciones[[#This Row],[Fecha Levantamiento]]-Observaciones[[#This Row],[Fecha Detección]]+1,0)</f>
        <v>3</v>
      </c>
      <c r="L360" s="34" t="str">
        <f>LOOKUP(Observaciones[[#This Row],[Caso de Prueba]],CasoPrueba[Código CP],CasoPrueba[Código de REQ])</f>
        <v>INSPECCIÓN</v>
      </c>
    </row>
    <row r="361" spans="1:12" ht="60" hidden="1">
      <c r="A361" s="166" t="s">
        <v>802</v>
      </c>
      <c r="B361" s="34" t="s">
        <v>173</v>
      </c>
      <c r="C361" s="34" t="str">
        <f>VLOOKUP(Observaciones[Caso de Prueba],CasoPrueba[[#All],[Código CP]:[Prioridad]],7,TRUE)</f>
        <v>Alta</v>
      </c>
      <c r="D361" s="34" t="s">
        <v>28</v>
      </c>
      <c r="E361" s="34" t="s">
        <v>49</v>
      </c>
      <c r="F361" s="73">
        <v>40848</v>
      </c>
      <c r="G361" s="73">
        <v>40850</v>
      </c>
      <c r="H361" s="94" t="s">
        <v>132</v>
      </c>
      <c r="I361" s="34" t="s">
        <v>1082</v>
      </c>
      <c r="J361" s="34" t="s">
        <v>1001</v>
      </c>
      <c r="K361" s="34">
        <f>IF((Observaciones[[#This Row],[Fecha Levantamiento]]-Observaciones[[#This Row],[Fecha Detección]])&gt;=0,Observaciones[[#This Row],[Fecha Levantamiento]]-Observaciones[[#This Row],[Fecha Detección]]+1,0)</f>
        <v>3</v>
      </c>
      <c r="L361" s="34" t="str">
        <f>LOOKUP(Observaciones[[#This Row],[Caso de Prueba]],CasoPrueba[Código CP],CasoPrueba[Código de REQ])</f>
        <v>INSPECCIÓN</v>
      </c>
    </row>
    <row r="362" spans="1:12" ht="45" hidden="1">
      <c r="A362" s="166" t="s">
        <v>1070</v>
      </c>
      <c r="B362" s="34" t="s">
        <v>174</v>
      </c>
      <c r="C362" s="34" t="str">
        <f>VLOOKUP(Observaciones[Caso de Prueba],CasoPrueba[[#All],[Código CP]:[Prioridad]],7,TRUE)</f>
        <v>Alta</v>
      </c>
      <c r="D362" s="34" t="s">
        <v>28</v>
      </c>
      <c r="E362" s="34" t="s">
        <v>49</v>
      </c>
      <c r="F362" s="73">
        <v>40848</v>
      </c>
      <c r="G362" s="73">
        <v>40850</v>
      </c>
      <c r="H362" s="94" t="s">
        <v>132</v>
      </c>
      <c r="I362" s="34" t="s">
        <v>597</v>
      </c>
      <c r="J362" s="34" t="s">
        <v>1001</v>
      </c>
      <c r="K362" s="164">
        <f>IF((Observaciones[[#This Row],[Fecha Levantamiento]]-Observaciones[[#This Row],[Fecha Detección]])&gt;=0,Observaciones[[#This Row],[Fecha Levantamiento]]-Observaciones[[#This Row],[Fecha Detección]]+1,0)</f>
        <v>3</v>
      </c>
      <c r="L362" s="164" t="str">
        <f>LOOKUP(Observaciones[[#This Row],[Caso de Prueba]],CasoPrueba[Código CP],CasoPrueba[Código de REQ])</f>
        <v>INSPECCIÓN</v>
      </c>
    </row>
    <row r="363" spans="1:12" ht="30" hidden="1">
      <c r="A363" s="166" t="s">
        <v>1071</v>
      </c>
      <c r="B363" s="34" t="s">
        <v>174</v>
      </c>
      <c r="C363" s="34" t="str">
        <f>VLOOKUP(Observaciones[Caso de Prueba],CasoPrueba[[#All],[Código CP]:[Prioridad]],7,TRUE)</f>
        <v>Alta</v>
      </c>
      <c r="D363" s="34" t="s">
        <v>28</v>
      </c>
      <c r="E363" s="34" t="s">
        <v>49</v>
      </c>
      <c r="F363" s="73">
        <v>40848</v>
      </c>
      <c r="G363" s="73">
        <v>40850</v>
      </c>
      <c r="H363" s="94" t="s">
        <v>132</v>
      </c>
      <c r="I363" s="34" t="s">
        <v>1083</v>
      </c>
      <c r="J363" s="34" t="s">
        <v>1116</v>
      </c>
      <c r="K363" s="164">
        <f>IF((Observaciones[[#This Row],[Fecha Levantamiento]]-Observaciones[[#This Row],[Fecha Detección]])&gt;=0,Observaciones[[#This Row],[Fecha Levantamiento]]-Observaciones[[#This Row],[Fecha Detección]]+1,0)</f>
        <v>3</v>
      </c>
      <c r="L363" s="164" t="str">
        <f>LOOKUP(Observaciones[[#This Row],[Caso de Prueba]],CasoPrueba[Código CP],CasoPrueba[Código de REQ])</f>
        <v>INSPECCIÓN</v>
      </c>
    </row>
    <row r="364" spans="1:12" ht="45" hidden="1">
      <c r="A364" s="166" t="s">
        <v>1072</v>
      </c>
      <c r="B364" s="34" t="s">
        <v>174</v>
      </c>
      <c r="C364" s="34" t="str">
        <f>VLOOKUP(Observaciones[Caso de Prueba],CasoPrueba[[#All],[Código CP]:[Prioridad]],7,TRUE)</f>
        <v>Alta</v>
      </c>
      <c r="D364" s="34" t="s">
        <v>28</v>
      </c>
      <c r="E364" s="34" t="s">
        <v>49</v>
      </c>
      <c r="F364" s="73">
        <v>40848</v>
      </c>
      <c r="G364" s="73">
        <v>40850</v>
      </c>
      <c r="H364" s="94" t="s">
        <v>132</v>
      </c>
      <c r="I364" s="34" t="s">
        <v>1084</v>
      </c>
      <c r="J364" s="34" t="s">
        <v>1117</v>
      </c>
      <c r="K364" s="34">
        <f>IF((Observaciones[[#This Row],[Fecha Levantamiento]]-Observaciones[[#This Row],[Fecha Detección]])&gt;=0,Observaciones[[#This Row],[Fecha Levantamiento]]-Observaciones[[#This Row],[Fecha Detección]]+1,0)</f>
        <v>3</v>
      </c>
      <c r="L364" s="34" t="str">
        <f>LOOKUP(Observaciones[[#This Row],[Caso de Prueba]],CasoPrueba[Código CP],CasoPrueba[Código de REQ])</f>
        <v>INSPECCIÓN</v>
      </c>
    </row>
    <row r="365" spans="1:12" ht="45" hidden="1">
      <c r="A365" s="166" t="s">
        <v>1073</v>
      </c>
      <c r="B365" s="34" t="s">
        <v>175</v>
      </c>
      <c r="C365" s="34" t="str">
        <f>VLOOKUP(Observaciones[Caso de Prueba],CasoPrueba[[#All],[Código CP]:[Prioridad]],7,TRUE)</f>
        <v>Alta</v>
      </c>
      <c r="D365" s="34" t="s">
        <v>28</v>
      </c>
      <c r="E365" s="34" t="s">
        <v>49</v>
      </c>
      <c r="F365" s="73">
        <v>40848</v>
      </c>
      <c r="G365" s="73">
        <v>40850</v>
      </c>
      <c r="H365" s="94" t="s">
        <v>132</v>
      </c>
      <c r="I365" s="34" t="s">
        <v>597</v>
      </c>
      <c r="J365" s="34" t="s">
        <v>1118</v>
      </c>
      <c r="K365" s="34">
        <f>IF((Observaciones[[#This Row],[Fecha Levantamiento]]-Observaciones[[#This Row],[Fecha Detección]])&gt;=0,Observaciones[[#This Row],[Fecha Levantamiento]]-Observaciones[[#This Row],[Fecha Detección]]+1,0)</f>
        <v>3</v>
      </c>
      <c r="L365" s="34" t="str">
        <f>LOOKUP(Observaciones[[#This Row],[Caso de Prueba]],CasoPrueba[Código CP],CasoPrueba[Código de REQ])</f>
        <v>INSPECCIÓN</v>
      </c>
    </row>
    <row r="366" spans="1:12" hidden="1">
      <c r="A366" s="166" t="s">
        <v>1074</v>
      </c>
      <c r="B366" s="34" t="s">
        <v>175</v>
      </c>
      <c r="C366" s="34" t="str">
        <f>VLOOKUP(Observaciones[Caso de Prueba],CasoPrueba[[#All],[Código CP]:[Prioridad]],7,TRUE)</f>
        <v>Alta</v>
      </c>
      <c r="D366" s="34" t="s">
        <v>28</v>
      </c>
      <c r="E366" s="34" t="s">
        <v>49</v>
      </c>
      <c r="F366" s="73">
        <v>40848</v>
      </c>
      <c r="G366" s="73">
        <v>40850</v>
      </c>
      <c r="H366" s="94" t="s">
        <v>132</v>
      </c>
      <c r="I366" s="34" t="s">
        <v>1086</v>
      </c>
      <c r="J366" s="34" t="s">
        <v>1119</v>
      </c>
      <c r="K366" s="34">
        <f>IF((Observaciones[[#This Row],[Fecha Levantamiento]]-Observaciones[[#This Row],[Fecha Detección]])&gt;=0,Observaciones[[#This Row],[Fecha Levantamiento]]-Observaciones[[#This Row],[Fecha Detección]]+1,0)</f>
        <v>3</v>
      </c>
      <c r="L366" s="34" t="str">
        <f>LOOKUP(Observaciones[[#This Row],[Caso de Prueba]],CasoPrueba[Código CP],CasoPrueba[Código de REQ])</f>
        <v>INSPECCIÓN</v>
      </c>
    </row>
    <row r="367" spans="1:12" ht="45" hidden="1">
      <c r="A367" s="166" t="s">
        <v>1075</v>
      </c>
      <c r="B367" s="34" t="s">
        <v>175</v>
      </c>
      <c r="C367" s="34" t="str">
        <f>VLOOKUP(Observaciones[Caso de Prueba],CasoPrueba[[#All],[Código CP]:[Prioridad]],7,TRUE)</f>
        <v>Alta</v>
      </c>
      <c r="D367" s="34" t="s">
        <v>28</v>
      </c>
      <c r="E367" s="34" t="s">
        <v>49</v>
      </c>
      <c r="F367" s="73">
        <v>40848</v>
      </c>
      <c r="G367" s="73">
        <v>40850</v>
      </c>
      <c r="H367" s="94" t="s">
        <v>132</v>
      </c>
      <c r="I367" s="34" t="s">
        <v>1087</v>
      </c>
      <c r="J367" s="34" t="s">
        <v>1117</v>
      </c>
      <c r="K367" s="34">
        <f>IF((Observaciones[[#This Row],[Fecha Levantamiento]]-Observaciones[[#This Row],[Fecha Detección]])&gt;=0,Observaciones[[#This Row],[Fecha Levantamiento]]-Observaciones[[#This Row],[Fecha Detección]]+1,0)</f>
        <v>3</v>
      </c>
      <c r="L367" s="34" t="str">
        <f>LOOKUP(Observaciones[[#This Row],[Caso de Prueba]],CasoPrueba[Código CP],CasoPrueba[Código de REQ])</f>
        <v>INSPECCIÓN</v>
      </c>
    </row>
    <row r="368" spans="1:12" ht="105" hidden="1">
      <c r="A368" s="166" t="s">
        <v>1076</v>
      </c>
      <c r="B368" s="34" t="s">
        <v>175</v>
      </c>
      <c r="C368" s="34" t="str">
        <f>VLOOKUP(Observaciones[Caso de Prueba],CasoPrueba[[#All],[Código CP]:[Prioridad]],7,TRUE)</f>
        <v>Alta</v>
      </c>
      <c r="D368" s="34" t="s">
        <v>28</v>
      </c>
      <c r="E368" s="34" t="s">
        <v>49</v>
      </c>
      <c r="F368" s="73">
        <v>40848</v>
      </c>
      <c r="G368" s="73">
        <v>40850</v>
      </c>
      <c r="H368" s="94" t="s">
        <v>132</v>
      </c>
      <c r="I368" s="34" t="s">
        <v>1088</v>
      </c>
      <c r="J368" s="34" t="s">
        <v>1120</v>
      </c>
      <c r="K368" s="34">
        <f>IF((Observaciones[[#This Row],[Fecha Levantamiento]]-Observaciones[[#This Row],[Fecha Detección]])&gt;=0,Observaciones[[#This Row],[Fecha Levantamiento]]-Observaciones[[#This Row],[Fecha Detección]]+1,0)</f>
        <v>3</v>
      </c>
      <c r="L368" s="34" t="str">
        <f>LOOKUP(Observaciones[[#This Row],[Caso de Prueba]],CasoPrueba[Código CP],CasoPrueba[Código de REQ])</f>
        <v>INSPECCIÓN</v>
      </c>
    </row>
    <row r="369" spans="1:12" ht="45" hidden="1">
      <c r="A369" s="166" t="s">
        <v>1077</v>
      </c>
      <c r="B369" s="34" t="s">
        <v>176</v>
      </c>
      <c r="C369" s="34" t="str">
        <f>VLOOKUP(Observaciones[Caso de Prueba],CasoPrueba[[#All],[Código CP]:[Prioridad]],7,TRUE)</f>
        <v>Alta</v>
      </c>
      <c r="D369" s="34" t="s">
        <v>28</v>
      </c>
      <c r="E369" s="34" t="s">
        <v>49</v>
      </c>
      <c r="F369" s="73">
        <v>40848</v>
      </c>
      <c r="G369" s="73">
        <v>40850</v>
      </c>
      <c r="H369" s="94" t="s">
        <v>132</v>
      </c>
      <c r="I369" s="34" t="s">
        <v>597</v>
      </c>
      <c r="J369" s="34" t="s">
        <v>1118</v>
      </c>
      <c r="K369" s="34">
        <f>IF((Observaciones[[#This Row],[Fecha Levantamiento]]-Observaciones[[#This Row],[Fecha Detección]])&gt;=0,Observaciones[[#This Row],[Fecha Levantamiento]]-Observaciones[[#This Row],[Fecha Detección]]+1,0)</f>
        <v>3</v>
      </c>
      <c r="L369" s="34" t="str">
        <f>LOOKUP(Observaciones[[#This Row],[Caso de Prueba]],CasoPrueba[Código CP],CasoPrueba[Código de REQ])</f>
        <v>INSPECCIÓN</v>
      </c>
    </row>
    <row r="370" spans="1:12" hidden="1">
      <c r="A370" s="166" t="s">
        <v>1078</v>
      </c>
      <c r="B370" s="34" t="s">
        <v>176</v>
      </c>
      <c r="C370" s="34" t="str">
        <f>VLOOKUP(Observaciones[Caso de Prueba],CasoPrueba[[#All],[Código CP]:[Prioridad]],7,TRUE)</f>
        <v>Alta</v>
      </c>
      <c r="D370" s="34" t="s">
        <v>28</v>
      </c>
      <c r="E370" s="34" t="s">
        <v>49</v>
      </c>
      <c r="F370" s="73">
        <v>40848</v>
      </c>
      <c r="G370" s="73">
        <v>40850</v>
      </c>
      <c r="H370" s="94" t="s">
        <v>132</v>
      </c>
      <c r="I370" s="34" t="s">
        <v>1086</v>
      </c>
      <c r="J370" s="34" t="s">
        <v>1119</v>
      </c>
      <c r="K370" s="34">
        <f>IF((Observaciones[[#This Row],[Fecha Levantamiento]]-Observaciones[[#This Row],[Fecha Detección]])&gt;=0,Observaciones[[#This Row],[Fecha Levantamiento]]-Observaciones[[#This Row],[Fecha Detección]]+1,0)</f>
        <v>3</v>
      </c>
      <c r="L370" s="34" t="str">
        <f>LOOKUP(Observaciones[[#This Row],[Caso de Prueba]],CasoPrueba[Código CP],CasoPrueba[Código de REQ])</f>
        <v>INSPECCIÓN</v>
      </c>
    </row>
    <row r="371" spans="1:12" ht="45" hidden="1">
      <c r="A371" s="166" t="s">
        <v>1079</v>
      </c>
      <c r="B371" s="34" t="s">
        <v>176</v>
      </c>
      <c r="C371" s="34" t="str">
        <f>VLOOKUP(Observaciones[Caso de Prueba],CasoPrueba[[#All],[Código CP]:[Prioridad]],7,TRUE)</f>
        <v>Alta</v>
      </c>
      <c r="D371" s="34" t="s">
        <v>28</v>
      </c>
      <c r="E371" s="34" t="s">
        <v>49</v>
      </c>
      <c r="F371" s="73">
        <v>40848</v>
      </c>
      <c r="G371" s="73">
        <v>40850</v>
      </c>
      <c r="H371" s="94" t="s">
        <v>132</v>
      </c>
      <c r="I371" s="34" t="s">
        <v>1089</v>
      </c>
      <c r="J371" s="34" t="s">
        <v>1121</v>
      </c>
      <c r="K371" s="34">
        <f>IF((Observaciones[[#This Row],[Fecha Levantamiento]]-Observaciones[[#This Row],[Fecha Detección]])&gt;=0,Observaciones[[#This Row],[Fecha Levantamiento]]-Observaciones[[#This Row],[Fecha Detección]]+1,0)</f>
        <v>3</v>
      </c>
      <c r="L371" s="34" t="str">
        <f>LOOKUP(Observaciones[[#This Row],[Caso de Prueba]],CasoPrueba[Código CP],CasoPrueba[Código de REQ])</f>
        <v>INSPECCIÓN</v>
      </c>
    </row>
    <row r="372" spans="1:12" ht="45" hidden="1">
      <c r="A372" s="166" t="s">
        <v>1080</v>
      </c>
      <c r="B372" s="34" t="s">
        <v>88</v>
      </c>
      <c r="C372" s="34" t="str">
        <f>VLOOKUP(Observaciones[Caso de Prueba],CasoPrueba[[#All],[Código CP]:[Prioridad]],7,TRUE)</f>
        <v>Alta</v>
      </c>
      <c r="D372" s="34" t="s">
        <v>28</v>
      </c>
      <c r="E372" s="34" t="s">
        <v>49</v>
      </c>
      <c r="F372" s="73">
        <v>40852</v>
      </c>
      <c r="G372" s="73">
        <v>40852</v>
      </c>
      <c r="H372" s="94" t="s">
        <v>132</v>
      </c>
      <c r="I372" s="34" t="s">
        <v>1127</v>
      </c>
      <c r="J372" s="34" t="s">
        <v>1146</v>
      </c>
      <c r="K372" s="34">
        <f>IF((Observaciones[[#This Row],[Fecha Levantamiento]]-Observaciones[[#This Row],[Fecha Detección]])&gt;=0,Observaciones[[#This Row],[Fecha Levantamiento]]-Observaciones[[#This Row],[Fecha Detección]]+1,0)</f>
        <v>1</v>
      </c>
      <c r="L372" s="34" t="str">
        <f>LOOKUP(Observaciones[[#This Row],[Caso de Prueba]],CasoPrueba[Código CP],CasoPrueba[Código de REQ])</f>
        <v>INSPECCIÓN</v>
      </c>
    </row>
    <row r="373" spans="1:12" ht="60" hidden="1">
      <c r="A373" s="166" t="s">
        <v>1122</v>
      </c>
      <c r="B373" s="34" t="s">
        <v>152</v>
      </c>
      <c r="C373" s="34" t="str">
        <f>VLOOKUP(Observaciones[Caso de Prueba],CasoPrueba[[#All],[Código CP]:[Prioridad]],7,TRUE)</f>
        <v>Alta</v>
      </c>
      <c r="D373" s="34" t="s">
        <v>162</v>
      </c>
      <c r="E373" s="34" t="s">
        <v>49</v>
      </c>
      <c r="F373" s="73">
        <v>40852</v>
      </c>
      <c r="G373" s="73">
        <v>40852</v>
      </c>
      <c r="H373" s="94" t="s">
        <v>132</v>
      </c>
      <c r="I373" s="34" t="s">
        <v>880</v>
      </c>
      <c r="J373" s="34" t="s">
        <v>1147</v>
      </c>
      <c r="K373" s="34">
        <f>IF((Observaciones[[#This Row],[Fecha Levantamiento]]-Observaciones[[#This Row],[Fecha Detección]])&gt;=0,Observaciones[[#This Row],[Fecha Levantamiento]]-Observaciones[[#This Row],[Fecha Detección]]+1,0)</f>
        <v>1</v>
      </c>
      <c r="L373" s="34" t="str">
        <f>LOOKUP(Observaciones[[#This Row],[Caso de Prueba]],CasoPrueba[Código CP],CasoPrueba[Código de REQ])</f>
        <v>INSPECCIÓN</v>
      </c>
    </row>
    <row r="374" spans="1:12" ht="45" hidden="1">
      <c r="A374" s="166" t="s">
        <v>1123</v>
      </c>
      <c r="B374" s="34" t="s">
        <v>153</v>
      </c>
      <c r="C374" s="34" t="str">
        <f>VLOOKUP(Observaciones[Caso de Prueba],CasoPrueba[[#All],[Código CP]:[Prioridad]],7,TRUE)</f>
        <v>Alta</v>
      </c>
      <c r="D374" s="34" t="s">
        <v>30</v>
      </c>
      <c r="E374" s="34" t="s">
        <v>49</v>
      </c>
      <c r="F374" s="73">
        <v>40852</v>
      </c>
      <c r="G374" s="73">
        <v>40852</v>
      </c>
      <c r="H374" s="94" t="s">
        <v>132</v>
      </c>
      <c r="I374" s="34" t="s">
        <v>1126</v>
      </c>
      <c r="J374" s="34" t="s">
        <v>1148</v>
      </c>
      <c r="K374" s="34">
        <f>IF((Observaciones[[#This Row],[Fecha Levantamiento]]-Observaciones[[#This Row],[Fecha Detección]])&gt;=0,Observaciones[[#This Row],[Fecha Levantamiento]]-Observaciones[[#This Row],[Fecha Detección]]+1,0)</f>
        <v>1</v>
      </c>
      <c r="L374" s="34" t="str">
        <f>LOOKUP(Observaciones[[#This Row],[Caso de Prueba]],CasoPrueba[Código CP],CasoPrueba[Código de REQ])</f>
        <v>INSPECCIÓN</v>
      </c>
    </row>
    <row r="375" spans="1:12" ht="45" hidden="1">
      <c r="A375" s="166" t="s">
        <v>1124</v>
      </c>
      <c r="B375" s="34" t="s">
        <v>175</v>
      </c>
      <c r="C375" s="34" t="str">
        <f>VLOOKUP(Observaciones[Caso de Prueba],CasoPrueba[[#All],[Código CP]:[Prioridad]],7,TRUE)</f>
        <v>Alta</v>
      </c>
      <c r="D375" s="34" t="s">
        <v>30</v>
      </c>
      <c r="E375" s="34" t="s">
        <v>49</v>
      </c>
      <c r="F375" s="73">
        <v>40852</v>
      </c>
      <c r="G375" s="73">
        <v>40852</v>
      </c>
      <c r="H375" s="94" t="s">
        <v>132</v>
      </c>
      <c r="I375" s="34" t="s">
        <v>1128</v>
      </c>
      <c r="J375" s="34" t="s">
        <v>1149</v>
      </c>
      <c r="K375" s="34">
        <f>IF((Observaciones[[#This Row],[Fecha Levantamiento]]-Observaciones[[#This Row],[Fecha Detección]])&gt;=0,Observaciones[[#This Row],[Fecha Levantamiento]]-Observaciones[[#This Row],[Fecha Detección]]+1,0)</f>
        <v>1</v>
      </c>
      <c r="L375" s="34" t="str">
        <f>LOOKUP(Observaciones[[#This Row],[Caso de Prueba]],CasoPrueba[Código CP],CasoPrueba[Código de REQ])</f>
        <v>INSPECCIÓN</v>
      </c>
    </row>
    <row r="376" spans="1:12" ht="30" hidden="1">
      <c r="A376" s="166" t="s">
        <v>1125</v>
      </c>
      <c r="B376" s="34" t="s">
        <v>175</v>
      </c>
      <c r="C376" s="34" t="str">
        <f>VLOOKUP(Observaciones[Caso de Prueba],CasoPrueba[[#All],[Código CP]:[Prioridad]],7,TRUE)</f>
        <v>Alta</v>
      </c>
      <c r="D376" s="34" t="s">
        <v>30</v>
      </c>
      <c r="E376" s="34" t="s">
        <v>49</v>
      </c>
      <c r="F376" s="73">
        <v>40852</v>
      </c>
      <c r="G376" s="73">
        <v>40852</v>
      </c>
      <c r="H376" s="94" t="s">
        <v>132</v>
      </c>
      <c r="I376" s="34" t="s">
        <v>1129</v>
      </c>
      <c r="J376" s="34" t="s">
        <v>1150</v>
      </c>
      <c r="K376" s="34">
        <f>IF((Observaciones[[#This Row],[Fecha Levantamiento]]-Observaciones[[#This Row],[Fecha Detección]])&gt;=0,Observaciones[[#This Row],[Fecha Levantamiento]]-Observaciones[[#This Row],[Fecha Detección]]+1,0)</f>
        <v>1</v>
      </c>
      <c r="L376" s="34" t="str">
        <f>LOOKUP(Observaciones[[#This Row],[Caso de Prueba]],CasoPrueba[Código CP],CasoPrueba[Código de REQ])</f>
        <v>INSPECCIÓN</v>
      </c>
    </row>
    <row r="377" spans="1:12" ht="45" hidden="1">
      <c r="A377" s="166" t="s">
        <v>1130</v>
      </c>
      <c r="B377" s="34" t="s">
        <v>175</v>
      </c>
      <c r="C377" s="34" t="str">
        <f>VLOOKUP(Observaciones[Caso de Prueba],CasoPrueba[[#All],[Código CP]:[Prioridad]],7,TRUE)</f>
        <v>Alta</v>
      </c>
      <c r="D377" s="34" t="s">
        <v>30</v>
      </c>
      <c r="E377" s="34" t="s">
        <v>49</v>
      </c>
      <c r="F377" s="73">
        <v>40852</v>
      </c>
      <c r="G377" s="73">
        <v>40852</v>
      </c>
      <c r="H377" s="94" t="s">
        <v>132</v>
      </c>
      <c r="I377" s="164" t="s">
        <v>1136</v>
      </c>
      <c r="J377" s="34" t="s">
        <v>1151</v>
      </c>
      <c r="K377" s="164">
        <f>IF((Observaciones[[#This Row],[Fecha Levantamiento]]-Observaciones[[#This Row],[Fecha Detección]])&gt;=0,Observaciones[[#This Row],[Fecha Levantamiento]]-Observaciones[[#This Row],[Fecha Detección]]+1,0)</f>
        <v>1</v>
      </c>
      <c r="L377" s="164" t="str">
        <f>LOOKUP(Observaciones[[#This Row],[Caso de Prueba]],CasoPrueba[Código CP],CasoPrueba[Código de REQ])</f>
        <v>INSPECCIÓN</v>
      </c>
    </row>
    <row r="378" spans="1:12" hidden="1">
      <c r="A378" s="166" t="s">
        <v>1131</v>
      </c>
      <c r="B378" s="34" t="s">
        <v>176</v>
      </c>
      <c r="C378" s="34" t="str">
        <f>VLOOKUP(Observaciones[Caso de Prueba],CasoPrueba[[#All],[Código CP]:[Prioridad]],7,TRUE)</f>
        <v>Alta</v>
      </c>
      <c r="D378" s="34" t="s">
        <v>162</v>
      </c>
      <c r="E378" s="34" t="s">
        <v>49</v>
      </c>
      <c r="F378" s="73">
        <v>40852</v>
      </c>
      <c r="G378" s="73">
        <v>40852</v>
      </c>
      <c r="H378" s="94" t="s">
        <v>132</v>
      </c>
      <c r="I378" s="34" t="s">
        <v>1137</v>
      </c>
      <c r="J378" s="34" t="s">
        <v>1152</v>
      </c>
      <c r="K378" s="34">
        <f>IF((Observaciones[[#This Row],[Fecha Levantamiento]]-Observaciones[[#This Row],[Fecha Detección]])&gt;=0,Observaciones[[#This Row],[Fecha Levantamiento]]-Observaciones[[#This Row],[Fecha Detección]]+1,0)</f>
        <v>1</v>
      </c>
      <c r="L378" s="34" t="str">
        <f>LOOKUP(Observaciones[[#This Row],[Caso de Prueba]],CasoPrueba[Código CP],CasoPrueba[Código de REQ])</f>
        <v>INSPECCIÓN</v>
      </c>
    </row>
    <row r="379" spans="1:12" hidden="1">
      <c r="A379" s="166" t="s">
        <v>1132</v>
      </c>
      <c r="B379" s="34" t="s">
        <v>176</v>
      </c>
      <c r="C379" s="34" t="str">
        <f>VLOOKUP(Observaciones[Caso de Prueba],CasoPrueba[[#All],[Código CP]:[Prioridad]],7,TRUE)</f>
        <v>Alta</v>
      </c>
      <c r="D379" s="34" t="s">
        <v>162</v>
      </c>
      <c r="E379" s="34" t="s">
        <v>49</v>
      </c>
      <c r="F379" s="73">
        <v>40852</v>
      </c>
      <c r="G379" s="73">
        <v>40852</v>
      </c>
      <c r="H379" s="94" t="s">
        <v>132</v>
      </c>
      <c r="I379" s="34" t="s">
        <v>1138</v>
      </c>
      <c r="J379" s="34" t="s">
        <v>1153</v>
      </c>
      <c r="K379" s="34">
        <f>IF((Observaciones[[#This Row],[Fecha Levantamiento]]-Observaciones[[#This Row],[Fecha Detección]])&gt;=0,Observaciones[[#This Row],[Fecha Levantamiento]]-Observaciones[[#This Row],[Fecha Detección]]+1,0)</f>
        <v>1</v>
      </c>
      <c r="L379" s="34" t="str">
        <f>LOOKUP(Observaciones[[#This Row],[Caso de Prueba]],CasoPrueba[Código CP],CasoPrueba[Código de REQ])</f>
        <v>INSPECCIÓN</v>
      </c>
    </row>
    <row r="380" spans="1:12" ht="30" hidden="1">
      <c r="A380" s="166" t="s">
        <v>1133</v>
      </c>
      <c r="B380" s="34" t="s">
        <v>176</v>
      </c>
      <c r="C380" s="34" t="str">
        <f>VLOOKUP(Observaciones[Caso de Prueba],CasoPrueba[[#All],[Código CP]:[Prioridad]],7,TRUE)</f>
        <v>Alta</v>
      </c>
      <c r="D380" s="34" t="s">
        <v>30</v>
      </c>
      <c r="E380" s="34" t="s">
        <v>49</v>
      </c>
      <c r="F380" s="73">
        <v>40852</v>
      </c>
      <c r="G380" s="73">
        <v>40852</v>
      </c>
      <c r="H380" s="94" t="s">
        <v>132</v>
      </c>
      <c r="I380" s="34" t="s">
        <v>1139</v>
      </c>
      <c r="J380" s="34" t="s">
        <v>1154</v>
      </c>
      <c r="K380" s="34">
        <f>IF((Observaciones[[#This Row],[Fecha Levantamiento]]-Observaciones[[#This Row],[Fecha Detección]])&gt;=0,Observaciones[[#This Row],[Fecha Levantamiento]]-Observaciones[[#This Row],[Fecha Detección]]+1,0)</f>
        <v>1</v>
      </c>
      <c r="L380" s="34" t="str">
        <f>LOOKUP(Observaciones[[#This Row],[Caso de Prueba]],CasoPrueba[Código CP],CasoPrueba[Código de REQ])</f>
        <v>INSPECCIÓN</v>
      </c>
    </row>
    <row r="381" spans="1:12" ht="30" hidden="1">
      <c r="A381" s="166" t="s">
        <v>1134</v>
      </c>
      <c r="B381" s="34" t="s">
        <v>176</v>
      </c>
      <c r="C381" s="34" t="str">
        <f>VLOOKUP(Observaciones[Caso de Prueba],CasoPrueba[[#All],[Código CP]:[Prioridad]],7,TRUE)</f>
        <v>Alta</v>
      </c>
      <c r="D381" s="34" t="s">
        <v>30</v>
      </c>
      <c r="E381" s="34" t="s">
        <v>49</v>
      </c>
      <c r="F381" s="73">
        <v>40852</v>
      </c>
      <c r="G381" s="73">
        <v>40852</v>
      </c>
      <c r="H381" s="94" t="s">
        <v>132</v>
      </c>
      <c r="I381" s="34" t="s">
        <v>1140</v>
      </c>
      <c r="J381" s="34" t="s">
        <v>1155</v>
      </c>
      <c r="K381" s="34">
        <f>IF((Observaciones[[#This Row],[Fecha Levantamiento]]-Observaciones[[#This Row],[Fecha Detección]])&gt;=0,Observaciones[[#This Row],[Fecha Levantamiento]]-Observaciones[[#This Row],[Fecha Detección]]+1,0)</f>
        <v>1</v>
      </c>
      <c r="L381" s="34" t="str">
        <f>LOOKUP(Observaciones[[#This Row],[Caso de Prueba]],CasoPrueba[Código CP],CasoPrueba[Código de REQ])</f>
        <v>INSPECCIÓN</v>
      </c>
    </row>
    <row r="382" spans="1:12" ht="30" hidden="1">
      <c r="A382" s="166" t="s">
        <v>1135</v>
      </c>
      <c r="B382" s="34" t="s">
        <v>176</v>
      </c>
      <c r="C382" s="34" t="str">
        <f>VLOOKUP(Observaciones[Caso de Prueba],CasoPrueba[[#All],[Código CP]:[Prioridad]],7,TRUE)</f>
        <v>Alta</v>
      </c>
      <c r="D382" s="34" t="s">
        <v>30</v>
      </c>
      <c r="E382" s="34" t="s">
        <v>49</v>
      </c>
      <c r="F382" s="73">
        <v>40852</v>
      </c>
      <c r="G382" s="73">
        <v>40852</v>
      </c>
      <c r="H382" s="94" t="s">
        <v>132</v>
      </c>
      <c r="I382" s="34" t="s">
        <v>1141</v>
      </c>
      <c r="J382" s="34" t="s">
        <v>1156</v>
      </c>
      <c r="K382" s="34">
        <f>IF((Observaciones[[#This Row],[Fecha Levantamiento]]-Observaciones[[#This Row],[Fecha Detección]])&gt;=0,Observaciones[[#This Row],[Fecha Levantamiento]]-Observaciones[[#This Row],[Fecha Detección]]+1,0)</f>
        <v>1</v>
      </c>
      <c r="L382" s="34" t="str">
        <f>LOOKUP(Observaciones[[#This Row],[Caso de Prueba]],CasoPrueba[Código CP],CasoPrueba[Código de REQ])</f>
        <v>INSPECCIÓN</v>
      </c>
    </row>
    <row r="383" spans="1:12" ht="75">
      <c r="A383" s="166" t="s">
        <v>1157</v>
      </c>
      <c r="B383" s="34" t="s">
        <v>1194</v>
      </c>
      <c r="C383" s="34" t="str">
        <f>VLOOKUP(Observaciones[Caso de Prueba],CasoPrueba[[#All],[Código CP]:[Prioridad]],7,TRUE)</f>
        <v>Alta</v>
      </c>
      <c r="D383" s="34" t="s">
        <v>28</v>
      </c>
      <c r="E383" s="34" t="s">
        <v>47</v>
      </c>
      <c r="F383" s="73">
        <v>40852</v>
      </c>
      <c r="G383" s="73">
        <v>40853</v>
      </c>
      <c r="H383" s="94" t="s">
        <v>132</v>
      </c>
      <c r="I383" s="34" t="s">
        <v>1192</v>
      </c>
      <c r="J383" s="34" t="s">
        <v>1320</v>
      </c>
      <c r="K383" s="34">
        <f>IF((Observaciones[[#This Row],[Fecha Levantamiento]]-Observaciones[[#This Row],[Fecha Detección]])&gt;=0,Observaciones[[#This Row],[Fecha Levantamiento]]-Observaciones[[#This Row],[Fecha Detección]]+1,0)</f>
        <v>2</v>
      </c>
      <c r="L383" s="34" t="str">
        <f>LOOKUP(Observaciones[[#This Row],[Caso de Prueba]],CasoPrueba[Código CP],CasoPrueba[Código de REQ])</f>
        <v>INSPECCIÓN</v>
      </c>
    </row>
    <row r="384" spans="1:12" ht="45" hidden="1">
      <c r="A384" s="166" t="s">
        <v>1158</v>
      </c>
      <c r="B384" s="34" t="s">
        <v>1194</v>
      </c>
      <c r="C384" s="34" t="str">
        <f>VLOOKUP(Observaciones[Caso de Prueba],CasoPrueba[[#All],[Código CP]:[Prioridad]],7,TRUE)</f>
        <v>Alta</v>
      </c>
      <c r="D384" s="34" t="s">
        <v>162</v>
      </c>
      <c r="E384" s="34" t="s">
        <v>49</v>
      </c>
      <c r="F384" s="73">
        <v>40852</v>
      </c>
      <c r="G384" s="73">
        <v>40853</v>
      </c>
      <c r="H384" s="94" t="s">
        <v>132</v>
      </c>
      <c r="I384" s="34" t="s">
        <v>1193</v>
      </c>
      <c r="J384" s="34" t="s">
        <v>1270</v>
      </c>
      <c r="K384" s="34">
        <f>IF((Observaciones[[#This Row],[Fecha Levantamiento]]-Observaciones[[#This Row],[Fecha Detección]])&gt;=0,Observaciones[[#This Row],[Fecha Levantamiento]]-Observaciones[[#This Row],[Fecha Detección]]+1,0)</f>
        <v>2</v>
      </c>
      <c r="L384" s="34" t="str">
        <f>LOOKUP(Observaciones[[#This Row],[Caso de Prueba]],CasoPrueba[Código CP],CasoPrueba[Código de REQ])</f>
        <v>INSPECCIÓN</v>
      </c>
    </row>
    <row r="385" spans="1:12" ht="60" hidden="1">
      <c r="A385" s="166" t="s">
        <v>1159</v>
      </c>
      <c r="B385" s="34" t="s">
        <v>1194</v>
      </c>
      <c r="C385" s="34" t="str">
        <f>VLOOKUP(Observaciones[Caso de Prueba],CasoPrueba[[#All],[Código CP]:[Prioridad]],7,TRUE)</f>
        <v>Alta</v>
      </c>
      <c r="D385" s="34" t="s">
        <v>28</v>
      </c>
      <c r="E385" s="34" t="s">
        <v>49</v>
      </c>
      <c r="F385" s="73">
        <v>40852</v>
      </c>
      <c r="G385" s="73">
        <v>40853</v>
      </c>
      <c r="H385" s="94" t="s">
        <v>132</v>
      </c>
      <c r="I385" s="34" t="s">
        <v>1195</v>
      </c>
      <c r="J385" s="34" t="s">
        <v>1271</v>
      </c>
      <c r="K385" s="34">
        <f>IF((Observaciones[[#This Row],[Fecha Levantamiento]]-Observaciones[[#This Row],[Fecha Detección]])&gt;=0,Observaciones[[#This Row],[Fecha Levantamiento]]-Observaciones[[#This Row],[Fecha Detección]]+1,0)</f>
        <v>2</v>
      </c>
      <c r="L385" s="34" t="str">
        <f>LOOKUP(Observaciones[[#This Row],[Caso de Prueba]],CasoPrueba[Código CP],CasoPrueba[Código de REQ])</f>
        <v>INSPECCIÓN</v>
      </c>
    </row>
    <row r="386" spans="1:12" ht="60" hidden="1">
      <c r="A386" s="166" t="s">
        <v>1160</v>
      </c>
      <c r="B386" s="34" t="s">
        <v>1194</v>
      </c>
      <c r="C386" s="34" t="str">
        <f>VLOOKUP(Observaciones[Caso de Prueba],CasoPrueba[[#All],[Código CP]:[Prioridad]],7,TRUE)</f>
        <v>Alta</v>
      </c>
      <c r="D386" s="34" t="s">
        <v>28</v>
      </c>
      <c r="E386" s="34" t="s">
        <v>49</v>
      </c>
      <c r="F386" s="73">
        <v>40852</v>
      </c>
      <c r="G386" s="73">
        <v>40853</v>
      </c>
      <c r="H386" s="94" t="s">
        <v>132</v>
      </c>
      <c r="I386" s="34" t="s">
        <v>1196</v>
      </c>
      <c r="J386" s="34" t="s">
        <v>1272</v>
      </c>
      <c r="K386" s="34">
        <f>IF((Observaciones[[#This Row],[Fecha Levantamiento]]-Observaciones[[#This Row],[Fecha Detección]])&gt;=0,Observaciones[[#This Row],[Fecha Levantamiento]]-Observaciones[[#This Row],[Fecha Detección]]+1,0)</f>
        <v>2</v>
      </c>
      <c r="L386" s="34" t="str">
        <f>LOOKUP(Observaciones[[#This Row],[Caso de Prueba]],CasoPrueba[Código CP],CasoPrueba[Código de REQ])</f>
        <v>INSPECCIÓN</v>
      </c>
    </row>
    <row r="387" spans="1:12" ht="120">
      <c r="A387" s="166" t="s">
        <v>1161</v>
      </c>
      <c r="B387" s="34" t="s">
        <v>1194</v>
      </c>
      <c r="C387" s="34" t="str">
        <f>VLOOKUP(Observaciones[Caso de Prueba],CasoPrueba[[#All],[Código CP]:[Prioridad]],7,TRUE)</f>
        <v>Alta</v>
      </c>
      <c r="D387" s="34" t="s">
        <v>28</v>
      </c>
      <c r="E387" s="34" t="s">
        <v>47</v>
      </c>
      <c r="F387" s="73">
        <v>40852</v>
      </c>
      <c r="G387" s="73">
        <v>40853</v>
      </c>
      <c r="H387" s="94" t="s">
        <v>132</v>
      </c>
      <c r="I387" s="34" t="s">
        <v>1197</v>
      </c>
      <c r="J387" s="34" t="s">
        <v>858</v>
      </c>
      <c r="K387" s="34">
        <f>IF((Observaciones[[#This Row],[Fecha Levantamiento]]-Observaciones[[#This Row],[Fecha Detección]])&gt;=0,Observaciones[[#This Row],[Fecha Levantamiento]]-Observaciones[[#This Row],[Fecha Detección]]+1,0)</f>
        <v>2</v>
      </c>
      <c r="L387" s="34" t="str">
        <f>LOOKUP(Observaciones[[#This Row],[Caso de Prueba]],CasoPrueba[Código CP],CasoPrueba[Código de REQ])</f>
        <v>INSPECCIÓN</v>
      </c>
    </row>
    <row r="388" spans="1:12" ht="30" hidden="1">
      <c r="A388" s="166" t="s">
        <v>1162</v>
      </c>
      <c r="B388" s="34" t="s">
        <v>1194</v>
      </c>
      <c r="C388" s="34" t="str">
        <f>VLOOKUP(Observaciones[Caso de Prueba],CasoPrueba[[#All],[Código CP]:[Prioridad]],7,TRUE)</f>
        <v>Alta</v>
      </c>
      <c r="D388" s="34" t="s">
        <v>162</v>
      </c>
      <c r="E388" s="34" t="s">
        <v>49</v>
      </c>
      <c r="F388" s="73">
        <v>40852</v>
      </c>
      <c r="G388" s="73">
        <v>40853</v>
      </c>
      <c r="H388" s="94" t="s">
        <v>132</v>
      </c>
      <c r="I388" s="34" t="s">
        <v>1200</v>
      </c>
      <c r="J388" s="34" t="s">
        <v>234</v>
      </c>
      <c r="K388" s="34">
        <f>IF((Observaciones[[#This Row],[Fecha Levantamiento]]-Observaciones[[#This Row],[Fecha Detección]])&gt;=0,Observaciones[[#This Row],[Fecha Levantamiento]]-Observaciones[[#This Row],[Fecha Detección]]+1,0)</f>
        <v>2</v>
      </c>
      <c r="L388" s="34" t="str">
        <f>LOOKUP(Observaciones[[#This Row],[Caso de Prueba]],CasoPrueba[Código CP],CasoPrueba[Código de REQ])</f>
        <v>INSPECCIÓN</v>
      </c>
    </row>
    <row r="389" spans="1:12" ht="60" hidden="1">
      <c r="A389" s="166" t="s">
        <v>1163</v>
      </c>
      <c r="B389" s="34" t="s">
        <v>1194</v>
      </c>
      <c r="C389" s="34" t="str">
        <f>VLOOKUP(Observaciones[Caso de Prueba],CasoPrueba[[#All],[Código CP]:[Prioridad]],7,TRUE)</f>
        <v>Alta</v>
      </c>
      <c r="D389" s="34" t="s">
        <v>30</v>
      </c>
      <c r="E389" s="34" t="s">
        <v>49</v>
      </c>
      <c r="F389" s="73">
        <v>40852</v>
      </c>
      <c r="G389" s="73">
        <v>40853</v>
      </c>
      <c r="H389" s="94" t="s">
        <v>132</v>
      </c>
      <c r="I389" s="34" t="s">
        <v>1201</v>
      </c>
      <c r="J389" s="34" t="s">
        <v>1273</v>
      </c>
      <c r="K389" s="34">
        <f>IF((Observaciones[[#This Row],[Fecha Levantamiento]]-Observaciones[[#This Row],[Fecha Detección]])&gt;=0,Observaciones[[#This Row],[Fecha Levantamiento]]-Observaciones[[#This Row],[Fecha Detección]]+1,0)</f>
        <v>2</v>
      </c>
      <c r="L389" s="34" t="str">
        <f>LOOKUP(Observaciones[[#This Row],[Caso de Prueba]],CasoPrueba[Código CP],CasoPrueba[Código de REQ])</f>
        <v>INSPECCIÓN</v>
      </c>
    </row>
    <row r="390" spans="1:12" ht="30" hidden="1">
      <c r="A390" s="166" t="s">
        <v>1164</v>
      </c>
      <c r="B390" s="34" t="s">
        <v>1194</v>
      </c>
      <c r="C390" s="34" t="str">
        <f>VLOOKUP(Observaciones[Caso de Prueba],CasoPrueba[[#All],[Código CP]:[Prioridad]],7,TRUE)</f>
        <v>Alta</v>
      </c>
      <c r="D390" s="34" t="s">
        <v>162</v>
      </c>
      <c r="E390" s="34" t="s">
        <v>49</v>
      </c>
      <c r="F390" s="73">
        <v>40852</v>
      </c>
      <c r="G390" s="73">
        <v>40853</v>
      </c>
      <c r="H390" s="94" t="s">
        <v>132</v>
      </c>
      <c r="I390" s="34" t="s">
        <v>1202</v>
      </c>
      <c r="J390" s="34" t="s">
        <v>234</v>
      </c>
      <c r="K390" s="34">
        <f>IF((Observaciones[[#This Row],[Fecha Levantamiento]]-Observaciones[[#This Row],[Fecha Detección]])&gt;=0,Observaciones[[#This Row],[Fecha Levantamiento]]-Observaciones[[#This Row],[Fecha Detección]]+1,0)</f>
        <v>2</v>
      </c>
      <c r="L390" s="34" t="str">
        <f>LOOKUP(Observaciones[[#This Row],[Caso de Prueba]],CasoPrueba[Código CP],CasoPrueba[Código de REQ])</f>
        <v>INSPECCIÓN</v>
      </c>
    </row>
    <row r="391" spans="1:12" ht="30" hidden="1">
      <c r="A391" s="166" t="s">
        <v>1165</v>
      </c>
      <c r="B391" s="34" t="s">
        <v>1194</v>
      </c>
      <c r="C391" s="34" t="str">
        <f>VLOOKUP(Observaciones[Caso de Prueba],CasoPrueba[[#All],[Código CP]:[Prioridad]],7,TRUE)</f>
        <v>Alta</v>
      </c>
      <c r="D391" s="34" t="s">
        <v>162</v>
      </c>
      <c r="E391" s="34" t="s">
        <v>49</v>
      </c>
      <c r="F391" s="73">
        <v>40852</v>
      </c>
      <c r="G391" s="73">
        <v>40853</v>
      </c>
      <c r="H391" s="94" t="s">
        <v>132</v>
      </c>
      <c r="I391" s="34" t="s">
        <v>1203</v>
      </c>
      <c r="J391" s="34" t="s">
        <v>234</v>
      </c>
      <c r="K391" s="34">
        <f>IF((Observaciones[[#This Row],[Fecha Levantamiento]]-Observaciones[[#This Row],[Fecha Detección]])&gt;=0,Observaciones[[#This Row],[Fecha Levantamiento]]-Observaciones[[#This Row],[Fecha Detección]]+1,0)</f>
        <v>2</v>
      </c>
      <c r="L391" s="34" t="str">
        <f>LOOKUP(Observaciones[[#This Row],[Caso de Prueba]],CasoPrueba[Código CP],CasoPrueba[Código de REQ])</f>
        <v>INSPECCIÓN</v>
      </c>
    </row>
    <row r="392" spans="1:12" ht="45">
      <c r="A392" s="166" t="s">
        <v>1166</v>
      </c>
      <c r="B392" s="34" t="s">
        <v>1194</v>
      </c>
      <c r="C392" s="34" t="str">
        <f>VLOOKUP(Observaciones[Caso de Prueba],CasoPrueba[[#All],[Código CP]:[Prioridad]],7,TRUE)</f>
        <v>Alta</v>
      </c>
      <c r="D392" s="34" t="s">
        <v>29</v>
      </c>
      <c r="E392" s="34" t="s">
        <v>47</v>
      </c>
      <c r="F392" s="73">
        <v>40852</v>
      </c>
      <c r="G392" s="73">
        <v>40853</v>
      </c>
      <c r="H392" s="94" t="s">
        <v>132</v>
      </c>
      <c r="I392" s="34" t="s">
        <v>1204</v>
      </c>
      <c r="J392" s="34" t="s">
        <v>1320</v>
      </c>
      <c r="K392" s="34">
        <f>IF((Observaciones[[#This Row],[Fecha Levantamiento]]-Observaciones[[#This Row],[Fecha Detección]])&gt;=0,Observaciones[[#This Row],[Fecha Levantamiento]]-Observaciones[[#This Row],[Fecha Detección]]+1,0)</f>
        <v>2</v>
      </c>
      <c r="L392" s="34" t="str">
        <f>LOOKUP(Observaciones[[#This Row],[Caso de Prueba]],CasoPrueba[Código CP],CasoPrueba[Código de REQ])</f>
        <v>INSPECCIÓN</v>
      </c>
    </row>
    <row r="393" spans="1:12" ht="60" hidden="1">
      <c r="A393" s="166" t="s">
        <v>1167</v>
      </c>
      <c r="B393" s="34" t="s">
        <v>1194</v>
      </c>
      <c r="C393" s="34" t="str">
        <f>VLOOKUP(Observaciones[Caso de Prueba],CasoPrueba[[#All],[Código CP]:[Prioridad]],7,TRUE)</f>
        <v>Alta</v>
      </c>
      <c r="D393" s="34" t="s">
        <v>29</v>
      </c>
      <c r="E393" s="34" t="s">
        <v>49</v>
      </c>
      <c r="F393" s="73">
        <v>40852</v>
      </c>
      <c r="G393" s="73">
        <v>40853</v>
      </c>
      <c r="H393" s="94" t="s">
        <v>132</v>
      </c>
      <c r="I393" s="34" t="s">
        <v>1205</v>
      </c>
      <c r="J393" s="34" t="s">
        <v>1274</v>
      </c>
      <c r="K393" s="34">
        <f>IF((Observaciones[[#This Row],[Fecha Levantamiento]]-Observaciones[[#This Row],[Fecha Detección]])&gt;=0,Observaciones[[#This Row],[Fecha Levantamiento]]-Observaciones[[#This Row],[Fecha Detección]]+1,0)</f>
        <v>2</v>
      </c>
      <c r="L393" s="34" t="str">
        <f>LOOKUP(Observaciones[[#This Row],[Caso de Prueba]],CasoPrueba[Código CP],CasoPrueba[Código de REQ])</f>
        <v>INSPECCIÓN</v>
      </c>
    </row>
    <row r="394" spans="1:12" ht="45" hidden="1">
      <c r="A394" s="166" t="s">
        <v>1168</v>
      </c>
      <c r="B394" s="34" t="s">
        <v>1194</v>
      </c>
      <c r="C394" s="34" t="str">
        <f>VLOOKUP(Observaciones[Caso de Prueba],CasoPrueba[[#All],[Código CP]:[Prioridad]],7,TRUE)</f>
        <v>Alta</v>
      </c>
      <c r="D394" s="34" t="s">
        <v>29</v>
      </c>
      <c r="E394" s="34" t="s">
        <v>49</v>
      </c>
      <c r="F394" s="73">
        <v>40852</v>
      </c>
      <c r="G394" s="73">
        <v>40853</v>
      </c>
      <c r="H394" s="94" t="s">
        <v>132</v>
      </c>
      <c r="I394" s="34" t="s">
        <v>1206</v>
      </c>
      <c r="J394" s="34" t="s">
        <v>1275</v>
      </c>
      <c r="K394" s="34">
        <f>IF((Observaciones[[#This Row],[Fecha Levantamiento]]-Observaciones[[#This Row],[Fecha Detección]])&gt;=0,Observaciones[[#This Row],[Fecha Levantamiento]]-Observaciones[[#This Row],[Fecha Detección]]+1,0)</f>
        <v>2</v>
      </c>
      <c r="L394" s="34" t="str">
        <f>LOOKUP(Observaciones[[#This Row],[Caso de Prueba]],CasoPrueba[Código CP],CasoPrueba[Código de REQ])</f>
        <v>INSPECCIÓN</v>
      </c>
    </row>
    <row r="395" spans="1:12" ht="60" hidden="1">
      <c r="A395" s="166" t="s">
        <v>1169</v>
      </c>
      <c r="B395" s="34" t="s">
        <v>1194</v>
      </c>
      <c r="C395" s="34" t="str">
        <f>VLOOKUP(Observaciones[Caso de Prueba],CasoPrueba[[#All],[Código CP]:[Prioridad]],7,TRUE)</f>
        <v>Alta</v>
      </c>
      <c r="D395" s="34" t="s">
        <v>29</v>
      </c>
      <c r="E395" s="34" t="s">
        <v>49</v>
      </c>
      <c r="F395" s="73">
        <v>40852</v>
      </c>
      <c r="G395" s="73">
        <v>40853</v>
      </c>
      <c r="H395" s="94" t="s">
        <v>132</v>
      </c>
      <c r="I395" s="34" t="s">
        <v>1207</v>
      </c>
      <c r="J395" s="34" t="s">
        <v>1276</v>
      </c>
      <c r="K395" s="34">
        <f>IF((Observaciones[[#This Row],[Fecha Levantamiento]]-Observaciones[[#This Row],[Fecha Detección]])&gt;=0,Observaciones[[#This Row],[Fecha Levantamiento]]-Observaciones[[#This Row],[Fecha Detección]]+1,0)</f>
        <v>2</v>
      </c>
      <c r="L395" s="34" t="str">
        <f>LOOKUP(Observaciones[[#This Row],[Caso de Prueba]],CasoPrueba[Código CP],CasoPrueba[Código de REQ])</f>
        <v>INSPECCIÓN</v>
      </c>
    </row>
    <row r="396" spans="1:12" ht="60" hidden="1">
      <c r="A396" s="166" t="s">
        <v>1170</v>
      </c>
      <c r="B396" s="34" t="s">
        <v>1194</v>
      </c>
      <c r="C396" s="34" t="str">
        <f>VLOOKUP(Observaciones[Caso de Prueba],CasoPrueba[[#All],[Código CP]:[Prioridad]],7,TRUE)</f>
        <v>Alta</v>
      </c>
      <c r="D396" s="34" t="s">
        <v>29</v>
      </c>
      <c r="E396" s="34" t="s">
        <v>49</v>
      </c>
      <c r="F396" s="73">
        <v>40852</v>
      </c>
      <c r="G396" s="73">
        <v>40853</v>
      </c>
      <c r="H396" s="94" t="s">
        <v>132</v>
      </c>
      <c r="I396" s="34" t="s">
        <v>1208</v>
      </c>
      <c r="J396" s="34" t="s">
        <v>1277</v>
      </c>
      <c r="K396" s="34">
        <f>IF((Observaciones[[#This Row],[Fecha Levantamiento]]-Observaciones[[#This Row],[Fecha Detección]])&gt;=0,Observaciones[[#This Row],[Fecha Levantamiento]]-Observaciones[[#This Row],[Fecha Detección]]+1,0)</f>
        <v>2</v>
      </c>
      <c r="L396" s="34" t="str">
        <f>LOOKUP(Observaciones[[#This Row],[Caso de Prueba]],CasoPrueba[Código CP],CasoPrueba[Código de REQ])</f>
        <v>INSPECCIÓN</v>
      </c>
    </row>
    <row r="397" spans="1:12" ht="45" hidden="1">
      <c r="A397" s="166" t="s">
        <v>1171</v>
      </c>
      <c r="B397" s="34" t="s">
        <v>1194</v>
      </c>
      <c r="C397" s="34" t="str">
        <f>VLOOKUP(Observaciones[Caso de Prueba],CasoPrueba[[#All],[Código CP]:[Prioridad]],7,TRUE)</f>
        <v>Alta</v>
      </c>
      <c r="D397" s="34" t="s">
        <v>29</v>
      </c>
      <c r="E397" s="34" t="s">
        <v>49</v>
      </c>
      <c r="F397" s="73">
        <v>40852</v>
      </c>
      <c r="G397" s="73">
        <v>40853</v>
      </c>
      <c r="H397" s="94" t="s">
        <v>132</v>
      </c>
      <c r="I397" s="34" t="s">
        <v>1209</v>
      </c>
      <c r="J397" s="34" t="s">
        <v>1277</v>
      </c>
      <c r="K397" s="34">
        <f>IF((Observaciones[[#This Row],[Fecha Levantamiento]]-Observaciones[[#This Row],[Fecha Detección]])&gt;=0,Observaciones[[#This Row],[Fecha Levantamiento]]-Observaciones[[#This Row],[Fecha Detección]]+1,0)</f>
        <v>2</v>
      </c>
      <c r="L397" s="34" t="str">
        <f>LOOKUP(Observaciones[[#This Row],[Caso de Prueba]],CasoPrueba[Código CP],CasoPrueba[Código de REQ])</f>
        <v>INSPECCIÓN</v>
      </c>
    </row>
    <row r="398" spans="1:12" ht="45" hidden="1">
      <c r="A398" s="166" t="s">
        <v>1172</v>
      </c>
      <c r="B398" s="34" t="s">
        <v>1194</v>
      </c>
      <c r="C398" s="34" t="str">
        <f>VLOOKUP(Observaciones[Caso de Prueba],CasoPrueba[[#All],[Código CP]:[Prioridad]],7,TRUE)</f>
        <v>Alta</v>
      </c>
      <c r="D398" s="34" t="s">
        <v>29</v>
      </c>
      <c r="E398" s="34" t="s">
        <v>49</v>
      </c>
      <c r="F398" s="73">
        <v>40852</v>
      </c>
      <c r="G398" s="73">
        <v>40853</v>
      </c>
      <c r="H398" s="94" t="s">
        <v>132</v>
      </c>
      <c r="I398" s="34" t="s">
        <v>1210</v>
      </c>
      <c r="J398" s="34" t="s">
        <v>1274</v>
      </c>
      <c r="K398" s="34">
        <f>IF((Observaciones[[#This Row],[Fecha Levantamiento]]-Observaciones[[#This Row],[Fecha Detección]])&gt;=0,Observaciones[[#This Row],[Fecha Levantamiento]]-Observaciones[[#This Row],[Fecha Detección]]+1,0)</f>
        <v>2</v>
      </c>
      <c r="L398" s="34" t="str">
        <f>LOOKUP(Observaciones[[#This Row],[Caso de Prueba]],CasoPrueba[Código CP],CasoPrueba[Código de REQ])</f>
        <v>INSPECCIÓN</v>
      </c>
    </row>
    <row r="399" spans="1:12" ht="60" hidden="1">
      <c r="A399" s="166" t="s">
        <v>1173</v>
      </c>
      <c r="B399" s="34" t="s">
        <v>1194</v>
      </c>
      <c r="C399" s="34" t="str">
        <f>VLOOKUP(Observaciones[Caso de Prueba],CasoPrueba[[#All],[Código CP]:[Prioridad]],7,TRUE)</f>
        <v>Alta</v>
      </c>
      <c r="D399" s="34" t="s">
        <v>29</v>
      </c>
      <c r="E399" s="34" t="s">
        <v>49</v>
      </c>
      <c r="F399" s="73">
        <v>40852</v>
      </c>
      <c r="G399" s="73">
        <v>40853</v>
      </c>
      <c r="H399" s="94" t="s">
        <v>132</v>
      </c>
      <c r="I399" s="34" t="s">
        <v>1211</v>
      </c>
      <c r="J399" s="34" t="s">
        <v>1278</v>
      </c>
      <c r="K399" s="34">
        <f>IF((Observaciones[[#This Row],[Fecha Levantamiento]]-Observaciones[[#This Row],[Fecha Detección]])&gt;=0,Observaciones[[#This Row],[Fecha Levantamiento]]-Observaciones[[#This Row],[Fecha Detección]]+1,0)</f>
        <v>2</v>
      </c>
      <c r="L399" s="34" t="str">
        <f>LOOKUP(Observaciones[[#This Row],[Caso de Prueba]],CasoPrueba[Código CP],CasoPrueba[Código de REQ])</f>
        <v>INSPECCIÓN</v>
      </c>
    </row>
    <row r="400" spans="1:12" ht="45" hidden="1">
      <c r="A400" s="164" t="s">
        <v>1174</v>
      </c>
      <c r="B400" s="34" t="s">
        <v>1194</v>
      </c>
      <c r="C400" s="34" t="str">
        <f>VLOOKUP(Observaciones[Caso de Prueba],CasoPrueba[[#All],[Código CP]:[Prioridad]],7,TRUE)</f>
        <v>Alta</v>
      </c>
      <c r="D400" s="34" t="s">
        <v>30</v>
      </c>
      <c r="E400" s="34" t="s">
        <v>49</v>
      </c>
      <c r="F400" s="73">
        <v>40852</v>
      </c>
      <c r="G400" s="73">
        <v>40853</v>
      </c>
      <c r="H400" s="94" t="s">
        <v>132</v>
      </c>
      <c r="I400" s="34" t="s">
        <v>1301</v>
      </c>
      <c r="J400" s="34" t="s">
        <v>1279</v>
      </c>
      <c r="K400" s="34">
        <f>IF((Observaciones[[#This Row],[Fecha Levantamiento]]-Observaciones[[#This Row],[Fecha Detección]])&gt;=0,Observaciones[[#This Row],[Fecha Levantamiento]]-Observaciones[[#This Row],[Fecha Detección]]+1,0)</f>
        <v>2</v>
      </c>
      <c r="L400" s="34" t="str">
        <f>LOOKUP(Observaciones[[#This Row],[Caso de Prueba]],CasoPrueba[Código CP],CasoPrueba[Código de REQ])</f>
        <v>INSPECCIÓN</v>
      </c>
    </row>
    <row r="401" spans="1:12" ht="45" hidden="1">
      <c r="A401" s="166" t="s">
        <v>1175</v>
      </c>
      <c r="B401" s="34" t="s">
        <v>1194</v>
      </c>
      <c r="C401" s="34" t="str">
        <f>VLOOKUP(Observaciones[Caso de Prueba],CasoPrueba[[#All],[Código CP]:[Prioridad]],7,TRUE)</f>
        <v>Alta</v>
      </c>
      <c r="D401" s="34" t="s">
        <v>30</v>
      </c>
      <c r="E401" s="34" t="s">
        <v>49</v>
      </c>
      <c r="F401" s="73">
        <v>40852</v>
      </c>
      <c r="G401" s="73">
        <v>40853</v>
      </c>
      <c r="H401" s="94" t="s">
        <v>132</v>
      </c>
      <c r="I401" s="34" t="s">
        <v>1212</v>
      </c>
      <c r="J401" s="34" t="s">
        <v>1280</v>
      </c>
      <c r="K401" s="34">
        <f>IF((Observaciones[[#This Row],[Fecha Levantamiento]]-Observaciones[[#This Row],[Fecha Detección]])&gt;=0,Observaciones[[#This Row],[Fecha Levantamiento]]-Observaciones[[#This Row],[Fecha Detección]]+1,0)</f>
        <v>2</v>
      </c>
      <c r="L401" s="34" t="str">
        <f>LOOKUP(Observaciones[[#This Row],[Caso de Prueba]],CasoPrueba[Código CP],CasoPrueba[Código de REQ])</f>
        <v>INSPECCIÓN</v>
      </c>
    </row>
    <row r="402" spans="1:12" ht="30" hidden="1">
      <c r="A402" s="166" t="s">
        <v>1176</v>
      </c>
      <c r="B402" s="34" t="s">
        <v>1194</v>
      </c>
      <c r="C402" s="34" t="str">
        <f>VLOOKUP(Observaciones[Caso de Prueba],CasoPrueba[[#All],[Código CP]:[Prioridad]],7,TRUE)</f>
        <v>Alta</v>
      </c>
      <c r="D402" s="34" t="s">
        <v>29</v>
      </c>
      <c r="E402" s="34" t="s">
        <v>49</v>
      </c>
      <c r="F402" s="73">
        <v>40852</v>
      </c>
      <c r="G402" s="73">
        <v>40853</v>
      </c>
      <c r="H402" s="94" t="s">
        <v>132</v>
      </c>
      <c r="I402" s="34" t="s">
        <v>1213</v>
      </c>
      <c r="J402" s="34" t="s">
        <v>983</v>
      </c>
      <c r="K402" s="34">
        <f>IF((Observaciones[[#This Row],[Fecha Levantamiento]]-Observaciones[[#This Row],[Fecha Detección]])&gt;=0,Observaciones[[#This Row],[Fecha Levantamiento]]-Observaciones[[#This Row],[Fecha Detección]]+1,0)</f>
        <v>2</v>
      </c>
      <c r="L402" s="34" t="str">
        <f>LOOKUP(Observaciones[[#This Row],[Caso de Prueba]],CasoPrueba[Código CP],CasoPrueba[Código de REQ])</f>
        <v>INSPECCIÓN</v>
      </c>
    </row>
    <row r="403" spans="1:12" ht="45" hidden="1">
      <c r="A403" s="166" t="s">
        <v>1177</v>
      </c>
      <c r="B403" s="34" t="s">
        <v>1194</v>
      </c>
      <c r="C403" s="34" t="str">
        <f>VLOOKUP(Observaciones[Caso de Prueba],CasoPrueba[[#All],[Código CP]:[Prioridad]],7,TRUE)</f>
        <v>Alta</v>
      </c>
      <c r="D403" s="34" t="s">
        <v>29</v>
      </c>
      <c r="E403" s="34" t="s">
        <v>49</v>
      </c>
      <c r="F403" s="73">
        <v>40852</v>
      </c>
      <c r="G403" s="73">
        <v>40853</v>
      </c>
      <c r="H403" s="94" t="s">
        <v>132</v>
      </c>
      <c r="I403" s="34" t="s">
        <v>1214</v>
      </c>
      <c r="J403" s="34" t="s">
        <v>1274</v>
      </c>
      <c r="K403" s="34">
        <f>IF((Observaciones[[#This Row],[Fecha Levantamiento]]-Observaciones[[#This Row],[Fecha Detección]])&gt;=0,Observaciones[[#This Row],[Fecha Levantamiento]]-Observaciones[[#This Row],[Fecha Detección]]+1,0)</f>
        <v>2</v>
      </c>
      <c r="L403" s="34" t="str">
        <f>LOOKUP(Observaciones[[#This Row],[Caso de Prueba]],CasoPrueba[Código CP],CasoPrueba[Código de REQ])</f>
        <v>INSPECCIÓN</v>
      </c>
    </row>
    <row r="404" spans="1:12" ht="30" hidden="1">
      <c r="A404" s="166" t="s">
        <v>1178</v>
      </c>
      <c r="B404" s="34" t="s">
        <v>1194</v>
      </c>
      <c r="C404" s="34" t="str">
        <f>VLOOKUP(Observaciones[Caso de Prueba],CasoPrueba[[#All],[Código CP]:[Prioridad]],7,TRUE)</f>
        <v>Alta</v>
      </c>
      <c r="D404" s="34" t="s">
        <v>29</v>
      </c>
      <c r="E404" s="34" t="s">
        <v>49</v>
      </c>
      <c r="F404" s="73">
        <v>40852</v>
      </c>
      <c r="G404" s="73">
        <v>40853</v>
      </c>
      <c r="H404" s="94" t="s">
        <v>132</v>
      </c>
      <c r="I404" s="34" t="s">
        <v>1215</v>
      </c>
      <c r="J404" s="34" t="s">
        <v>1281</v>
      </c>
      <c r="K404" s="34">
        <f>IF((Observaciones[[#This Row],[Fecha Levantamiento]]-Observaciones[[#This Row],[Fecha Detección]])&gt;=0,Observaciones[[#This Row],[Fecha Levantamiento]]-Observaciones[[#This Row],[Fecha Detección]]+1,0)</f>
        <v>2</v>
      </c>
      <c r="L404" s="34" t="str">
        <f>LOOKUP(Observaciones[[#This Row],[Caso de Prueba]],CasoPrueba[Código CP],CasoPrueba[Código de REQ])</f>
        <v>INSPECCIÓN</v>
      </c>
    </row>
    <row r="405" spans="1:12" ht="30" hidden="1">
      <c r="A405" s="166" t="s">
        <v>1179</v>
      </c>
      <c r="B405" s="34" t="s">
        <v>1194</v>
      </c>
      <c r="C405" s="34" t="str">
        <f>VLOOKUP(Observaciones[Caso de Prueba],CasoPrueba[[#All],[Código CP]:[Prioridad]],7,TRUE)</f>
        <v>Alta</v>
      </c>
      <c r="D405" s="34" t="s">
        <v>29</v>
      </c>
      <c r="E405" s="34" t="s">
        <v>49</v>
      </c>
      <c r="F405" s="73">
        <v>40852</v>
      </c>
      <c r="G405" s="73">
        <v>40853</v>
      </c>
      <c r="H405" s="94" t="s">
        <v>132</v>
      </c>
      <c r="I405" s="34" t="s">
        <v>1216</v>
      </c>
      <c r="J405" s="34" t="s">
        <v>1282</v>
      </c>
      <c r="K405" s="34">
        <f>IF((Observaciones[[#This Row],[Fecha Levantamiento]]-Observaciones[[#This Row],[Fecha Detección]])&gt;=0,Observaciones[[#This Row],[Fecha Levantamiento]]-Observaciones[[#This Row],[Fecha Detección]]+1,0)</f>
        <v>2</v>
      </c>
      <c r="L405" s="34" t="str">
        <f>LOOKUP(Observaciones[[#This Row],[Caso de Prueba]],CasoPrueba[Código CP],CasoPrueba[Código de REQ])</f>
        <v>INSPECCIÓN</v>
      </c>
    </row>
    <row r="406" spans="1:12" ht="30" hidden="1">
      <c r="A406" s="166" t="s">
        <v>1180</v>
      </c>
      <c r="B406" s="34" t="s">
        <v>1194</v>
      </c>
      <c r="C406" s="34" t="str">
        <f>VLOOKUP(Observaciones[Caso de Prueba],CasoPrueba[[#All],[Código CP]:[Prioridad]],7,TRUE)</f>
        <v>Alta</v>
      </c>
      <c r="D406" s="34" t="s">
        <v>29</v>
      </c>
      <c r="E406" s="34" t="s">
        <v>49</v>
      </c>
      <c r="F406" s="73">
        <v>40852</v>
      </c>
      <c r="G406" s="73">
        <v>40853</v>
      </c>
      <c r="H406" s="94" t="s">
        <v>132</v>
      </c>
      <c r="I406" s="34" t="s">
        <v>1217</v>
      </c>
      <c r="J406" s="34" t="s">
        <v>1283</v>
      </c>
      <c r="K406" s="34">
        <f>IF((Observaciones[[#This Row],[Fecha Levantamiento]]-Observaciones[[#This Row],[Fecha Detección]])&gt;=0,Observaciones[[#This Row],[Fecha Levantamiento]]-Observaciones[[#This Row],[Fecha Detección]]+1,0)</f>
        <v>2</v>
      </c>
      <c r="L406" s="34" t="str">
        <f>LOOKUP(Observaciones[[#This Row],[Caso de Prueba]],CasoPrueba[Código CP],CasoPrueba[Código de REQ])</f>
        <v>INSPECCIÓN</v>
      </c>
    </row>
    <row r="407" spans="1:12" ht="45" hidden="1">
      <c r="A407" s="166" t="s">
        <v>1181</v>
      </c>
      <c r="B407" s="34" t="s">
        <v>1194</v>
      </c>
      <c r="C407" s="34" t="str">
        <f>VLOOKUP(Observaciones[Caso de Prueba],CasoPrueba[[#All],[Código CP]:[Prioridad]],7,TRUE)</f>
        <v>Alta</v>
      </c>
      <c r="D407" s="34" t="s">
        <v>29</v>
      </c>
      <c r="E407" s="34" t="s">
        <v>49</v>
      </c>
      <c r="F407" s="73">
        <v>40852</v>
      </c>
      <c r="G407" s="73">
        <v>40853</v>
      </c>
      <c r="H407" s="94" t="s">
        <v>132</v>
      </c>
      <c r="I407" s="34" t="s">
        <v>1218</v>
      </c>
      <c r="J407" s="34" t="s">
        <v>1284</v>
      </c>
      <c r="K407" s="34">
        <f>IF((Observaciones[[#This Row],[Fecha Levantamiento]]-Observaciones[[#This Row],[Fecha Detección]])&gt;=0,Observaciones[[#This Row],[Fecha Levantamiento]]-Observaciones[[#This Row],[Fecha Detección]]+1,0)</f>
        <v>2</v>
      </c>
      <c r="L407" s="34" t="str">
        <f>LOOKUP(Observaciones[[#This Row],[Caso de Prueba]],CasoPrueba[Código CP],CasoPrueba[Código de REQ])</f>
        <v>INSPECCIÓN</v>
      </c>
    </row>
    <row r="408" spans="1:12" ht="30" hidden="1">
      <c r="A408" s="166" t="s">
        <v>1182</v>
      </c>
      <c r="B408" s="34" t="s">
        <v>1194</v>
      </c>
      <c r="C408" s="34" t="str">
        <f>VLOOKUP(Observaciones[Caso de Prueba],CasoPrueba[[#All],[Código CP]:[Prioridad]],7,TRUE)</f>
        <v>Alta</v>
      </c>
      <c r="D408" s="34" t="s">
        <v>29</v>
      </c>
      <c r="E408" s="34" t="s">
        <v>49</v>
      </c>
      <c r="F408" s="73">
        <v>40852</v>
      </c>
      <c r="G408" s="73">
        <v>40853</v>
      </c>
      <c r="H408" s="94" t="s">
        <v>132</v>
      </c>
      <c r="I408" s="34" t="s">
        <v>1219</v>
      </c>
      <c r="J408" s="34" t="s">
        <v>1285</v>
      </c>
      <c r="K408" s="34">
        <f>IF((Observaciones[[#This Row],[Fecha Levantamiento]]-Observaciones[[#This Row],[Fecha Detección]])&gt;=0,Observaciones[[#This Row],[Fecha Levantamiento]]-Observaciones[[#This Row],[Fecha Detección]]+1,0)</f>
        <v>2</v>
      </c>
      <c r="L408" s="34" t="str">
        <f>LOOKUP(Observaciones[[#This Row],[Caso de Prueba]],CasoPrueba[Código CP],CasoPrueba[Código de REQ])</f>
        <v>INSPECCIÓN</v>
      </c>
    </row>
    <row r="409" spans="1:12" ht="30" hidden="1">
      <c r="A409" s="166" t="s">
        <v>1183</v>
      </c>
      <c r="B409" s="34" t="s">
        <v>1194</v>
      </c>
      <c r="C409" s="34" t="str">
        <f>VLOOKUP(Observaciones[Caso de Prueba],CasoPrueba[[#All],[Código CP]:[Prioridad]],7,TRUE)</f>
        <v>Alta</v>
      </c>
      <c r="D409" s="34" t="s">
        <v>29</v>
      </c>
      <c r="E409" s="34" t="s">
        <v>49</v>
      </c>
      <c r="F409" s="73">
        <v>40852</v>
      </c>
      <c r="G409" s="73">
        <v>40853</v>
      </c>
      <c r="H409" s="94" t="s">
        <v>132</v>
      </c>
      <c r="I409" s="34" t="s">
        <v>1220</v>
      </c>
      <c r="J409" s="34" t="s">
        <v>1273</v>
      </c>
      <c r="K409" s="34">
        <f>IF((Observaciones[[#This Row],[Fecha Levantamiento]]-Observaciones[[#This Row],[Fecha Detección]])&gt;=0,Observaciones[[#This Row],[Fecha Levantamiento]]-Observaciones[[#This Row],[Fecha Detección]]+1,0)</f>
        <v>2</v>
      </c>
      <c r="L409" s="34" t="str">
        <f>LOOKUP(Observaciones[[#This Row],[Caso de Prueba]],CasoPrueba[Código CP],CasoPrueba[Código de REQ])</f>
        <v>INSPECCIÓN</v>
      </c>
    </row>
    <row r="410" spans="1:12" ht="30" hidden="1">
      <c r="A410" s="166" t="s">
        <v>1184</v>
      </c>
      <c r="B410" s="34" t="s">
        <v>1194</v>
      </c>
      <c r="C410" s="34" t="str">
        <f>VLOOKUP(Observaciones[Caso de Prueba],CasoPrueba[[#All],[Código CP]:[Prioridad]],7,TRUE)</f>
        <v>Alta</v>
      </c>
      <c r="D410" s="34" t="s">
        <v>29</v>
      </c>
      <c r="E410" s="34" t="s">
        <v>49</v>
      </c>
      <c r="F410" s="73">
        <v>40852</v>
      </c>
      <c r="G410" s="73">
        <v>40853</v>
      </c>
      <c r="H410" s="94" t="s">
        <v>132</v>
      </c>
      <c r="I410" s="34" t="s">
        <v>1221</v>
      </c>
      <c r="J410" s="34" t="s">
        <v>1273</v>
      </c>
      <c r="K410" s="34">
        <f>IF((Observaciones[[#This Row],[Fecha Levantamiento]]-Observaciones[[#This Row],[Fecha Detección]])&gt;=0,Observaciones[[#This Row],[Fecha Levantamiento]]-Observaciones[[#This Row],[Fecha Detección]]+1,0)</f>
        <v>2</v>
      </c>
      <c r="L410" s="34" t="str">
        <f>LOOKUP(Observaciones[[#This Row],[Caso de Prueba]],CasoPrueba[Código CP],CasoPrueba[Código de REQ])</f>
        <v>INSPECCIÓN</v>
      </c>
    </row>
    <row r="411" spans="1:12" ht="30" hidden="1">
      <c r="A411" s="166" t="s">
        <v>1185</v>
      </c>
      <c r="B411" s="34" t="s">
        <v>1194</v>
      </c>
      <c r="C411" s="34" t="str">
        <f>VLOOKUP(Observaciones[Caso de Prueba],CasoPrueba[[#All],[Código CP]:[Prioridad]],7,TRUE)</f>
        <v>Alta</v>
      </c>
      <c r="D411" s="34" t="s">
        <v>29</v>
      </c>
      <c r="E411" s="34" t="s">
        <v>49</v>
      </c>
      <c r="F411" s="73">
        <v>40852</v>
      </c>
      <c r="G411" s="73">
        <v>40853</v>
      </c>
      <c r="H411" s="94" t="s">
        <v>132</v>
      </c>
      <c r="I411" s="34" t="s">
        <v>1222</v>
      </c>
      <c r="J411" s="34" t="s">
        <v>1286</v>
      </c>
      <c r="K411" s="34">
        <f>IF((Observaciones[[#This Row],[Fecha Levantamiento]]-Observaciones[[#This Row],[Fecha Detección]])&gt;=0,Observaciones[[#This Row],[Fecha Levantamiento]]-Observaciones[[#This Row],[Fecha Detección]]+1,0)</f>
        <v>2</v>
      </c>
      <c r="L411" s="34" t="str">
        <f>LOOKUP(Observaciones[[#This Row],[Caso de Prueba]],CasoPrueba[Código CP],CasoPrueba[Código de REQ])</f>
        <v>INSPECCIÓN</v>
      </c>
    </row>
    <row r="412" spans="1:12" ht="45" hidden="1">
      <c r="A412" s="166" t="s">
        <v>1186</v>
      </c>
      <c r="B412" s="34" t="s">
        <v>1194</v>
      </c>
      <c r="C412" s="34" t="str">
        <f>VLOOKUP(Observaciones[Caso de Prueba],CasoPrueba[[#All],[Código CP]:[Prioridad]],7,TRUE)</f>
        <v>Alta</v>
      </c>
      <c r="D412" s="34" t="s">
        <v>29</v>
      </c>
      <c r="E412" s="34" t="s">
        <v>49</v>
      </c>
      <c r="F412" s="73">
        <v>40852</v>
      </c>
      <c r="G412" s="73">
        <v>40853</v>
      </c>
      <c r="H412" s="94" t="s">
        <v>132</v>
      </c>
      <c r="I412" s="34" t="s">
        <v>1223</v>
      </c>
      <c r="J412" s="34" t="s">
        <v>1287</v>
      </c>
      <c r="K412" s="34">
        <f>IF((Observaciones[[#This Row],[Fecha Levantamiento]]-Observaciones[[#This Row],[Fecha Detección]])&gt;=0,Observaciones[[#This Row],[Fecha Levantamiento]]-Observaciones[[#This Row],[Fecha Detección]]+1,0)</f>
        <v>2</v>
      </c>
      <c r="L412" s="34" t="str">
        <f>LOOKUP(Observaciones[[#This Row],[Caso de Prueba]],CasoPrueba[Código CP],CasoPrueba[Código de REQ])</f>
        <v>INSPECCIÓN</v>
      </c>
    </row>
    <row r="413" spans="1:12" ht="30" hidden="1">
      <c r="A413" s="166" t="s">
        <v>1187</v>
      </c>
      <c r="B413" s="34" t="s">
        <v>1194</v>
      </c>
      <c r="C413" s="34" t="str">
        <f>VLOOKUP(Observaciones[Caso de Prueba],CasoPrueba[[#All],[Código CP]:[Prioridad]],7,TRUE)</f>
        <v>Alta</v>
      </c>
      <c r="D413" s="34" t="s">
        <v>162</v>
      </c>
      <c r="E413" s="34" t="s">
        <v>49</v>
      </c>
      <c r="F413" s="73">
        <v>40852</v>
      </c>
      <c r="G413" s="73">
        <v>40853</v>
      </c>
      <c r="H413" s="94" t="s">
        <v>132</v>
      </c>
      <c r="I413" s="34" t="s">
        <v>1224</v>
      </c>
      <c r="J413" s="34" t="s">
        <v>234</v>
      </c>
      <c r="K413" s="34">
        <f>IF((Observaciones[[#This Row],[Fecha Levantamiento]]-Observaciones[[#This Row],[Fecha Detección]])&gt;=0,Observaciones[[#This Row],[Fecha Levantamiento]]-Observaciones[[#This Row],[Fecha Detección]]+1,0)</f>
        <v>2</v>
      </c>
      <c r="L413" s="34" t="str">
        <f>LOOKUP(Observaciones[[#This Row],[Caso de Prueba]],CasoPrueba[Código CP],CasoPrueba[Código de REQ])</f>
        <v>INSPECCIÓN</v>
      </c>
    </row>
    <row r="414" spans="1:12" ht="45" hidden="1">
      <c r="A414" s="166" t="s">
        <v>1188</v>
      </c>
      <c r="B414" s="34" t="s">
        <v>1194</v>
      </c>
      <c r="C414" s="34" t="str">
        <f>VLOOKUP(Observaciones[Caso de Prueba],CasoPrueba[[#All],[Código CP]:[Prioridad]],7,TRUE)</f>
        <v>Alta</v>
      </c>
      <c r="D414" s="34" t="s">
        <v>30</v>
      </c>
      <c r="E414" s="34" t="s">
        <v>49</v>
      </c>
      <c r="F414" s="73">
        <v>40852</v>
      </c>
      <c r="G414" s="73">
        <v>40853</v>
      </c>
      <c r="H414" s="94" t="s">
        <v>132</v>
      </c>
      <c r="I414" s="34" t="s">
        <v>1225</v>
      </c>
      <c r="J414" s="34" t="s">
        <v>1280</v>
      </c>
      <c r="K414" s="34">
        <f>IF((Observaciones[[#This Row],[Fecha Levantamiento]]-Observaciones[[#This Row],[Fecha Detección]])&gt;=0,Observaciones[[#This Row],[Fecha Levantamiento]]-Observaciones[[#This Row],[Fecha Detección]]+1,0)</f>
        <v>2</v>
      </c>
      <c r="L414" s="34" t="str">
        <f>LOOKUP(Observaciones[[#This Row],[Caso de Prueba]],CasoPrueba[Código CP],CasoPrueba[Código de REQ])</f>
        <v>INSPECCIÓN</v>
      </c>
    </row>
    <row r="415" spans="1:12" ht="30" hidden="1">
      <c r="A415" s="166" t="s">
        <v>1189</v>
      </c>
      <c r="B415" s="34" t="s">
        <v>1194</v>
      </c>
      <c r="C415" s="34" t="str">
        <f>VLOOKUP(Observaciones[Caso de Prueba],CasoPrueba[[#All],[Código CP]:[Prioridad]],7,TRUE)</f>
        <v>Alta</v>
      </c>
      <c r="D415" s="34" t="s">
        <v>29</v>
      </c>
      <c r="E415" s="34" t="s">
        <v>49</v>
      </c>
      <c r="F415" s="73">
        <v>40852</v>
      </c>
      <c r="G415" s="73">
        <v>40853</v>
      </c>
      <c r="H415" s="94" t="s">
        <v>132</v>
      </c>
      <c r="I415" s="34" t="s">
        <v>1226</v>
      </c>
      <c r="J415" s="34" t="s">
        <v>1288</v>
      </c>
      <c r="K415" s="34">
        <f>IF((Observaciones[[#This Row],[Fecha Levantamiento]]-Observaciones[[#This Row],[Fecha Detección]])&gt;=0,Observaciones[[#This Row],[Fecha Levantamiento]]-Observaciones[[#This Row],[Fecha Detección]]+1,0)</f>
        <v>2</v>
      </c>
      <c r="L415" s="34" t="str">
        <f>LOOKUP(Observaciones[[#This Row],[Caso de Prueba]],CasoPrueba[Código CP],CasoPrueba[Código de REQ])</f>
        <v>INSPECCIÓN</v>
      </c>
    </row>
    <row r="416" spans="1:12" ht="30" hidden="1">
      <c r="A416" s="166" t="s">
        <v>1190</v>
      </c>
      <c r="B416" s="34" t="s">
        <v>1194</v>
      </c>
      <c r="C416" s="34" t="str">
        <f>VLOOKUP(Observaciones[Caso de Prueba],CasoPrueba[[#All],[Código CP]:[Prioridad]],7,TRUE)</f>
        <v>Alta</v>
      </c>
      <c r="D416" s="34" t="s">
        <v>29</v>
      </c>
      <c r="E416" s="34" t="s">
        <v>49</v>
      </c>
      <c r="F416" s="73">
        <v>40852</v>
      </c>
      <c r="G416" s="73">
        <v>40853</v>
      </c>
      <c r="H416" s="94" t="s">
        <v>132</v>
      </c>
      <c r="I416" s="34" t="s">
        <v>1227</v>
      </c>
      <c r="J416" s="34" t="s">
        <v>1289</v>
      </c>
      <c r="K416" s="34">
        <f>IF((Observaciones[[#This Row],[Fecha Levantamiento]]-Observaciones[[#This Row],[Fecha Detección]])&gt;=0,Observaciones[[#This Row],[Fecha Levantamiento]]-Observaciones[[#This Row],[Fecha Detección]]+1,0)</f>
        <v>2</v>
      </c>
      <c r="L416" s="34" t="str">
        <f>LOOKUP(Observaciones[[#This Row],[Caso de Prueba]],CasoPrueba[Código CP],CasoPrueba[Código de REQ])</f>
        <v>INSPECCIÓN</v>
      </c>
    </row>
    <row r="417" spans="1:12" ht="45" hidden="1">
      <c r="A417" s="166" t="s">
        <v>1191</v>
      </c>
      <c r="B417" s="34" t="s">
        <v>1194</v>
      </c>
      <c r="C417" s="34" t="str">
        <f>VLOOKUP(Observaciones[Caso de Prueba],CasoPrueba[[#All],[Código CP]:[Prioridad]],7,TRUE)</f>
        <v>Alta</v>
      </c>
      <c r="D417" s="34" t="s">
        <v>29</v>
      </c>
      <c r="E417" s="34" t="s">
        <v>49</v>
      </c>
      <c r="F417" s="73">
        <v>40852</v>
      </c>
      <c r="G417" s="73">
        <v>40853</v>
      </c>
      <c r="H417" s="94" t="s">
        <v>132</v>
      </c>
      <c r="I417" s="34" t="s">
        <v>1228</v>
      </c>
      <c r="J417" s="34" t="s">
        <v>1290</v>
      </c>
      <c r="K417" s="34">
        <f>IF((Observaciones[[#This Row],[Fecha Levantamiento]]-Observaciones[[#This Row],[Fecha Detección]])&gt;=0,Observaciones[[#This Row],[Fecha Levantamiento]]-Observaciones[[#This Row],[Fecha Detección]]+1,0)</f>
        <v>2</v>
      </c>
      <c r="L417" s="34" t="str">
        <f>LOOKUP(Observaciones[[#This Row],[Caso de Prueba]],CasoPrueba[Código CP],CasoPrueba[Código de REQ])</f>
        <v>INSPECCIÓN</v>
      </c>
    </row>
    <row r="418" spans="1:12" ht="45" hidden="1">
      <c r="A418" s="166" t="s">
        <v>1230</v>
      </c>
      <c r="B418" s="34" t="s">
        <v>1194</v>
      </c>
      <c r="C418" s="164" t="str">
        <f>VLOOKUP(Observaciones[Caso de Prueba],CasoPrueba[[#All],[Código CP]:[Prioridad]],7,TRUE)</f>
        <v>Alta</v>
      </c>
      <c r="D418" s="34" t="s">
        <v>29</v>
      </c>
      <c r="E418" s="34" t="s">
        <v>49</v>
      </c>
      <c r="F418" s="73">
        <v>40852</v>
      </c>
      <c r="G418" s="73">
        <v>40853</v>
      </c>
      <c r="H418" s="94" t="s">
        <v>132</v>
      </c>
      <c r="I418" s="164" t="s">
        <v>1229</v>
      </c>
      <c r="J418" s="34" t="s">
        <v>1291</v>
      </c>
      <c r="K418" s="164">
        <f>IF((Observaciones[[#This Row],[Fecha Levantamiento]]-Observaciones[[#This Row],[Fecha Detección]])&gt;=0,Observaciones[[#This Row],[Fecha Levantamiento]]-Observaciones[[#This Row],[Fecha Detección]]+1,0)</f>
        <v>2</v>
      </c>
      <c r="L418" s="164" t="str">
        <f>LOOKUP(Observaciones[[#This Row],[Caso de Prueba]],CasoPrueba[Código CP],CasoPrueba[Código de REQ])</f>
        <v>INSPECCIÓN</v>
      </c>
    </row>
    <row r="419" spans="1:12" ht="60" hidden="1">
      <c r="A419" s="166" t="s">
        <v>1231</v>
      </c>
      <c r="B419" s="34" t="s">
        <v>1194</v>
      </c>
      <c r="C419" s="34" t="str">
        <f>VLOOKUP(Observaciones[Caso de Prueba],CasoPrueba[[#All],[Código CP]:[Prioridad]],7,TRUE)</f>
        <v>Alta</v>
      </c>
      <c r="D419" s="34" t="s">
        <v>29</v>
      </c>
      <c r="E419" s="34" t="s">
        <v>49</v>
      </c>
      <c r="F419" s="73">
        <v>40852</v>
      </c>
      <c r="G419" s="73">
        <v>40853</v>
      </c>
      <c r="H419" s="94" t="s">
        <v>132</v>
      </c>
      <c r="I419" s="34" t="s">
        <v>1260</v>
      </c>
      <c r="J419" s="34" t="s">
        <v>1292</v>
      </c>
      <c r="K419" s="34">
        <f>IF((Observaciones[[#This Row],[Fecha Levantamiento]]-Observaciones[[#This Row],[Fecha Detección]])&gt;=0,Observaciones[[#This Row],[Fecha Levantamiento]]-Observaciones[[#This Row],[Fecha Detección]]+1,0)</f>
        <v>2</v>
      </c>
      <c r="L419" s="34" t="str">
        <f>LOOKUP(Observaciones[[#This Row],[Caso de Prueba]],CasoPrueba[Código CP],CasoPrueba[Código de REQ])</f>
        <v>INSPECCIÓN</v>
      </c>
    </row>
    <row r="420" spans="1:12" ht="30" hidden="1">
      <c r="A420" s="166" t="s">
        <v>1232</v>
      </c>
      <c r="B420" s="34" t="s">
        <v>1194</v>
      </c>
      <c r="C420" s="34" t="str">
        <f>VLOOKUP(Observaciones[Caso de Prueba],CasoPrueba[[#All],[Código CP]:[Prioridad]],7,TRUE)</f>
        <v>Alta</v>
      </c>
      <c r="D420" s="34" t="s">
        <v>29</v>
      </c>
      <c r="E420" s="34" t="s">
        <v>49</v>
      </c>
      <c r="F420" s="73">
        <v>40852</v>
      </c>
      <c r="G420" s="73">
        <v>40853</v>
      </c>
      <c r="H420" s="94" t="s">
        <v>132</v>
      </c>
      <c r="I420" s="34" t="s">
        <v>1261</v>
      </c>
      <c r="J420" s="34" t="s">
        <v>1293</v>
      </c>
      <c r="K420" s="34">
        <f>IF((Observaciones[[#This Row],[Fecha Levantamiento]]-Observaciones[[#This Row],[Fecha Detección]])&gt;=0,Observaciones[[#This Row],[Fecha Levantamiento]]-Observaciones[[#This Row],[Fecha Detección]]+1,0)</f>
        <v>2</v>
      </c>
      <c r="L420" s="34" t="str">
        <f>LOOKUP(Observaciones[[#This Row],[Caso de Prueba]],CasoPrueba[Código CP],CasoPrueba[Código de REQ])</f>
        <v>INSPECCIÓN</v>
      </c>
    </row>
    <row r="421" spans="1:12" ht="30" hidden="1">
      <c r="A421" s="166" t="s">
        <v>1233</v>
      </c>
      <c r="B421" s="34" t="s">
        <v>1194</v>
      </c>
      <c r="C421" s="34" t="str">
        <f>VLOOKUP(Observaciones[Caso de Prueba],CasoPrueba[[#All],[Código CP]:[Prioridad]],7,TRUE)</f>
        <v>Alta</v>
      </c>
      <c r="D421" s="34" t="s">
        <v>162</v>
      </c>
      <c r="E421" s="34" t="s">
        <v>49</v>
      </c>
      <c r="F421" s="73">
        <v>40852</v>
      </c>
      <c r="G421" s="73">
        <v>40853</v>
      </c>
      <c r="H421" s="94" t="s">
        <v>132</v>
      </c>
      <c r="I421" s="34" t="s">
        <v>1262</v>
      </c>
      <c r="J421" s="34" t="s">
        <v>1294</v>
      </c>
      <c r="K421" s="34">
        <f>IF((Observaciones[[#This Row],[Fecha Levantamiento]]-Observaciones[[#This Row],[Fecha Detección]])&gt;=0,Observaciones[[#This Row],[Fecha Levantamiento]]-Observaciones[[#This Row],[Fecha Detección]]+1,0)</f>
        <v>2</v>
      </c>
      <c r="L421" s="34" t="str">
        <f>LOOKUP(Observaciones[[#This Row],[Caso de Prueba]],CasoPrueba[Código CP],CasoPrueba[Código de REQ])</f>
        <v>INSPECCIÓN</v>
      </c>
    </row>
    <row r="422" spans="1:12" ht="30" hidden="1">
      <c r="A422" s="166" t="s">
        <v>1234</v>
      </c>
      <c r="B422" s="34" t="s">
        <v>1194</v>
      </c>
      <c r="C422" s="34" t="str">
        <f>VLOOKUP(Observaciones[Caso de Prueba],CasoPrueba[[#All],[Código CP]:[Prioridad]],7,TRUE)</f>
        <v>Alta</v>
      </c>
      <c r="D422" s="34" t="s">
        <v>30</v>
      </c>
      <c r="E422" s="34" t="s">
        <v>49</v>
      </c>
      <c r="F422" s="73">
        <v>40852</v>
      </c>
      <c r="G422" s="73">
        <v>40853</v>
      </c>
      <c r="H422" s="94" t="s">
        <v>132</v>
      </c>
      <c r="I422" s="34" t="s">
        <v>1263</v>
      </c>
      <c r="J422" s="34" t="s">
        <v>857</v>
      </c>
      <c r="K422" s="34">
        <f>IF((Observaciones[[#This Row],[Fecha Levantamiento]]-Observaciones[[#This Row],[Fecha Detección]])&gt;=0,Observaciones[[#This Row],[Fecha Levantamiento]]-Observaciones[[#This Row],[Fecha Detección]]+1,0)</f>
        <v>2</v>
      </c>
      <c r="L422" s="34" t="str">
        <f>LOOKUP(Observaciones[[#This Row],[Caso de Prueba]],CasoPrueba[Código CP],CasoPrueba[Código de REQ])</f>
        <v>INSPECCIÓN</v>
      </c>
    </row>
    <row r="423" spans="1:12" ht="45" hidden="1">
      <c r="A423" s="166" t="s">
        <v>1235</v>
      </c>
      <c r="B423" s="34" t="s">
        <v>1194</v>
      </c>
      <c r="C423" s="34" t="str">
        <f>VLOOKUP(Observaciones[Caso de Prueba],CasoPrueba[[#All],[Código CP]:[Prioridad]],7,TRUE)</f>
        <v>Alta</v>
      </c>
      <c r="D423" s="34" t="s">
        <v>162</v>
      </c>
      <c r="E423" s="34" t="s">
        <v>49</v>
      </c>
      <c r="F423" s="73">
        <v>40852</v>
      </c>
      <c r="G423" s="73">
        <v>40853</v>
      </c>
      <c r="H423" s="94" t="s">
        <v>132</v>
      </c>
      <c r="I423" s="34" t="s">
        <v>1264</v>
      </c>
      <c r="J423" s="34" t="s">
        <v>196</v>
      </c>
      <c r="K423" s="34">
        <f>IF((Observaciones[[#This Row],[Fecha Levantamiento]]-Observaciones[[#This Row],[Fecha Detección]])&gt;=0,Observaciones[[#This Row],[Fecha Levantamiento]]-Observaciones[[#This Row],[Fecha Detección]]+1,0)</f>
        <v>2</v>
      </c>
      <c r="L423" s="34" t="str">
        <f>LOOKUP(Observaciones[[#This Row],[Caso de Prueba]],CasoPrueba[Código CP],CasoPrueba[Código de REQ])</f>
        <v>INSPECCIÓN</v>
      </c>
    </row>
    <row r="424" spans="1:12" ht="60" hidden="1">
      <c r="A424" s="166" t="s">
        <v>1236</v>
      </c>
      <c r="B424" s="34" t="s">
        <v>1194</v>
      </c>
      <c r="C424" s="34" t="str">
        <f>VLOOKUP(Observaciones[Caso de Prueba],CasoPrueba[[#All],[Código CP]:[Prioridad]],7,TRUE)</f>
        <v>Alta</v>
      </c>
      <c r="D424" s="34" t="s">
        <v>162</v>
      </c>
      <c r="E424" s="34" t="s">
        <v>49</v>
      </c>
      <c r="F424" s="73">
        <v>40852</v>
      </c>
      <c r="G424" s="73">
        <v>40853</v>
      </c>
      <c r="H424" s="94" t="s">
        <v>132</v>
      </c>
      <c r="I424" s="34" t="s">
        <v>1265</v>
      </c>
      <c r="J424" s="34" t="s">
        <v>196</v>
      </c>
      <c r="K424" s="34">
        <f>IF((Observaciones[[#This Row],[Fecha Levantamiento]]-Observaciones[[#This Row],[Fecha Detección]])&gt;=0,Observaciones[[#This Row],[Fecha Levantamiento]]-Observaciones[[#This Row],[Fecha Detección]]+1,0)</f>
        <v>2</v>
      </c>
      <c r="L424" s="34" t="str">
        <f>LOOKUP(Observaciones[[#This Row],[Caso de Prueba]],CasoPrueba[Código CP],CasoPrueba[Código de REQ])</f>
        <v>INSPECCIÓN</v>
      </c>
    </row>
    <row r="425" spans="1:12" ht="30" hidden="1">
      <c r="A425" s="166" t="s">
        <v>1237</v>
      </c>
      <c r="B425" s="34" t="s">
        <v>1194</v>
      </c>
      <c r="C425" s="34" t="str">
        <f>VLOOKUP(Observaciones[Caso de Prueba],CasoPrueba[[#All],[Código CP]:[Prioridad]],7,TRUE)</f>
        <v>Alta</v>
      </c>
      <c r="D425" s="34" t="s">
        <v>162</v>
      </c>
      <c r="E425" s="34" t="s">
        <v>49</v>
      </c>
      <c r="F425" s="73">
        <v>40852</v>
      </c>
      <c r="G425" s="73">
        <v>40853</v>
      </c>
      <c r="H425" s="94" t="s">
        <v>132</v>
      </c>
      <c r="I425" s="34" t="s">
        <v>1266</v>
      </c>
      <c r="J425" s="34" t="s">
        <v>1295</v>
      </c>
      <c r="K425" s="34">
        <f>IF((Observaciones[[#This Row],[Fecha Levantamiento]]-Observaciones[[#This Row],[Fecha Detección]])&gt;=0,Observaciones[[#This Row],[Fecha Levantamiento]]-Observaciones[[#This Row],[Fecha Detección]]+1,0)</f>
        <v>2</v>
      </c>
      <c r="L425" s="34" t="str">
        <f>LOOKUP(Observaciones[[#This Row],[Caso de Prueba]],CasoPrueba[Código CP],CasoPrueba[Código de REQ])</f>
        <v>INSPECCIÓN</v>
      </c>
    </row>
    <row r="426" spans="1:12" ht="45" hidden="1">
      <c r="A426" s="166" t="s">
        <v>1238</v>
      </c>
      <c r="B426" s="34" t="s">
        <v>1194</v>
      </c>
      <c r="C426" s="34" t="str">
        <f>VLOOKUP(Observaciones[Caso de Prueba],CasoPrueba[[#All],[Código CP]:[Prioridad]],7,TRUE)</f>
        <v>Alta</v>
      </c>
      <c r="D426" s="34" t="s">
        <v>30</v>
      </c>
      <c r="E426" s="34" t="s">
        <v>49</v>
      </c>
      <c r="F426" s="73">
        <v>40852</v>
      </c>
      <c r="G426" s="73">
        <v>40853</v>
      </c>
      <c r="H426" s="94" t="s">
        <v>132</v>
      </c>
      <c r="I426" s="34" t="s">
        <v>1267</v>
      </c>
      <c r="J426" s="34" t="s">
        <v>1296</v>
      </c>
      <c r="K426" s="34">
        <f>IF((Observaciones[[#This Row],[Fecha Levantamiento]]-Observaciones[[#This Row],[Fecha Detección]])&gt;=0,Observaciones[[#This Row],[Fecha Levantamiento]]-Observaciones[[#This Row],[Fecha Detección]]+1,0)</f>
        <v>2</v>
      </c>
      <c r="L426" s="34" t="str">
        <f>LOOKUP(Observaciones[[#This Row],[Caso de Prueba]],CasoPrueba[Código CP],CasoPrueba[Código de REQ])</f>
        <v>INSPECCIÓN</v>
      </c>
    </row>
    <row r="427" spans="1:12" ht="45" hidden="1">
      <c r="A427" s="166" t="s">
        <v>1239</v>
      </c>
      <c r="B427" s="34" t="s">
        <v>1194</v>
      </c>
      <c r="C427" s="34" t="str">
        <f>VLOOKUP(Observaciones[Caso de Prueba],CasoPrueba[[#All],[Código CP]:[Prioridad]],7,TRUE)</f>
        <v>Alta</v>
      </c>
      <c r="D427" s="34" t="s">
        <v>30</v>
      </c>
      <c r="E427" s="34" t="s">
        <v>49</v>
      </c>
      <c r="F427" s="73">
        <v>40852</v>
      </c>
      <c r="G427" s="73">
        <v>40853</v>
      </c>
      <c r="H427" s="94" t="s">
        <v>132</v>
      </c>
      <c r="I427" s="34" t="s">
        <v>1306</v>
      </c>
      <c r="J427" s="34" t="s">
        <v>1307</v>
      </c>
      <c r="K427" s="34">
        <f>IF((Observaciones[[#This Row],[Fecha Levantamiento]]-Observaciones[[#This Row],[Fecha Detección]])&gt;=0,Observaciones[[#This Row],[Fecha Levantamiento]]-Observaciones[[#This Row],[Fecha Detección]]+1,0)</f>
        <v>2</v>
      </c>
      <c r="L427" s="34" t="str">
        <f>LOOKUP(Observaciones[[#This Row],[Caso de Prueba]],CasoPrueba[Código CP],CasoPrueba[Código de REQ])</f>
        <v>INSPECCIÓN</v>
      </c>
    </row>
    <row r="428" spans="1:12" ht="30" hidden="1">
      <c r="A428" s="166" t="s">
        <v>1240</v>
      </c>
      <c r="B428" s="34" t="s">
        <v>1194</v>
      </c>
      <c r="C428" s="34" t="str">
        <f>VLOOKUP(Observaciones[Caso de Prueba],CasoPrueba[[#All],[Código CP]:[Prioridad]],7,TRUE)</f>
        <v>Alta</v>
      </c>
      <c r="D428" s="34" t="s">
        <v>162</v>
      </c>
      <c r="E428" s="34" t="s">
        <v>49</v>
      </c>
      <c r="F428" s="73">
        <v>40852</v>
      </c>
      <c r="G428" s="73">
        <v>40853</v>
      </c>
      <c r="H428" s="94" t="s">
        <v>132</v>
      </c>
      <c r="I428" s="34" t="s">
        <v>1308</v>
      </c>
      <c r="J428" s="34" t="s">
        <v>1297</v>
      </c>
      <c r="K428" s="34">
        <f>IF((Observaciones[[#This Row],[Fecha Levantamiento]]-Observaciones[[#This Row],[Fecha Detección]])&gt;=0,Observaciones[[#This Row],[Fecha Levantamiento]]-Observaciones[[#This Row],[Fecha Detección]]+1,0)</f>
        <v>2</v>
      </c>
      <c r="L428" s="34" t="str">
        <f>LOOKUP(Observaciones[[#This Row],[Caso de Prueba]],CasoPrueba[Código CP],CasoPrueba[Código de REQ])</f>
        <v>INSPECCIÓN</v>
      </c>
    </row>
    <row r="429" spans="1:12" ht="45" hidden="1">
      <c r="A429" s="166" t="s">
        <v>1241</v>
      </c>
      <c r="B429" s="34" t="s">
        <v>1194</v>
      </c>
      <c r="C429" s="34" t="str">
        <f>VLOOKUP(Observaciones[Caso de Prueba],CasoPrueba[[#All],[Código CP]:[Prioridad]],7,TRUE)</f>
        <v>Alta</v>
      </c>
      <c r="D429" s="34" t="s">
        <v>28</v>
      </c>
      <c r="E429" s="34" t="s">
        <v>49</v>
      </c>
      <c r="F429" s="73">
        <v>40852</v>
      </c>
      <c r="G429" s="73">
        <v>40853</v>
      </c>
      <c r="H429" s="94" t="s">
        <v>132</v>
      </c>
      <c r="I429" s="34" t="s">
        <v>1268</v>
      </c>
      <c r="J429" s="34" t="s">
        <v>857</v>
      </c>
      <c r="K429" s="34">
        <f>IF((Observaciones[[#This Row],[Fecha Levantamiento]]-Observaciones[[#This Row],[Fecha Detección]])&gt;=0,Observaciones[[#This Row],[Fecha Levantamiento]]-Observaciones[[#This Row],[Fecha Detección]]+1,0)</f>
        <v>2</v>
      </c>
      <c r="L429" s="34" t="str">
        <f>LOOKUP(Observaciones[[#This Row],[Caso de Prueba]],CasoPrueba[Código CP],CasoPrueba[Código de REQ])</f>
        <v>INSPECCIÓN</v>
      </c>
    </row>
    <row r="430" spans="1:12" ht="45" hidden="1">
      <c r="A430" s="166" t="s">
        <v>1242</v>
      </c>
      <c r="B430" s="34" t="s">
        <v>1194</v>
      </c>
      <c r="C430" s="34" t="str">
        <f>VLOOKUP(Observaciones[Caso de Prueba],CasoPrueba[[#All],[Código CP]:[Prioridad]],7,TRUE)</f>
        <v>Alta</v>
      </c>
      <c r="D430" s="34" t="s">
        <v>162</v>
      </c>
      <c r="E430" s="34" t="s">
        <v>49</v>
      </c>
      <c r="F430" s="73">
        <v>40852</v>
      </c>
      <c r="G430" s="73">
        <v>40853</v>
      </c>
      <c r="H430" s="94" t="s">
        <v>132</v>
      </c>
      <c r="I430" s="34" t="s">
        <v>1269</v>
      </c>
      <c r="J430" s="34" t="s">
        <v>196</v>
      </c>
      <c r="K430" s="34">
        <f>IF((Observaciones[[#This Row],[Fecha Levantamiento]]-Observaciones[[#This Row],[Fecha Detección]])&gt;=0,Observaciones[[#This Row],[Fecha Levantamiento]]-Observaciones[[#This Row],[Fecha Detección]]+1,0)</f>
        <v>2</v>
      </c>
      <c r="L430" s="34" t="str">
        <f>LOOKUP(Observaciones[[#This Row],[Caso de Prueba]],CasoPrueba[Código CP],CasoPrueba[Código de REQ])</f>
        <v>INSPECCIÓN</v>
      </c>
    </row>
    <row r="431" spans="1:12" ht="45">
      <c r="A431" s="166" t="s">
        <v>1243</v>
      </c>
      <c r="B431" s="34" t="s">
        <v>1194</v>
      </c>
      <c r="C431" s="34" t="str">
        <f>VLOOKUP(Observaciones[Caso de Prueba],CasoPrueba[[#All],[Código CP]:[Prioridad]],7,TRUE)</f>
        <v>Alta</v>
      </c>
      <c r="D431" s="34" t="s">
        <v>30</v>
      </c>
      <c r="E431" s="34" t="s">
        <v>47</v>
      </c>
      <c r="F431" s="73">
        <v>40853</v>
      </c>
      <c r="H431" s="94" t="s">
        <v>132</v>
      </c>
      <c r="I431" s="34" t="s">
        <v>1300</v>
      </c>
      <c r="J431" s="34" t="s">
        <v>1321</v>
      </c>
      <c r="K431" s="34">
        <f>IF((Observaciones[[#This Row],[Fecha Levantamiento]]-Observaciones[[#This Row],[Fecha Detección]])&gt;=0,Observaciones[[#This Row],[Fecha Levantamiento]]-Observaciones[[#This Row],[Fecha Detección]]+1,0)</f>
        <v>0</v>
      </c>
      <c r="L431" s="34" t="str">
        <f>LOOKUP(Observaciones[[#This Row],[Caso de Prueba]],CasoPrueba[Código CP],CasoPrueba[Código de REQ])</f>
        <v>INSPECCIÓN</v>
      </c>
    </row>
    <row r="432" spans="1:12" ht="30">
      <c r="A432" s="166" t="s">
        <v>1244</v>
      </c>
      <c r="B432" s="34" t="s">
        <v>1194</v>
      </c>
      <c r="C432" s="34" t="str">
        <f>VLOOKUP(Observaciones[Caso de Prueba],CasoPrueba[[#All],[Código CP]:[Prioridad]],7,TRUE)</f>
        <v>Alta</v>
      </c>
      <c r="D432" s="34" t="s">
        <v>29</v>
      </c>
      <c r="E432" s="34" t="s">
        <v>47</v>
      </c>
      <c r="F432" s="73">
        <v>40853</v>
      </c>
      <c r="H432" s="94" t="s">
        <v>132</v>
      </c>
      <c r="I432" s="34" t="s">
        <v>1298</v>
      </c>
      <c r="J432" s="34" t="s">
        <v>1323</v>
      </c>
      <c r="K432" s="34">
        <f>IF((Observaciones[[#This Row],[Fecha Levantamiento]]-Observaciones[[#This Row],[Fecha Detección]])&gt;=0,Observaciones[[#This Row],[Fecha Levantamiento]]-Observaciones[[#This Row],[Fecha Detección]]+1,0)</f>
        <v>0</v>
      </c>
      <c r="L432" s="34" t="str">
        <f>LOOKUP(Observaciones[[#This Row],[Caso de Prueba]],CasoPrueba[Código CP],CasoPrueba[Código de REQ])</f>
        <v>INSPECCIÓN</v>
      </c>
    </row>
    <row r="433" spans="1:12" ht="30">
      <c r="A433" s="166" t="s">
        <v>1245</v>
      </c>
      <c r="B433" s="34" t="s">
        <v>1194</v>
      </c>
      <c r="C433" s="34" t="str">
        <f>VLOOKUP(Observaciones[Caso de Prueba],CasoPrueba[[#All],[Código CP]:[Prioridad]],7,TRUE)</f>
        <v>Alta</v>
      </c>
      <c r="D433" s="34" t="s">
        <v>162</v>
      </c>
      <c r="E433" s="34" t="s">
        <v>47</v>
      </c>
      <c r="F433" s="73">
        <v>40853</v>
      </c>
      <c r="H433" s="94" t="s">
        <v>132</v>
      </c>
      <c r="I433" s="34" t="s">
        <v>1299</v>
      </c>
      <c r="J433" s="34" t="s">
        <v>1324</v>
      </c>
      <c r="K433" s="34">
        <f>IF((Observaciones[[#This Row],[Fecha Levantamiento]]-Observaciones[[#This Row],[Fecha Detección]])&gt;=0,Observaciones[[#This Row],[Fecha Levantamiento]]-Observaciones[[#This Row],[Fecha Detección]]+1,0)</f>
        <v>0</v>
      </c>
      <c r="L433" s="34" t="str">
        <f>LOOKUP(Observaciones[[#This Row],[Caso de Prueba]],CasoPrueba[Código CP],CasoPrueba[Código de REQ])</f>
        <v>INSPECCIÓN</v>
      </c>
    </row>
    <row r="434" spans="1:12">
      <c r="A434" s="166" t="s">
        <v>1246</v>
      </c>
      <c r="B434" s="34" t="s">
        <v>1194</v>
      </c>
      <c r="C434" s="34" t="str">
        <f>VLOOKUP(Observaciones[Caso de Prueba],CasoPrueba[[#All],[Código CP]:[Prioridad]],7,TRUE)</f>
        <v>Alta</v>
      </c>
      <c r="D434" s="34" t="s">
        <v>30</v>
      </c>
      <c r="E434" s="34" t="s">
        <v>47</v>
      </c>
      <c r="F434" s="73">
        <v>40853</v>
      </c>
      <c r="H434" s="94" t="s">
        <v>132</v>
      </c>
      <c r="I434" s="34" t="s">
        <v>1302</v>
      </c>
      <c r="J434" s="34" t="s">
        <v>1335</v>
      </c>
      <c r="K434" s="34">
        <f>IF((Observaciones[[#This Row],[Fecha Levantamiento]]-Observaciones[[#This Row],[Fecha Detección]])&gt;=0,Observaciones[[#This Row],[Fecha Levantamiento]]-Observaciones[[#This Row],[Fecha Detección]]+1,0)</f>
        <v>0</v>
      </c>
      <c r="L434" s="34" t="str">
        <f>LOOKUP(Observaciones[[#This Row],[Caso de Prueba]],CasoPrueba[Código CP],CasoPrueba[Código de REQ])</f>
        <v>INSPECCIÓN</v>
      </c>
    </row>
    <row r="435" spans="1:12" ht="60">
      <c r="A435" s="166" t="s">
        <v>1247</v>
      </c>
      <c r="B435" s="34" t="s">
        <v>1194</v>
      </c>
      <c r="C435" s="34" t="str">
        <f>VLOOKUP(Observaciones[Caso de Prueba],CasoPrueba[[#All],[Código CP]:[Prioridad]],7,TRUE)</f>
        <v>Alta</v>
      </c>
      <c r="D435" s="34" t="s">
        <v>30</v>
      </c>
      <c r="E435" s="34" t="s">
        <v>47</v>
      </c>
      <c r="F435" s="73">
        <v>40853</v>
      </c>
      <c r="H435" s="94" t="s">
        <v>132</v>
      </c>
      <c r="I435" s="34" t="s">
        <v>1303</v>
      </c>
      <c r="J435" s="34" t="s">
        <v>1326</v>
      </c>
      <c r="K435" s="34">
        <f>IF((Observaciones[[#This Row],[Fecha Levantamiento]]-Observaciones[[#This Row],[Fecha Detección]])&gt;=0,Observaciones[[#This Row],[Fecha Levantamiento]]-Observaciones[[#This Row],[Fecha Detección]]+1,0)</f>
        <v>0</v>
      </c>
      <c r="L435" s="34" t="str">
        <f>LOOKUP(Observaciones[[#This Row],[Caso de Prueba]],CasoPrueba[Código CP],CasoPrueba[Código de REQ])</f>
        <v>INSPECCIÓN</v>
      </c>
    </row>
    <row r="436" spans="1:12" ht="75">
      <c r="A436" s="166" t="s">
        <v>1248</v>
      </c>
      <c r="B436" s="34" t="s">
        <v>1194</v>
      </c>
      <c r="C436" s="34" t="str">
        <f>VLOOKUP(Observaciones[Caso de Prueba],CasoPrueba[[#All],[Código CP]:[Prioridad]],7,TRUE)</f>
        <v>Alta</v>
      </c>
      <c r="D436" s="34" t="s">
        <v>30</v>
      </c>
      <c r="E436" s="34" t="s">
        <v>47</v>
      </c>
      <c r="F436" s="73">
        <v>40853</v>
      </c>
      <c r="H436" s="94" t="s">
        <v>132</v>
      </c>
      <c r="I436" s="34" t="s">
        <v>1304</v>
      </c>
      <c r="J436" s="34" t="s">
        <v>1325</v>
      </c>
      <c r="K436" s="34">
        <f>IF((Observaciones[[#This Row],[Fecha Levantamiento]]-Observaciones[[#This Row],[Fecha Detección]])&gt;=0,Observaciones[[#This Row],[Fecha Levantamiento]]-Observaciones[[#This Row],[Fecha Detección]]+1,0)</f>
        <v>0</v>
      </c>
      <c r="L436" s="34" t="str">
        <f>LOOKUP(Observaciones[[#This Row],[Caso de Prueba]],CasoPrueba[Código CP],CasoPrueba[Código de REQ])</f>
        <v>INSPECCIÓN</v>
      </c>
    </row>
    <row r="437" spans="1:12" ht="45">
      <c r="A437" s="166" t="s">
        <v>1249</v>
      </c>
      <c r="B437" s="34" t="s">
        <v>1194</v>
      </c>
      <c r="C437" s="34" t="str">
        <f>VLOOKUP(Observaciones[Caso de Prueba],CasoPrueba[[#All],[Código CP]:[Prioridad]],7,TRUE)</f>
        <v>Alta</v>
      </c>
      <c r="D437" s="34" t="s">
        <v>30</v>
      </c>
      <c r="E437" s="34" t="s">
        <v>47</v>
      </c>
      <c r="F437" s="73">
        <v>40853</v>
      </c>
      <c r="H437" s="94" t="s">
        <v>132</v>
      </c>
      <c r="I437" s="34" t="s">
        <v>1305</v>
      </c>
      <c r="J437" s="34" t="s">
        <v>1328</v>
      </c>
      <c r="K437" s="34">
        <f>IF((Observaciones[[#This Row],[Fecha Levantamiento]]-Observaciones[[#This Row],[Fecha Detección]])&gt;=0,Observaciones[[#This Row],[Fecha Levantamiento]]-Observaciones[[#This Row],[Fecha Detección]]+1,0)</f>
        <v>0</v>
      </c>
      <c r="L437" s="34" t="str">
        <f>LOOKUP(Observaciones[[#This Row],[Caso de Prueba]],CasoPrueba[Código CP],CasoPrueba[Código de REQ])</f>
        <v>INSPECCIÓN</v>
      </c>
    </row>
    <row r="438" spans="1:12" ht="75">
      <c r="A438" s="166" t="s">
        <v>1250</v>
      </c>
      <c r="B438" s="34" t="s">
        <v>1194</v>
      </c>
      <c r="C438" s="34" t="str">
        <f>VLOOKUP(Observaciones[Caso de Prueba],CasoPrueba[[#All],[Código CP]:[Prioridad]],7,TRUE)</f>
        <v>Alta</v>
      </c>
      <c r="D438" s="34" t="s">
        <v>28</v>
      </c>
      <c r="E438" s="34" t="s">
        <v>47</v>
      </c>
      <c r="F438" s="73">
        <v>40853</v>
      </c>
      <c r="H438" s="94" t="s">
        <v>132</v>
      </c>
      <c r="I438" s="34" t="s">
        <v>1309</v>
      </c>
      <c r="J438" s="34" t="s">
        <v>1329</v>
      </c>
      <c r="K438" s="34">
        <f>IF((Observaciones[[#This Row],[Fecha Levantamiento]]-Observaciones[[#This Row],[Fecha Detección]])&gt;=0,Observaciones[[#This Row],[Fecha Levantamiento]]-Observaciones[[#This Row],[Fecha Detección]]+1,0)</f>
        <v>0</v>
      </c>
      <c r="L438" s="34" t="str">
        <f>LOOKUP(Observaciones[[#This Row],[Caso de Prueba]],CasoPrueba[Código CP],CasoPrueba[Código de REQ])</f>
        <v>INSPECCIÓN</v>
      </c>
    </row>
    <row r="439" spans="1:12" ht="60">
      <c r="A439" s="166" t="s">
        <v>1251</v>
      </c>
      <c r="B439" s="34" t="s">
        <v>1194</v>
      </c>
      <c r="C439" s="34" t="str">
        <f>VLOOKUP(Observaciones[Caso de Prueba],CasoPrueba[[#All],[Código CP]:[Prioridad]],7,TRUE)</f>
        <v>Alta</v>
      </c>
      <c r="D439" s="34" t="s">
        <v>28</v>
      </c>
      <c r="E439" s="34" t="s">
        <v>47</v>
      </c>
      <c r="F439" s="73">
        <v>40853</v>
      </c>
      <c r="H439" s="94" t="s">
        <v>132</v>
      </c>
      <c r="I439" s="34" t="s">
        <v>1310</v>
      </c>
      <c r="J439" s="34" t="s">
        <v>1327</v>
      </c>
      <c r="K439" s="34">
        <f>IF((Observaciones[[#This Row],[Fecha Levantamiento]]-Observaciones[[#This Row],[Fecha Detección]])&gt;=0,Observaciones[[#This Row],[Fecha Levantamiento]]-Observaciones[[#This Row],[Fecha Detección]]+1,0)</f>
        <v>0</v>
      </c>
      <c r="L439" s="34" t="str">
        <f>LOOKUP(Observaciones[[#This Row],[Caso de Prueba]],CasoPrueba[Código CP],CasoPrueba[Código de REQ])</f>
        <v>INSPECCIÓN</v>
      </c>
    </row>
    <row r="440" spans="1:12" ht="30">
      <c r="A440" s="166" t="s">
        <v>1252</v>
      </c>
      <c r="B440" s="34" t="s">
        <v>1194</v>
      </c>
      <c r="C440" s="34" t="str">
        <f>VLOOKUP(Observaciones[Caso de Prueba],CasoPrueba[[#All],[Código CP]:[Prioridad]],7,TRUE)</f>
        <v>Alta</v>
      </c>
      <c r="D440" s="34" t="s">
        <v>29</v>
      </c>
      <c r="E440" s="34" t="s">
        <v>47</v>
      </c>
      <c r="F440" s="73">
        <v>40853</v>
      </c>
      <c r="H440" s="94" t="s">
        <v>132</v>
      </c>
      <c r="I440" s="34" t="s">
        <v>1311</v>
      </c>
      <c r="J440" s="34" t="s">
        <v>1336</v>
      </c>
      <c r="K440" s="34">
        <f>IF((Observaciones[[#This Row],[Fecha Levantamiento]]-Observaciones[[#This Row],[Fecha Detección]])&gt;=0,Observaciones[[#This Row],[Fecha Levantamiento]]-Observaciones[[#This Row],[Fecha Detección]]+1,0)</f>
        <v>0</v>
      </c>
      <c r="L440" s="34" t="str">
        <f>LOOKUP(Observaciones[[#This Row],[Caso de Prueba]],CasoPrueba[Código CP],CasoPrueba[Código de REQ])</f>
        <v>INSPECCIÓN</v>
      </c>
    </row>
    <row r="441" spans="1:12" ht="60">
      <c r="A441" s="166" t="s">
        <v>1253</v>
      </c>
      <c r="B441" s="34" t="s">
        <v>1194</v>
      </c>
      <c r="C441" s="34" t="str">
        <f>VLOOKUP(Observaciones[Caso de Prueba],CasoPrueba[[#All],[Código CP]:[Prioridad]],7,TRUE)</f>
        <v>Alta</v>
      </c>
      <c r="D441" s="34" t="s">
        <v>29</v>
      </c>
      <c r="E441" s="34" t="s">
        <v>47</v>
      </c>
      <c r="F441" s="73">
        <v>40853</v>
      </c>
      <c r="H441" s="94" t="s">
        <v>132</v>
      </c>
      <c r="I441" s="34" t="s">
        <v>1312</v>
      </c>
      <c r="J441" s="34" t="s">
        <v>1330</v>
      </c>
      <c r="K441" s="34">
        <f>IF((Observaciones[[#This Row],[Fecha Levantamiento]]-Observaciones[[#This Row],[Fecha Detección]])&gt;=0,Observaciones[[#This Row],[Fecha Levantamiento]]-Observaciones[[#This Row],[Fecha Detección]]+1,0)</f>
        <v>0</v>
      </c>
      <c r="L441" s="34" t="str">
        <f>LOOKUP(Observaciones[[#This Row],[Caso de Prueba]],CasoPrueba[Código CP],CasoPrueba[Código de REQ])</f>
        <v>INSPECCIÓN</v>
      </c>
    </row>
    <row r="442" spans="1:12" ht="120">
      <c r="A442" s="166" t="s">
        <v>1254</v>
      </c>
      <c r="B442" s="34" t="s">
        <v>1194</v>
      </c>
      <c r="C442" s="34" t="str">
        <f>VLOOKUP(Observaciones[Caso de Prueba],CasoPrueba[[#All],[Código CP]:[Prioridad]],7,TRUE)</f>
        <v>Alta</v>
      </c>
      <c r="D442" s="34" t="s">
        <v>28</v>
      </c>
      <c r="E442" s="34" t="s">
        <v>47</v>
      </c>
      <c r="F442" s="73">
        <v>40853</v>
      </c>
      <c r="H442" s="94" t="s">
        <v>132</v>
      </c>
      <c r="I442" s="34" t="s">
        <v>1313</v>
      </c>
      <c r="J442" s="34" t="s">
        <v>1331</v>
      </c>
      <c r="K442" s="34">
        <f>IF((Observaciones[[#This Row],[Fecha Levantamiento]]-Observaciones[[#This Row],[Fecha Detección]])&gt;=0,Observaciones[[#This Row],[Fecha Levantamiento]]-Observaciones[[#This Row],[Fecha Detección]]+1,0)</f>
        <v>0</v>
      </c>
      <c r="L442" s="34" t="str">
        <f>LOOKUP(Observaciones[[#This Row],[Caso de Prueba]],CasoPrueba[Código CP],CasoPrueba[Código de REQ])</f>
        <v>INSPECCIÓN</v>
      </c>
    </row>
    <row r="443" spans="1:12" ht="60">
      <c r="A443" s="166" t="s">
        <v>1255</v>
      </c>
      <c r="B443" s="34" t="s">
        <v>1194</v>
      </c>
      <c r="C443" s="34" t="str">
        <f>VLOOKUP(Observaciones[Caso de Prueba],CasoPrueba[[#All],[Código CP]:[Prioridad]],7,TRUE)</f>
        <v>Alta</v>
      </c>
      <c r="D443" s="34" t="s">
        <v>28</v>
      </c>
      <c r="E443" s="34" t="s">
        <v>47</v>
      </c>
      <c r="F443" s="73">
        <v>40853</v>
      </c>
      <c r="H443" s="94" t="s">
        <v>132</v>
      </c>
      <c r="I443" s="34" t="s">
        <v>1314</v>
      </c>
      <c r="J443" s="34" t="s">
        <v>1332</v>
      </c>
      <c r="K443" s="34">
        <f>IF((Observaciones[[#This Row],[Fecha Levantamiento]]-Observaciones[[#This Row],[Fecha Detección]])&gt;=0,Observaciones[[#This Row],[Fecha Levantamiento]]-Observaciones[[#This Row],[Fecha Detección]]+1,0)</f>
        <v>0</v>
      </c>
      <c r="L443" s="34" t="str">
        <f>LOOKUP(Observaciones[[#This Row],[Caso de Prueba]],CasoPrueba[Código CP],CasoPrueba[Código de REQ])</f>
        <v>INSPECCIÓN</v>
      </c>
    </row>
    <row r="444" spans="1:12" ht="30">
      <c r="A444" s="166" t="s">
        <v>1256</v>
      </c>
      <c r="B444" s="34" t="s">
        <v>1194</v>
      </c>
      <c r="C444" s="34" t="str">
        <f>VLOOKUP(Observaciones[Caso de Prueba],CasoPrueba[[#All],[Código CP]:[Prioridad]],7,TRUE)</f>
        <v>Alta</v>
      </c>
      <c r="D444" s="34" t="s">
        <v>162</v>
      </c>
      <c r="E444" s="34" t="s">
        <v>47</v>
      </c>
      <c r="F444" s="73">
        <v>40853</v>
      </c>
      <c r="H444" s="94" t="s">
        <v>132</v>
      </c>
      <c r="I444" s="34" t="s">
        <v>1315</v>
      </c>
      <c r="J444" s="34" t="s">
        <v>1333</v>
      </c>
      <c r="K444" s="34">
        <f>IF((Observaciones[[#This Row],[Fecha Levantamiento]]-Observaciones[[#This Row],[Fecha Detección]])&gt;=0,Observaciones[[#This Row],[Fecha Levantamiento]]-Observaciones[[#This Row],[Fecha Detección]]+1,0)</f>
        <v>0</v>
      </c>
      <c r="L444" s="34" t="str">
        <f>LOOKUP(Observaciones[[#This Row],[Caso de Prueba]],CasoPrueba[Código CP],CasoPrueba[Código de REQ])</f>
        <v>INSPECCIÓN</v>
      </c>
    </row>
    <row r="445" spans="1:12" ht="45">
      <c r="A445" s="166" t="s">
        <v>1257</v>
      </c>
      <c r="B445" s="34" t="s">
        <v>1194</v>
      </c>
      <c r="C445" s="34" t="str">
        <f>VLOOKUP(Observaciones[Caso de Prueba],CasoPrueba[[#All],[Código CP]:[Prioridad]],7,TRUE)</f>
        <v>Alta</v>
      </c>
      <c r="D445" s="34" t="s">
        <v>162</v>
      </c>
      <c r="E445" s="34" t="s">
        <v>47</v>
      </c>
      <c r="F445" s="73">
        <v>40853</v>
      </c>
      <c r="H445" s="94" t="s">
        <v>132</v>
      </c>
      <c r="I445" s="34" t="s">
        <v>1316</v>
      </c>
      <c r="J445" s="34" t="s">
        <v>1333</v>
      </c>
      <c r="K445" s="34">
        <f>IF((Observaciones[[#This Row],[Fecha Levantamiento]]-Observaciones[[#This Row],[Fecha Detección]])&gt;=0,Observaciones[[#This Row],[Fecha Levantamiento]]-Observaciones[[#This Row],[Fecha Detección]]+1,0)</f>
        <v>0</v>
      </c>
      <c r="L445" s="34" t="str">
        <f>LOOKUP(Observaciones[[#This Row],[Caso de Prueba]],CasoPrueba[Código CP],CasoPrueba[Código de REQ])</f>
        <v>INSPECCIÓN</v>
      </c>
    </row>
    <row r="446" spans="1:12" ht="45">
      <c r="A446" s="166" t="s">
        <v>1258</v>
      </c>
      <c r="B446" s="34" t="s">
        <v>1194</v>
      </c>
      <c r="C446" s="34" t="str">
        <f>VLOOKUP(Observaciones[Caso de Prueba],CasoPrueba[[#All],[Código CP]:[Prioridad]],7,TRUE)</f>
        <v>Alta</v>
      </c>
      <c r="D446" s="34" t="s">
        <v>28</v>
      </c>
      <c r="E446" s="34" t="s">
        <v>47</v>
      </c>
      <c r="F446" s="73">
        <v>40853</v>
      </c>
      <c r="H446" s="94" t="s">
        <v>132</v>
      </c>
      <c r="I446" s="34" t="s">
        <v>1317</v>
      </c>
      <c r="J446" s="34" t="s">
        <v>1322</v>
      </c>
      <c r="K446" s="34">
        <f>IF((Observaciones[[#This Row],[Fecha Levantamiento]]-Observaciones[[#This Row],[Fecha Detección]])&gt;=0,Observaciones[[#This Row],[Fecha Levantamiento]]-Observaciones[[#This Row],[Fecha Detección]]+1,0)</f>
        <v>0</v>
      </c>
      <c r="L446" s="34" t="str">
        <f>LOOKUP(Observaciones[[#This Row],[Caso de Prueba]],CasoPrueba[Código CP],CasoPrueba[Código de REQ])</f>
        <v>INSPECCIÓN</v>
      </c>
    </row>
    <row r="447" spans="1:12" ht="30">
      <c r="A447" s="166" t="s">
        <v>1259</v>
      </c>
      <c r="B447" s="34" t="s">
        <v>1194</v>
      </c>
      <c r="C447" s="34" t="str">
        <f>VLOOKUP(Observaciones[Caso de Prueba],CasoPrueba[[#All],[Código CP]:[Prioridad]],7,TRUE)</f>
        <v>Alta</v>
      </c>
      <c r="D447" s="34" t="s">
        <v>29</v>
      </c>
      <c r="E447" s="34" t="s">
        <v>47</v>
      </c>
      <c r="F447" s="73">
        <v>40853</v>
      </c>
      <c r="H447" s="94" t="s">
        <v>132</v>
      </c>
      <c r="I447" s="34" t="s">
        <v>1318</v>
      </c>
      <c r="J447" s="34" t="s">
        <v>1334</v>
      </c>
      <c r="K447" s="34">
        <f>IF((Observaciones[[#This Row],[Fecha Levantamiento]]-Observaciones[[#This Row],[Fecha Detección]])&gt;=0,Observaciones[[#This Row],[Fecha Levantamiento]]-Observaciones[[#This Row],[Fecha Detección]]+1,0)</f>
        <v>0</v>
      </c>
      <c r="L447" s="34" t="str">
        <f>LOOKUP(Observaciones[[#This Row],[Caso de Prueba]],CasoPrueba[Código CP],CasoPrueba[Código de REQ])</f>
        <v>INSPECCIÓN</v>
      </c>
    </row>
  </sheetData>
  <mergeCells count="1">
    <mergeCell ref="A1:K1"/>
  </mergeCells>
  <dataValidations count="1">
    <dataValidation type="list" allowBlank="1" showInputMessage="1" showErrorMessage="1" sqref="H3:H447">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7"/>
  <sheetViews>
    <sheetView zoomScale="85" zoomScaleNormal="85" workbookViewId="0">
      <selection activeCell="N19" sqref="N19"/>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row r="15" spans="2:15">
      <c r="B15" s="69">
        <v>40852</v>
      </c>
      <c r="C15" s="40">
        <v>35</v>
      </c>
      <c r="D15" s="40">
        <v>1</v>
      </c>
      <c r="E15" s="40">
        <v>0</v>
      </c>
      <c r="F15" s="40">
        <v>0</v>
      </c>
      <c r="G15" s="40">
        <v>0</v>
      </c>
      <c r="H15" s="40">
        <v>0</v>
      </c>
      <c r="I15" s="40">
        <v>0</v>
      </c>
      <c r="J15" s="42">
        <f>SUM(HistóricoEjecuciones[[#This Row],[Aciertos]:[En Proceso]])</f>
        <v>36</v>
      </c>
      <c r="L15" s="69">
        <v>40852</v>
      </c>
      <c r="M15" s="40">
        <v>5</v>
      </c>
      <c r="N15" s="40">
        <v>380</v>
      </c>
      <c r="O15" s="70">
        <f>SUM(HistoricoIncidencias[[#This Row],[Abiertas]:[Cerradas]])</f>
        <v>385</v>
      </c>
    </row>
    <row r="16" spans="2:15">
      <c r="B16" s="69">
        <v>40853</v>
      </c>
      <c r="C16" s="40">
        <v>36</v>
      </c>
      <c r="D16" s="40">
        <v>1</v>
      </c>
      <c r="E16" s="40">
        <v>0</v>
      </c>
      <c r="F16" s="40">
        <v>0</v>
      </c>
      <c r="G16" s="40">
        <v>0</v>
      </c>
      <c r="H16" s="40">
        <v>0</v>
      </c>
      <c r="I16" s="40">
        <v>0</v>
      </c>
      <c r="J16" s="42">
        <f>SUM(HistóricoEjecuciones[[#This Row],[Aciertos]:[En Proceso]])</f>
        <v>37</v>
      </c>
      <c r="L16" s="69">
        <v>40853</v>
      </c>
      <c r="M16" s="40">
        <v>48</v>
      </c>
      <c r="N16" s="40">
        <v>380</v>
      </c>
      <c r="O16" s="70">
        <f>SUM(HistoricoIncidencias[[#This Row],[Abiertas]:[Cerradas]])</f>
        <v>428</v>
      </c>
    </row>
    <row r="17" spans="2:15">
      <c r="B17" s="69">
        <v>40854</v>
      </c>
      <c r="C17" s="40">
        <v>36</v>
      </c>
      <c r="D17" s="40">
        <v>1</v>
      </c>
      <c r="E17" s="40">
        <v>0</v>
      </c>
      <c r="F17" s="40">
        <v>0</v>
      </c>
      <c r="G17" s="40">
        <v>0</v>
      </c>
      <c r="H17" s="40">
        <v>0</v>
      </c>
      <c r="I17" s="40">
        <v>0</v>
      </c>
      <c r="J17" s="42">
        <f>SUM(HistóricoEjecuciones[[#This Row],[Aciertos]:[En Proceso]])</f>
        <v>37</v>
      </c>
      <c r="L17" s="69">
        <v>40854</v>
      </c>
      <c r="M17" s="40">
        <v>20</v>
      </c>
      <c r="N17" s="40">
        <v>425</v>
      </c>
      <c r="O17" s="70">
        <f>SUM(HistoricoIncidencias[[#This Row],[Abiertas]:[Cerradas]])</f>
        <v>445</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2011-11-08T05:27:13Z</dcterms:modified>
</cp:coreProperties>
</file>