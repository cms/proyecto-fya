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 r:id="rId9"/>
  </externalReferences>
  <calcPr calcId="145621"/>
  <pivotCaches>
    <pivotCache cacheId="0" r:id="rId10"/>
    <pivotCache cacheId="1" r:id="rId11"/>
    <pivotCache cacheId="2" r:id="rId12"/>
    <pivotCache cacheId="3" r:id="rId13"/>
    <pivotCache cacheId="4" r:id="rId14"/>
    <pivotCache cacheId="5" r:id="rId15"/>
  </pivotCaches>
</workbook>
</file>

<file path=xl/calcChain.xml><?xml version="1.0" encoding="utf-8"?>
<calcChain xmlns="http://schemas.openxmlformats.org/spreadsheetml/2006/main">
  <c r="C3" i="4" l="1"/>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O20" i="6" l="1"/>
  <c r="J20" i="6"/>
  <c r="D463" i="4"/>
  <c r="D464" i="4"/>
  <c r="D461" i="4"/>
  <c r="D465" i="4"/>
  <c r="L463" i="4"/>
  <c r="L464" i="4"/>
  <c r="L461" i="4"/>
  <c r="L465" i="4"/>
  <c r="M463" i="4"/>
  <c r="M464" i="4"/>
  <c r="M461" i="4"/>
  <c r="M465" i="4"/>
  <c r="D453" i="4"/>
  <c r="D454" i="4"/>
  <c r="D455" i="4"/>
  <c r="D456" i="4"/>
  <c r="D457" i="4"/>
  <c r="D458" i="4"/>
  <c r="D459" i="4"/>
  <c r="D460" i="4"/>
  <c r="D462" i="4"/>
  <c r="L453" i="4"/>
  <c r="L454" i="4"/>
  <c r="L455" i="4"/>
  <c r="L456" i="4"/>
  <c r="L457" i="4"/>
  <c r="L458" i="4"/>
  <c r="L459" i="4"/>
  <c r="L460" i="4"/>
  <c r="L462" i="4"/>
  <c r="M453" i="4"/>
  <c r="M454" i="4"/>
  <c r="M455" i="4"/>
  <c r="M456" i="4"/>
  <c r="M457" i="4"/>
  <c r="M458" i="4"/>
  <c r="M459" i="4"/>
  <c r="M460" i="4"/>
  <c r="M462" i="4"/>
  <c r="O19" i="6"/>
  <c r="J19" i="6"/>
  <c r="O18" i="6"/>
  <c r="J18" i="6"/>
  <c r="D451" i="4"/>
  <c r="D452" i="4"/>
  <c r="L451" i="4"/>
  <c r="L452" i="4"/>
  <c r="M451" i="4"/>
  <c r="M452" i="4"/>
  <c r="D450" i="4"/>
  <c r="L450" i="4"/>
  <c r="M450" i="4"/>
  <c r="D449" i="4"/>
  <c r="L449" i="4"/>
  <c r="M449" i="4"/>
  <c r="D448" i="4"/>
  <c r="L448" i="4"/>
  <c r="M448" i="4"/>
  <c r="O17" i="6"/>
  <c r="J17" i="6"/>
  <c r="O16" i="6" l="1"/>
  <c r="J16" i="6"/>
  <c r="F41" i="3"/>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D418" i="4"/>
  <c r="L418" i="4"/>
  <c r="M418" i="4"/>
  <c r="L399" i="4"/>
  <c r="M399" i="4"/>
  <c r="L398" i="4"/>
  <c r="M398" i="4"/>
  <c r="L41" i="3"/>
  <c r="O15" i="6"/>
  <c r="J15" i="6"/>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L383" i="4"/>
  <c r="L384" i="4"/>
  <c r="L385" i="4"/>
  <c r="L386" i="4"/>
  <c r="L387" i="4"/>
  <c r="L388" i="4"/>
  <c r="L389" i="4"/>
  <c r="L390" i="4"/>
  <c r="L391" i="4"/>
  <c r="L392" i="4"/>
  <c r="L393" i="4"/>
  <c r="L394" i="4"/>
  <c r="L395" i="4"/>
  <c r="L396" i="4"/>
  <c r="L397" i="4"/>
  <c r="L400" i="4"/>
  <c r="L401" i="4"/>
  <c r="L402" i="4"/>
  <c r="L403" i="4"/>
  <c r="L404" i="4"/>
  <c r="L405" i="4"/>
  <c r="L406" i="4"/>
  <c r="L407" i="4"/>
  <c r="L408" i="4"/>
  <c r="L409" i="4"/>
  <c r="L410" i="4"/>
  <c r="L411" i="4"/>
  <c r="L412" i="4"/>
  <c r="L413" i="4"/>
  <c r="L414" i="4"/>
  <c r="L415" i="4"/>
  <c r="L416" i="4"/>
  <c r="L417" i="4"/>
  <c r="M383" i="4"/>
  <c r="M384" i="4"/>
  <c r="M385" i="4"/>
  <c r="M386" i="4"/>
  <c r="M387" i="4"/>
  <c r="M388" i="4"/>
  <c r="M389" i="4"/>
  <c r="M390" i="4"/>
  <c r="M391" i="4"/>
  <c r="M392" i="4"/>
  <c r="M393" i="4"/>
  <c r="M394" i="4"/>
  <c r="M395" i="4"/>
  <c r="M396" i="4"/>
  <c r="M397" i="4"/>
  <c r="M400" i="4"/>
  <c r="M401" i="4"/>
  <c r="M402" i="4"/>
  <c r="M403" i="4"/>
  <c r="M404" i="4"/>
  <c r="M405" i="4"/>
  <c r="M406" i="4"/>
  <c r="M407" i="4"/>
  <c r="M408" i="4"/>
  <c r="M409" i="4"/>
  <c r="M410" i="4"/>
  <c r="M411" i="4"/>
  <c r="M412" i="4"/>
  <c r="M413" i="4"/>
  <c r="M414" i="4"/>
  <c r="M415" i="4"/>
  <c r="M416" i="4"/>
  <c r="M417" i="4"/>
  <c r="O14" i="6" l="1"/>
  <c r="J14" i="6"/>
  <c r="D382" i="4"/>
  <c r="D379" i="4"/>
  <c r="D377" i="4"/>
  <c r="D378" i="4"/>
  <c r="D380" i="4"/>
  <c r="D381" i="4"/>
  <c r="L378" i="4"/>
  <c r="L379" i="4"/>
  <c r="L380" i="4"/>
  <c r="L381" i="4"/>
  <c r="L382" i="4"/>
  <c r="M378" i="4"/>
  <c r="M379" i="4"/>
  <c r="M380" i="4"/>
  <c r="M381" i="4"/>
  <c r="M382" i="4"/>
  <c r="L377" i="4"/>
  <c r="M377" i="4"/>
  <c r="D374" i="4"/>
  <c r="D373" i="4"/>
  <c r="D375" i="4"/>
  <c r="D376" i="4"/>
  <c r="L373" i="4"/>
  <c r="L374" i="4"/>
  <c r="L375" i="4"/>
  <c r="L376" i="4"/>
  <c r="M373" i="4"/>
  <c r="M374" i="4"/>
  <c r="M375" i="4"/>
  <c r="M376" i="4"/>
  <c r="J4" i="6" l="1"/>
  <c r="J5" i="6"/>
  <c r="J6" i="6"/>
  <c r="J7" i="6"/>
  <c r="J8" i="6"/>
  <c r="J9" i="6"/>
  <c r="J10" i="6"/>
  <c r="J11" i="6"/>
  <c r="J12" i="6"/>
  <c r="J13" i="6"/>
  <c r="Q39" i="3"/>
  <c r="Q38" i="3"/>
  <c r="Q37" i="3"/>
  <c r="Q36" i="3"/>
  <c r="Q35" i="3"/>
  <c r="Q33" i="3"/>
  <c r="Q29" i="3"/>
  <c r="Q26" i="3"/>
  <c r="Q25" i="3"/>
  <c r="Q24" i="3"/>
  <c r="Q22" i="3"/>
  <c r="Q21" i="3"/>
  <c r="Q20" i="3"/>
  <c r="L40" i="3"/>
  <c r="F40" i="3"/>
  <c r="O13" i="6"/>
  <c r="D371" i="4"/>
  <c r="D370" i="4"/>
  <c r="D368" i="4"/>
  <c r="D367" i="4"/>
  <c r="D366" i="4"/>
  <c r="D369" i="4"/>
  <c r="D365" i="4"/>
  <c r="D364" i="4"/>
  <c r="D363" i="4"/>
  <c r="D354" i="4"/>
  <c r="D353" i="4"/>
  <c r="D372" i="4"/>
  <c r="L364" i="4"/>
  <c r="L365" i="4"/>
  <c r="L366" i="4"/>
  <c r="L367" i="4"/>
  <c r="L368" i="4"/>
  <c r="L369" i="4"/>
  <c r="L370" i="4"/>
  <c r="L371" i="4"/>
  <c r="L372" i="4"/>
  <c r="M364" i="4"/>
  <c r="M365" i="4"/>
  <c r="M366" i="4"/>
  <c r="M367" i="4"/>
  <c r="M368" i="4"/>
  <c r="M369" i="4"/>
  <c r="M370" i="4"/>
  <c r="M371" i="4"/>
  <c r="M372" i="4"/>
  <c r="L363" i="4"/>
  <c r="M363" i="4"/>
  <c r="L362" i="4"/>
  <c r="M362" i="4"/>
  <c r="D349" i="4"/>
  <c r="D348" i="4"/>
  <c r="D347" i="4"/>
  <c r="D341" i="4"/>
  <c r="D339" i="4" l="1"/>
  <c r="O12" i="6" l="1"/>
  <c r="D318" i="4"/>
  <c r="D324" i="4"/>
  <c r="D325" i="4"/>
  <c r="D326" i="4"/>
  <c r="D327" i="4"/>
  <c r="D328" i="4"/>
  <c r="D329" i="4"/>
  <c r="D330" i="4"/>
  <c r="D331" i="4"/>
  <c r="D332" i="4"/>
  <c r="D333" i="4"/>
  <c r="D334" i="4"/>
  <c r="D335" i="4"/>
  <c r="D336" i="4"/>
  <c r="D337" i="4"/>
  <c r="D338" i="4"/>
  <c r="D340" i="4"/>
  <c r="D342" i="4"/>
  <c r="D343" i="4"/>
  <c r="D344" i="4"/>
  <c r="D345" i="4"/>
  <c r="D346" i="4"/>
  <c r="D350" i="4"/>
  <c r="D351" i="4"/>
  <c r="D352" i="4"/>
  <c r="D355" i="4"/>
  <c r="D356" i="4"/>
  <c r="D357" i="4"/>
  <c r="D358" i="4"/>
  <c r="D359" i="4"/>
  <c r="D360" i="4"/>
  <c r="D361" i="4"/>
  <c r="D36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D314" i="4" l="1"/>
  <c r="D315" i="4"/>
  <c r="D316" i="4"/>
  <c r="D317" i="4"/>
  <c r="D319" i="4"/>
  <c r="D320" i="4"/>
  <c r="D321" i="4"/>
  <c r="D322" i="4"/>
  <c r="D323" i="4"/>
  <c r="L314" i="4"/>
  <c r="L315" i="4"/>
  <c r="L316" i="4"/>
  <c r="L317" i="4"/>
  <c r="L318" i="4"/>
  <c r="L319" i="4"/>
  <c r="L320" i="4"/>
  <c r="L321" i="4"/>
  <c r="L322" i="4"/>
  <c r="M314" i="4"/>
  <c r="M315" i="4"/>
  <c r="M316" i="4"/>
  <c r="M317" i="4"/>
  <c r="M318" i="4"/>
  <c r="M319" i="4"/>
  <c r="M320" i="4"/>
  <c r="M321" i="4"/>
  <c r="M322" i="4"/>
  <c r="D313" i="4"/>
  <c r="L313" i="4"/>
  <c r="M313" i="4"/>
  <c r="D312" i="4"/>
  <c r="L312" i="4"/>
  <c r="M312" i="4"/>
  <c r="D311" i="4"/>
  <c r="L311" i="4"/>
  <c r="M311" i="4"/>
  <c r="D310" i="4"/>
  <c r="L310" i="4"/>
  <c r="M310" i="4"/>
  <c r="D309" i="4"/>
  <c r="L309" i="4"/>
  <c r="M309" i="4"/>
  <c r="D308" i="4"/>
  <c r="L308" i="4"/>
  <c r="M308" i="4"/>
  <c r="D307" i="4"/>
  <c r="L307" i="4"/>
  <c r="M307" i="4"/>
  <c r="D306" i="4"/>
  <c r="L306" i="4"/>
  <c r="M306" i="4"/>
  <c r="D305" i="4"/>
  <c r="L305" i="4"/>
  <c r="M305" i="4"/>
  <c r="K226" i="4" l="1"/>
  <c r="K225" i="4"/>
  <c r="O11" i="6" l="1"/>
  <c r="L302" i="4"/>
  <c r="M302" i="4"/>
  <c r="L303" i="4"/>
  <c r="M303" i="4"/>
  <c r="D299" i="4"/>
  <c r="L292" i="4"/>
  <c r="M292" i="4"/>
  <c r="F13" i="2"/>
  <c r="O10" i="6"/>
  <c r="L272" i="4"/>
  <c r="M272" i="4"/>
  <c r="L270" i="4"/>
  <c r="L266" i="4"/>
  <c r="M266" i="4"/>
  <c r="L246" i="4"/>
  <c r="F37" i="3"/>
  <c r="F38" i="3"/>
  <c r="F39" i="3"/>
  <c r="L39" i="3"/>
  <c r="L38" i="3"/>
  <c r="L37" i="3"/>
  <c r="F30" i="3"/>
  <c r="L30" i="3"/>
  <c r="F31" i="3"/>
  <c r="L31" i="3"/>
  <c r="F32" i="3"/>
  <c r="L32" i="3"/>
  <c r="F33" i="3"/>
  <c r="L33" i="3"/>
  <c r="F34" i="3"/>
  <c r="L34" i="3"/>
  <c r="F35" i="3"/>
  <c r="L35" i="3"/>
  <c r="F36" i="3"/>
  <c r="L36" i="3"/>
  <c r="O9" i="6"/>
  <c r="D238" i="4"/>
  <c r="D237" i="4"/>
  <c r="D236" i="4"/>
  <c r="D235" i="4"/>
  <c r="L235" i="4"/>
  <c r="M235" i="4"/>
  <c r="D234" i="4"/>
  <c r="D233" i="4"/>
  <c r="D232" i="4"/>
  <c r="L232" i="4"/>
  <c r="M232" i="4"/>
  <c r="D231" i="4"/>
  <c r="L231" i="4"/>
  <c r="M231" i="4"/>
  <c r="D230" i="4"/>
  <c r="D229" i="4"/>
  <c r="D228" i="4"/>
  <c r="D227" i="4"/>
  <c r="D226" i="4"/>
  <c r="D225" i="4"/>
  <c r="D224" i="4"/>
  <c r="D223" i="4"/>
  <c r="D222" i="4"/>
  <c r="D221" i="4"/>
  <c r="D220" i="4"/>
  <c r="D219" i="4"/>
  <c r="D218" i="4"/>
  <c r="O8" i="6" l="1"/>
  <c r="D216" i="4"/>
  <c r="D217"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300" i="4"/>
  <c r="D301" i="4"/>
  <c r="D302" i="4"/>
  <c r="D303" i="4"/>
  <c r="D304" i="4"/>
  <c r="L216" i="4"/>
  <c r="L217" i="4"/>
  <c r="L218" i="4"/>
  <c r="L219" i="4"/>
  <c r="L220" i="4"/>
  <c r="L221" i="4"/>
  <c r="L222" i="4"/>
  <c r="L223" i="4"/>
  <c r="L224" i="4"/>
  <c r="L225" i="4"/>
  <c r="L226" i="4"/>
  <c r="L227" i="4"/>
  <c r="L228" i="4"/>
  <c r="L229" i="4"/>
  <c r="L230" i="4"/>
  <c r="L233" i="4"/>
  <c r="L234" i="4"/>
  <c r="L236" i="4"/>
  <c r="L237" i="4"/>
  <c r="L238" i="4"/>
  <c r="L239" i="4"/>
  <c r="L240" i="4"/>
  <c r="L241" i="4"/>
  <c r="L242" i="4"/>
  <c r="L243" i="4"/>
  <c r="L244" i="4"/>
  <c r="L245" i="4"/>
  <c r="L247" i="4"/>
  <c r="L248" i="4"/>
  <c r="L249" i="4"/>
  <c r="L250" i="4"/>
  <c r="L251" i="4"/>
  <c r="L252" i="4"/>
  <c r="L253" i="4"/>
  <c r="L254" i="4"/>
  <c r="L255" i="4"/>
  <c r="L256" i="4"/>
  <c r="L257" i="4"/>
  <c r="L258" i="4"/>
  <c r="L259" i="4"/>
  <c r="L260" i="4"/>
  <c r="L261" i="4"/>
  <c r="L262" i="4"/>
  <c r="L263" i="4"/>
  <c r="L264" i="4"/>
  <c r="L265" i="4"/>
  <c r="L267" i="4"/>
  <c r="L268" i="4"/>
  <c r="L269"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M216" i="4"/>
  <c r="M217" i="4"/>
  <c r="M218" i="4"/>
  <c r="M219" i="4"/>
  <c r="M220" i="4"/>
  <c r="M221" i="4"/>
  <c r="M222" i="4"/>
  <c r="M223" i="4"/>
  <c r="M224" i="4"/>
  <c r="M225" i="4"/>
  <c r="M226" i="4"/>
  <c r="M227" i="4"/>
  <c r="M228" i="4"/>
  <c r="M229" i="4"/>
  <c r="M230" i="4"/>
  <c r="M233" i="4"/>
  <c r="M234" i="4"/>
  <c r="M236"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7" i="4"/>
  <c r="M268" i="4"/>
  <c r="M269" i="4"/>
  <c r="M270" i="4"/>
  <c r="M271" i="4"/>
  <c r="M273" i="4"/>
  <c r="M274" i="4"/>
  <c r="M275" i="4"/>
  <c r="M276" i="4"/>
  <c r="M277" i="4"/>
  <c r="M278" i="4"/>
  <c r="M279" i="4"/>
  <c r="M280" i="4"/>
  <c r="M281" i="4"/>
  <c r="M282" i="4"/>
  <c r="M283" i="4"/>
  <c r="M284" i="4"/>
  <c r="M285" i="4"/>
  <c r="M286" i="4"/>
  <c r="M287" i="4"/>
  <c r="M288" i="4"/>
  <c r="M289" i="4"/>
  <c r="M290" i="4"/>
  <c r="M291" i="4"/>
  <c r="M293" i="4"/>
  <c r="M294" i="4"/>
  <c r="M295" i="4"/>
  <c r="M296" i="4"/>
  <c r="M297" i="4"/>
  <c r="M298" i="4"/>
  <c r="M299" i="4"/>
  <c r="M300" i="4"/>
  <c r="M301" i="4"/>
  <c r="M304" i="4"/>
  <c r="F28" i="3"/>
  <c r="L28" i="3"/>
  <c r="F29" i="3"/>
  <c r="L29" i="3"/>
  <c r="D194" i="4"/>
  <c r="D195" i="4"/>
  <c r="D192" i="4"/>
  <c r="D188" i="4"/>
  <c r="D189" i="4"/>
  <c r="D177" i="4" l="1"/>
  <c r="D176" i="4"/>
  <c r="F24" i="3"/>
  <c r="L24" i="3"/>
  <c r="F25" i="3"/>
  <c r="L25" i="3"/>
  <c r="F26" i="3"/>
  <c r="L26" i="3"/>
  <c r="F27" i="3"/>
  <c r="L27" i="3"/>
  <c r="F23" i="3"/>
  <c r="L23" i="3"/>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8" i="4"/>
  <c r="D179" i="4"/>
  <c r="D180" i="4"/>
  <c r="D181" i="4"/>
  <c r="D182" i="4"/>
  <c r="D183" i="4"/>
  <c r="D184" i="4"/>
  <c r="D185" i="4"/>
  <c r="D186" i="4"/>
  <c r="D187" i="4"/>
  <c r="D190" i="4"/>
  <c r="D191" i="4"/>
  <c r="D193" i="4"/>
  <c r="D196" i="4"/>
  <c r="D197" i="4"/>
  <c r="D198" i="4"/>
  <c r="D199" i="4"/>
  <c r="D200" i="4"/>
  <c r="D201" i="4"/>
  <c r="D202" i="4"/>
  <c r="D203" i="4"/>
  <c r="D204" i="4"/>
  <c r="D205" i="4"/>
  <c r="D206" i="4"/>
  <c r="D207" i="4"/>
  <c r="D208" i="4"/>
  <c r="D209" i="4"/>
  <c r="D210" i="4"/>
  <c r="D211" i="4"/>
  <c r="D212" i="4"/>
  <c r="D213" i="4"/>
  <c r="D214" i="4"/>
  <c r="D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F21" i="3" l="1"/>
  <c r="F22" i="3"/>
  <c r="L21" i="3"/>
  <c r="L22" i="3"/>
  <c r="F20" i="3"/>
  <c r="L20" i="3"/>
  <c r="O7" i="6"/>
  <c r="D124" i="4"/>
  <c r="D125" i="4"/>
  <c r="D126" i="4"/>
  <c r="D127" i="4"/>
  <c r="D128" i="4"/>
  <c r="L124" i="4"/>
  <c r="L125" i="4"/>
  <c r="L126" i="4"/>
  <c r="L127" i="4"/>
  <c r="L128" i="4"/>
  <c r="M124" i="4"/>
  <c r="M125" i="4"/>
  <c r="M126" i="4"/>
  <c r="M127" i="4"/>
  <c r="M128" i="4"/>
  <c r="D123" i="4"/>
  <c r="L123" i="4"/>
  <c r="M123" i="4"/>
  <c r="O6" i="6"/>
  <c r="O5" i="6"/>
  <c r="O4" i="6"/>
  <c r="D108" i="4"/>
  <c r="L108" i="4"/>
  <c r="M108" i="4"/>
  <c r="D109" i="4"/>
  <c r="L109" i="4"/>
  <c r="M109" i="4"/>
  <c r="D110" i="4"/>
  <c r="L110" i="4"/>
  <c r="M110" i="4"/>
  <c r="D111" i="4"/>
  <c r="L111" i="4"/>
  <c r="M111" i="4"/>
  <c r="D112" i="4"/>
  <c r="D113" i="4"/>
  <c r="L113" i="4"/>
  <c r="M113" i="4"/>
  <c r="D114" i="4"/>
  <c r="L114" i="4"/>
  <c r="M114" i="4"/>
  <c r="D115" i="4"/>
  <c r="L115" i="4"/>
  <c r="M115" i="4"/>
  <c r="D116" i="4"/>
  <c r="L116" i="4"/>
  <c r="M116" i="4"/>
  <c r="D117" i="4"/>
  <c r="L117" i="4"/>
  <c r="M117" i="4"/>
  <c r="D118" i="4"/>
  <c r="D119" i="4"/>
  <c r="D120" i="4"/>
  <c r="D121" i="4"/>
  <c r="D122" i="4"/>
  <c r="L118" i="4"/>
  <c r="L119" i="4"/>
  <c r="L120" i="4"/>
  <c r="L121" i="4"/>
  <c r="L122" i="4"/>
  <c r="M118" i="4"/>
  <c r="M119" i="4"/>
  <c r="M120" i="4"/>
  <c r="M121" i="4"/>
  <c r="M12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M237" i="4"/>
</calcChain>
</file>

<file path=xl/comments1.xml><?xml version="1.0" encoding="utf-8"?>
<comments xmlns="http://schemas.openxmlformats.org/spreadsheetml/2006/main">
  <authors>
    <author>User</author>
    <author>operador</author>
  </authors>
  <commentList>
    <comment ref="J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 ref="J440" authorId="1">
      <text>
        <r>
          <rPr>
            <b/>
            <sz val="9"/>
            <color indexed="81"/>
            <rFont val="Tahoma"/>
            <family val="2"/>
          </rPr>
          <t>operador:</t>
        </r>
        <r>
          <rPr>
            <sz val="9"/>
            <color indexed="81"/>
            <rFont val="Tahoma"/>
            <family val="2"/>
          </rPr>
          <t xml:space="preserve">
La metodología permite tener mas de dos con el mismo nombre siempre y cuando se tenga varios lanzadores y un solo destino, pero en este caso los tres son cíclicos.</t>
        </r>
      </text>
    </comment>
  </commentList>
</comments>
</file>

<file path=xl/sharedStrings.xml><?xml version="1.0" encoding="utf-8"?>
<sst xmlns="http://schemas.openxmlformats.org/spreadsheetml/2006/main" count="3801" uniqueCount="1381">
  <si>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</si>
  <si>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</si>
  <si>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</si>
  <si>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</si>
  <si>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</si>
  <si>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</si>
  <si>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</si>
  <si>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</si>
  <si>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</si>
  <si>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</si>
  <si>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</si>
  <si>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</si>
  <si>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</si>
  <si>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</si>
  <si>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</si>
  <si>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</si>
  <si>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</si>
  <si>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</si>
  <si>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</si>
  <si>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</si>
  <si>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</si>
  <si>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</si>
  <si>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</si>
  <si>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</si>
  <si>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</si>
  <si>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</si>
  <si>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</si>
  <si>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</si>
  <si>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</si>
  <si>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</si>
  <si>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</si>
  <si>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</si>
  <si>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</si>
  <si>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</si>
  <si>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</si>
  <si>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</si>
  <si>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</si>
  <si>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</si>
  <si>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</si>
  <si>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</si>
  <si>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</si>
  <si>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</si>
  <si>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</si>
  <si>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</si>
  <si>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</si>
  <si>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</si>
  <si>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</si>
  <si>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</si>
  <si>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</si>
  <si>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</si>
  <si>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</si>
  <si>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</si>
  <si>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</si>
  <si>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</si>
  <si>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</si>
  <si>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</si>
  <si>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</si>
  <si>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</si>
  <si>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</si>
  <si>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</si>
  <si>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</si>
  <si>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</si>
  <si>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</si>
  <si>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</si>
  <si>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</si>
  <si>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</si>
  <si>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</si>
  <si>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</si>
  <si>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</si>
  <si>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</si>
  <si>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</si>
  <si>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</si>
  <si>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</si>
  <si>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</si>
  <si>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</si>
  <si>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</si>
  <si>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</si>
  <si>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</si>
  <si>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</si>
  <si>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</si>
  <si>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</si>
  <si>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</si>
  <si>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</si>
  <si>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</si>
  <si>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</si>
  <si>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</si>
  <si>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</si>
  <si>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</si>
  <si>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</si>
  <si>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</si>
  <si>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</si>
  <si>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</si>
  <si>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</si>
  <si>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</si>
  <si>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</si>
  <si>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</si>
  <si>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</si>
  <si>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</si>
  <si>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</si>
  <si>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</si>
  <si>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</si>
  <si>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</si>
  <si>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</si>
  <si>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</si>
  <si>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</si>
  <si>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</si>
  <si>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</si>
  <si>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</si>
  <si>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</si>
  <si>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</si>
  <si>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</si>
  <si>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</si>
  <si>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</si>
  <si>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</si>
  <si>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</si>
  <si>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</si>
  <si>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</si>
  <si>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</si>
  <si>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</si>
  <si>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</si>
  <si>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</si>
  <si>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</si>
  <si>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</si>
  <si>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</si>
  <si>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</si>
  <si>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</si>
  <si>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</si>
  <si>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</si>
  <si>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</si>
  <si>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</si>
  <si>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</si>
  <si>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</si>
  <si>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</si>
  <si>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</si>
  <si>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</si>
  <si>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</si>
  <si>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</si>
  <si>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</si>
  <si>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</si>
  <si>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</si>
  <si>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</si>
  <si>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</si>
  <si>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</si>
  <si>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</si>
  <si>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</si>
  <si>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</si>
  <si>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</si>
  <si>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</si>
  <si>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</si>
  <si>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</si>
  <si>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</si>
  <si>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</si>
  <si>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</si>
  <si>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</si>
  <si>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</si>
  <si>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</si>
  <si>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</si>
  <si>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</si>
  <si>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</si>
  <si>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</si>
  <si>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</si>
  <si>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</si>
  <si>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</si>
  <si>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</si>
  <si>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</si>
  <si>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</si>
  <si>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</si>
  <si>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</si>
  <si>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</si>
  <si>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</si>
  <si>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</si>
  <si>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</si>
  <si>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</si>
  <si>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</si>
  <si>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</si>
  <si>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</si>
  <si>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</si>
  <si>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</si>
  <si>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</si>
  <si>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</si>
  <si>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</si>
  <si>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</si>
  <si>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</si>
  <si>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</si>
  <si>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</si>
  <si>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</si>
  <si>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</si>
  <si>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</si>
  <si>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</si>
  <si>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</si>
  <si>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</si>
  <si>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</si>
  <si>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</si>
  <si>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</si>
  <si>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</si>
  <si>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</si>
  <si>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</si>
  <si>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</si>
  <si>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</si>
  <si>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</si>
  <si>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</si>
  <si>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</si>
  <si>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</si>
  <si>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</si>
  <si>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</si>
  <si>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</si>
  <si>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</si>
  <si>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</si>
  <si>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</si>
  <si>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</si>
  <si>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</si>
  <si>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</si>
  <si>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</si>
  <si>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</si>
  <si>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</si>
  <si>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</si>
  <si>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</si>
  <si>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</si>
  <si>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</si>
  <si>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</si>
  <si>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</si>
  <si>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</si>
  <si>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</si>
  <si>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</si>
  <si>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</si>
  <si>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</si>
  <si>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</si>
  <si>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</si>
  <si>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</si>
  <si>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</si>
  <si>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</si>
  <si>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</si>
  <si>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</si>
  <si>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</si>
  <si>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</si>
  <si>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</si>
  <si>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</si>
  <si>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</si>
  <si>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</si>
  <si>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</si>
  <si>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</si>
  <si>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</si>
  <si>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</si>
  <si>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</si>
  <si>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</si>
  <si>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</si>
  <si>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</si>
  <si>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</si>
  <si>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</si>
  <si>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</si>
  <si>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</si>
  <si>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</si>
  <si>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</si>
  <si>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</si>
  <si>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</si>
  <si>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</si>
  <si>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</si>
  <si>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</si>
  <si>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</si>
  <si>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</si>
  <si>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</si>
  <si>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</si>
  <si>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</si>
  <si>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</si>
  <si>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</si>
  <si>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</si>
  <si>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</si>
  <si>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</si>
  <si>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</si>
  <si>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</si>
  <si>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</si>
  <si>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</si>
  <si>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</si>
  <si>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</si>
  <si>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</si>
  <si>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</si>
  <si>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</si>
  <si>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</si>
  <si>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</si>
  <si>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</si>
  <si>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</si>
  <si>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</si>
  <si>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</si>
  <si>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</si>
  <si>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</si>
  <si>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</si>
  <si>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</si>
  <si>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</si>
  <si>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</si>
  <si>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</si>
  <si>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</si>
  <si>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</si>
  <si>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</si>
  <si>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</si>
  <si>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</si>
  <si>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</si>
  <si>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</si>
  <si>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</si>
  <si>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</si>
  <si>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</si>
  <si>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</si>
  <si>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</si>
  <si>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</si>
  <si>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</si>
  <si>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</si>
  <si>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</si>
  <si>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</si>
  <si>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</si>
  <si>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</si>
  <si>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</si>
  <si>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</si>
  <si>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</si>
  <si>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</si>
  <si>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</si>
  <si>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</si>
  <si>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</si>
  <si>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</si>
  <si>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</si>
  <si>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</si>
  <si>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</si>
  <si>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</si>
  <si>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</si>
  <si>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</si>
  <si>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</si>
  <si>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</si>
  <si>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</si>
  <si>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</si>
  <si>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</si>
  <si>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</si>
  <si>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</si>
  <si>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</si>
  <si>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</si>
  <si>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</si>
  <si>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</si>
  <si>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</si>
  <si>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</si>
  <si>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</si>
  <si>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</si>
  <si>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</si>
  <si>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</si>
  <si>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</si>
  <si>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</si>
  <si>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</si>
  <si>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</si>
  <si>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</si>
  <si>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</si>
  <si>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</si>
  <si>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</si>
  <si>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</si>
  <si>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</si>
  <si>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</si>
  <si>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</si>
  <si>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</si>
  <si>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</si>
  <si>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</si>
  <si>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</si>
  <si>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</si>
  <si>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</si>
  <si>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</si>
  <si>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</si>
  <si>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</si>
  <si>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</si>
  <si>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</si>
  <si>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</si>
  <si>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</si>
  <si>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</si>
  <si>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</si>
  <si>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</si>
  <si>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</si>
  <si>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</si>
  <si>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</si>
  <si>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</si>
  <si>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</si>
  <si>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</si>
  <si>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</si>
  <si>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</si>
  <si>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</si>
  <si>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</si>
  <si>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</si>
  <si>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</si>
  <si>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</si>
  <si>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</si>
  <si>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</si>
  <si>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</si>
  <si>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</si>
  <si>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</si>
  <si>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</si>
  <si>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</si>
  <si>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</si>
  <si>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</si>
  <si>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</si>
  <si>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</si>
  <si>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</si>
  <si>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</si>
  <si>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</si>
  <si>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</si>
  <si>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</si>
  <si>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</si>
  <si>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</si>
  <si>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</si>
  <si>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</si>
  <si>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</si>
  <si>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</si>
  <si>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</si>
  <si>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</si>
  <si>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</si>
  <si>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</si>
  <si>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</si>
  <si>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</si>
  <si>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</si>
  <si>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</si>
  <si>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</si>
  <si>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</si>
  <si>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</si>
  <si>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</si>
  <si>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</si>
  <si>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</si>
  <si>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</si>
  <si>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</si>
  <si>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</si>
  <si>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</si>
  <si>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</si>
  <si>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</si>
  <si>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</si>
  <si>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</si>
  <si>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</si>
  <si>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</si>
  <si>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</si>
  <si>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</si>
  <si>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</si>
  <si>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</si>
  <si>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</si>
  <si>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</si>
  <si>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</si>
  <si>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</si>
  <si>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</si>
  <si>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</si>
  <si>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</si>
  <si>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</si>
  <si>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</si>
  <si>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</si>
  <si>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</si>
  <si>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</si>
  <si>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</si>
  <si>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</si>
  <si>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</si>
  <si>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</si>
  <si>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</si>
  <si>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</si>
  <si>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</si>
  <si>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</si>
  <si>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</si>
  <si>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</si>
  <si>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</si>
  <si>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</si>
  <si>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</si>
  <si>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</si>
  <si>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</si>
  <si>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</si>
  <si>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</si>
  <si>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</si>
  <si>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</si>
  <si>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</si>
  <si>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</si>
  <si>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</si>
  <si>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</si>
  <si>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</si>
  <si>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</si>
  <si>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</si>
  <si>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</si>
  <si>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</si>
  <si>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</si>
  <si>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</si>
  <si>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</si>
  <si>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</si>
  <si>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</si>
  <si>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</si>
  <si>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</si>
  <si>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</si>
  <si>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</si>
  <si>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</si>
  <si>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</si>
  <si>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</si>
  <si>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</si>
  <si>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</si>
  <si>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</si>
  <si>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</si>
  <si>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</si>
  <si>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</si>
  <si>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</si>
  <si>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</si>
  <si>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</si>
  <si>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</si>
  <si>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</si>
  <si>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</si>
  <si>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</si>
  <si>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</si>
  <si>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</si>
  <si>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</si>
  <si>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</si>
  <si>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</si>
  <si>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</si>
  <si>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</si>
  <si>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</si>
  <si>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</si>
  <si>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</si>
  <si>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</si>
  <si>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</si>
  <si>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</si>
  <si>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</si>
  <si>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</si>
  <si>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</si>
  <si>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</si>
  <si>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</si>
  <si>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</si>
  <si>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</si>
  <si>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</si>
  <si>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</si>
  <si>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</si>
  <si>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</si>
  <si>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</si>
  <si>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</si>
  <si>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</si>
  <si>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</si>
  <si>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</si>
  <si>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</si>
  <si>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</si>
  <si>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</si>
  <si>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</si>
  <si>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</si>
  <si>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</si>
  <si>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</si>
  <si>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</si>
  <si>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</si>
  <si>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</si>
  <si>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</si>
  <si>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</si>
  <si>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</si>
  <si>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</si>
  <si>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</si>
  <si>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</si>
  <si>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</si>
  <si>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</si>
  <si>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</si>
  <si>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</si>
  <si>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</si>
  <si>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</si>
  <si>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</si>
  <si>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</si>
  <si>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</si>
  <si>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</si>
  <si>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</si>
  <si>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</si>
  <si>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</si>
  <si>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</si>
  <si>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</si>
  <si>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</si>
  <si>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</si>
  <si>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</si>
  <si>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</si>
  <si>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</si>
  <si>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</si>
  <si>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</si>
  <si>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</si>
  <si>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</si>
  <si>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</si>
  <si>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</si>
  <si>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</si>
  <si>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</si>
  <si>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</si>
  <si>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</si>
  <si>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</si>
  <si>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</si>
  <si>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</si>
  <si>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</si>
  <si>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</si>
  <si>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</si>
  <si>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</si>
  <si>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</si>
  <si>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</si>
  <si>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</si>
  <si>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</si>
  <si>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</si>
  <si>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</si>
  <si>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</si>
  <si>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</si>
  <si>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</si>
  <si>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</si>
  <si>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</si>
  <si>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</si>
  <si>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</si>
  <si>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</si>
  <si>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</si>
  <si>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</si>
  <si>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</si>
  <si>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</si>
  <si>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</si>
  <si>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</si>
  <si>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</si>
  <si>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</si>
  <si>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</si>
  <si>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</si>
  <si>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</si>
  <si>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</si>
  <si>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</si>
  <si>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</si>
  <si>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</si>
  <si>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</si>
  <si>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</si>
  <si>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</si>
  <si>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</si>
  <si>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</si>
  <si>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</si>
  <si>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</si>
  <si>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</si>
  <si>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</si>
  <si>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</si>
  <si>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</si>
  <si>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</si>
  <si>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</si>
  <si>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</si>
  <si>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</si>
  <si>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</si>
  <si>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</si>
  <si>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</si>
  <si>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</si>
  <si>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</si>
  <si>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</si>
  <si>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</si>
  <si>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</si>
  <si>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</si>
  <si>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</si>
  <si>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</si>
  <si>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</si>
  <si>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</si>
  <si>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</si>
  <si>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</si>
  <si>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</si>
  <si>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</si>
  <si>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</si>
  <si>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</si>
  <si>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</si>
  <si>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</si>
  <si>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</si>
  <si>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</si>
  <si>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</si>
  <si>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</si>
  <si>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</si>
  <si>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</si>
  <si>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</si>
  <si>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</si>
  <si>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</si>
  <si>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</si>
  <si>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</si>
  <si>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</si>
  <si>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</si>
  <si>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</si>
  <si>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</si>
  <si>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</si>
  <si>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</si>
  <si>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</si>
  <si>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</si>
  <si>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</si>
  <si>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</si>
  <si>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</si>
  <si>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</si>
  <si>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</si>
  <si>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</si>
  <si>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</si>
  <si>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</si>
  <si>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</si>
  <si>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</si>
  <si>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</si>
  <si>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</si>
  <si>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</si>
  <si>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</si>
  <si>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</si>
  <si>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</si>
  <si>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</si>
  <si>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</si>
  <si>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</si>
  <si>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</si>
  <si>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</si>
  <si>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</si>
  <si>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</si>
  <si>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</si>
  <si>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</si>
  <si>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</si>
  <si>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</si>
  <si>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</si>
  <si>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</si>
  <si>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</si>
  <si>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</si>
  <si>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</si>
  <si>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</si>
  <si>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</si>
  <si>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</si>
  <si>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</si>
  <si>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</si>
  <si>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</si>
  <si>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</si>
  <si>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</si>
  <si>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</si>
  <si>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</si>
  <si>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</si>
  <si>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</si>
  <si>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</si>
  <si>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</si>
  <si>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</si>
  <si>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</si>
  <si>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</si>
  <si>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</si>
  <si>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</si>
  <si>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</si>
  <si>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</si>
  <si>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</si>
  <si>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</si>
  <si>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</si>
  <si>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</si>
  <si>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</si>
  <si>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</si>
  <si>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</si>
  <si>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</si>
  <si>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</si>
  <si>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</si>
  <si>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</si>
  <si>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</si>
  <si>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</si>
  <si>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</si>
  <si>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</si>
  <si>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</si>
  <si>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</si>
  <si>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</si>
  <si>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</si>
  <si>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</si>
  <si>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</si>
  <si>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</si>
  <si>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</si>
  <si>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</si>
  <si>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</si>
  <si>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</si>
  <si>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</si>
  <si>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</si>
  <si>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</si>
  <si>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</si>
  <si>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</si>
  <si>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</si>
  <si>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</si>
  <si>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</si>
  <si>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</si>
  <si>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</si>
  <si>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</si>
  <si>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</si>
  <si>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</si>
  <si>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</si>
  <si>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</si>
  <si>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</si>
  <si>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</si>
  <si>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</si>
  <si>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</si>
  <si>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</si>
  <si>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</si>
  <si>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</si>
  <si>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</si>
  <si>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</si>
  <si>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</si>
  <si>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</si>
  <si>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</si>
  <si>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</si>
  <si>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</si>
  <si>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</si>
  <si>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</si>
  <si>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</si>
  <si>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</si>
  <si>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</si>
  <si>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</si>
  <si>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</si>
  <si>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</si>
  <si>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</si>
  <si>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</si>
  <si>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</si>
  <si>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</si>
  <si>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</si>
  <si>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</si>
  <si>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</si>
  <si>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</si>
  <si>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</si>
  <si>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</si>
  <si>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</si>
  <si>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</si>
  <si>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</si>
  <si>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</si>
  <si>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</si>
  <si>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</si>
  <si>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</si>
  <si>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</si>
  <si>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</si>
  <si>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</si>
  <si>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</si>
  <si>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</si>
  <si>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</si>
  <si>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</si>
  <si>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</si>
  <si>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</si>
  <si>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</si>
  <si>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</si>
  <si>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</si>
  <si>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</si>
  <si>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</si>
  <si>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</si>
  <si>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</si>
  <si>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</si>
  <si>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</si>
  <si>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</si>
  <si>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</si>
  <si>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</si>
  <si>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</si>
  <si>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</si>
  <si>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</si>
  <si>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</si>
  <si>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</si>
  <si>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</si>
  <si>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</si>
  <si>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</si>
  <si>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</si>
  <si>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</si>
  <si>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</si>
  <si>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</si>
  <si>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</si>
  <si>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</si>
  <si>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</si>
  <si>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</si>
  <si>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</si>
  <si>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</si>
  <si>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</si>
  <si>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</si>
  <si>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</si>
  <si>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</si>
  <si>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</si>
  <si>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</si>
  <si>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</si>
  <si>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</si>
  <si>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</si>
  <si>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</si>
  <si>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</si>
  <si>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</si>
  <si>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</si>
  <si>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</si>
  <si>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</si>
  <si>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</si>
  <si>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</si>
  <si>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</si>
  <si>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</si>
  <si>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</si>
  <si>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</si>
  <si>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</si>
  <si>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</si>
  <si>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</si>
  <si>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</si>
  <si>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</si>
  <si>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</si>
  <si>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</si>
  <si>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</si>
  <si>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</si>
  <si>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</si>
  <si>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</si>
  <si>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</si>
  <si>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</si>
  <si>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</si>
  <si>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</si>
  <si>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</si>
  <si>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</si>
  <si>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</si>
  <si>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</si>
  <si>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</si>
  <si>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</si>
  <si>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</si>
  <si>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</si>
  <si>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</si>
  <si>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</si>
  <si>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</si>
  <si>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</si>
  <si>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</si>
  <si>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</si>
  <si>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</si>
  <si>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</si>
  <si>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</si>
  <si>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</si>
  <si>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</si>
  <si>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</si>
  <si>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</si>
  <si>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</si>
  <si>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</si>
  <si>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</si>
  <si>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</si>
  <si>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</si>
  <si>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</si>
  <si>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</si>
  <si>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</si>
  <si>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</si>
  <si>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</si>
  <si>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</si>
  <si>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</si>
  <si>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</si>
  <si>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</si>
  <si>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</si>
  <si>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</si>
  <si>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</si>
  <si>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</si>
  <si>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</si>
  <si>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</si>
  <si>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</si>
  <si>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</si>
  <si>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</si>
  <si>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</si>
  <si>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</si>
  <si>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</si>
  <si>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</si>
  <si>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</si>
  <si>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</si>
  <si>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</si>
  <si>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</si>
  <si>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</si>
  <si>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</si>
  <si>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</si>
  <si>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</si>
  <si>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</si>
  <si>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</si>
  <si>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</si>
  <si>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</si>
  <si>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</si>
  <si>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</si>
  <si>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</si>
  <si>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</si>
  <si>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</si>
  <si>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</si>
  <si>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</si>
  <si>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</si>
  <si>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</si>
  <si>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</si>
  <si>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</si>
  <si>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</si>
  <si>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</si>
  <si>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</si>
  <si>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</si>
  <si>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</si>
  <si>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</si>
  <si>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</si>
  <si>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</si>
  <si>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</si>
  <si>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</si>
  <si>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</si>
  <si>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</si>
  <si>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</si>
  <si>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</si>
  <si>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</si>
  <si>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</si>
  <si>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</si>
  <si>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</si>
  <si>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</si>
  <si>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</si>
  <si>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</si>
  <si>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</si>
  <si>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</si>
  <si>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</si>
  <si>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</si>
  <si>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</si>
  <si>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</si>
  <si>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</si>
  <si>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</si>
  <si>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</si>
  <si>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</si>
  <si>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</si>
  <si>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</si>
  <si>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</si>
  <si>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</si>
  <si>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</si>
  <si>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</si>
  <si>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</si>
  <si>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</si>
  <si>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</si>
  <si>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</si>
  <si>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</si>
  <si>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</si>
  <si>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</si>
  <si>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</si>
  <si>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</si>
  <si>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</si>
  <si>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</si>
  <si>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</si>
  <si>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</si>
  <si>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</si>
  <si>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</si>
  <si>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</si>
  <si>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</si>
  <si>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</si>
  <si>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</si>
  <si>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</si>
  <si>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</si>
  <si>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</si>
  <si>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</si>
  <si>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</si>
  <si>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</si>
  <si>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</si>
  <si>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</si>
  <si>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</si>
  <si>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</si>
  <si>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</si>
  <si>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</si>
  <si>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</si>
  <si>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</si>
  <si>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</si>
  <si>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</si>
  <si>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</si>
  <si>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</si>
  <si>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</si>
  <si>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</si>
  <si>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</si>
  <si>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</si>
  <si>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</si>
  <si>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</si>
  <si>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</si>
  <si>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</si>
  <si>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El nombre de la actividad 3 tiene un error de tipeo.</t>
  </si>
  <si>
    <t>El conector entre las actividades y el evento enlace, vínculo o link, al estar en el mismo pool deberían ser de flujo de secuencia.</t>
  </si>
  <si>
    <t xml:space="preserve">En la actividad 3, "Decisión luego de visita", solo debería ser dato de entrada, ya que en esa actividad lo que se hace es coordinar la entrevista. </t>
  </si>
  <si>
    <t>Error de formato en la desccripción de la actividad 3.</t>
  </si>
  <si>
    <t xml:space="preserve">No me queda claro la necesidad del Fin 3.1, ya que si se da, finalizaría la actividad 4, asi esta no se haya terminado. Por otro lado, si hay un fin, debería haber un inicio. </t>
  </si>
  <si>
    <t xml:space="preserve">El dato "Informe Financiero" de la actividad 3 y 3.1 no se usa más. </t>
  </si>
  <si>
    <t>Se modificaron las entradas y salidas de la actividad mencionada.</t>
  </si>
  <si>
    <t>Se agregó la actividad "Acompañar a Donante"</t>
  </si>
  <si>
    <t>Error de formato corregido.</t>
  </si>
  <si>
    <t>Error de tipeo en el diagrama con la actividad 9, "all".</t>
  </si>
  <si>
    <t>En la salida del inicio, faltó modificar "No faltan actividades".</t>
  </si>
  <si>
    <t>Como dato de entrada no se menciona el dato de salida de la actividad 7 "Informe Final", mientras que "Solicitud de realización de auditoría" no concuerda con el flujo.</t>
  </si>
  <si>
    <t>El nombre del evento 9 en el diagrama es distinto al de la caracterización.</t>
  </si>
  <si>
    <t xml:space="preserve">[OBS334]Error de tipeo en el diagrama con la actividad 9, "all"._x000D_
[OBS335]En la salida del inicio, faltó modificar "No faltan actividades"._x000D_
</t>
  </si>
  <si>
    <t xml:space="preserve">[OBS336]El inicio no debería tener actividades de entrada._x000D_
</t>
  </si>
  <si>
    <t xml:space="preserve">[OBS338]El nombre del evento 9 en el diagrama es distinto al de la caracterización._x000D_
</t>
  </si>
  <si>
    <t>Formato uniformizado.</t>
  </si>
  <si>
    <t>Conector añadido.</t>
  </si>
  <si>
    <t>Se eliminó el guión adicional.</t>
  </si>
  <si>
    <t>Se  modificaron dichas entradas.</t>
  </si>
  <si>
    <t>Se agregó como entrada de la actividad 4.</t>
  </si>
  <si>
    <t>Guión añadido.</t>
  </si>
  <si>
    <t>El nombre del proceso se modificó a "Planificar Presupuesto Institucional Anual"</t>
  </si>
  <si>
    <t>Fuente uniformizada.</t>
  </si>
  <si>
    <t>Nombres de procesos y actividades modificados.</t>
  </si>
  <si>
    <t>Se elimina actividad de compensación.</t>
  </si>
  <si>
    <t>Se eliminaron las entradas del inicio.</t>
  </si>
  <si>
    <t>Se elimnó el ":" de más.</t>
  </si>
  <si>
    <t>Se corrigieron las entradas y salidas correspondientes.</t>
  </si>
  <si>
    <t>Se eliminó la fila correspondiente.</t>
  </si>
  <si>
    <t>Se modificó el nombre del proceso a "Realizar Seguimiento Presupuestal"</t>
  </si>
  <si>
    <t>Se unificó el formato de la caracterización</t>
  </si>
  <si>
    <t>Se cambiaron las entradas de la actividad.</t>
  </si>
  <si>
    <t>En la descripción de la actividad 5.8 hay un ":" de mas.</t>
  </si>
  <si>
    <t>Respecto a la observación OBS329, me refería a los conectores de los procesos 15, 19, 20 y 21 con su respectivo link.</t>
  </si>
  <si>
    <t>Existe un guión de mas en la entrada de la actividad 3.</t>
  </si>
  <si>
    <t>La tercera hoja está en blanco, es innecesaria.</t>
  </si>
  <si>
    <t>A lo que me refería en la OBS271, es que entre dos procesos no es necesario poner mas de dos conectores de entrada o salida. En este caso hay dos conectores de la actividad 9 hacia la actividad 4. Son subprocesos, con 1 es suficiente, el resto se explica en la caracterización.</t>
  </si>
  <si>
    <t xml:space="preserve">[OBS339]Respecto a la observación OBS329, me refería a los conectores de los procesos 15, 19, 20 y 21 con su respectivo link._x000D_
</t>
  </si>
  <si>
    <t xml:space="preserve">[OBS337]A lo que me refería en la OBS271, es que entre dos procesos no es necesario poner mas de dos conectores de entrada o salida. En este caso hay dos conectores de la actividad 9 hacia la actividad 4. Son subprocesos, con 1 es suficiente, el resto se explica en la caracterización._x000D_
</t>
  </si>
  <si>
    <t xml:space="preserve"> El flujo principal debe estar en el pool principal y no ser dependiente de los colaboradores. Los pools colaboradores son cajas negras. Debe existir un conector entre la actividad 2 y 6 y entre la actividad 10 y 12.</t>
  </si>
  <si>
    <t>Toda tarea, actividad: proceso, subproceso, gateway, evento tiene que empezar con un verbo infinitivo. (-ar, -er, -ir). Gateway 2.</t>
  </si>
  <si>
    <t>OBS360</t>
  </si>
  <si>
    <t>OBS361</t>
  </si>
  <si>
    <t>OBS362</t>
  </si>
  <si>
    <t>OBS363</t>
  </si>
  <si>
    <t>OBS364</t>
  </si>
  <si>
    <t>OBS365</t>
  </si>
  <si>
    <t>OBS366</t>
  </si>
  <si>
    <t>OBS367</t>
  </si>
  <si>
    <t>OBS368</t>
  </si>
  <si>
    <t>OBS369</t>
  </si>
  <si>
    <t>OBS370</t>
  </si>
  <si>
    <t xml:space="preserve"> El flujo principal debe estar en el pool principal y no ser dependiente de los colaboradores. Los pools colaboradores son cajas negras. Debe existir un conector entre las actividades 4, 5 y 6 con la 10.</t>
  </si>
  <si>
    <t>Toda tarea, actividad: proceso, subproceso, gateway, evento tiene que empezar con un verbo infinitivo. (-ar, -er, -ir). Subprocesos 3.3 y 3.13.</t>
  </si>
  <si>
    <t>El inicio y el fin deben estar en el pool principal.</t>
  </si>
  <si>
    <t>Los conectores que interactúan con las actividades 13 y 15 no es el correcto, debe ser de flujo de mensaje.</t>
  </si>
  <si>
    <t>Los conectores que interactúan con las actividades 7, 8, 9 no son los correctos, debe ser un flujo de mensaje.</t>
  </si>
  <si>
    <t>El inicio debe estar en el flujo principal.</t>
  </si>
  <si>
    <t>Los conectores que interactúan con los procesos externos 3, 7, 13 y 14 no son los correctos, deben ser Flujo de mensaje.</t>
  </si>
  <si>
    <t xml:space="preserve"> El flujo principal debe estar en el pool principal y no ser dependiente de los colaboradores. Los pools colaboradores son cajas negras. Debe existir un conector entre las actividades 12 y 15. Tenerlo en cuenta cuando se modifique el principio del proceso también.</t>
  </si>
  <si>
    <t>El conector que interactúan con el proceso externo 3 no es el correcto, debe ser Flujo de mensaje.</t>
  </si>
  <si>
    <t xml:space="preserve">[OBS350]El nombre de un proceso debe comenzar con un verbo en infinitivo, solo los nombres de los Macroprocesos no cumplen con esa regla._x000D_
[OBS351]Los conectores que interactúan con las actividades 7, 8, 9 no son los correctos, debe ser un flujo de mensaje._x000D_
[OBS352] El flujo principal debe estar en el pool principal y no ser dependiente de los colaboradores. Los pools colaboradores son cajas negras. Debe existir un conector entre las actividades 4, 5 y 6 con la 10._x000D_
</t>
  </si>
  <si>
    <t xml:space="preserve">[OBS353]El nombre de un proceso debe comenzar con un verbo en infinitivo, solo los nombres de los Macroprocesos no cumplen con esa regla._x000D_
</t>
  </si>
  <si>
    <t xml:space="preserve">[OBS354]El nombre de un proceso debe comenzar con un verbo en infinitivo, solo los nombres de los Macroprocesos no cumplen con esa regla._x000D_
</t>
  </si>
  <si>
    <t xml:space="preserve">[OBS357]Toda tarea, actividad: proceso, subproceso, gateway, evento tiene que empezar con un verbo infinitivo. (-ar, -er, -ir)._x000D_
</t>
  </si>
  <si>
    <t xml:space="preserve">[OBS358]El nombre de un proceso debe comenzar con un verbo en infinitivo, solo los nombres de los Macroprocesos no cumplen con esa regla._x000D_
[OBS359]Toda tarea, actividad: proceso, subproceso, gateway, evento tiene que empezar con un verbo infinitivo. (-ar, -er, -ir). Subprocesos 3.3 y 3.13._x000D_
</t>
  </si>
  <si>
    <t xml:space="preserve">[OBS360]El nombre de un proceso debe comenzar con un verbo en infinitivo, solo los nombres de los Macroprocesos no cumplen con esa regla._x000D_
[OBS361]El inicio y el fin deben estar en el pool principal._x000D_
[OBS362]Los conectores que interactúan con las actividades 13 y 15 no es el correcto, debe ser de flujo de mensaje._x000D_
</t>
  </si>
  <si>
    <t xml:space="preserve">[OBS363]El nombre de un proceso debe comenzar con un verbo en infinitivo, solo los nombres de los Macroprocesos no cumplen con esa regla._x000D_
[OBS364]El inicio debe estar en el flujo principal._x000D_
[OBS365]Los conectores que interactúan con los procesos externos 3, 7, 13 y 14 no son los correctos, deben ser Flujo de mensaje._x000D_
[OBS366] El flujo principal debe estar en el pool principal y no ser dependiente de los colaboradores. Los pools colaboradores son cajas negras. Debe existir un conector entre las actividades 12 y 15. Tenerlo en cuenta cuando se modifique el principio del proceso también._x000D_
</t>
  </si>
  <si>
    <t>Arquitectura de Procesos</t>
  </si>
  <si>
    <t>Se modificó la salida mencionada.</t>
  </si>
  <si>
    <t>Se modificaron las entradas y salidas del proceso.</t>
  </si>
  <si>
    <t>Se quitó el conector de más.</t>
  </si>
  <si>
    <t>Se cambió el nombre en el diagrama.</t>
  </si>
  <si>
    <t>Se eliminó la hoja adicional</t>
  </si>
  <si>
    <t>Se modificó el nombre del proceso a "Capacitar al Personal".</t>
  </si>
  <si>
    <t>El Fin ha sido reubicado.</t>
  </si>
  <si>
    <t>Se modificó el nombre del proceso a "Despedir o Ejecutar Retiro del Personal"</t>
  </si>
  <si>
    <t>El nombre del proceso se modificó a "Evaluar Postulantes".</t>
  </si>
  <si>
    <t>Se modificó el nombre del proceso a "Reclutar Postulantes".</t>
  </si>
  <si>
    <t>Se modificó el nombre del proceso a "Rendir Gastos de Viaje".</t>
  </si>
  <si>
    <t>Se modificó el nombre del proceso a "Realizar Seguimiento del Personal".</t>
  </si>
  <si>
    <t>Se modificó el nombre del proceso a "Solicitar Fondos de Viaje".</t>
  </si>
  <si>
    <t>Se modificó el nombre del proceso a "Solicitar Personal".</t>
  </si>
  <si>
    <t>Se puso el inicio y el fin en el pool principal.</t>
  </si>
  <si>
    <t>Se cambió el tipo de conector.</t>
  </si>
  <si>
    <t>Se cambió el nombre de los procesos y actividades.</t>
  </si>
  <si>
    <t>Se puso el inicio en el pool principal.</t>
  </si>
  <si>
    <t>Se agregó un conectos entre las actividades señaladas.</t>
  </si>
  <si>
    <t>Se cambio el tipo de conector.</t>
  </si>
  <si>
    <t>OBS371</t>
  </si>
  <si>
    <t>OBS372</t>
  </si>
  <si>
    <t>OBS373</t>
  </si>
  <si>
    <t>OBS374</t>
  </si>
  <si>
    <t>Respecto a la OBS348, Se le debe cambiar el nombre al Gateway 2 a infinitivo en el diagrama también.</t>
  </si>
  <si>
    <t>Respecto a la OBS342, falta cambiar el nombre del evento y de los gateways. Actividades 11, 12 y 14.</t>
  </si>
  <si>
    <t>El inicio no debería tener actividades de entrada. El responsable del inicio, en la caracterización, no es correcto.</t>
  </si>
  <si>
    <t>No hay un dato que relacione la actividad 10 y 11.</t>
  </si>
  <si>
    <t>OBS375</t>
  </si>
  <si>
    <t>OBS376</t>
  </si>
  <si>
    <t>OBS377</t>
  </si>
  <si>
    <t>OBS378</t>
  </si>
  <si>
    <t>OBS379</t>
  </si>
  <si>
    <t>OBS380</t>
  </si>
  <si>
    <t>El fin no debería tener datos de salida, a menos de que sea un fin de mensaje o de señal.</t>
  </si>
  <si>
    <t>Hay dos diagramas en el documento.</t>
  </si>
  <si>
    <t>Verificar el responsable del inicio.</t>
  </si>
  <si>
    <t>No hay relación entre los datos de las actividades 3, 4 y 5</t>
  </si>
  <si>
    <t>La actividad 5 no debería tener datos de entrada.</t>
  </si>
  <si>
    <t>El dato de entrada "Informe trimestral" de la actividad 6 no está en acorde con el flujo.</t>
  </si>
  <si>
    <t xml:space="preserve">[OBS372]Respecto a la OBS348, Se le debe cambiar el nombre al Gateway 2 a infinitivo en el diagrama también._x000D_
</t>
  </si>
  <si>
    <t>Se modificaron los nombres de los gateways.</t>
  </si>
  <si>
    <t>Se asume que el error es del Caso de Prueba CP003. Conector agregado.</t>
  </si>
  <si>
    <t>Se modificó el nombre del gateway.</t>
  </si>
  <si>
    <t>Se borraron las entradas del evento señalado.</t>
  </si>
  <si>
    <t>Se agregó un dato que vincule las actividades.</t>
  </si>
  <si>
    <t>Se borraron las salidas del evento señalado.</t>
  </si>
  <si>
    <t>Se borró el diagrama incorrecto.</t>
  </si>
  <si>
    <t>Se cambió el responsable del evento inicio.</t>
  </si>
  <si>
    <t>Se corrigió la caracterización.</t>
  </si>
  <si>
    <t>Se borró el dato de entrada de la actividad.</t>
  </si>
  <si>
    <t>Al parecer si existe el flujo.</t>
  </si>
  <si>
    <t>OBS381</t>
  </si>
  <si>
    <t>OBS382</t>
  </si>
  <si>
    <t>OBS383</t>
  </si>
  <si>
    <t>OBS384</t>
  </si>
  <si>
    <t>OBS385</t>
  </si>
  <si>
    <t>OBS386</t>
  </si>
  <si>
    <t>OBS387</t>
  </si>
  <si>
    <t>OBS388</t>
  </si>
  <si>
    <t>OBS389</t>
  </si>
  <si>
    <t>OBS390</t>
  </si>
  <si>
    <t>OBS391</t>
  </si>
  <si>
    <t>OBS392</t>
  </si>
  <si>
    <t>OBS393</t>
  </si>
  <si>
    <t>OBS394</t>
  </si>
  <si>
    <t>OBS395</t>
  </si>
  <si>
    <t>OBS396</t>
  </si>
  <si>
    <t>OBS397</t>
  </si>
  <si>
    <t>OBS398</t>
  </si>
  <si>
    <t>OBS399</t>
  </si>
  <si>
    <t>OBS400</t>
  </si>
  <si>
    <t>OBS401</t>
  </si>
  <si>
    <t>OBS402</t>
  </si>
  <si>
    <t>OBS403</t>
  </si>
  <si>
    <t>OBS404</t>
  </si>
  <si>
    <t>OBS405</t>
  </si>
  <si>
    <t>OBS406</t>
  </si>
  <si>
    <t>OBS407</t>
  </si>
  <si>
    <t>OBS408</t>
  </si>
  <si>
    <t>OBS409</t>
  </si>
  <si>
    <t>OBS410</t>
  </si>
  <si>
    <t>OBS411</t>
  </si>
  <si>
    <t>OBS412</t>
  </si>
  <si>
    <t>OBS413</t>
  </si>
  <si>
    <t>OBS414</t>
  </si>
  <si>
    <t>OBS415</t>
  </si>
  <si>
    <t>No existe el artefacto arquitectura de Procesos, probablemente debe ser Arquitectura de Negocios, que es el artefacto que incluye el integrado de los procesos de la empresa.</t>
  </si>
  <si>
    <t>En el segundo parrafo "tampoco" no está en contexto, ya que no existe ninguna negación previa.</t>
  </si>
  <si>
    <t>CP036</t>
  </si>
  <si>
    <t>Toda tarea, actividad: proceso, subproceso, gateway, evento tiene que empezar con un verbo infinitivo. (-ar, -er, -ir). Actividades P6, A2, A22, A23 y A25.</t>
  </si>
  <si>
    <t>Las actividades no deben tener el mismo nombre, D4, ET2, I2, P4, P7 y R4 - Repartir, P9, I5, PY3 - Consolidar, A22 y P6 - Mínimo 1 mes después</t>
  </si>
  <si>
    <t>Error con los conectores, en todos los casos se está usando Flujo de mensaje y debería ser Flujo de secuencia: I1 y P3; D3 y Link D ;PY1 y P3; PY1 y ET6; PY2 y ET6; ET1 y P3; ET3 y ET6; ET4 y A1 ; ET6 y A1; PE1 y P3; F1 y P3; F3 y A1; PY1 y A1; I3 y A1; PE3 y A1; A7 y A6; R6 y A28; R6 y A29; A32 y R5; X21, X25 y X22 con el link D.</t>
  </si>
  <si>
    <t>CP037</t>
  </si>
  <si>
    <t>RAM (Matriz de Asignación de Responsabilidades)</t>
  </si>
  <si>
    <t>En la descripción de la actividad P3, hay un error ortográfico con "apoyará".</t>
  </si>
  <si>
    <t>El dato de entrada "Fecha de inicio de año" de la actividad P5 no debería ser dato de entrada. Es más un evento timer. Además no es dato de salida de la actividad P4.</t>
  </si>
  <si>
    <t>Hay un error de tipeo en la descripción de la actividad P5 con "divida".</t>
  </si>
  <si>
    <t>Error gramatical en la descripción de P9 con el primer "la".</t>
  </si>
  <si>
    <t>En la descripción de la actividad P10 se menciona "Arquitectura de Procesos", dicho termino es incorrecto. OBS381</t>
  </si>
  <si>
    <t>El dato de entrada de la actividad I1, no concuerda con el nombre exacto de la salida de la actividad P2: "Solicitud de elaborar POA"</t>
  </si>
  <si>
    <t>El dato de salida "Plan de Requerimientos Institucionales" de la actividad I1 no se usa en los procesos con los que se conecta.</t>
  </si>
  <si>
    <t>"Plan de Requerimientos Institucionales" no debería ser dato de entrada de la actividad D1, no es salida de las actividad con las que interactúa.</t>
  </si>
  <si>
    <t>"Boleta o factura entregada" y "Donación recibida" no pueden ser datos de entrada de la actividad D3 ya que no son salidas de las actividades con las que interactúa.</t>
  </si>
  <si>
    <t>El dato de salida "Boleta o Factura solicitada" de la actividad D3 no se usa en los procesos con los que interactúa.</t>
  </si>
  <si>
    <t>El dato de entrada "Solicitud de elaboración de POA" de la actividad PY1 no concuerda con el dato de salida P2.</t>
  </si>
  <si>
    <t>Entre las actividades PY3 y PY4 hay un error con los datos que interactúan, de PY3, "Resultado de donación" y "Plan de Ejecución" de PY4.</t>
  </si>
  <si>
    <t>El dato de entrada de la actividad PY5 "Solicitud de realización de auditoria" no es salida de ninguna actividad.</t>
  </si>
  <si>
    <t>PY5 y X5 no tienen datos que los relacione</t>
  </si>
  <si>
    <t>El dato de entrada "Solicitud de elaboración de POA" de la actividad ET1 no concuerda con el dato de salida P2.</t>
  </si>
  <si>
    <t>Las actividad PE1 y X10 no tiene datos que los relacione.</t>
  </si>
  <si>
    <t>Todos los datos de entrada de PE1 no concuerdan con el flujo.</t>
  </si>
  <si>
    <t>La actividad X10 debería tener datos de entrada, hay un conector que le apunta.</t>
  </si>
  <si>
    <t>La actividad de salida "Fecha y lugar de reunión" de la acticidad PE1 no concuerda con el flujo.</t>
  </si>
  <si>
    <t>El dato de entrada "Fecha de visita" de la actividad PE2 no concuerda con el flujo.</t>
  </si>
  <si>
    <t>No hay relación entre los datos de las actividades X12 y PE4</t>
  </si>
  <si>
    <t>No hay relación entre los datos de las actividades X10 y PE4</t>
  </si>
  <si>
    <t>No hay relación entre los datos de la actividad F1 y F2.</t>
  </si>
  <si>
    <t>Los datos de salida "Notificación enviada" y "Actividades completas" de la actividad F1 no concuerdan con el flujo.</t>
  </si>
  <si>
    <t>Error ortográfico en la descripción de la actividad F1 con "despejará".</t>
  </si>
  <si>
    <t xml:space="preserve">El dato de entrada "Fecha de inicio de año" de la actividad F2 no debería ser dato de entrada. Es más un evento timer. </t>
  </si>
  <si>
    <t>No hay datos de salida de la actividad F2 que se relacionen con la actividad A1</t>
  </si>
  <si>
    <t>No hay datos de salida de la actividad F2 que se relacionen con la actividad X11</t>
  </si>
  <si>
    <t>No hay datos de salida de la actividad F2 que se relacionen con la actividad P9</t>
  </si>
  <si>
    <t>El dato de salida "Docentes capacitados" de la actividad F2, no está relacioando con el flujo.</t>
  </si>
  <si>
    <t>OBS416</t>
  </si>
  <si>
    <t>OBS417</t>
  </si>
  <si>
    <t>OBS418</t>
  </si>
  <si>
    <t>OBS419</t>
  </si>
  <si>
    <t>OBS420</t>
  </si>
  <si>
    <t>OBS421</t>
  </si>
  <si>
    <t>OBS422</t>
  </si>
  <si>
    <t>OBS423</t>
  </si>
  <si>
    <t>OBS424</t>
  </si>
  <si>
    <t>OBS425</t>
  </si>
  <si>
    <t>OBS426</t>
  </si>
  <si>
    <t>OBS427</t>
  </si>
  <si>
    <t>OBS428</t>
  </si>
  <si>
    <t>OBS429</t>
  </si>
  <si>
    <t>OBS430</t>
  </si>
  <si>
    <t>OBS431</t>
  </si>
  <si>
    <t>OBS432</t>
  </si>
  <si>
    <t>OBS433</t>
  </si>
  <si>
    <t>OBS434</t>
  </si>
  <si>
    <t>OBS435</t>
  </si>
  <si>
    <t>OBS436</t>
  </si>
  <si>
    <t>OBS437</t>
  </si>
  <si>
    <t>OBS438</t>
  </si>
  <si>
    <t>OBS439</t>
  </si>
  <si>
    <t>OBS440</t>
  </si>
  <si>
    <t>OBS441</t>
  </si>
  <si>
    <t>OBS442</t>
  </si>
  <si>
    <t>OBS443</t>
  </si>
  <si>
    <t>OBS444</t>
  </si>
  <si>
    <t>OBS445</t>
  </si>
  <si>
    <t>La actividad A1 solo tiene realción con las activiad P2, PY1 y A2, el resto de conectores no significan relación de datos.</t>
  </si>
  <si>
    <t>La actividad A15 no tiene ningún dato de salida que vaya hacia la actividad A14</t>
  </si>
  <si>
    <t>En la descripción de la actividad A14 eliminar una de las palabras "existe" o "nace".</t>
  </si>
  <si>
    <t>El dato de salida "Voucher codificado" de la actividad A14 no tiene relación con el flujo.</t>
  </si>
  <si>
    <t>En la descripción de la actividad A16, luego de "Orden de Compra", debería haber una coma.</t>
  </si>
  <si>
    <t>La última oración de la descripción de la actividad A19 tiene errores gramaticales "recepcionar un conjunto de Curriculum Vitae."</t>
  </si>
  <si>
    <t>Formato distinto en los datos de entrada de la actividad X4</t>
  </si>
  <si>
    <t>El dato de salida "Informe de Necesidades" de la actividad x6 no tiene relación con el flujo.</t>
  </si>
  <si>
    <t>La actividad A7 depende de un proceso externo, tiene que tener conectores de flujo de secuencia que la unan al flujo principal.</t>
  </si>
  <si>
    <t>En la descripción de la actividad X25, probablemente debe ser "hace efectivo el recojo del bien donado"</t>
  </si>
  <si>
    <t>Se modificó la redacción del párrafo.</t>
  </si>
  <si>
    <t>Se cambiaron los nombres de los gateways.</t>
  </si>
  <si>
    <t>Se modificaron los nombres de las actividades mencionadas.</t>
  </si>
  <si>
    <t>Se corrigieron las entradas y salidas.</t>
  </si>
  <si>
    <t>Se homologaron los nombres.</t>
  </si>
  <si>
    <t>Se eliminó la salida correspondiente.</t>
  </si>
  <si>
    <t>Se agregó el conector correspondiente</t>
  </si>
  <si>
    <t>Salidas y entradas modificadas.</t>
  </si>
  <si>
    <t>Se modificaron las entradas y salidas.</t>
  </si>
  <si>
    <t>Es entrada de la actividad A1 (Considerando que es la actividad ET4).</t>
  </si>
  <si>
    <t>Se modificó la entrada de la actividad.</t>
  </si>
  <si>
    <t>Se agregaron las entradas y salidas en la actividad X10</t>
  </si>
  <si>
    <t>Se agregaron las flechas y entradas correspondientes</t>
  </si>
  <si>
    <t>Se corrigió la entrada de la actividad.</t>
  </si>
  <si>
    <t>Se agregó como entrada de la actividad X10.</t>
  </si>
  <si>
    <t>Se agregó como salida de la actividad PE1.</t>
  </si>
  <si>
    <t>Se agregó la entrada correspondiente.</t>
  </si>
  <si>
    <t>Se agregaron como entrada de la actividad F2.</t>
  </si>
  <si>
    <t>Se asume que es entre F3 y A1. Se arreglaron las entradas y salidas.</t>
  </si>
  <si>
    <t>Se asume que es entre F3 y X11. Se agregó salida de X11 como entrada de F3.</t>
  </si>
  <si>
    <t>Se asume que es entre F3 y P9. Se agregó salida de F2 "Docentes Capacitados" como entrada de la actividad P9.</t>
  </si>
  <si>
    <t>Se asume que es F3. Se agregó salida de F2 "Docentes Capacitados" como entrada de la actividad P9.</t>
  </si>
  <si>
    <t>Las actividades ET6, I3, ET4, F3 y PE3 tienen como salida "Cuestionario de Necesidades", la cual es entrada de la actividad A1.</t>
  </si>
  <si>
    <t>Actividad A15 "Realizar Arqueo de Caja" convertida en SubProceso.</t>
  </si>
  <si>
    <t>Se eliminó una palabra.</t>
  </si>
  <si>
    <t>Se corrigió el formato</t>
  </si>
  <si>
    <t>Se agregó como entrada de la actividad ET6.</t>
  </si>
  <si>
    <t>Se corrigió el error gramatical (Pastoral y Educación en Valores es una sola área).</t>
  </si>
  <si>
    <t>Las actividades no deben tener el mismo nombre, P2, ET2 - Repartir</t>
  </si>
  <si>
    <t>Hay un guión de mas en los datos de salida de la activdad P4.</t>
  </si>
  <si>
    <t>Hay un conector que sale de A20 que no se conecta a nada. Va hacia el pool de medio de comunicación.</t>
  </si>
  <si>
    <t>El dato de salida de la actividad 4, "Cuestionario  de Necesidades" no es entrada de ninguna actividad.</t>
  </si>
  <si>
    <t>En la OBS398 me refería a PY4</t>
  </si>
  <si>
    <t>El dato de entrada "Informe Anual de la Marcha Pastoral y Educación en Valores" de la actividad PE1 no es exactamente el mismo que el de la salida de PE2.</t>
  </si>
  <si>
    <t>La última oración de la descripción de la actividad A14 no se ve reflejado en el flujo, además en los datos de la actividad P9 y P10 aún esta el dato de Copia de arqueo de caja, que no muestra relación con el flujo.</t>
  </si>
  <si>
    <t>El dato de entrada "Invitación a Capacitación" de la actividad X7 no concuerda con el flujo de datos.</t>
  </si>
  <si>
    <t>Se eliminó la entrada correspondiente.</t>
  </si>
  <si>
    <t>Hay un error  gramatical en la descripción de la actividad X12 con "encuentran".</t>
  </si>
  <si>
    <t>El conector de ida de A7 hacia el evento enlace K no es correcto, ya que el evento K relacionado con X38 solo es para lanzar, y no de destino.</t>
  </si>
  <si>
    <t>Sugiero tener solo dos eventos D, para evitar confusión al seguir el flujo.</t>
  </si>
  <si>
    <t>Los datos de entrada de la actividad X15 "Copia de la Factura de Pago Parcial" y "Copia de  la Factura por Pago de Adelanto
" no van de acuerdo al flujo.</t>
  </si>
  <si>
    <t>Verificar los datos de entrada y salida de la actividad A6, salida: "Orden de Pago de Pago Parcial" y "Orden de Pago por Pago de Adelanto" no estan en el flujo, salida: "Fotos del Avance de la Obra" y "Acta de Recepción y Conformidad de Obra aprobada por el Administrador" lo relacionan con la actividad A7, pero no existe conector.</t>
  </si>
  <si>
    <t>Revisar los datos de entrada y salida de la actividad A20, Entrada: "Contrato firmado" y "Labores iniciadas"; salida: "Contrato" Y "Inducciones realizadas"</t>
  </si>
  <si>
    <t>Al iniciar la descripción de la actividad X32 hay un error de tipeo.</t>
  </si>
  <si>
    <t>En la descripción de la actividad X33, luego de "Orden de Compra" debería haber una coma.</t>
  </si>
  <si>
    <t>Actividad X41 y X42 no forman parte del flujo, el enlace M no se relaciona con ningúna otra actividad.</t>
  </si>
  <si>
    <t>Hay redundancia en la descripción de la actividad X42.</t>
  </si>
  <si>
    <t>Según Profesora Rosario, Arquitectura de Procesos si existe.</t>
  </si>
  <si>
    <t>Conector eliminado. Se agregó Link M</t>
  </si>
  <si>
    <t>Link M agregado a actividad A20.</t>
  </si>
  <si>
    <t>Actividad ET2 cambió de nombre.</t>
  </si>
  <si>
    <t>Guión eliminado</t>
  </si>
  <si>
    <t>Última oración eliminada. Copia de Arqueo de Caja eliminado.</t>
  </si>
  <si>
    <t>Salida de PE2 y entrada de PE1 homologadas.</t>
  </si>
  <si>
    <t>Conector de salida desde el evento K hasta la actividad A7 eliminado.</t>
  </si>
  <si>
    <t>Salida agregada a la actividad A13.</t>
  </si>
  <si>
    <t>Se modificaron los conectores entre A5, A6 y A7.</t>
  </si>
  <si>
    <t>Se modificaron las entradas de la actividad.</t>
  </si>
  <si>
    <t>Salidas agregadas. Conector agregado</t>
  </si>
  <si>
    <t>Error corregido.</t>
  </si>
  <si>
    <t>Redundancia eliminada.</t>
  </si>
  <si>
    <t>Conector entre PY4 y A1 agreado.</t>
  </si>
  <si>
    <t>Link N agregado entre actividades D3 y X25</t>
  </si>
  <si>
    <t>El dato de entrada "Necesidad de pagar comprobantes de proveedores" de la actividad A15 no concuerda con el flujo.</t>
  </si>
  <si>
    <t>La actividad A7 sigue fuera del flujo principal, si bien es cierto hay un conector desde A5, no hay dato que los relacione, por otro lado no hay conector de salida que lo mantenga en el flujo.</t>
  </si>
  <si>
    <t>Salidas y entradas coordinadas con actividades X41 y X42.</t>
  </si>
  <si>
    <t>OBS446</t>
  </si>
  <si>
    <t xml:space="preserve">El conector que va de PE2 hacia PE1 no es el correcto. Debe ser de </t>
  </si>
  <si>
    <t>OBS447</t>
  </si>
  <si>
    <t>En los datos de entrada de la actividad PE1 falta un gruión para separar los dos últimos datos.</t>
  </si>
  <si>
    <t>OBS448</t>
  </si>
  <si>
    <t>La actividad A5 y A7 no tienen datos que lo relacionen.</t>
  </si>
  <si>
    <t>OBS449</t>
  </si>
  <si>
    <t>OBS450</t>
  </si>
  <si>
    <t>No se ha presentado un documento de la RAM, el archivo carece de definición, propósito y alcance.</t>
  </si>
  <si>
    <t>El archivo carece de leyenda</t>
  </si>
  <si>
    <t xml:space="preserve">[OBS446]El conector que va de PE2 hacia PE1 no es el correcto. Debe ser de _x000D_
[OBS447]En los datos de entrada de la actividad PE1 falta un gruión para separar los dos últimos datos._x000D_
[OBS448]La actividad A5 y A7 no tienen datos que lo relacionen._x000D_
</t>
  </si>
  <si>
    <t xml:space="preserve">[OBS449]No se ha presentado un documento de la RAM, el archivo carece de definición, propósito y alcance._x000D_
[OBS450]El archivo carece de leyenda_x000D_
</t>
  </si>
  <si>
    <t>Se agregó el guión.</t>
  </si>
  <si>
    <t>Se cambió el conector a uno de secuencia.</t>
  </si>
  <si>
    <t>Se agregó una entrada a la actividad A7 que la relacione con A5.</t>
  </si>
  <si>
    <t>Documento generado</t>
  </si>
  <si>
    <t>OBS451</t>
  </si>
  <si>
    <t>OBS452</t>
  </si>
  <si>
    <t>OBS453</t>
  </si>
  <si>
    <t>OBS454</t>
  </si>
  <si>
    <t>OBS455</t>
  </si>
  <si>
    <t>OBS456</t>
  </si>
  <si>
    <t>OBS457</t>
  </si>
  <si>
    <t>OBS458</t>
  </si>
  <si>
    <t>OBS459</t>
  </si>
  <si>
    <t>Previo al fin debería haber un gateway que reciba todos los conectores, a fin de que al fin llegue solo 1.</t>
  </si>
  <si>
    <t>En la actividad 3 no se aprecia la interacción con el postulante en el diagrama.</t>
  </si>
  <si>
    <t>Qué sucede si no hay CV's que cumplan con lo requerido para la actividad 2? No hay un flujo alterno.</t>
  </si>
  <si>
    <t>La actividad de inicio no debe tener datos de entrada.</t>
  </si>
  <si>
    <t>A modo de recomendación, luego de la actividad 8, no se debería mandar el perfil a administración como con la actividad 3? De tal modo que solo exista un fin.</t>
  </si>
  <si>
    <t>La actividad 4 no debería ser un gateway.</t>
  </si>
  <si>
    <t>La actividad 3 y 7 no deberían tener algún rechazo? Es decir, que sucede si se revisa y no es correcto, no se devuelve para la correción?</t>
  </si>
  <si>
    <t xml:space="preserve">[OBS451]Previo al fin debería haber un gateway que reciba todos los conectores, a fin de que al fin llegue solo 1._x000D_
</t>
  </si>
  <si>
    <t xml:space="preserve">[OBS452]El diagrama es ANSI y no BPMN_x000D_
</t>
  </si>
  <si>
    <t xml:space="preserve">[OBS453]En la actividad 3 no se aprecia la interacción con el postulante en el diagrama._x000D_
</t>
  </si>
  <si>
    <t xml:space="preserve">[OBS454]Qué sucede si no hay CV's que cumplan con lo requerido para la actividad 2? No hay un flujo alterno._x000D_
</t>
  </si>
  <si>
    <t xml:space="preserve">[OBS455]La actividad de inicio no debe tener datos de entrada._x000D_
</t>
  </si>
  <si>
    <t xml:space="preserve">[OBS456]A modo de recomendación, luego de la actividad 8, no se debería mandar el perfil a administración como con la actividad 3? De tal modo que solo exista un fin._x000D_
</t>
  </si>
  <si>
    <t xml:space="preserve">[OBS457]La actividad 4 no debería ser un gateway._x000D_
[OBS458]La actividad 3 y 7 no deberían tener algún rechazo? Es decir, que sucede si se revisa y no es correcto, no se devuelve para la correción?_x000D_
</t>
  </si>
  <si>
    <t>OBS460</t>
  </si>
  <si>
    <t>OBS461</t>
  </si>
  <si>
    <t>OBS462</t>
  </si>
  <si>
    <t>OBS463</t>
  </si>
  <si>
    <t xml:space="preserve">[OBS459]Previo al fin debería haber un gateway que reciba todos los conectores, a fin de que al fin llegue solo 1._x000D_
</t>
  </si>
  <si>
    <t xml:space="preserve">[OBS460]La actividad de inicio no debe tener datos de entrada._x000D_
</t>
  </si>
  <si>
    <t xml:space="preserve">[OBS461]Previo al fin debería haber un gateway que reciba todos los conectores, a fin de que al fin llegue solo 1._x000D_
</t>
  </si>
  <si>
    <t xml:space="preserve">[OBS462]Previo al fin debería haber un gateway que reciba todos los conectores, a fin de que al fin llegue solo 1._x000D_
</t>
  </si>
  <si>
    <t xml:space="preserve">[OBS463]Previo al fin debería haber un gateway que reciba todos los conectores, a fin de que al fin llegue solo 1._x000D_
</t>
  </si>
  <si>
    <t>Se agregó el gateway final.</t>
  </si>
  <si>
    <t>La interacción se menciona dentro de la descripción de la actividad.</t>
  </si>
  <si>
    <t>Los CV's provienen de 3 fuentes diferentes. Es muy difícil que no se obtenga como mínimo 1 CV.</t>
  </si>
  <si>
    <t>Entrada agregada como salida de la actividad.</t>
  </si>
  <si>
    <t>Proceso modificado.</t>
  </si>
  <si>
    <t>Actividad modificada.</t>
  </si>
  <si>
    <t>Los informes recibidos no pueden rechazarse debido a que es información de cómo se han manejado los Programas Rurales, los directores son los que poseen la información más detallada de los mismos.</t>
  </si>
  <si>
    <t>Se agregó un evento.</t>
  </si>
  <si>
    <t>Columna1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</si>
</sst>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font>
    <font>
      <b/>
      <sz val="11"/>
      <color rgb="FF000000"/>
      <name val="Calibri"/>
      <family val="2"/>
    </font>
  </fonts>
  <fills count="42">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
      <patternFill patternType="solid">
        <fgColor rgb="FFFFFF00"/>
        <bgColor indexed="64"/>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9">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0" fillId="41" borderId="0" xfId="0" applyNumberFormat="1" applyFill="1" applyBorder="1" applyAlignment="1">
      <alignment vertical="center" wrapText="1"/>
    </xf>
    <xf numFmtId="0" fontId="0" fillId="41" borderId="0" xfId="0" applyNumberFormat="1" applyFill="1" applyAlignment="1">
      <alignment vertical="center" wrapText="1"/>
    </xf>
    <xf numFmtId="164" fontId="0" fillId="41" borderId="0" xfId="0" applyNumberFormat="1" applyFill="1" applyAlignment="1">
      <alignment vertical="center" wrapText="1"/>
    </xf>
    <xf numFmtId="164" fontId="0" fillId="41" borderId="0" xfId="0" applyNumberFormat="1" applyFill="1" applyAlignment="1">
      <alignment horizontal="center"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xf numFmtId="0" fontId="0" fillId="41" borderId="0" xfId="0" applyNumberFormat="1" applyFont="1" applyFill="1" applyBorder="1" applyAlignment="1">
      <alignment vertical="center" wrapText="1"/>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3">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pivotCacheDefinition" Target="pivotCache/pivotCacheDefinition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651"/>
          <c:y val="0.20151813899974841"/>
          <c:w val="0.50142494135134374"/>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0.67567567567567566</c:v>
                </c:pt>
                <c:pt idx="1">
                  <c:v>0.32432432432432434</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111" l="0.70000000000000062" r="0.70000000000000062" t="0.750000000000011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111" l="0.70000000000000062" r="0.70000000000000062" t="0.75000000000001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HistoricoAvance!$C$4:$C$20</c:f>
              <c:numCache>
                <c:formatCode>0</c:formatCode>
                <c:ptCount val="17"/>
                <c:pt idx="0">
                  <c:v>0</c:v>
                </c:pt>
                <c:pt idx="1">
                  <c:v>0</c:v>
                </c:pt>
                <c:pt idx="2">
                  <c:v>5</c:v>
                </c:pt>
                <c:pt idx="3">
                  <c:v>14</c:v>
                </c:pt>
                <c:pt idx="4">
                  <c:v>15</c:v>
                </c:pt>
                <c:pt idx="5">
                  <c:v>15</c:v>
                </c:pt>
                <c:pt idx="6">
                  <c:v>15</c:v>
                </c:pt>
                <c:pt idx="7">
                  <c:v>16</c:v>
                </c:pt>
                <c:pt idx="8">
                  <c:v>15</c:v>
                </c:pt>
                <c:pt idx="9">
                  <c:v>13</c:v>
                </c:pt>
                <c:pt idx="10">
                  <c:v>31</c:v>
                </c:pt>
                <c:pt idx="11">
                  <c:v>35</c:v>
                </c:pt>
                <c:pt idx="12">
                  <c:v>36</c:v>
                </c:pt>
                <c:pt idx="13">
                  <c:v>36</c:v>
                </c:pt>
                <c:pt idx="14">
                  <c:v>35</c:v>
                </c:pt>
                <c:pt idx="15">
                  <c:v>37</c:v>
                </c:pt>
                <c:pt idx="16">
                  <c:v>25</c:v>
                </c:pt>
              </c:numCache>
            </c:numRef>
          </c:val>
          <c:smooth val="0"/>
        </c:ser>
        <c:ser>
          <c:idx val="1"/>
          <c:order val="1"/>
          <c:tx>
            <c:strRef>
              <c:f>HistoricoAvance!$D$3</c:f>
              <c:strCache>
                <c:ptCount val="1"/>
                <c:pt idx="0">
                  <c:v>Fallos</c:v>
                </c:pt>
              </c:strCache>
            </c:strRef>
          </c:tx>
          <c:spPr>
            <a:ln w="50800"/>
          </c:spPr>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HistoricoAvance!$D$4:$D$20</c:f>
              <c:numCache>
                <c:formatCode>0</c:formatCode>
                <c:ptCount val="17"/>
                <c:pt idx="0">
                  <c:v>10</c:v>
                </c:pt>
                <c:pt idx="1">
                  <c:v>15</c:v>
                </c:pt>
                <c:pt idx="2">
                  <c:v>10</c:v>
                </c:pt>
                <c:pt idx="3">
                  <c:v>1</c:v>
                </c:pt>
                <c:pt idx="4">
                  <c:v>10</c:v>
                </c:pt>
                <c:pt idx="5">
                  <c:v>10</c:v>
                </c:pt>
                <c:pt idx="6">
                  <c:v>20</c:v>
                </c:pt>
                <c:pt idx="7">
                  <c:v>19</c:v>
                </c:pt>
                <c:pt idx="8">
                  <c:v>20</c:v>
                </c:pt>
                <c:pt idx="9">
                  <c:v>22</c:v>
                </c:pt>
                <c:pt idx="10">
                  <c:v>4</c:v>
                </c:pt>
                <c:pt idx="11">
                  <c:v>1</c:v>
                </c:pt>
                <c:pt idx="12">
                  <c:v>1</c:v>
                </c:pt>
                <c:pt idx="13">
                  <c:v>1</c:v>
                </c:pt>
                <c:pt idx="14">
                  <c:v>2</c:v>
                </c:pt>
                <c:pt idx="15">
                  <c:v>0</c:v>
                </c:pt>
                <c:pt idx="16">
                  <c:v>12</c:v>
                </c:pt>
              </c:numCache>
            </c:numRef>
          </c:val>
          <c:smooth val="0"/>
        </c:ser>
        <c:ser>
          <c:idx val="2"/>
          <c:order val="2"/>
          <c:tx>
            <c:strRef>
              <c:f>HistoricoAvance!$E$3</c:f>
              <c:strCache>
                <c:ptCount val="1"/>
                <c:pt idx="0">
                  <c:v>Bloqueado</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HistoricoAvance!$E$4:$E$20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3"/>
          <c:order val="3"/>
          <c:tx>
            <c:strRef>
              <c:f>HistoricoAvance!$F$3</c:f>
              <c:strCache>
                <c:ptCount val="1"/>
                <c:pt idx="0">
                  <c:v>Pendiente</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HistoricoAvance!$F$4:$F$20</c:f>
              <c:numCache>
                <c:formatCode>0</c:formatCode>
                <c:ptCount val="17"/>
                <c:pt idx="0">
                  <c:v>0</c:v>
                </c:pt>
                <c:pt idx="1">
                  <c:v>0</c:v>
                </c:pt>
                <c:pt idx="2">
                  <c:v>0</c:v>
                </c:pt>
                <c:pt idx="3">
                  <c:v>0</c:v>
                </c:pt>
                <c:pt idx="4">
                  <c:v>0</c:v>
                </c:pt>
                <c:pt idx="5">
                  <c:v>0</c:v>
                </c:pt>
                <c:pt idx="6">
                  <c:v>0</c:v>
                </c:pt>
                <c:pt idx="7">
                  <c:v>0</c:v>
                </c:pt>
                <c:pt idx="8">
                  <c:v>0</c:v>
                </c:pt>
                <c:pt idx="9">
                  <c:v>1</c:v>
                </c:pt>
                <c:pt idx="10">
                  <c:v>1</c:v>
                </c:pt>
                <c:pt idx="11">
                  <c:v>0</c:v>
                </c:pt>
                <c:pt idx="12">
                  <c:v>0</c:v>
                </c:pt>
                <c:pt idx="13">
                  <c:v>0</c:v>
                </c:pt>
                <c:pt idx="14">
                  <c:v>0</c:v>
                </c:pt>
                <c:pt idx="15">
                  <c:v>0</c:v>
                </c:pt>
                <c:pt idx="16">
                  <c:v>0</c:v>
                </c:pt>
              </c:numCache>
            </c:numRef>
          </c:val>
          <c:smooth val="0"/>
        </c:ser>
        <c:ser>
          <c:idx val="4"/>
          <c:order val="4"/>
          <c:tx>
            <c:strRef>
              <c:f>HistoricoAvance!$G$3</c:f>
              <c:strCache>
                <c:ptCount val="1"/>
                <c:pt idx="0">
                  <c:v>No Aplica</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HistoricoAvance!$G$4:$G$20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5"/>
          <c:order val="5"/>
          <c:tx>
            <c:strRef>
              <c:f>HistoricoAvance!$H$3</c:f>
              <c:strCache>
                <c:ptCount val="1"/>
                <c:pt idx="0">
                  <c:v>En Proceso</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HistoricoAvance!$H$4:$H$20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6"/>
          <c:order val="6"/>
          <c:tx>
            <c:strRef>
              <c:f>HistoricoAvance!$I$3</c:f>
              <c:strCache>
                <c:ptCount val="1"/>
                <c:pt idx="0">
                  <c:v>Reejecuciones</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HistoricoAvance!$I$4:$I$20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HistoricoAvance!$J$4:$J$20</c:f>
              <c:numCache>
                <c:formatCode>General</c:formatCode>
                <c:ptCount val="17"/>
                <c:pt idx="0">
                  <c:v>10</c:v>
                </c:pt>
                <c:pt idx="1">
                  <c:v>15</c:v>
                </c:pt>
                <c:pt idx="2">
                  <c:v>15</c:v>
                </c:pt>
                <c:pt idx="3">
                  <c:v>15</c:v>
                </c:pt>
                <c:pt idx="4">
                  <c:v>25</c:v>
                </c:pt>
                <c:pt idx="5">
                  <c:v>25</c:v>
                </c:pt>
                <c:pt idx="6">
                  <c:v>35</c:v>
                </c:pt>
                <c:pt idx="7">
                  <c:v>35</c:v>
                </c:pt>
                <c:pt idx="8">
                  <c:v>35</c:v>
                </c:pt>
                <c:pt idx="9">
                  <c:v>36</c:v>
                </c:pt>
                <c:pt idx="10">
                  <c:v>36</c:v>
                </c:pt>
                <c:pt idx="11">
                  <c:v>36</c:v>
                </c:pt>
                <c:pt idx="12">
                  <c:v>37</c:v>
                </c:pt>
                <c:pt idx="13">
                  <c:v>37</c:v>
                </c:pt>
                <c:pt idx="14">
                  <c:v>37</c:v>
                </c:pt>
                <c:pt idx="15">
                  <c:v>37</c:v>
                </c:pt>
                <c:pt idx="16">
                  <c:v>37</c:v>
                </c:pt>
              </c:numCache>
            </c:numRef>
          </c:val>
          <c:smooth val="0"/>
        </c:ser>
        <c:dLbls>
          <c:showLegendKey val="0"/>
          <c:showVal val="0"/>
          <c:showCatName val="0"/>
          <c:showSerName val="0"/>
          <c:showPercent val="0"/>
          <c:showBubbleSize val="0"/>
        </c:dLbls>
        <c:marker val="1"/>
        <c:smooth val="0"/>
        <c:axId val="137462144"/>
        <c:axId val="137463680"/>
      </c:lineChart>
      <c:dateAx>
        <c:axId val="137462144"/>
        <c:scaling>
          <c:orientation val="minMax"/>
        </c:scaling>
        <c:delete val="0"/>
        <c:axPos val="b"/>
        <c:numFmt formatCode="dd/mm/yyyy" sourceLinked="1"/>
        <c:majorTickMark val="out"/>
        <c:minorTickMark val="none"/>
        <c:tickLblPos val="nextTo"/>
        <c:txPr>
          <a:bodyPr/>
          <a:lstStyle/>
          <a:p>
            <a:pPr>
              <a:defRPr lang="es-ES"/>
            </a:pPr>
            <a:endParaRPr lang="es-PE"/>
          </a:p>
        </c:txPr>
        <c:crossAx val="137463680"/>
        <c:crosses val="autoZero"/>
        <c:auto val="1"/>
        <c:lblOffset val="100"/>
        <c:baseTimeUnit val="days"/>
      </c:dateAx>
      <c:valAx>
        <c:axId val="137463680"/>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7462144"/>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11" l="0.70000000000000062" r="0.70000000000000062" t="0.750000000000011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HistoricoAvance!$M$4:$M$20</c:f>
              <c:numCache>
                <c:formatCode>0</c:formatCode>
                <c:ptCount val="17"/>
                <c:pt idx="0">
                  <c:v>55</c:v>
                </c:pt>
                <c:pt idx="1">
                  <c:v>101</c:v>
                </c:pt>
                <c:pt idx="2">
                  <c:v>19</c:v>
                </c:pt>
                <c:pt idx="3">
                  <c:v>3</c:v>
                </c:pt>
                <c:pt idx="4">
                  <c:v>92</c:v>
                </c:pt>
                <c:pt idx="5">
                  <c:v>21</c:v>
                </c:pt>
                <c:pt idx="6">
                  <c:v>63</c:v>
                </c:pt>
                <c:pt idx="7">
                  <c:v>87</c:v>
                </c:pt>
                <c:pt idx="8">
                  <c:v>111</c:v>
                </c:pt>
                <c:pt idx="9">
                  <c:v>36</c:v>
                </c:pt>
                <c:pt idx="10">
                  <c:v>11</c:v>
                </c:pt>
                <c:pt idx="11">
                  <c:v>5</c:v>
                </c:pt>
                <c:pt idx="12">
                  <c:v>48</c:v>
                </c:pt>
                <c:pt idx="13">
                  <c:v>20</c:v>
                </c:pt>
                <c:pt idx="14">
                  <c:v>5</c:v>
                </c:pt>
                <c:pt idx="15">
                  <c:v>0</c:v>
                </c:pt>
                <c:pt idx="16">
                  <c:v>13</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HistoricoAvance!$N$4:$N$20</c:f>
              <c:numCache>
                <c:formatCode>0</c:formatCode>
                <c:ptCount val="17"/>
                <c:pt idx="0">
                  <c:v>0</c:v>
                </c:pt>
                <c:pt idx="1">
                  <c:v>0</c:v>
                </c:pt>
                <c:pt idx="2">
                  <c:v>101</c:v>
                </c:pt>
                <c:pt idx="3">
                  <c:v>120</c:v>
                </c:pt>
                <c:pt idx="4">
                  <c:v>123</c:v>
                </c:pt>
                <c:pt idx="5">
                  <c:v>215</c:v>
                </c:pt>
                <c:pt idx="6">
                  <c:v>215</c:v>
                </c:pt>
                <c:pt idx="7">
                  <c:v>215</c:v>
                </c:pt>
                <c:pt idx="8">
                  <c:v>215</c:v>
                </c:pt>
                <c:pt idx="9">
                  <c:v>333</c:v>
                </c:pt>
                <c:pt idx="10">
                  <c:v>369</c:v>
                </c:pt>
                <c:pt idx="11">
                  <c:v>380</c:v>
                </c:pt>
                <c:pt idx="12">
                  <c:v>380</c:v>
                </c:pt>
                <c:pt idx="13">
                  <c:v>425</c:v>
                </c:pt>
                <c:pt idx="14">
                  <c:v>445</c:v>
                </c:pt>
                <c:pt idx="15">
                  <c:v>450</c:v>
                </c:pt>
                <c:pt idx="16">
                  <c:v>450</c:v>
                </c:pt>
              </c:numCache>
            </c:numRef>
          </c:val>
          <c:smooth val="0"/>
        </c:ser>
        <c:ser>
          <c:idx val="2"/>
          <c:order val="2"/>
          <c:tx>
            <c:strRef>
              <c:f>HistoricoAvance!$O$3</c:f>
              <c:strCache>
                <c:ptCount val="1"/>
                <c:pt idx="0">
                  <c:v>Totales</c:v>
                </c:pt>
              </c:strCache>
            </c:strRef>
          </c:tx>
          <c:cat>
            <c:numRef>
              <c:f>HistoricoAvance!$L$4:$L$20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HistoricoAvance!$O$4:$O$20</c:f>
              <c:numCache>
                <c:formatCode>General</c:formatCode>
                <c:ptCount val="17"/>
                <c:pt idx="0">
                  <c:v>55</c:v>
                </c:pt>
                <c:pt idx="1">
                  <c:v>101</c:v>
                </c:pt>
                <c:pt idx="2">
                  <c:v>120</c:v>
                </c:pt>
                <c:pt idx="3">
                  <c:v>123</c:v>
                </c:pt>
                <c:pt idx="4">
                  <c:v>215</c:v>
                </c:pt>
                <c:pt idx="5">
                  <c:v>236</c:v>
                </c:pt>
                <c:pt idx="6">
                  <c:v>278</c:v>
                </c:pt>
                <c:pt idx="7">
                  <c:v>302</c:v>
                </c:pt>
                <c:pt idx="8">
                  <c:v>326</c:v>
                </c:pt>
                <c:pt idx="9">
                  <c:v>369</c:v>
                </c:pt>
                <c:pt idx="10">
                  <c:v>380</c:v>
                </c:pt>
                <c:pt idx="11">
                  <c:v>385</c:v>
                </c:pt>
                <c:pt idx="12">
                  <c:v>428</c:v>
                </c:pt>
                <c:pt idx="13">
                  <c:v>445</c:v>
                </c:pt>
                <c:pt idx="14">
                  <c:v>450</c:v>
                </c:pt>
                <c:pt idx="15">
                  <c:v>450</c:v>
                </c:pt>
                <c:pt idx="16">
                  <c:v>463</c:v>
                </c:pt>
              </c:numCache>
            </c:numRef>
          </c:val>
          <c:smooth val="0"/>
        </c:ser>
        <c:dLbls>
          <c:showLegendKey val="0"/>
          <c:showVal val="0"/>
          <c:showCatName val="0"/>
          <c:showSerName val="0"/>
          <c:showPercent val="0"/>
          <c:showBubbleSize val="0"/>
        </c:dLbls>
        <c:marker val="1"/>
        <c:smooth val="0"/>
        <c:axId val="139926528"/>
        <c:axId val="139932416"/>
      </c:lineChart>
      <c:dateAx>
        <c:axId val="139926528"/>
        <c:scaling>
          <c:orientation val="minMax"/>
        </c:scaling>
        <c:delete val="0"/>
        <c:axPos val="b"/>
        <c:numFmt formatCode="dd/mm/yyyy" sourceLinked="1"/>
        <c:majorTickMark val="out"/>
        <c:minorTickMark val="none"/>
        <c:tickLblPos val="nextTo"/>
        <c:txPr>
          <a:bodyPr/>
          <a:lstStyle/>
          <a:p>
            <a:pPr>
              <a:defRPr lang="es-ES"/>
            </a:pPr>
            <a:endParaRPr lang="es-PE"/>
          </a:p>
        </c:txPr>
        <c:crossAx val="139932416"/>
        <c:crosses val="autoZero"/>
        <c:auto val="1"/>
        <c:lblOffset val="100"/>
        <c:baseTimeUnit val="days"/>
      </c:dateAx>
      <c:valAx>
        <c:axId val="139932416"/>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9926528"/>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39961472"/>
        <c:axId val="139963008"/>
      </c:barChart>
      <c:catAx>
        <c:axId val="139961472"/>
        <c:scaling>
          <c:orientation val="minMax"/>
        </c:scaling>
        <c:delete val="0"/>
        <c:axPos val="b"/>
        <c:majorTickMark val="out"/>
        <c:minorTickMark val="none"/>
        <c:tickLblPos val="nextTo"/>
        <c:txPr>
          <a:bodyPr/>
          <a:lstStyle/>
          <a:p>
            <a:pPr>
              <a:defRPr lang="es-ES"/>
            </a:pPr>
            <a:endParaRPr lang="es-PE"/>
          </a:p>
        </c:txPr>
        <c:crossAx val="139963008"/>
        <c:crosses val="autoZero"/>
        <c:auto val="1"/>
        <c:lblAlgn val="ctr"/>
        <c:lblOffset val="100"/>
        <c:noMultiLvlLbl val="0"/>
      </c:catAx>
      <c:valAx>
        <c:axId val="13996300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961472"/>
        <c:crosses val="autoZero"/>
        <c:crossBetween val="between"/>
      </c:valAx>
    </c:plotArea>
    <c:plotVisOnly val="1"/>
    <c:dispBlanksAs val="gap"/>
    <c:showDLblsOverMax val="0"/>
  </c:chart>
  <c:printSettings>
    <c:headerFooter/>
    <c:pageMargins b="0.75000000000001099" l="0.70000000000000062" r="0.70000000000000062" t="0.7500000000000109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39984256"/>
        <c:axId val="139859072"/>
      </c:barChart>
      <c:catAx>
        <c:axId val="139984256"/>
        <c:scaling>
          <c:orientation val="minMax"/>
        </c:scaling>
        <c:delete val="0"/>
        <c:axPos val="b"/>
        <c:majorTickMark val="out"/>
        <c:minorTickMark val="none"/>
        <c:tickLblPos val="nextTo"/>
        <c:txPr>
          <a:bodyPr/>
          <a:lstStyle/>
          <a:p>
            <a:pPr>
              <a:defRPr lang="es-ES"/>
            </a:pPr>
            <a:endParaRPr lang="es-PE"/>
          </a:p>
        </c:txPr>
        <c:crossAx val="139859072"/>
        <c:crosses val="autoZero"/>
        <c:auto val="1"/>
        <c:lblAlgn val="ctr"/>
        <c:lblOffset val="100"/>
        <c:noMultiLvlLbl val="0"/>
      </c:catAx>
      <c:valAx>
        <c:axId val="13985907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984256"/>
        <c:crosses val="autoZero"/>
        <c:crossBetween val="between"/>
      </c:valAx>
    </c:plotArea>
    <c:plotVisOnly val="1"/>
    <c:dispBlanksAs val="gap"/>
    <c:showDLblsOverMax val="0"/>
  </c:chart>
  <c:printSettings>
    <c:headerFooter/>
    <c:pageMargins b="0.75000000000001099" l="0.70000000000000062" r="0.70000000000000062" t="0.7500000000000109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39900416"/>
        <c:axId val="139901952"/>
      </c:barChart>
      <c:catAx>
        <c:axId val="139900416"/>
        <c:scaling>
          <c:orientation val="minMax"/>
        </c:scaling>
        <c:delete val="0"/>
        <c:axPos val="b"/>
        <c:majorTickMark val="out"/>
        <c:minorTickMark val="none"/>
        <c:tickLblPos val="nextTo"/>
        <c:txPr>
          <a:bodyPr/>
          <a:lstStyle/>
          <a:p>
            <a:pPr>
              <a:defRPr lang="es-ES"/>
            </a:pPr>
            <a:endParaRPr lang="es-PE"/>
          </a:p>
        </c:txPr>
        <c:crossAx val="139901952"/>
        <c:crosses val="autoZero"/>
        <c:auto val="1"/>
        <c:lblAlgn val="ctr"/>
        <c:lblOffset val="100"/>
        <c:noMultiLvlLbl val="0"/>
      </c:catAx>
      <c:valAx>
        <c:axId val="13990195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900416"/>
        <c:crosses val="autoZero"/>
        <c:crossBetween val="between"/>
      </c:valAx>
    </c:plotArea>
    <c:plotVisOnly val="1"/>
    <c:dispBlanksAs val="gap"/>
    <c:showDLblsOverMax val="0"/>
  </c:chart>
  <c:printSettings>
    <c:headerFooter/>
    <c:pageMargins b="0.75000000000001099" l="0.70000000000000062" r="0.70000000000000062" t="0.750000000000010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39914240"/>
        <c:axId val="141374208"/>
      </c:barChart>
      <c:catAx>
        <c:axId val="139914240"/>
        <c:scaling>
          <c:orientation val="minMax"/>
        </c:scaling>
        <c:delete val="0"/>
        <c:axPos val="b"/>
        <c:majorTickMark val="out"/>
        <c:minorTickMark val="none"/>
        <c:tickLblPos val="nextTo"/>
        <c:txPr>
          <a:bodyPr/>
          <a:lstStyle/>
          <a:p>
            <a:pPr>
              <a:defRPr lang="es-ES"/>
            </a:pPr>
            <a:endParaRPr lang="es-PE"/>
          </a:p>
        </c:txPr>
        <c:crossAx val="141374208"/>
        <c:crosses val="autoZero"/>
        <c:auto val="1"/>
        <c:lblAlgn val="ctr"/>
        <c:lblOffset val="100"/>
        <c:noMultiLvlLbl val="0"/>
      </c:catAx>
      <c:valAx>
        <c:axId val="14137420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914240"/>
        <c:crosses val="autoZero"/>
        <c:crossBetween val="between"/>
      </c:valAx>
    </c:plotArea>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1407360"/>
        <c:axId val="141408896"/>
      </c:barChart>
      <c:catAx>
        <c:axId val="141407360"/>
        <c:scaling>
          <c:orientation val="minMax"/>
        </c:scaling>
        <c:delete val="0"/>
        <c:axPos val="b"/>
        <c:majorTickMark val="out"/>
        <c:minorTickMark val="none"/>
        <c:tickLblPos val="nextTo"/>
        <c:txPr>
          <a:bodyPr/>
          <a:lstStyle/>
          <a:p>
            <a:pPr>
              <a:defRPr lang="es-ES"/>
            </a:pPr>
            <a:endParaRPr lang="es-PE"/>
          </a:p>
        </c:txPr>
        <c:crossAx val="141408896"/>
        <c:crosses val="autoZero"/>
        <c:auto val="1"/>
        <c:lblAlgn val="ctr"/>
        <c:lblOffset val="100"/>
        <c:noMultiLvlLbl val="0"/>
      </c:catAx>
      <c:valAx>
        <c:axId val="14140889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407360"/>
        <c:crosses val="autoZero"/>
        <c:crossBetween val="between"/>
      </c:valAx>
    </c:plotArea>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1700096"/>
        <c:axId val="141705984"/>
      </c:barChart>
      <c:catAx>
        <c:axId val="141700096"/>
        <c:scaling>
          <c:orientation val="minMax"/>
        </c:scaling>
        <c:delete val="0"/>
        <c:axPos val="b"/>
        <c:majorTickMark val="out"/>
        <c:minorTickMark val="none"/>
        <c:tickLblPos val="nextTo"/>
        <c:txPr>
          <a:bodyPr/>
          <a:lstStyle/>
          <a:p>
            <a:pPr>
              <a:defRPr lang="es-ES"/>
            </a:pPr>
            <a:endParaRPr lang="es-PE"/>
          </a:p>
        </c:txPr>
        <c:crossAx val="141705984"/>
        <c:crosses val="autoZero"/>
        <c:auto val="1"/>
        <c:lblAlgn val="ctr"/>
        <c:lblOffset val="100"/>
        <c:noMultiLvlLbl val="0"/>
      </c:catAx>
      <c:valAx>
        <c:axId val="14170598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700096"/>
        <c:crosses val="autoZero"/>
        <c:crossBetween val="between"/>
      </c:valAx>
    </c:plotArea>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2</xdr:col>
          <xdr:colOff>2562225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ose/Mis%20documentos/Downloads/QA%20-%20Inspecci&#243;n%20Paquete%20%23%202/ANOCFAP%20Insp%20v3.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s>
    <sheetDataSet>
      <sheetData sheetId="0" refreshError="1"/>
      <sheetData sheetId="1" refreshError="1"/>
      <sheetData sheetId="2" refreshError="1"/>
      <sheetData sheetId="3" refreshError="1"/>
      <sheetData sheetId="4">
        <row r="223">
          <cell r="A223" t="str">
            <v>OBS221</v>
          </cell>
          <cell r="B223" t="str">
            <v>CP019</v>
          </cell>
          <cell r="C223" t="str">
            <v>Alta</v>
          </cell>
          <cell r="D223" t="str">
            <v>Alta</v>
          </cell>
          <cell r="E223" t="str">
            <v>Abierta</v>
          </cell>
          <cell r="F223">
            <v>40835</v>
          </cell>
          <cell r="H223" t="str">
            <v>AM</v>
          </cell>
          <cell r="I223" t="str">
            <v>Toda tarea, actividad: proceso, subproceso, gateway, evento tiene que empezar con un verbo infinitivo. (-ar, -er, -ir).</v>
          </cell>
          <cell r="J223" t="str">
            <v>Se cambiaron los nombres de los procesos.</v>
          </cell>
        </row>
        <row r="224">
          <cell r="A224" t="str">
            <v>OBS222</v>
          </cell>
          <cell r="B224" t="str">
            <v>CP020</v>
          </cell>
          <cell r="C224" t="str">
            <v>Alta</v>
          </cell>
          <cell r="D224" t="str">
            <v>Alta</v>
          </cell>
          <cell r="E224" t="str">
            <v>Abierta</v>
          </cell>
          <cell r="F224">
            <v>40835</v>
          </cell>
          <cell r="H224" t="str">
            <v>AM</v>
          </cell>
          <cell r="I224" t="str">
            <v>Toda tarea, actividad: proceso, subproceso, gateway, evento tiene que empezar con un verbo infinitivo. (-ar, -er, -ir).</v>
          </cell>
          <cell r="J224" t="str">
            <v>Coordinar con Rosario Villalta</v>
          </cell>
        </row>
        <row r="225">
          <cell r="A225" t="str">
            <v>OBS223</v>
          </cell>
          <cell r="B225" t="str">
            <v>CP020</v>
          </cell>
          <cell r="C225" t="str">
            <v>Alta</v>
          </cell>
          <cell r="D225" t="str">
            <v>Alta</v>
          </cell>
          <cell r="E225" t="str">
            <v>Abierta</v>
          </cell>
          <cell r="F225">
            <v>40835</v>
          </cell>
          <cell r="H225" t="str">
            <v>AM</v>
          </cell>
          <cell r="I225" t="str">
            <v>Considerar las actividades de compensación que se llaman en la actividad 5 y 8. La actividad de compensación indica el rolling back del flujo. Para este caso, cancelando todo el proceso.</v>
          </cell>
          <cell r="J225" t="str">
            <v>Se cambió de evento.</v>
          </cell>
        </row>
        <row r="226">
          <cell r="A226" t="str">
            <v>OBS224</v>
          </cell>
          <cell r="B226" t="str">
            <v>CP020</v>
          </cell>
          <cell r="C226" t="str">
            <v>Alta</v>
          </cell>
          <cell r="D226" t="str">
            <v>Media</v>
          </cell>
          <cell r="E226" t="str">
            <v>Abierta</v>
          </cell>
          <cell r="F226">
            <v>40835</v>
          </cell>
          <cell r="H226" t="str">
            <v>AM</v>
          </cell>
          <cell r="I226" t="str">
            <v>Es una buena práctica caracterizar según el flujo total, no solo del principal. El fin debería ser lo último que se caracteriza al igual que procesos que tienen datos de salida que son datos de entrada de otro proceso se caracterizan primero.</v>
          </cell>
          <cell r="J226" t="str">
            <v>Se corrigió la enumeración.</v>
          </cell>
        </row>
        <row r="227">
          <cell r="A227" t="str">
            <v>OBS225</v>
          </cell>
          <cell r="B227" t="str">
            <v>CP021</v>
          </cell>
          <cell r="C227" t="str">
            <v>Alta</v>
          </cell>
          <cell r="D227" t="str">
            <v>Alta</v>
          </cell>
          <cell r="E227" t="str">
            <v>Abierta</v>
          </cell>
          <cell r="F227">
            <v>40835</v>
          </cell>
          <cell r="H227" t="str">
            <v>AM</v>
          </cell>
          <cell r="I227" t="str">
            <v>El nombre de un proceso debe comenzar con un verbo en infinitivo, solo los nombres de los Macroprocesos no cumplen con esa regla.</v>
          </cell>
        </row>
        <row r="228">
          <cell r="A228" t="str">
            <v>OBS226</v>
          </cell>
          <cell r="B228" t="str">
            <v>CP022</v>
          </cell>
          <cell r="C228" t="str">
            <v>Alta</v>
          </cell>
          <cell r="D228" t="str">
            <v>Alta</v>
          </cell>
          <cell r="E228" t="str">
            <v>Abierta</v>
          </cell>
          <cell r="F228">
            <v>40835</v>
          </cell>
          <cell r="H228" t="str">
            <v>AM</v>
          </cell>
          <cell r="I228" t="str">
            <v>El nombre de un proceso debe comenzar con un verbo en infinitivo, solo los nombres de los Macroprocesos no cumplen con esa regla.</v>
          </cell>
        </row>
        <row r="229">
          <cell r="A229" t="str">
            <v>OBS227</v>
          </cell>
          <cell r="B229" t="str">
            <v>CP023</v>
          </cell>
          <cell r="C229" t="str">
            <v>Alta</v>
          </cell>
          <cell r="D229" t="str">
            <v>Alta</v>
          </cell>
          <cell r="E229" t="str">
            <v>Abierta</v>
          </cell>
          <cell r="F229">
            <v>40835</v>
          </cell>
          <cell r="H229" t="str">
            <v>AM</v>
          </cell>
          <cell r="I229" t="str">
            <v>El nombre de un proceso debe comenzar con un verbo en infinitivo, solo los nombres de los Macroprocesos no cumplen con esa regla.</v>
          </cell>
        </row>
        <row r="230">
          <cell r="A230" t="str">
            <v>OBS228</v>
          </cell>
          <cell r="B230" t="str">
            <v>CP023</v>
          </cell>
          <cell r="C230" t="str">
            <v>Alta</v>
          </cell>
          <cell r="D230" t="str">
            <v>Media</v>
          </cell>
          <cell r="E230" t="str">
            <v>Abierta</v>
          </cell>
          <cell r="F230">
            <v>40835</v>
          </cell>
          <cell r="H230" t="str">
            <v>AM</v>
          </cell>
          <cell r="I230" t="str">
            <v>El dato de salida del inicio "Conjunto de Cartas entregadas" nunca se usa en el flujo.</v>
          </cell>
          <cell r="J230" t="str">
            <v>La salida se agregó como entrada de la actividad 2.</v>
          </cell>
        </row>
        <row r="231">
          <cell r="A231" t="str">
            <v>OBS229</v>
          </cell>
          <cell r="B231" t="str">
            <v>CP023</v>
          </cell>
          <cell r="C231" t="str">
            <v>Alta</v>
          </cell>
          <cell r="D231" t="str">
            <v>Media</v>
          </cell>
          <cell r="E231" t="str">
            <v>Abierta</v>
          </cell>
          <cell r="F231">
            <v>40835</v>
          </cell>
          <cell r="H231" t="str">
            <v>AM</v>
          </cell>
          <cell r="I231" t="str">
            <v>"Decisión luego de visita" debería ser dato de salida de la actividad 3</v>
          </cell>
          <cell r="J231" t="str">
            <v>Se considerará tanto como entrada y salida, pues proviene del proceso de apoyo "Realizar Visita a Institución" y es necesaria para evaluar la decisión del donante.</v>
          </cell>
        </row>
        <row r="232">
          <cell r="A232" t="str">
            <v>OBS230</v>
          </cell>
          <cell r="B232" t="str">
            <v>CP023</v>
          </cell>
          <cell r="C232" t="str">
            <v>Alta</v>
          </cell>
          <cell r="D232" t="str">
            <v>Media</v>
          </cell>
          <cell r="E232" t="str">
            <v>Abierta</v>
          </cell>
          <cell r="F232">
            <v>40835</v>
          </cell>
          <cell r="H232" t="str">
            <v>AM</v>
          </cell>
          <cell r="I232" t="str">
            <v>"Visita innecesaria" debería ser dato de entrada de la actividad 7</v>
          </cell>
          <cell r="J232" t="str">
            <v>Se agregó como entrada de la actividad 7.</v>
          </cell>
        </row>
        <row r="233">
          <cell r="A233" t="str">
            <v>OBS231</v>
          </cell>
          <cell r="B233" t="str">
            <v>CP023</v>
          </cell>
          <cell r="C233" t="str">
            <v>Alta</v>
          </cell>
          <cell r="D233" t="str">
            <v>Media</v>
          </cell>
          <cell r="E233" t="str">
            <v>Abierta</v>
          </cell>
          <cell r="F233">
            <v>40835</v>
          </cell>
          <cell r="H233" t="str">
            <v>AM</v>
          </cell>
          <cell r="I233" t="str">
            <v>"Voucher enviado" no puede ser un dato de entrada de la actividad 8.</v>
          </cell>
          <cell r="J233" t="str">
            <v>Se eliminó como entrada de la actividad 8.</v>
          </cell>
        </row>
        <row r="234">
          <cell r="A234" t="str">
            <v>OBS232</v>
          </cell>
          <cell r="B234" t="str">
            <v>CP023</v>
          </cell>
          <cell r="C234" t="str">
            <v>Alta</v>
          </cell>
          <cell r="D234" t="str">
            <v>Media</v>
          </cell>
          <cell r="E234" t="str">
            <v>Abierta</v>
          </cell>
          <cell r="F234">
            <v>40835</v>
          </cell>
          <cell r="H234" t="str">
            <v>AM</v>
          </cell>
          <cell r="I234" t="str">
            <v>No hay dato que relacione la actividad 8 y 10.</v>
          </cell>
          <cell r="J234" t="str">
            <v>Se agregó la salida de la actividad 8 como entrada de la actividad 10.</v>
          </cell>
        </row>
        <row r="235">
          <cell r="A235" t="str">
            <v>OBS233</v>
          </cell>
          <cell r="B235" t="str">
            <v>CP023</v>
          </cell>
          <cell r="C235" t="str">
            <v>Alta</v>
          </cell>
          <cell r="D235" t="str">
            <v>Media</v>
          </cell>
          <cell r="E235" t="str">
            <v>Abierta</v>
          </cell>
          <cell r="F235">
            <v>40835</v>
          </cell>
          <cell r="H235" t="str">
            <v>AM</v>
          </cell>
          <cell r="I235" t="str">
            <v xml:space="preserve">No se menciona los eventos timers de las actividades 14 y 20, ni el evento de condición, regla de negocio, de la actividad 16 en la caracterización. Mientras que en la actividad 15 se menciona una regla de negocio que no se ve en el diagrama. </v>
          </cell>
          <cell r="J235" t="str">
            <v>Se agregaron las descripciones correspondientes.</v>
          </cell>
        </row>
        <row r="236">
          <cell r="A236" t="str">
            <v>OBS234</v>
          </cell>
          <cell r="B236" t="str">
            <v>CP024</v>
          </cell>
          <cell r="C236" t="str">
            <v>Alta</v>
          </cell>
          <cell r="D236" t="str">
            <v>Alta</v>
          </cell>
          <cell r="E236" t="str">
            <v>Abierta</v>
          </cell>
          <cell r="F236">
            <v>40835</v>
          </cell>
          <cell r="H236" t="str">
            <v>AM</v>
          </cell>
          <cell r="I236" t="str">
            <v>Toda tarea, actividad: proceso, subproceso, gateway, evento tiene que empezar con un verbo infinitivo. (-ar, -er, -ir).</v>
          </cell>
          <cell r="J236" t="str">
            <v>Coordinar con Rosario Villalta</v>
          </cell>
        </row>
        <row r="237">
          <cell r="A237" t="str">
            <v>OBS235</v>
          </cell>
          <cell r="B237" t="str">
            <v>CP025</v>
          </cell>
          <cell r="C237" t="str">
            <v>Alta</v>
          </cell>
          <cell r="D237" t="str">
            <v>Alta</v>
          </cell>
          <cell r="E237" t="str">
            <v>Abierta</v>
          </cell>
          <cell r="F237">
            <v>40835</v>
          </cell>
          <cell r="H237" t="str">
            <v>AM</v>
          </cell>
          <cell r="I237" t="str">
            <v>El nombre de un proceso debe comenzar con un verbo en infinitivo, solo los nombres de los Macroprocesos no cumplen con esa regla.</v>
          </cell>
          <cell r="J237" t="str">
            <v>Coordinar con Rosario Villalta</v>
          </cell>
        </row>
        <row r="238">
          <cell r="A238" t="str">
            <v>OBS236</v>
          </cell>
          <cell r="B238" t="str">
            <v>CP025</v>
          </cell>
          <cell r="C238" t="str">
            <v>Alta</v>
          </cell>
          <cell r="D238" t="str">
            <v>Alta</v>
          </cell>
          <cell r="E238" t="str">
            <v>Abierta</v>
          </cell>
          <cell r="F238">
            <v>40835</v>
          </cell>
          <cell r="H238" t="str">
            <v>AM</v>
          </cell>
          <cell r="I238" t="str">
            <v>Toda tarea, actividad: proceso, subproceso, gateway, evento tiene que empezar con un verbo infinitivo. (-ar, -er, -ir).</v>
          </cell>
          <cell r="J238" t="str">
            <v>Coordinar con Rosario Villalta</v>
          </cell>
        </row>
      </sheetData>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41" totalsRowShown="0" headerRowDxfId="69" dataDxfId="67" headerRowBorderDxfId="68" tableBorderDxfId="66">
  <autoFilter ref="A4:Q41"/>
  <tableColumns count="17">
    <tableColumn id="1" name="Código de REQ" dataDxfId="65"/>
    <tableColumn id="2" name="Código CP" dataDxfId="64"/>
    <tableColumn id="3" name="Funcionalidad" dataDxfId="63"/>
    <tableColumn id="4" name="Descripción Caso de Prueba" dataDxfId="62"/>
    <tableColumn id="5" name="Resultado Esperado" dataDxfId="61"/>
    <tableColumn id="6" name="Resultado Real" dataDxfId="60">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9"/>
    <tableColumn id="8" name="Prioridad" dataDxfId="58"/>
    <tableColumn id="9" name="Severidad" dataDxfId="57"/>
    <tableColumn id="10" name="Estado Incidencia" dataDxfId="56"/>
    <tableColumn id="11" name="Reejecución" dataDxfId="55"/>
    <tableColumn id="12" name="Fecha Planificada" dataDxfId="54">
      <calculatedColumnFormula>General!$A$10</calculatedColumnFormula>
    </tableColumn>
    <tableColumn id="13" name="Fecha Real" dataDxfId="53"/>
    <tableColumn id="14" name="Duración Caso de Prueba (horas / hombre)" dataDxfId="52"/>
    <tableColumn id="16" name="Pre-requisitos para la ejecución de la prueba" dataDxfId="51"/>
    <tableColumn id="17" name="Observaciones Pruebas Testing" dataDxfId="50"/>
    <tableColumn id="18" name="Revisión" dataDxfId="49">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M465" totalsRowShown="0" headerRowDxfId="48" dataDxfId="46" headerRowBorderDxfId="47" tableBorderDxfId="45">
  <autoFilter ref="A2:M465">
    <filterColumn colId="5">
      <filters>
        <filter val="Abierta"/>
      </filters>
    </filterColumn>
  </autoFilter>
  <sortState ref="A243:N304">
    <sortCondition ref="K2:K361"/>
  </sortState>
  <tableColumns count="13">
    <tableColumn id="1" name="Cod. Obs." dataDxfId="44"/>
    <tableColumn id="2" name="Caso de Prueba" dataDxfId="43"/>
    <tableColumn id="12" name="Columna1" dataDxfId="42">
      <calculatedColumnFormula>VLOOKUP(Observaciones[[#This Row],[Caso de Prueba]],CasoPrueba[[Código CP]:[Descripción Caso de Prueba]],3,0)</calculatedColumnFormula>
    </tableColumn>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HistoricoIncidencias" displayName="HistoricoIncidencias" ref="L3:O20" totalsRowShown="0" headerRowDxfId="19" headerRowBorderDxfId="18" tableBorderDxfId="17">
  <tableColumns count="4">
    <tableColumn id="1" name="Fecha" dataDxfId="16"/>
    <tableColumn id="2" name="Abiertas" dataDxfId="15"/>
    <tableColumn id="4" name="Cerradas" dataDxfId="14"/>
    <tableColumn id="5" name="Totales" dataDxfId="13">
      <calculatedColumnFormula>SUM([2]!HistoricoIncidencias[[#This Row],[Abiertas]:[Cerradas]])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4" name="HistóricoEjecuciones" displayName="HistóricoEjecuciones" ref="B3:J20" totalsRowShown="0" headerRowDxfId="12" dataDxfId="10" headerRowBorderDxfId="11" tableBorderDxfId="9">
  <tableColumns count="9">
    <tableColumn id="1" name="Fecha" dataDxfId="8"/>
    <tableColumn id="2" name="Aciertos" dataDxfId="7"/>
    <tableColumn id="3" name="Fallos" dataDxfId="6"/>
    <tableColumn id="4" name="Bloqueado" dataDxfId="5"/>
    <tableColumn id="7" name="Pendiente" dataDxfId="4"/>
    <tableColumn id="5" name="No Aplica" dataDxfId="3"/>
    <tableColumn id="8" name="En Proceso" dataDxfId="2"/>
    <tableColumn id="9" name="Reejecuciones" dataDxfId="1"/>
    <tableColumn id="6" name="Totales" dataDxfId="0">
      <calculatedColumnFormula>SUM([2]!HistóricoEjecuciones[[#This Row],[Aciertos]:[En Proceso]])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6" sqref="B6"/>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7" t="s">
        <v>0</v>
      </c>
      <c r="B1" s="178"/>
      <c r="C1" s="178"/>
      <c r="D1" s="178"/>
      <c r="XFB1" s="4" t="s">
        <v>136</v>
      </c>
    </row>
    <row r="2" spans="1:4 16382:16382" ht="19.5" customHeight="1">
      <c r="A2" s="179" t="s">
        <v>1</v>
      </c>
      <c r="B2" s="179"/>
      <c r="C2" s="179"/>
      <c r="D2" s="179"/>
      <c r="XFB2" s="4" t="s">
        <v>137</v>
      </c>
    </row>
    <row r="3" spans="1:4 16382:16382" ht="19.5" customHeight="1">
      <c r="A3" s="109" t="s">
        <v>140</v>
      </c>
      <c r="B3" s="112" t="s">
        <v>163</v>
      </c>
      <c r="C3" s="109" t="s">
        <v>2</v>
      </c>
      <c r="D3" s="113" t="s">
        <v>139</v>
      </c>
      <c r="XFB3" s="4" t="s">
        <v>138</v>
      </c>
    </row>
    <row r="4" spans="1:4 16382:16382" ht="19.5" customHeight="1">
      <c r="A4" s="110" t="s">
        <v>141</v>
      </c>
      <c r="B4" s="180" t="s">
        <v>169</v>
      </c>
      <c r="C4" s="180"/>
      <c r="D4" s="180"/>
      <c r="XFB4" s="4" t="s">
        <v>139</v>
      </c>
    </row>
    <row r="5" spans="1:4 16382:16382" ht="120" customHeight="1">
      <c r="A5" s="109" t="s">
        <v>3</v>
      </c>
      <c r="B5" s="181" t="s">
        <v>164</v>
      </c>
      <c r="C5" s="182"/>
      <c r="D5" s="183"/>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4" t="s">
        <v>5</v>
      </c>
      <c r="B8" s="184"/>
      <c r="C8" s="184" t="s">
        <v>6</v>
      </c>
      <c r="D8" s="184"/>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G4" sqref="G4:O4"/>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6" t="str">
        <f>General!$B$4</f>
        <v>Arquitectura de Negocios de la Oficina Central de Fe y Alegría Perú – ANOCFAP</v>
      </c>
      <c r="H2" s="186"/>
      <c r="I2" s="186"/>
      <c r="J2" s="186"/>
      <c r="K2" s="186"/>
      <c r="L2" s="186"/>
      <c r="M2" s="186"/>
      <c r="N2" s="186"/>
      <c r="O2" s="186"/>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0.67567567567567566</v>
      </c>
      <c r="E4" s="134"/>
      <c r="F4" s="133" t="s">
        <v>12</v>
      </c>
      <c r="G4" s="187" t="str">
        <f>IF(SUM($C$30:$C$31)&gt;0,P37,IF((SUM($C$30:$C$31)=0)*(SUM($C$32:$C$33)),$P$36,IF($C$34=0,$P$35,$P$35)))</f>
        <v>INSATISFACTORIO</v>
      </c>
      <c r="H4" s="187"/>
      <c r="I4" s="187"/>
      <c r="J4" s="187"/>
      <c r="K4" s="187"/>
      <c r="L4" s="187"/>
      <c r="M4" s="187"/>
      <c r="N4" s="187"/>
      <c r="O4" s="187"/>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37</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37</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12</v>
      </c>
      <c r="D13" s="74"/>
      <c r="E13" s="5">
        <f>COUNTIF(CasoPrueba[[#All],[Estado Testing]],$P$28)</f>
        <v>25</v>
      </c>
      <c r="F13" s="5">
        <f>COUNTIF(CasoPrueba[[#All],[Estado Testing]],$P$29)</f>
        <v>12</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0.67567567567567566</v>
      </c>
      <c r="F14" s="15">
        <f t="shared" si="0"/>
        <v>0.32432432432432434</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8" t="s">
        <v>25</v>
      </c>
      <c r="C16" s="189" t="s">
        <v>19</v>
      </c>
      <c r="D16" s="189"/>
      <c r="E16" s="190" t="s">
        <v>20</v>
      </c>
      <c r="F16" s="190"/>
      <c r="G16" s="191" t="s">
        <v>21</v>
      </c>
      <c r="H16" s="191"/>
      <c r="I16" s="192" t="s">
        <v>22</v>
      </c>
      <c r="J16" s="193"/>
      <c r="K16" s="196" t="s">
        <v>23</v>
      </c>
      <c r="L16" s="197"/>
      <c r="M16" s="194" t="s">
        <v>24</v>
      </c>
      <c r="N16" s="195"/>
      <c r="O16" s="74"/>
      <c r="P16" s="10" t="s">
        <v>41</v>
      </c>
      <c r="Q16" s="11" t="s">
        <v>42</v>
      </c>
      <c r="R16" s="74"/>
    </row>
    <row r="17" spans="1:18" ht="15.75" hidden="1" thickBot="1">
      <c r="A17" s="74"/>
      <c r="B17" s="188"/>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25</v>
      </c>
      <c r="D18" s="45">
        <f>C18/$C$10</f>
        <v>0.67567567567567566</v>
      </c>
      <c r="E18" s="46">
        <f>COUNTIFS(CasoPrueba[[#All],[Estado Testing]],$P$29,CasoPrueba[[#All],[Prioridad]],$P$17)</f>
        <v>12</v>
      </c>
      <c r="F18" s="47">
        <f>E18/$C$10</f>
        <v>0.32432432432432434</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12</v>
      </c>
      <c r="N18" s="53">
        <f>M18/$C$10</f>
        <v>0.32432432432432434</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25</v>
      </c>
      <c r="D21" s="63">
        <f t="shared" ref="D21:N21" si="2">SUM(D18:D20)</f>
        <v>0.67567567567567566</v>
      </c>
      <c r="E21" s="62">
        <f t="shared" si="2"/>
        <v>12</v>
      </c>
      <c r="F21" s="63">
        <f t="shared" si="2"/>
        <v>0.32432432432432434</v>
      </c>
      <c r="G21" s="62">
        <f t="shared" si="2"/>
        <v>0</v>
      </c>
      <c r="H21" s="63">
        <f t="shared" si="2"/>
        <v>0</v>
      </c>
      <c r="I21" s="62">
        <f t="shared" si="2"/>
        <v>0</v>
      </c>
      <c r="J21" s="63">
        <f t="shared" si="2"/>
        <v>0</v>
      </c>
      <c r="K21" s="62">
        <f>SUM(K18:K20)</f>
        <v>0</v>
      </c>
      <c r="L21" s="63">
        <f>SUM(L18:L20)</f>
        <v>0</v>
      </c>
      <c r="M21" s="62">
        <f t="shared" si="2"/>
        <v>12</v>
      </c>
      <c r="N21" s="63">
        <f t="shared" si="2"/>
        <v>0.32432432432432434</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5" t="s">
        <v>69</v>
      </c>
      <c r="C28" s="185" t="s">
        <v>70</v>
      </c>
      <c r="D28" s="185"/>
      <c r="E28" s="185" t="s">
        <v>71</v>
      </c>
      <c r="F28" s="185"/>
      <c r="G28" s="119"/>
      <c r="H28" s="119"/>
      <c r="I28" s="119"/>
      <c r="J28" s="119"/>
      <c r="K28" s="119"/>
      <c r="L28" s="119"/>
      <c r="M28" s="74"/>
      <c r="N28" s="74"/>
      <c r="O28" s="74"/>
      <c r="P28" s="103" t="s">
        <v>19</v>
      </c>
      <c r="Q28" s="14" t="s">
        <v>55</v>
      </c>
      <c r="R28" s="74"/>
    </row>
    <row r="29" spans="1:18" ht="15.75" hidden="1" thickBot="1">
      <c r="A29" s="119"/>
      <c r="B29" s="185"/>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2</v>
      </c>
      <c r="D30" s="124">
        <f>C30/$C$10</f>
        <v>5.4054054054054057E-2</v>
      </c>
      <c r="E30" s="125">
        <f>COUNTIFS(Observaciones[[#All],[Estado]],Resumen!$P$24,Observaciones[[#All],[Severidad]],Resumen!$P$11)</f>
        <v>94</v>
      </c>
      <c r="F30" s="124">
        <f>E30/$C$10</f>
        <v>2.5405405405405403</v>
      </c>
      <c r="G30" s="119"/>
      <c r="H30" s="122" t="s">
        <v>33</v>
      </c>
      <c r="I30" s="126">
        <f>COUNTIFS(Observaciones[[#All],[Severidad]],Resumen!$P$11,Observaciones[[#All],[Prioridad]],Resumen!$P$17)</f>
        <v>96</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7</v>
      </c>
      <c r="D31" s="124">
        <f>C31/$C$10</f>
        <v>0.1891891891891892</v>
      </c>
      <c r="E31" s="125">
        <f>COUNTIFS(Observaciones[[#All],[Estado]],Resumen!$P$24,Observaciones[[#All],[Severidad]],Resumen!$P$12)</f>
        <v>149</v>
      </c>
      <c r="F31" s="124">
        <f>E31/$C$10</f>
        <v>4.0270270270270272</v>
      </c>
      <c r="G31" s="119"/>
      <c r="H31" s="122" t="s">
        <v>35</v>
      </c>
      <c r="I31" s="126">
        <f>COUNTIFS(Observaciones[[#All],[Severidad]],Resumen!$P$12,Observaciones[[#All],[Prioridad]],Resumen!$P$17)</f>
        <v>156</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4</v>
      </c>
      <c r="D32" s="124">
        <f>C32/$C$10</f>
        <v>0.10810810810810811</v>
      </c>
      <c r="E32" s="125">
        <f>COUNTIFS(Observaciones[[#All],[Estado]],Resumen!$P$24,Observaciones[[#All],[Severidad]],Resumen!$P$13)</f>
        <v>97</v>
      </c>
      <c r="F32" s="124">
        <f>E32/$C$10</f>
        <v>2.6216216216216215</v>
      </c>
      <c r="G32" s="119"/>
      <c r="H32" s="122" t="s">
        <v>37</v>
      </c>
      <c r="I32" s="126">
        <f>COUNTIFS(Observaciones[[#All],[Severidad]],Resumen!$P$13,Observaciones[[#All],[Prioridad]],Resumen!$P$17)</f>
        <v>101</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0</v>
      </c>
      <c r="D33" s="124">
        <f>C33/$C$10</f>
        <v>0</v>
      </c>
      <c r="E33" s="125">
        <f>COUNTIFS(Observaciones[[#All],[Estado]],Resumen!$P$24,Observaciones[[#All],[Severidad]],Resumen!$P$14)</f>
        <v>110</v>
      </c>
      <c r="F33" s="124">
        <f>E33/$C$10</f>
        <v>2.9729729729729728</v>
      </c>
      <c r="G33" s="119"/>
      <c r="H33" s="122" t="s">
        <v>39</v>
      </c>
      <c r="I33" s="126">
        <f>COUNTIFS(Observaciones[[#All],[Severidad]],Resumen!$P$14,Observaciones[[#All],[Prioridad]],Resumen!$P$17)</f>
        <v>110</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13</v>
      </c>
      <c r="D34" s="129">
        <f>SUM(D30:D33)</f>
        <v>0.35135135135135137</v>
      </c>
      <c r="E34" s="128">
        <f>SUM(E30:E33)</f>
        <v>450</v>
      </c>
      <c r="F34" s="129">
        <f>SUM(F30:F33)</f>
        <v>12.162162162162161</v>
      </c>
      <c r="G34" s="119"/>
      <c r="H34" s="122" t="s">
        <v>72</v>
      </c>
      <c r="I34" s="130">
        <f>SUM(I30:I33)</f>
        <v>463</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2" priority="1" stopIfTrue="1">
      <formula>NOT(ISERROR(SEARCH("INSATISFACTORIO",G4)))</formula>
    </cfRule>
    <cfRule type="expression" dxfId="71" priority="2" stopIfTrue="1">
      <formula>NOT(ISERROR(SEARCH("SATISFACTORIO con Observaciones",G4)))</formula>
    </cfRule>
    <cfRule type="expression" dxfId="70"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85" zoomScale="80" zoomScaleNormal="80" workbookViewId="0">
      <selection activeCell="E111" sqref="E11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8" t="s">
        <v>115</v>
      </c>
      <c r="B1" s="198"/>
      <c r="C1" s="198"/>
      <c r="D1" s="198"/>
      <c r="E1" s="198"/>
      <c r="F1" s="198"/>
      <c r="G1" s="198"/>
      <c r="H1" s="198"/>
      <c r="I1" s="198"/>
      <c r="J1" s="198"/>
      <c r="K1" s="198"/>
      <c r="L1" s="198"/>
      <c r="M1" s="198"/>
      <c r="N1" s="198"/>
      <c r="O1" s="198"/>
      <c r="P1" s="198"/>
      <c r="Q1" s="198"/>
      <c r="R1" s="198"/>
    </row>
    <row r="22" spans="1:18" ht="21">
      <c r="A22" s="198" t="s">
        <v>116</v>
      </c>
      <c r="B22" s="198"/>
      <c r="C22" s="198"/>
      <c r="D22" s="198"/>
      <c r="E22" s="198"/>
      <c r="F22" s="198"/>
      <c r="G22" s="198"/>
      <c r="H22" s="198"/>
      <c r="I22" s="198"/>
      <c r="J22" s="198"/>
      <c r="K22" s="198"/>
      <c r="L22" s="198"/>
      <c r="M22" s="198"/>
      <c r="N22" s="198"/>
      <c r="O22" s="198"/>
      <c r="P22" s="198"/>
      <c r="Q22" s="198"/>
      <c r="R22" s="198"/>
    </row>
    <row r="44" spans="1:18" ht="21">
      <c r="A44" s="198" t="s">
        <v>117</v>
      </c>
      <c r="B44" s="198"/>
      <c r="C44" s="198"/>
      <c r="D44" s="198"/>
      <c r="E44" s="198"/>
      <c r="F44" s="198"/>
      <c r="G44" s="198"/>
      <c r="H44" s="198"/>
      <c r="I44" s="198"/>
      <c r="J44" s="198"/>
      <c r="K44" s="198"/>
      <c r="L44" s="198"/>
      <c r="M44" s="198"/>
      <c r="N44" s="198"/>
      <c r="O44" s="198"/>
      <c r="P44" s="198"/>
      <c r="Q44" s="198"/>
      <c r="R44" s="198"/>
    </row>
    <row r="66" spans="1:18" ht="21">
      <c r="A66" s="198" t="s">
        <v>118</v>
      </c>
      <c r="B66" s="198"/>
      <c r="C66" s="198"/>
      <c r="D66" s="198"/>
      <c r="E66" s="198"/>
      <c r="F66" s="198"/>
      <c r="G66" s="198"/>
      <c r="H66" s="198"/>
      <c r="I66" s="198"/>
      <c r="J66" s="198"/>
      <c r="K66" s="198"/>
      <c r="L66" s="198"/>
      <c r="M66" s="198"/>
      <c r="N66" s="198"/>
      <c r="O66" s="198"/>
      <c r="P66" s="198"/>
      <c r="Q66" s="198"/>
      <c r="R66" s="198"/>
    </row>
    <row r="67" spans="1:18" ht="15.75" thickBot="1"/>
    <row r="68" spans="1:18" ht="15.75" thickBot="1">
      <c r="B68" s="199" t="s">
        <v>119</v>
      </c>
      <c r="C68" s="200"/>
      <c r="D68" s="200"/>
      <c r="E68" s="200"/>
      <c r="F68" s="201"/>
      <c r="G68" s="64">
        <f>AVERAGE(Observaciones[[#All],[Tiempo de Solución (Dias)]])</f>
        <v>6.8030303030303028</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8" t="s">
        <v>127</v>
      </c>
      <c r="B87" s="198"/>
      <c r="C87" s="198"/>
      <c r="D87" s="198"/>
      <c r="E87" s="198"/>
      <c r="F87" s="198"/>
      <c r="G87" s="198"/>
      <c r="H87" s="198"/>
      <c r="I87" s="198"/>
      <c r="J87" s="198"/>
      <c r="K87" s="198"/>
      <c r="L87" s="198"/>
      <c r="M87" s="198"/>
      <c r="N87" s="198"/>
      <c r="O87" s="198"/>
      <c r="P87" s="198"/>
      <c r="Q87" s="198"/>
      <c r="R87" s="198"/>
    </row>
    <row r="88" spans="1:18" ht="15.75" thickBot="1"/>
    <row r="89" spans="1:18" ht="15.75" thickBot="1">
      <c r="B89" s="199" t="s">
        <v>128</v>
      </c>
      <c r="C89" s="200"/>
      <c r="D89" s="200"/>
      <c r="E89" s="200"/>
      <c r="F89" s="201"/>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41"/>
  <sheetViews>
    <sheetView topLeftCell="A38" zoomScale="91" zoomScaleNormal="91" workbookViewId="0">
      <selection activeCell="O6" sqref="O6"/>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202" t="str">
        <f>General!$B$4</f>
        <v>Arquitectura de Negocios de la Oficina Central de Fe y Alegría Perú – ANOCFAP</v>
      </c>
      <c r="H2" s="203"/>
      <c r="I2" s="203"/>
      <c r="J2" s="203"/>
      <c r="K2" s="203"/>
      <c r="L2" s="203"/>
      <c r="M2" s="203"/>
      <c r="N2" s="204"/>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33.7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NO OK</v>
      </c>
      <c r="G5" s="90" t="s">
        <v>20</v>
      </c>
      <c r="H5" s="90" t="s">
        <v>28</v>
      </c>
      <c r="I5" s="92" t="s">
        <v>29</v>
      </c>
      <c r="J5" s="90" t="s">
        <v>47</v>
      </c>
      <c r="L5" s="93">
        <f>General!$A$10</f>
        <v>0</v>
      </c>
      <c r="M5" s="93">
        <v>40637</v>
      </c>
      <c r="N5" s="90">
        <v>1</v>
      </c>
      <c r="P5" s="92" t="s">
        <v>1356</v>
      </c>
      <c r="R5" s="102"/>
    </row>
    <row r="6" spans="1:18" ht="22.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NO OK</v>
      </c>
      <c r="G6" s="90" t="s">
        <v>20</v>
      </c>
      <c r="H6" s="90" t="s">
        <v>28</v>
      </c>
      <c r="I6" s="92" t="s">
        <v>29</v>
      </c>
      <c r="J6" s="90" t="s">
        <v>47</v>
      </c>
      <c r="K6" s="90"/>
      <c r="L6" s="93">
        <f>General!$A$10</f>
        <v>0</v>
      </c>
      <c r="M6" s="93"/>
      <c r="N6" s="90"/>
      <c r="O6" s="90"/>
      <c r="P6" s="92" t="s">
        <v>1357</v>
      </c>
      <c r="Q6" s="90"/>
    </row>
    <row r="7" spans="1:18" ht="33.75">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NO OK</v>
      </c>
      <c r="G7" s="90" t="s">
        <v>20</v>
      </c>
      <c r="H7" s="90" t="s">
        <v>28</v>
      </c>
      <c r="I7" s="92" t="s">
        <v>30</v>
      </c>
      <c r="J7" s="90" t="s">
        <v>47</v>
      </c>
      <c r="K7" s="90"/>
      <c r="L7" s="93">
        <f>General!$A$10</f>
        <v>0</v>
      </c>
      <c r="M7" s="93"/>
      <c r="N7" s="90"/>
      <c r="O7" s="90"/>
      <c r="P7" s="92" t="s">
        <v>1358</v>
      </c>
      <c r="Q7" s="90"/>
    </row>
    <row r="8" spans="1:18" ht="33.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1133</v>
      </c>
      <c r="Q8" s="90"/>
    </row>
    <row r="9" spans="1:18" ht="33.75">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NO OK</v>
      </c>
      <c r="G9" s="90" t="s">
        <v>20</v>
      </c>
      <c r="H9" s="90" t="s">
        <v>28</v>
      </c>
      <c r="I9" s="92" t="s">
        <v>30</v>
      </c>
      <c r="J9" s="90" t="s">
        <v>47</v>
      </c>
      <c r="K9" s="90"/>
      <c r="L9" s="93">
        <f>General!$A$10</f>
        <v>0</v>
      </c>
      <c r="M9" s="93"/>
      <c r="N9" s="90"/>
      <c r="O9" s="90"/>
      <c r="P9" s="92" t="s">
        <v>1359</v>
      </c>
      <c r="Q9" s="90"/>
    </row>
    <row r="10" spans="1:18" ht="90">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t="s">
        <v>1085</v>
      </c>
      <c r="Q10" s="90"/>
    </row>
    <row r="11" spans="1:18" ht="33.7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1086</v>
      </c>
      <c r="Q11" s="90"/>
    </row>
    <row r="12" spans="1:18" ht="33.7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t="s">
        <v>1087</v>
      </c>
      <c r="Q12" s="90"/>
    </row>
    <row r="13" spans="1:18" ht="22.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NO OK</v>
      </c>
      <c r="G13" s="90" t="s">
        <v>20</v>
      </c>
      <c r="H13" s="90" t="s">
        <v>28</v>
      </c>
      <c r="I13" s="92" t="s">
        <v>28</v>
      </c>
      <c r="J13" s="90" t="s">
        <v>47</v>
      </c>
      <c r="K13" s="90"/>
      <c r="L13" s="93">
        <f>General!$A$10</f>
        <v>0</v>
      </c>
      <c r="M13" s="93"/>
      <c r="N13" s="90"/>
      <c r="O13" s="90"/>
      <c r="P13" s="92" t="s">
        <v>1360</v>
      </c>
      <c r="Q13" s="90"/>
    </row>
    <row r="14" spans="1:18" ht="4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NO OK</v>
      </c>
      <c r="G14" s="90" t="s">
        <v>20</v>
      </c>
      <c r="H14" s="90" t="s">
        <v>28</v>
      </c>
      <c r="I14" s="92" t="s">
        <v>30</v>
      </c>
      <c r="J14" s="90" t="s">
        <v>47</v>
      </c>
      <c r="K14" s="90"/>
      <c r="L14" s="93">
        <f>General!$A$10</f>
        <v>0</v>
      </c>
      <c r="M14" s="93"/>
      <c r="N14" s="90"/>
      <c r="O14" s="90"/>
      <c r="P14" s="92" t="s">
        <v>1361</v>
      </c>
      <c r="Q14" s="90"/>
    </row>
    <row r="15" spans="1:18" ht="33.7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1088</v>
      </c>
      <c r="Q15" s="90"/>
    </row>
    <row r="16" spans="1:18" ht="56.2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1089</v>
      </c>
      <c r="Q16" s="90"/>
    </row>
    <row r="17" spans="1:17" ht="6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1090</v>
      </c>
      <c r="Q17" s="90"/>
    </row>
    <row r="18" spans="1:17" ht="112.5">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t="s">
        <v>1091</v>
      </c>
      <c r="Q18" s="90"/>
    </row>
    <row r="19" spans="1:17" ht="45">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NO OK</v>
      </c>
      <c r="G19" s="90" t="s">
        <v>20</v>
      </c>
      <c r="H19" s="90" t="s">
        <v>28</v>
      </c>
      <c r="I19" s="92" t="s">
        <v>30</v>
      </c>
      <c r="J19" s="90" t="s">
        <v>47</v>
      </c>
      <c r="K19" s="90"/>
      <c r="L19" s="93">
        <f>General!$A$10</f>
        <v>0</v>
      </c>
      <c r="M19" s="93"/>
      <c r="N19" s="90"/>
      <c r="O19" s="90"/>
      <c r="P19" s="92" t="s">
        <v>1362</v>
      </c>
      <c r="Q19" s="90"/>
    </row>
    <row r="20" spans="1:17" ht="56.25">
      <c r="A20" s="90" t="s">
        <v>159</v>
      </c>
      <c r="B20" s="168" t="s">
        <v>487</v>
      </c>
      <c r="C20" s="90" t="s">
        <v>170</v>
      </c>
      <c r="D20" s="169" t="s">
        <v>490</v>
      </c>
      <c r="E20" s="90" t="s">
        <v>160</v>
      </c>
      <c r="F20" s="170" t="str">
        <f>IF(CasoPrueba[[#This Row],[Estado Testing]]=Resumen!$P$28,"OK",IF(CasoPrueba[[#This Row],[Estado Testing]]=Resumen!$P$29,"NO OK",IF((CasoPrueba[[#This Row],[Estado Testing]]=Resumen!$P$30)+(CasoPrueba[[#This Row],[Estado Testing]]=Resumen!$P$31),"OBSERVADO","")))</f>
        <v>OK</v>
      </c>
      <c r="G20" s="171" t="s">
        <v>19</v>
      </c>
      <c r="H20" s="90" t="s">
        <v>28</v>
      </c>
      <c r="I20" s="171"/>
      <c r="J20" s="168"/>
      <c r="K20" s="168"/>
      <c r="L20" s="172">
        <f>General!$A$10</f>
        <v>0</v>
      </c>
      <c r="M20" s="172"/>
      <c r="N20" s="168"/>
      <c r="O20" s="168"/>
      <c r="P20" s="171" t="s">
        <v>881</v>
      </c>
      <c r="Q20" s="90" t="str">
        <f>CONCATENATE(General!$B$7," ",General!$B$6)</f>
        <v>Nicolay García José Ramos Ramírez</v>
      </c>
    </row>
    <row r="21" spans="1:17" ht="56.25">
      <c r="A21" s="90" t="s">
        <v>159</v>
      </c>
      <c r="B21" s="168" t="s">
        <v>488</v>
      </c>
      <c r="C21" s="90" t="s">
        <v>170</v>
      </c>
      <c r="D21" s="31" t="s">
        <v>492</v>
      </c>
      <c r="E21" s="90" t="s">
        <v>160</v>
      </c>
      <c r="F21" s="91" t="str">
        <f>IF(CasoPrueba[[#This Row],[Estado Testing]]=Resumen!$P$28,"OK",IF(CasoPrueba[[#This Row],[Estado Testing]]=Resumen!$P$29,"NO OK",IF((CasoPrueba[[#This Row],[Estado Testing]]=Resumen!$P$30)+(CasoPrueba[[#This Row],[Estado Testing]]=Resumen!$P$31),"OBSERVADO","")))</f>
        <v>OK</v>
      </c>
      <c r="G21" s="92" t="s">
        <v>19</v>
      </c>
      <c r="H21" s="90" t="s">
        <v>28</v>
      </c>
      <c r="I21" s="92"/>
      <c r="J21" s="90"/>
      <c r="K21" s="90"/>
      <c r="L21" s="93">
        <f>General!$A$10</f>
        <v>0</v>
      </c>
      <c r="M21" s="93"/>
      <c r="N21" s="90"/>
      <c r="O21" s="90"/>
      <c r="P21" s="92" t="s">
        <v>882</v>
      </c>
      <c r="Q21" s="90" t="str">
        <f>CONCATENATE(General!$B$7," ",General!$B$6)</f>
        <v>Nicolay García José Ramos Ramírez</v>
      </c>
    </row>
    <row r="22" spans="1:17" ht="33.75">
      <c r="A22" s="90" t="s">
        <v>159</v>
      </c>
      <c r="B22" s="168" t="s">
        <v>489</v>
      </c>
      <c r="C22" s="90" t="s">
        <v>170</v>
      </c>
      <c r="D22" s="31" t="s">
        <v>491</v>
      </c>
      <c r="E22" s="90" t="s">
        <v>160</v>
      </c>
      <c r="F22" s="91" t="str">
        <f>IF(CasoPrueba[[#This Row],[Estado Testing]]=Resumen!$P$28,"OK",IF(CasoPrueba[[#This Row],[Estado Testing]]=Resumen!$P$29,"NO OK",IF((CasoPrueba[[#This Row],[Estado Testing]]=Resumen!$P$30)+(CasoPrueba[[#This Row],[Estado Testing]]=Resumen!$P$31),"OBSERVADO","")))</f>
        <v>NO OK</v>
      </c>
      <c r="G22" s="92" t="s">
        <v>20</v>
      </c>
      <c r="H22" s="90" t="s">
        <v>28</v>
      </c>
      <c r="I22" s="92" t="s">
        <v>29</v>
      </c>
      <c r="J22" s="90" t="s">
        <v>47</v>
      </c>
      <c r="K22" s="90"/>
      <c r="L22" s="93">
        <f>General!$A$10</f>
        <v>0</v>
      </c>
      <c r="M22" s="93"/>
      <c r="N22" s="90"/>
      <c r="O22" s="90"/>
      <c r="P22" s="92" t="s">
        <v>1367</v>
      </c>
      <c r="Q22" s="90" t="str">
        <f>CONCATENATE(General!$B$7," ",General!$B$6)</f>
        <v>Nicolay García José Ramos Ramírez</v>
      </c>
    </row>
    <row r="23" spans="1:17" ht="33.75">
      <c r="A23" s="90" t="s">
        <v>159</v>
      </c>
      <c r="B23" s="168" t="s">
        <v>614</v>
      </c>
      <c r="C23" s="90" t="s">
        <v>170</v>
      </c>
      <c r="D23" s="31" t="s">
        <v>615</v>
      </c>
      <c r="E23" s="90" t="s">
        <v>160</v>
      </c>
      <c r="F23" s="91" t="str">
        <f>IF(CasoPrueba[[#This Row],[Estado Testing]]=Resumen!$P$28,"OK",IF(CasoPrueba[[#This Row],[Estado Testing]]=Resumen!$P$29,"NO OK",IF((CasoPrueba[[#This Row],[Estado Testing]]=Resumen!$P$30)+(CasoPrueba[[#This Row],[Estado Testing]]=Resumen!$P$31),"OBSERVADO","")))</f>
        <v>OK</v>
      </c>
      <c r="G23" s="92" t="s">
        <v>19</v>
      </c>
      <c r="H23" s="90" t="s">
        <v>28</v>
      </c>
      <c r="I23" s="92"/>
      <c r="J23" s="90"/>
      <c r="K23" s="90"/>
      <c r="L23" s="93">
        <f>General!$A$10</f>
        <v>0</v>
      </c>
      <c r="M23" s="93"/>
      <c r="N23" s="90"/>
      <c r="O23" s="90"/>
      <c r="P23" s="92" t="s">
        <v>1061</v>
      </c>
      <c r="Q23" s="90"/>
    </row>
    <row r="24" spans="1:17" ht="30">
      <c r="A24" s="90" t="s">
        <v>159</v>
      </c>
      <c r="B24" s="168" t="s">
        <v>616</v>
      </c>
      <c r="C24" s="90" t="s">
        <v>170</v>
      </c>
      <c r="D24" s="31" t="s">
        <v>620</v>
      </c>
      <c r="E24" s="90" t="s">
        <v>160</v>
      </c>
      <c r="F24" s="91" t="str">
        <f>IF(CasoPrueba[[#This Row],[Estado Testing]]=Resumen!$P$28,"OK",IF(CasoPrueba[[#This Row],[Estado Testing]]=Resumen!$P$29,"NO OK",IF((CasoPrueba[[#This Row],[Estado Testing]]=Resumen!$P$30)+(CasoPrueba[[#This Row],[Estado Testing]]=Resumen!$P$31),"OBSERVADO","")))</f>
        <v>NO OK</v>
      </c>
      <c r="G24" s="92" t="s">
        <v>20</v>
      </c>
      <c r="H24" s="90" t="s">
        <v>28</v>
      </c>
      <c r="I24" s="92" t="s">
        <v>28</v>
      </c>
      <c r="J24" s="90" t="s">
        <v>47</v>
      </c>
      <c r="K24" s="90"/>
      <c r="L24" s="93">
        <f>General!$A$10</f>
        <v>0</v>
      </c>
      <c r="M24" s="93"/>
      <c r="N24" s="90"/>
      <c r="O24" s="90"/>
      <c r="P24" s="92" t="s">
        <v>1368</v>
      </c>
      <c r="Q24" s="90" t="str">
        <f>CONCATENATE(General!$B$7," ",General!$B$6)</f>
        <v>Nicolay García José Ramos Ramírez</v>
      </c>
    </row>
    <row r="25" spans="1:17" ht="33.75">
      <c r="A25" s="90" t="s">
        <v>159</v>
      </c>
      <c r="B25" s="168" t="s">
        <v>617</v>
      </c>
      <c r="C25" s="90" t="s">
        <v>170</v>
      </c>
      <c r="D25" s="31" t="s">
        <v>621</v>
      </c>
      <c r="E25" s="90" t="s">
        <v>160</v>
      </c>
      <c r="F25" s="91" t="str">
        <f>IF(CasoPrueba[[#This Row],[Estado Testing]]=Resumen!$P$28,"OK",IF(CasoPrueba[[#This Row],[Estado Testing]]=Resumen!$P$29,"NO OK",IF((CasoPrueba[[#This Row],[Estado Testing]]=Resumen!$P$30)+(CasoPrueba[[#This Row],[Estado Testing]]=Resumen!$P$31),"OBSERVADO","")))</f>
        <v>OK</v>
      </c>
      <c r="G25" s="92" t="s">
        <v>19</v>
      </c>
      <c r="H25" s="90" t="s">
        <v>28</v>
      </c>
      <c r="I25" s="92"/>
      <c r="J25" s="90"/>
      <c r="K25" s="90"/>
      <c r="L25" s="93">
        <f>General!$A$10</f>
        <v>0</v>
      </c>
      <c r="M25" s="93"/>
      <c r="N25" s="90"/>
      <c r="O25" s="90"/>
      <c r="P25" s="92" t="s">
        <v>883</v>
      </c>
      <c r="Q25" s="90" t="str">
        <f>CONCATENATE(General!$B$7," ",General!$B$6)</f>
        <v>Nicolay García José Ramos Ramírez</v>
      </c>
    </row>
    <row r="26" spans="1:17" ht="33.75">
      <c r="A26" s="90" t="s">
        <v>159</v>
      </c>
      <c r="B26" s="168" t="s">
        <v>618</v>
      </c>
      <c r="C26" s="90" t="s">
        <v>170</v>
      </c>
      <c r="D26" s="31" t="s">
        <v>622</v>
      </c>
      <c r="E26" s="90" t="s">
        <v>160</v>
      </c>
      <c r="F26" s="91" t="str">
        <f>IF(CasoPrueba[[#This Row],[Estado Testing]]=Resumen!$P$28,"OK",IF(CasoPrueba[[#This Row],[Estado Testing]]=Resumen!$P$29,"NO OK",IF((CasoPrueba[[#This Row],[Estado Testing]]=Resumen!$P$30)+(CasoPrueba[[#This Row],[Estado Testing]]=Resumen!$P$31),"OBSERVADO","")))</f>
        <v>OK</v>
      </c>
      <c r="G26" s="92" t="s">
        <v>19</v>
      </c>
      <c r="H26" s="90" t="s">
        <v>28</v>
      </c>
      <c r="I26" s="92"/>
      <c r="J26" s="90"/>
      <c r="K26" s="90"/>
      <c r="L26" s="93">
        <f>General!$A$10</f>
        <v>0</v>
      </c>
      <c r="M26" s="93"/>
      <c r="N26" s="90"/>
      <c r="O26" s="90"/>
      <c r="P26" s="92" t="s">
        <v>884</v>
      </c>
      <c r="Q26" s="90" t="str">
        <f>CONCATENATE(General!$B$7," ",General!$B$6)</f>
        <v>Nicolay García José Ramos Ramírez</v>
      </c>
    </row>
    <row r="27" spans="1:17" ht="33.75">
      <c r="A27" s="90" t="s">
        <v>159</v>
      </c>
      <c r="B27" s="168" t="s">
        <v>619</v>
      </c>
      <c r="C27" s="90" t="s">
        <v>170</v>
      </c>
      <c r="D27" s="31" t="s">
        <v>623</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29</v>
      </c>
      <c r="J27" s="90" t="s">
        <v>47</v>
      </c>
      <c r="K27" s="90"/>
      <c r="L27" s="93">
        <f>General!$A$10</f>
        <v>0</v>
      </c>
      <c r="M27" s="93"/>
      <c r="N27" s="90"/>
      <c r="O27" s="90"/>
      <c r="P27" s="92" t="s">
        <v>1369</v>
      </c>
      <c r="Q27" s="90"/>
    </row>
    <row r="28" spans="1:17" ht="33.75">
      <c r="A28" s="90" t="s">
        <v>159</v>
      </c>
      <c r="B28" s="168" t="s">
        <v>653</v>
      </c>
      <c r="C28" s="90" t="s">
        <v>170</v>
      </c>
      <c r="D28" s="31" t="s">
        <v>655</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29</v>
      </c>
      <c r="J28" s="90" t="s">
        <v>47</v>
      </c>
      <c r="K28" s="90"/>
      <c r="L28" s="93">
        <f>General!$A$10</f>
        <v>0</v>
      </c>
      <c r="M28" s="93"/>
      <c r="N28" s="90"/>
      <c r="O28" s="90"/>
      <c r="P28" s="92" t="s">
        <v>1370</v>
      </c>
      <c r="Q28" s="90"/>
    </row>
    <row r="29" spans="1:17" ht="56.25">
      <c r="A29" s="90" t="s">
        <v>159</v>
      </c>
      <c r="B29" s="168" t="s">
        <v>654</v>
      </c>
      <c r="C29" s="90" t="s">
        <v>170</v>
      </c>
      <c r="D29" s="31" t="s">
        <v>656</v>
      </c>
      <c r="E29" s="90" t="s">
        <v>160</v>
      </c>
      <c r="F29" s="91" t="str">
        <f>IF(CasoPrueba[[#This Row],[Estado Testing]]=Resumen!$P$28,"OK",IF(CasoPrueba[[#This Row],[Estado Testing]]=Resumen!$P$29,"NO OK",IF((CasoPrueba[[#This Row],[Estado Testing]]=Resumen!$P$30)+(CasoPrueba[[#This Row],[Estado Testing]]=Resumen!$P$31),"OBSERVADO","")))</f>
        <v>OK</v>
      </c>
      <c r="G29" s="92" t="s">
        <v>19</v>
      </c>
      <c r="H29" s="90" t="s">
        <v>28</v>
      </c>
      <c r="I29" s="92"/>
      <c r="J29" s="90"/>
      <c r="K29" s="90"/>
      <c r="L29" s="93">
        <f>General!$A$10</f>
        <v>0</v>
      </c>
      <c r="M29" s="93"/>
      <c r="N29" s="90"/>
      <c r="O29" s="90"/>
      <c r="P29" s="92" t="s">
        <v>885</v>
      </c>
      <c r="Q29" s="90" t="str">
        <f>CONCATENATE(General!$B$7," ",General!$B$6)</f>
        <v>Nicolay García José Ramos Ramírez</v>
      </c>
    </row>
    <row r="30" spans="1:17" ht="33.75">
      <c r="A30" s="90" t="s">
        <v>159</v>
      </c>
      <c r="B30" s="168" t="s">
        <v>886</v>
      </c>
      <c r="C30" s="90" t="s">
        <v>170</v>
      </c>
      <c r="D30" s="31" t="s">
        <v>893</v>
      </c>
      <c r="E30" s="90" t="s">
        <v>160</v>
      </c>
      <c r="F30" s="91" t="str">
        <f>IF(CasoPrueba[[#This Row],[Estado Testing]]=Resumen!$P$28,"OK",IF(CasoPrueba[[#This Row],[Estado Testing]]=Resumen!$P$29,"NO OK",IF((CasoPrueba[[#This Row],[Estado Testing]]=Resumen!$P$30)+(CasoPrueba[[#This Row],[Estado Testing]]=Resumen!$P$31),"OBSERVADO","")))</f>
        <v>OK</v>
      </c>
      <c r="G30" s="92" t="s">
        <v>19</v>
      </c>
      <c r="H30" s="90" t="s">
        <v>28</v>
      </c>
      <c r="I30" s="92"/>
      <c r="J30" s="90"/>
      <c r="K30" s="90"/>
      <c r="L30" s="93">
        <f>General!$A$10</f>
        <v>0</v>
      </c>
      <c r="M30" s="93"/>
      <c r="N30" s="90"/>
      <c r="O30" s="90"/>
      <c r="P30" s="92" t="s">
        <v>1036</v>
      </c>
      <c r="Q30" s="90"/>
    </row>
    <row r="31" spans="1:17" ht="30">
      <c r="A31" s="90" t="s">
        <v>159</v>
      </c>
      <c r="B31" s="168" t="s">
        <v>887</v>
      </c>
      <c r="C31" s="90" t="s">
        <v>170</v>
      </c>
      <c r="D31" s="31" t="s">
        <v>894</v>
      </c>
      <c r="E31" s="90" t="s">
        <v>160</v>
      </c>
      <c r="F31" s="91" t="str">
        <f>IF(CasoPrueba[[#This Row],[Estado Testing]]=Resumen!$P$28,"OK",IF(CasoPrueba[[#This Row],[Estado Testing]]=Resumen!$P$29,"NO OK",IF((CasoPrueba[[#This Row],[Estado Testing]]=Resumen!$P$30)+(CasoPrueba[[#This Row],[Estado Testing]]=Resumen!$P$31),"OBSERVADO","")))</f>
        <v>OK</v>
      </c>
      <c r="G31" s="92" t="s">
        <v>19</v>
      </c>
      <c r="H31" s="90" t="s">
        <v>28</v>
      </c>
      <c r="I31" s="92"/>
      <c r="J31" s="90"/>
      <c r="K31" s="90"/>
      <c r="L31" s="93">
        <f>General!$A$10</f>
        <v>0</v>
      </c>
      <c r="M31" s="93"/>
      <c r="N31" s="90"/>
      <c r="O31" s="90"/>
      <c r="P31" s="92" t="s">
        <v>1037</v>
      </c>
      <c r="Q31" s="90"/>
    </row>
    <row r="32" spans="1:17" ht="56.25">
      <c r="A32" s="90" t="s">
        <v>159</v>
      </c>
      <c r="B32" s="168" t="s">
        <v>888</v>
      </c>
      <c r="C32" s="90" t="s">
        <v>170</v>
      </c>
      <c r="D32" s="31" t="s">
        <v>895</v>
      </c>
      <c r="E32" s="90" t="s">
        <v>160</v>
      </c>
      <c r="F32" s="91" t="str">
        <f>IF(CasoPrueba[[#This Row],[Estado Testing]]=Resumen!$P$28,"OK",IF(CasoPrueba[[#This Row],[Estado Testing]]=Resumen!$P$29,"NO OK",IF((CasoPrueba[[#This Row],[Estado Testing]]=Resumen!$P$30)+(CasoPrueba[[#This Row],[Estado Testing]]=Resumen!$P$31),"OBSERVADO","")))</f>
        <v>OK</v>
      </c>
      <c r="G32" s="92" t="s">
        <v>19</v>
      </c>
      <c r="H32" s="90" t="s">
        <v>28</v>
      </c>
      <c r="I32" s="92"/>
      <c r="J32" s="90"/>
      <c r="K32" s="90"/>
      <c r="L32" s="93">
        <f>General!$A$10</f>
        <v>0</v>
      </c>
      <c r="M32" s="93"/>
      <c r="N32" s="90"/>
      <c r="O32" s="90"/>
      <c r="P32" s="92" t="s">
        <v>1062</v>
      </c>
      <c r="Q32" s="90"/>
    </row>
    <row r="33" spans="1:17" ht="168.75">
      <c r="A33" s="90" t="s">
        <v>159</v>
      </c>
      <c r="B33" s="168" t="s">
        <v>889</v>
      </c>
      <c r="C33" s="90" t="s">
        <v>170</v>
      </c>
      <c r="D33" s="31" t="s">
        <v>896</v>
      </c>
      <c r="E33" s="90" t="s">
        <v>160</v>
      </c>
      <c r="F33" s="91" t="str">
        <f>IF(CasoPrueba[[#This Row],[Estado Testing]]=Resumen!$P$28,"OK",IF(CasoPrueba[[#This Row],[Estado Testing]]=Resumen!$P$29,"NO OK",IF((CasoPrueba[[#This Row],[Estado Testing]]=Resumen!$P$30)+(CasoPrueba[[#This Row],[Estado Testing]]=Resumen!$P$31),"OBSERVADO","")))</f>
        <v>OK</v>
      </c>
      <c r="G33" s="92" t="s">
        <v>19</v>
      </c>
      <c r="H33" s="90" t="s">
        <v>28</v>
      </c>
      <c r="I33" s="92"/>
      <c r="J33" s="90"/>
      <c r="K33" s="90"/>
      <c r="L33" s="93">
        <f>General!$A$10</f>
        <v>0</v>
      </c>
      <c r="M33" s="93"/>
      <c r="N33" s="90"/>
      <c r="O33" s="90"/>
      <c r="P33" s="92" t="s">
        <v>951</v>
      </c>
      <c r="Q33" s="90" t="str">
        <f>CONCATENATE(General!$B$7," ",General!$B$6)</f>
        <v>Nicolay García José Ramos Ramírez</v>
      </c>
    </row>
    <row r="34" spans="1:17" ht="33.75">
      <c r="A34" s="90" t="s">
        <v>159</v>
      </c>
      <c r="B34" s="168" t="s">
        <v>890</v>
      </c>
      <c r="C34" s="90" t="s">
        <v>170</v>
      </c>
      <c r="D34" s="31" t="s">
        <v>897</v>
      </c>
      <c r="E34" s="90" t="s">
        <v>160</v>
      </c>
      <c r="F34" s="91" t="str">
        <f>IF(CasoPrueba[[#This Row],[Estado Testing]]=Resumen!$P$28,"OK",IF(CasoPrueba[[#This Row],[Estado Testing]]=Resumen!$P$29,"NO OK",IF((CasoPrueba[[#This Row],[Estado Testing]]=Resumen!$P$30)+(CasoPrueba[[#This Row],[Estado Testing]]=Resumen!$P$31),"OBSERVADO","")))</f>
        <v>OK</v>
      </c>
      <c r="G34" s="92" t="s">
        <v>19</v>
      </c>
      <c r="H34" s="90" t="s">
        <v>28</v>
      </c>
      <c r="I34" s="92"/>
      <c r="J34" s="90"/>
      <c r="K34" s="90"/>
      <c r="L34" s="93">
        <f>General!$A$10</f>
        <v>0</v>
      </c>
      <c r="M34" s="93"/>
      <c r="N34" s="90"/>
      <c r="O34" s="90"/>
      <c r="P34" s="92" t="s">
        <v>1038</v>
      </c>
      <c r="Q34" s="90"/>
    </row>
    <row r="35" spans="1:17" ht="180">
      <c r="A35" s="90" t="s">
        <v>159</v>
      </c>
      <c r="B35" s="168" t="s">
        <v>891</v>
      </c>
      <c r="C35" s="90" t="s">
        <v>170</v>
      </c>
      <c r="D35" s="31" t="s">
        <v>898</v>
      </c>
      <c r="E35" s="90" t="s">
        <v>160</v>
      </c>
      <c r="F35" s="91" t="str">
        <f>IF(CasoPrueba[[#This Row],[Estado Testing]]=Resumen!$P$28,"OK",IF(CasoPrueba[[#This Row],[Estado Testing]]=Resumen!$P$29,"NO OK",IF((CasoPrueba[[#This Row],[Estado Testing]]=Resumen!$P$30)+(CasoPrueba[[#This Row],[Estado Testing]]=Resumen!$P$31),"OBSERVADO","")))</f>
        <v>OK</v>
      </c>
      <c r="G35" s="92" t="s">
        <v>19</v>
      </c>
      <c r="H35" s="90" t="s">
        <v>28</v>
      </c>
      <c r="I35" s="92"/>
      <c r="J35" s="90"/>
      <c r="K35" s="90"/>
      <c r="L35" s="93">
        <f>General!$A$10</f>
        <v>0</v>
      </c>
      <c r="M35" s="93"/>
      <c r="N35" s="90"/>
      <c r="O35" s="90"/>
      <c r="P35" s="92" t="s">
        <v>952</v>
      </c>
      <c r="Q35" s="90" t="str">
        <f>CONCATENATE(General!$B$7," ",General!$B$6)</f>
        <v>Nicolay García José Ramos Ramírez</v>
      </c>
    </row>
    <row r="36" spans="1:17" ht="168.75">
      <c r="A36" s="90" t="s">
        <v>159</v>
      </c>
      <c r="B36" s="168" t="s">
        <v>892</v>
      </c>
      <c r="C36" s="90" t="s">
        <v>170</v>
      </c>
      <c r="D36" s="31" t="s">
        <v>899</v>
      </c>
      <c r="E36" s="90" t="s">
        <v>160</v>
      </c>
      <c r="F36" s="91" t="str">
        <f>IF(CasoPrueba[[#This Row],[Estado Testing]]=Resumen!$P$28,"OK",IF(CasoPrueba[[#This Row],[Estado Testing]]=Resumen!$P$29,"NO OK",IF((CasoPrueba[[#This Row],[Estado Testing]]=Resumen!$P$30)+(CasoPrueba[[#This Row],[Estado Testing]]=Resumen!$P$31),"OBSERVADO","")))</f>
        <v>OK</v>
      </c>
      <c r="G36" s="92" t="s">
        <v>19</v>
      </c>
      <c r="H36" s="90" t="s">
        <v>28</v>
      </c>
      <c r="I36" s="92"/>
      <c r="J36" s="90"/>
      <c r="K36" s="90"/>
      <c r="L36" s="93">
        <f>General!$A$10</f>
        <v>0</v>
      </c>
      <c r="M36" s="93"/>
      <c r="N36" s="90"/>
      <c r="O36" s="90"/>
      <c r="P36" s="92" t="s">
        <v>953</v>
      </c>
      <c r="Q36" s="90" t="str">
        <f>CONCATENATE(General!$B$7," ",General!$B$6)</f>
        <v>Nicolay García José Ramos Ramírez</v>
      </c>
    </row>
    <row r="37" spans="1:17" ht="202.5">
      <c r="A37" s="90" t="s">
        <v>159</v>
      </c>
      <c r="B37" s="168" t="s">
        <v>903</v>
      </c>
      <c r="C37" s="90" t="s">
        <v>170</v>
      </c>
      <c r="D37" s="169" t="s">
        <v>900</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8"/>
      <c r="L37" s="172">
        <f>General!$A$10</f>
        <v>0</v>
      </c>
      <c r="M37" s="172"/>
      <c r="N37" s="168"/>
      <c r="O37" s="168"/>
      <c r="P37" s="171" t="s">
        <v>1021</v>
      </c>
      <c r="Q37" s="90" t="str">
        <f>CONCATENATE(General!$B$7," ",General!$B$6)</f>
        <v>Nicolay García José Ramos Ramírez</v>
      </c>
    </row>
    <row r="38" spans="1:17" ht="202.5">
      <c r="A38" s="90" t="s">
        <v>159</v>
      </c>
      <c r="B38" s="168" t="s">
        <v>904</v>
      </c>
      <c r="C38" s="90" t="s">
        <v>170</v>
      </c>
      <c r="D38" s="169" t="s">
        <v>901</v>
      </c>
      <c r="E38" s="90" t="s">
        <v>160</v>
      </c>
      <c r="F38" s="91" t="str">
        <f>IF(CasoPrueba[[#This Row],[Estado Testing]]=Resumen!$P$28,"OK",IF(CasoPrueba[[#This Row],[Estado Testing]]=Resumen!$P$29,"NO OK",IF((CasoPrueba[[#This Row],[Estado Testing]]=Resumen!$P$30)+(CasoPrueba[[#This Row],[Estado Testing]]=Resumen!$P$31),"OBSERVADO","")))</f>
        <v>OK</v>
      </c>
      <c r="G38" s="92" t="s">
        <v>19</v>
      </c>
      <c r="H38" s="90" t="s">
        <v>28</v>
      </c>
      <c r="I38" s="92"/>
      <c r="J38" s="90"/>
      <c r="K38" s="168"/>
      <c r="L38" s="172">
        <f>General!$A$10</f>
        <v>0</v>
      </c>
      <c r="M38" s="172"/>
      <c r="N38" s="168"/>
      <c r="O38" s="168"/>
      <c r="P38" s="171" t="s">
        <v>1022</v>
      </c>
      <c r="Q38" s="90" t="str">
        <f>CONCATENATE(General!$B$7," ",General!$B$6)</f>
        <v>Nicolay García José Ramos Ramírez</v>
      </c>
    </row>
    <row r="39" spans="1:17" ht="33.75">
      <c r="A39" s="90" t="s">
        <v>159</v>
      </c>
      <c r="B39" s="168" t="s">
        <v>905</v>
      </c>
      <c r="C39" s="90" t="s">
        <v>170</v>
      </c>
      <c r="D39" s="169" t="s">
        <v>902</v>
      </c>
      <c r="E39" s="90" t="s">
        <v>160</v>
      </c>
      <c r="F39" s="91" t="str">
        <f>IF(CasoPrueba[[#This Row],[Estado Testing]]=Resumen!$P$28,"OK",IF(CasoPrueba[[#This Row],[Estado Testing]]=Resumen!$P$29,"NO OK",IF((CasoPrueba[[#This Row],[Estado Testing]]=Resumen!$P$30)+(CasoPrueba[[#This Row],[Estado Testing]]=Resumen!$P$31),"OBSERVADO","")))</f>
        <v>NO OK</v>
      </c>
      <c r="G39" s="92" t="s">
        <v>20</v>
      </c>
      <c r="H39" s="90" t="s">
        <v>28</v>
      </c>
      <c r="I39" s="92" t="s">
        <v>29</v>
      </c>
      <c r="J39" s="90" t="s">
        <v>47</v>
      </c>
      <c r="K39" s="168"/>
      <c r="L39" s="172">
        <f>General!$A$10</f>
        <v>0</v>
      </c>
      <c r="M39" s="172"/>
      <c r="N39" s="168"/>
      <c r="O39" s="168"/>
      <c r="P39" s="171" t="s">
        <v>1371</v>
      </c>
      <c r="Q39" s="90" t="str">
        <f>CONCATENATE(General!$B$7," ",General!$B$6)</f>
        <v>Nicolay García José Ramos Ramírez</v>
      </c>
    </row>
    <row r="40" spans="1:17" ht="56.25">
      <c r="A40" s="168" t="s">
        <v>159</v>
      </c>
      <c r="B40" s="168" t="s">
        <v>1182</v>
      </c>
      <c r="C40" s="90" t="s">
        <v>170</v>
      </c>
      <c r="D40" s="169" t="s">
        <v>1092</v>
      </c>
      <c r="E40" s="90" t="s">
        <v>160</v>
      </c>
      <c r="F40" s="91" t="str">
        <f>IF(CasoPrueba[[#This Row],[Estado Testing]]=Resumen!$P$28,"OK",IF(CasoPrueba[[#This Row],[Estado Testing]]=Resumen!$P$29,"NO OK",IF((CasoPrueba[[#This Row],[Estado Testing]]=Resumen!$P$30)+(CasoPrueba[[#This Row],[Estado Testing]]=Resumen!$P$31),"OBSERVADO","")))</f>
        <v>OK</v>
      </c>
      <c r="G40" s="92" t="s">
        <v>19</v>
      </c>
      <c r="H40" s="90" t="s">
        <v>28</v>
      </c>
      <c r="I40" s="92"/>
      <c r="J40" s="90"/>
      <c r="K40" s="168"/>
      <c r="L40" s="172">
        <f>General!$A$10</f>
        <v>0</v>
      </c>
      <c r="M40" s="172"/>
      <c r="N40" s="168"/>
      <c r="O40" s="168"/>
      <c r="P40" s="171" t="s">
        <v>1334</v>
      </c>
      <c r="Q40" s="90"/>
    </row>
    <row r="41" spans="1:17" ht="45">
      <c r="A41" s="168" t="s">
        <v>159</v>
      </c>
      <c r="B41" s="168" t="s">
        <v>1186</v>
      </c>
      <c r="C41" s="90" t="s">
        <v>170</v>
      </c>
      <c r="D41" s="31" t="s">
        <v>1187</v>
      </c>
      <c r="E41" s="90" t="s">
        <v>160</v>
      </c>
      <c r="F41" s="91" t="str">
        <f>IF(CasoPrueba[[#This Row],[Estado Testing]]=Resumen!$P$28,"OK",IF(CasoPrueba[[#This Row],[Estado Testing]]=Resumen!$P$29,"NO OK",IF((CasoPrueba[[#This Row],[Estado Testing]]=Resumen!$P$30)+(CasoPrueba[[#This Row],[Estado Testing]]=Resumen!$P$31),"OBSERVADO","")))</f>
        <v>OK</v>
      </c>
      <c r="G41" s="92" t="s">
        <v>19</v>
      </c>
      <c r="H41" s="90" t="s">
        <v>28</v>
      </c>
      <c r="I41" s="92"/>
      <c r="J41" s="90"/>
      <c r="K41" s="168"/>
      <c r="L41" s="172">
        <f>General!$A$10</f>
        <v>0</v>
      </c>
      <c r="M41" s="172"/>
      <c r="N41" s="168"/>
      <c r="O41" s="168"/>
      <c r="P41" s="171" t="s">
        <v>1335</v>
      </c>
      <c r="Q41" s="90"/>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O465"/>
  <sheetViews>
    <sheetView tabSelected="1" zoomScale="85" zoomScaleNormal="85" workbookViewId="0">
      <selection activeCell="C458" sqref="C458"/>
    </sheetView>
  </sheetViews>
  <sheetFormatPr baseColWidth="10" defaultColWidth="0" defaultRowHeight="15"/>
  <cols>
    <col min="1" max="1" width="12.7109375" style="72" customWidth="1"/>
    <col min="2" max="2" width="12.7109375" style="34" customWidth="1"/>
    <col min="3" max="3" width="64.28515625" style="34" bestFit="1" customWidth="1"/>
    <col min="4" max="6" width="12.7109375" style="34" customWidth="1"/>
    <col min="7" max="8" width="12.7109375" style="73" customWidth="1"/>
    <col min="9" max="9" width="13.28515625" style="94" customWidth="1"/>
    <col min="10" max="10" width="41.5703125" style="34" customWidth="1"/>
    <col min="11" max="11" width="40.42578125" style="34" customWidth="1"/>
    <col min="12" max="12" width="12.7109375" style="31" customWidth="1"/>
    <col min="13" max="13" width="13.85546875" style="31" customWidth="1"/>
    <col min="14" max="16384" width="11.42578125" style="31" hidden="1"/>
  </cols>
  <sheetData>
    <row r="1" spans="1:15" customFormat="1" ht="31.5">
      <c r="A1" s="205" t="s">
        <v>96</v>
      </c>
      <c r="B1" s="205"/>
      <c r="C1" s="205"/>
      <c r="D1" s="205"/>
      <c r="E1" s="205"/>
      <c r="F1" s="205"/>
      <c r="G1" s="205"/>
      <c r="H1" s="205"/>
      <c r="I1" s="205"/>
      <c r="J1" s="205"/>
      <c r="K1" s="205"/>
      <c r="L1" s="205"/>
      <c r="O1" s="31" t="s">
        <v>132</v>
      </c>
    </row>
    <row r="2" spans="1:15" s="71" customFormat="1" ht="38.25">
      <c r="A2" s="153" t="s">
        <v>89</v>
      </c>
      <c r="B2" s="154" t="s">
        <v>90</v>
      </c>
      <c r="C2" s="154" t="s">
        <v>1380</v>
      </c>
      <c r="D2" s="154" t="s">
        <v>78</v>
      </c>
      <c r="E2" s="154" t="s">
        <v>79</v>
      </c>
      <c r="F2" s="154" t="s">
        <v>91</v>
      </c>
      <c r="G2" s="155" t="s">
        <v>92</v>
      </c>
      <c r="H2" s="155" t="s">
        <v>93</v>
      </c>
      <c r="I2" s="155" t="s">
        <v>129</v>
      </c>
      <c r="J2" s="154" t="s">
        <v>3</v>
      </c>
      <c r="K2" s="154" t="s">
        <v>94</v>
      </c>
      <c r="L2" s="156" t="s">
        <v>104</v>
      </c>
      <c r="M2" s="156" t="s">
        <v>143</v>
      </c>
      <c r="O2" s="31" t="s">
        <v>133</v>
      </c>
    </row>
    <row r="3" spans="1:15" ht="45" hidden="1">
      <c r="A3" s="72" t="s">
        <v>97</v>
      </c>
      <c r="B3" s="34" t="s">
        <v>88</v>
      </c>
      <c r="C3" s="34" t="str">
        <f>VLOOKUP(Observaciones[[#This Row],[Caso de Prueba]],CasoPrueba[[Código CP]:[Descripción Caso de Prueba]],3,0)</f>
        <v>MacroProceso - Gestión de Recursos Humanos</v>
      </c>
      <c r="D3" s="34" t="str">
        <f>VLOOKUP(Observaciones[Caso de Prueba],CasoPrueba[[#All],[Código CP]:[Prioridad]],7,TRUE)</f>
        <v>Alta</v>
      </c>
      <c r="E3" s="34" t="s">
        <v>30</v>
      </c>
      <c r="F3" s="34" t="s">
        <v>49</v>
      </c>
      <c r="G3" s="73">
        <v>40784</v>
      </c>
      <c r="H3" s="73">
        <v>40796</v>
      </c>
      <c r="I3" s="94" t="s">
        <v>132</v>
      </c>
      <c r="J3" s="34" t="s">
        <v>227</v>
      </c>
      <c r="K3" s="34" t="s">
        <v>228</v>
      </c>
      <c r="L3" s="34">
        <f>IF((Observaciones[[#This Row],[Fecha Levantamiento]]-Observaciones[[#This Row],[Fecha Detección]])&gt;=0,Observaciones[[#This Row],[Fecha Levantamiento]]-Observaciones[[#This Row],[Fecha Detección]]+1,0)</f>
        <v>13</v>
      </c>
      <c r="M3" s="34" t="str">
        <f>LOOKUP(Observaciones[[#This Row],[Caso de Prueba]],CasoPrueba[Código CP],CasoPrueba[Código de REQ])</f>
        <v>INSPECCIÓN</v>
      </c>
    </row>
    <row r="4" spans="1:15" ht="30" hidden="1">
      <c r="A4" s="166" t="s">
        <v>161</v>
      </c>
      <c r="B4" s="164" t="s">
        <v>88</v>
      </c>
      <c r="C4" s="164" t="str">
        <f>VLOOKUP(Observaciones[[#This Row],[Caso de Prueba]],CasoPrueba[[Código CP]:[Descripción Caso de Prueba]],3,0)</f>
        <v>MacroProceso - Gestión de Recursos Humanos</v>
      </c>
      <c r="D4" s="34" t="str">
        <f>VLOOKUP(Observaciones[Caso de Prueba],CasoPrueba[[#All],[Código CP]:[Prioridad]],7,TRUE)</f>
        <v>Alta</v>
      </c>
      <c r="E4" s="164" t="s">
        <v>30</v>
      </c>
      <c r="F4" s="34" t="s">
        <v>49</v>
      </c>
      <c r="G4" s="165">
        <v>40784</v>
      </c>
      <c r="H4" s="73">
        <v>40796</v>
      </c>
      <c r="I4" s="167" t="s">
        <v>132</v>
      </c>
      <c r="J4" s="164" t="s">
        <v>192</v>
      </c>
      <c r="K4" s="164" t="s">
        <v>193</v>
      </c>
      <c r="L4" s="34">
        <f>IF((Observaciones[[#This Row],[Fecha Levantamiento]]-Observaciones[[#This Row],[Fecha Detección]])&gt;=0,Observaciones[[#This Row],[Fecha Levantamiento]]-Observaciones[[#This Row],[Fecha Detección]]+1,0)</f>
        <v>13</v>
      </c>
      <c r="M4" s="34" t="str">
        <f>LOOKUP(Observaciones[[#This Row],[Caso de Prueba]],CasoPrueba[Código CP],CasoPrueba[Código de REQ])</f>
        <v>INSPECCIÓN</v>
      </c>
    </row>
    <row r="5" spans="1:15" ht="30" hidden="1">
      <c r="A5" s="166" t="s">
        <v>194</v>
      </c>
      <c r="B5" s="164" t="s">
        <v>88</v>
      </c>
      <c r="C5" s="164" t="str">
        <f>VLOOKUP(Observaciones[[#This Row],[Caso de Prueba]],CasoPrueba[[Código CP]:[Descripción Caso de Prueba]],3,0)</f>
        <v>MacroProceso - Gestión de Recursos Humanos</v>
      </c>
      <c r="D5" s="34" t="str">
        <f>VLOOKUP(Observaciones[Caso de Prueba],CasoPrueba[[#All],[Código CP]:[Prioridad]],7,TRUE)</f>
        <v>Alta</v>
      </c>
      <c r="E5" s="164" t="s">
        <v>162</v>
      </c>
      <c r="F5" s="34" t="s">
        <v>49</v>
      </c>
      <c r="G5" s="165">
        <v>40784</v>
      </c>
      <c r="H5" s="73">
        <v>40796</v>
      </c>
      <c r="I5" s="167" t="s">
        <v>132</v>
      </c>
      <c r="J5" s="164" t="s">
        <v>195</v>
      </c>
      <c r="K5" s="164" t="s">
        <v>196</v>
      </c>
      <c r="L5" s="34">
        <f>IF((Observaciones[[#This Row],[Fecha Levantamiento]]-Observaciones[[#This Row],[Fecha Detección]])&gt;=0,Observaciones[[#This Row],[Fecha Levantamiento]]-Observaciones[[#This Row],[Fecha Detección]]+1,0)</f>
        <v>13</v>
      </c>
      <c r="M5" s="34" t="str">
        <f>LOOKUP(Observaciones[[#This Row],[Caso de Prueba]],CasoPrueba[Código CP],CasoPrueba[Código de REQ])</f>
        <v>INSPECCIÓN</v>
      </c>
    </row>
    <row r="6" spans="1:15" ht="30" hidden="1">
      <c r="A6" s="166" t="s">
        <v>197</v>
      </c>
      <c r="B6" s="164" t="s">
        <v>88</v>
      </c>
      <c r="C6" s="164" t="str">
        <f>VLOOKUP(Observaciones[[#This Row],[Caso de Prueba]],CasoPrueba[[Código CP]:[Descripción Caso de Prueba]],3,0)</f>
        <v>MacroProceso - Gestión de Recursos Humanos</v>
      </c>
      <c r="D6" s="34" t="str">
        <f>VLOOKUP(Observaciones[Caso de Prueba],CasoPrueba[[#All],[Código CP]:[Prioridad]],7,TRUE)</f>
        <v>Alta</v>
      </c>
      <c r="E6" s="164" t="s">
        <v>162</v>
      </c>
      <c r="F6" s="34" t="s">
        <v>49</v>
      </c>
      <c r="G6" s="165">
        <v>40784</v>
      </c>
      <c r="H6" s="73">
        <v>40796</v>
      </c>
      <c r="I6" s="167" t="s">
        <v>132</v>
      </c>
      <c r="J6" s="164" t="s">
        <v>198</v>
      </c>
      <c r="K6" s="164" t="s">
        <v>199</v>
      </c>
      <c r="L6" s="34">
        <f>IF((Observaciones[[#This Row],[Fecha Levantamiento]]-Observaciones[[#This Row],[Fecha Detección]])&gt;=0,Observaciones[[#This Row],[Fecha Levantamiento]]-Observaciones[[#This Row],[Fecha Detección]]+1,0)</f>
        <v>13</v>
      </c>
      <c r="M6" s="34" t="str">
        <f>LOOKUP(Observaciones[[#This Row],[Caso de Prueba]],CasoPrueba[Código CP],CasoPrueba[Código de REQ])</f>
        <v>INSPECCIÓN</v>
      </c>
    </row>
    <row r="7" spans="1:15" hidden="1">
      <c r="A7" s="166" t="s">
        <v>200</v>
      </c>
      <c r="B7" s="164" t="s">
        <v>88</v>
      </c>
      <c r="C7" s="164" t="str">
        <f>VLOOKUP(Observaciones[[#This Row],[Caso de Prueba]],CasoPrueba[[Código CP]:[Descripción Caso de Prueba]],3,0)</f>
        <v>MacroProceso - Gestión de Recursos Humanos</v>
      </c>
      <c r="D7" s="34" t="str">
        <f>VLOOKUP(Observaciones[Caso de Prueba],CasoPrueba[[#All],[Código CP]:[Prioridad]],7,TRUE)</f>
        <v>Alta</v>
      </c>
      <c r="E7" s="164" t="s">
        <v>162</v>
      </c>
      <c r="F7" s="34" t="s">
        <v>49</v>
      </c>
      <c r="G7" s="165">
        <v>40784</v>
      </c>
      <c r="H7" s="73">
        <v>40796</v>
      </c>
      <c r="I7" s="167" t="s">
        <v>132</v>
      </c>
      <c r="J7" s="164" t="s">
        <v>426</v>
      </c>
      <c r="K7" s="164" t="s">
        <v>201</v>
      </c>
      <c r="L7" s="34">
        <f>IF((Observaciones[[#This Row],[Fecha Levantamiento]]-Observaciones[[#This Row],[Fecha Detección]])&gt;=0,Observaciones[[#This Row],[Fecha Levantamiento]]-Observaciones[[#This Row],[Fecha Detección]]+1,0)</f>
        <v>13</v>
      </c>
      <c r="M7" s="34" t="str">
        <f>LOOKUP(Observaciones[[#This Row],[Caso de Prueba]],CasoPrueba[Código CP],CasoPrueba[Código de REQ])</f>
        <v>INSPECCIÓN</v>
      </c>
    </row>
    <row r="8" spans="1:15" ht="30" hidden="1">
      <c r="A8" s="166" t="s">
        <v>202</v>
      </c>
      <c r="B8" s="164" t="s">
        <v>88</v>
      </c>
      <c r="C8" s="164" t="str">
        <f>VLOOKUP(Observaciones[[#This Row],[Caso de Prueba]],CasoPrueba[[Código CP]:[Descripción Caso de Prueba]],3,0)</f>
        <v>MacroProceso - Gestión de Recursos Humanos</v>
      </c>
      <c r="D8" s="34" t="str">
        <f>VLOOKUP(Observaciones[Caso de Prueba],CasoPrueba[[#All],[Código CP]:[Prioridad]],7,TRUE)</f>
        <v>Alta</v>
      </c>
      <c r="E8" s="164" t="s">
        <v>30</v>
      </c>
      <c r="F8" s="34" t="s">
        <v>49</v>
      </c>
      <c r="G8" s="165">
        <v>40793</v>
      </c>
      <c r="H8" s="73">
        <v>40796</v>
      </c>
      <c r="I8" s="167" t="s">
        <v>132</v>
      </c>
      <c r="J8" s="164" t="s">
        <v>203</v>
      </c>
      <c r="K8" s="164" t="s">
        <v>204</v>
      </c>
      <c r="L8" s="34">
        <f>IF((Observaciones[[#This Row],[Fecha Levantamiento]]-Observaciones[[#This Row],[Fecha Detección]])&gt;=0,Observaciones[[#This Row],[Fecha Levantamiento]]-Observaciones[[#This Row],[Fecha Detección]]+1,0)</f>
        <v>4</v>
      </c>
      <c r="M8" s="34" t="str">
        <f>LOOKUP(Observaciones[[#This Row],[Caso de Prueba]],CasoPrueba[Código CP],CasoPrueba[Código de REQ])</f>
        <v>INSPECCIÓN</v>
      </c>
    </row>
    <row r="9" spans="1:15" ht="30" hidden="1">
      <c r="A9" s="166" t="s">
        <v>205</v>
      </c>
      <c r="B9" s="164" t="s">
        <v>88</v>
      </c>
      <c r="C9" s="164" t="str">
        <f>VLOOKUP(Observaciones[[#This Row],[Caso de Prueba]],CasoPrueba[[Código CP]:[Descripción Caso de Prueba]],3,0)</f>
        <v>MacroProceso - Gestión de Recursos Humanos</v>
      </c>
      <c r="D9" s="34" t="str">
        <f>VLOOKUP(Observaciones[Caso de Prueba],CasoPrueba[[#All],[Código CP]:[Prioridad]],7,TRUE)</f>
        <v>Alta</v>
      </c>
      <c r="E9" s="164" t="s">
        <v>29</v>
      </c>
      <c r="F9" s="34" t="s">
        <v>49</v>
      </c>
      <c r="G9" s="165">
        <v>40784</v>
      </c>
      <c r="H9" s="73">
        <v>40796</v>
      </c>
      <c r="I9" s="167" t="s">
        <v>132</v>
      </c>
      <c r="J9" s="164" t="s">
        <v>206</v>
      </c>
      <c r="K9" s="164" t="s">
        <v>207</v>
      </c>
      <c r="L9" s="34">
        <f>IF((Observaciones[[#This Row],[Fecha Levantamiento]]-Observaciones[[#This Row],[Fecha Detección]])&gt;=0,Observaciones[[#This Row],[Fecha Levantamiento]]-Observaciones[[#This Row],[Fecha Detección]]+1,0)</f>
        <v>13</v>
      </c>
      <c r="M9" s="34" t="str">
        <f>LOOKUP(Observaciones[[#This Row],[Caso de Prueba]],CasoPrueba[Código CP],CasoPrueba[Código de REQ])</f>
        <v>INSPECCIÓN</v>
      </c>
    </row>
    <row r="10" spans="1:15" ht="60" hidden="1">
      <c r="A10" s="166" t="s">
        <v>208</v>
      </c>
      <c r="B10" s="164" t="s">
        <v>88</v>
      </c>
      <c r="C10" s="164" t="str">
        <f>VLOOKUP(Observaciones[[#This Row],[Caso de Prueba]],CasoPrueba[[Código CP]:[Descripción Caso de Prueba]],3,0)</f>
        <v>MacroProceso - Gestión de Recursos Humanos</v>
      </c>
      <c r="D10" s="34" t="str">
        <f>VLOOKUP(Observaciones[Caso de Prueba],CasoPrueba[[#All],[Código CP]:[Prioridad]],7,TRUE)</f>
        <v>Alta</v>
      </c>
      <c r="E10" s="164" t="s">
        <v>29</v>
      </c>
      <c r="F10" s="34" t="s">
        <v>49</v>
      </c>
      <c r="G10" s="165">
        <v>40784</v>
      </c>
      <c r="H10" s="73">
        <v>40796</v>
      </c>
      <c r="I10" s="167" t="s">
        <v>132</v>
      </c>
      <c r="J10" s="164" t="s">
        <v>209</v>
      </c>
      <c r="K10" s="164" t="s">
        <v>210</v>
      </c>
      <c r="L10" s="34">
        <f>IF((Observaciones[[#This Row],[Fecha Levantamiento]]-Observaciones[[#This Row],[Fecha Detección]])&gt;=0,Observaciones[[#This Row],[Fecha Levantamiento]]-Observaciones[[#This Row],[Fecha Detección]]+1,0)</f>
        <v>13</v>
      </c>
      <c r="M10" s="34" t="str">
        <f>LOOKUP(Observaciones[[#This Row],[Caso de Prueba]],CasoPrueba[Código CP],CasoPrueba[Código de REQ])</f>
        <v>INSPECCIÓN</v>
      </c>
    </row>
    <row r="11" spans="1:15" ht="30" hidden="1">
      <c r="A11" s="166" t="s">
        <v>211</v>
      </c>
      <c r="B11" s="164" t="s">
        <v>88</v>
      </c>
      <c r="C11" s="164" t="str">
        <f>VLOOKUP(Observaciones[[#This Row],[Caso de Prueba]],CasoPrueba[[Código CP]:[Descripción Caso de Prueba]],3,0)</f>
        <v>MacroProceso - Gestión de Recursos Humanos</v>
      </c>
      <c r="D11" s="34" t="str">
        <f>VLOOKUP(Observaciones[Caso de Prueba],CasoPrueba[[#All],[Código CP]:[Prioridad]],7,TRUE)</f>
        <v>Alta</v>
      </c>
      <c r="E11" s="164" t="s">
        <v>29</v>
      </c>
      <c r="F11" s="34" t="s">
        <v>49</v>
      </c>
      <c r="G11" s="165">
        <v>40784</v>
      </c>
      <c r="H11" s="73">
        <v>40796</v>
      </c>
      <c r="I11" s="167" t="s">
        <v>132</v>
      </c>
      <c r="J11" s="164" t="s">
        <v>212</v>
      </c>
      <c r="K11" s="164" t="s">
        <v>213</v>
      </c>
      <c r="L11" s="34">
        <f>IF((Observaciones[[#This Row],[Fecha Levantamiento]]-Observaciones[[#This Row],[Fecha Detección]])&gt;=0,Observaciones[[#This Row],[Fecha Levantamiento]]-Observaciones[[#This Row],[Fecha Detección]]+1,0)</f>
        <v>13</v>
      </c>
      <c r="M11" s="34" t="str">
        <f>LOOKUP(Observaciones[[#This Row],[Caso de Prueba]],CasoPrueba[Código CP],CasoPrueba[Código de REQ])</f>
        <v>INSPECCIÓN</v>
      </c>
    </row>
    <row r="12" spans="1:15" ht="60" hidden="1">
      <c r="A12" s="166" t="s">
        <v>214</v>
      </c>
      <c r="B12" s="164" t="s">
        <v>88</v>
      </c>
      <c r="C12" s="164" t="str">
        <f>VLOOKUP(Observaciones[[#This Row],[Caso de Prueba]],CasoPrueba[[Código CP]:[Descripción Caso de Prueba]],3,0)</f>
        <v>MacroProceso - Gestión de Recursos Humanos</v>
      </c>
      <c r="D12" s="34" t="str">
        <f>VLOOKUP(Observaciones[Caso de Prueba],CasoPrueba[[#All],[Código CP]:[Prioridad]],7,TRUE)</f>
        <v>Alta</v>
      </c>
      <c r="E12" s="164" t="s">
        <v>29</v>
      </c>
      <c r="F12" s="34" t="s">
        <v>49</v>
      </c>
      <c r="G12" s="165">
        <v>40784</v>
      </c>
      <c r="H12" s="73">
        <v>40796</v>
      </c>
      <c r="I12" s="167" t="s">
        <v>132</v>
      </c>
      <c r="J12" s="164" t="s">
        <v>215</v>
      </c>
      <c r="K12" s="164" t="s">
        <v>216</v>
      </c>
      <c r="L12" s="34">
        <f>IF((Observaciones[[#This Row],[Fecha Levantamiento]]-Observaciones[[#This Row],[Fecha Detección]])&gt;=0,Observaciones[[#This Row],[Fecha Levantamiento]]-Observaciones[[#This Row],[Fecha Detección]]+1,0)</f>
        <v>13</v>
      </c>
      <c r="M12" s="34" t="str">
        <f>LOOKUP(Observaciones[[#This Row],[Caso de Prueba]],CasoPrueba[Código CP],CasoPrueba[Código de REQ])</f>
        <v>INSPECCIÓN</v>
      </c>
    </row>
    <row r="13" spans="1:15" ht="45" hidden="1">
      <c r="A13" s="166" t="s">
        <v>217</v>
      </c>
      <c r="B13" s="164" t="s">
        <v>88</v>
      </c>
      <c r="C13" s="164" t="str">
        <f>VLOOKUP(Observaciones[[#This Row],[Caso de Prueba]],CasoPrueba[[Código CP]:[Descripción Caso de Prueba]],3,0)</f>
        <v>MacroProceso - Gestión de Recursos Humanos</v>
      </c>
      <c r="D13" s="34" t="str">
        <f>VLOOKUP(Observaciones[Caso de Prueba],CasoPrueba[[#All],[Código CP]:[Prioridad]],7,TRUE)</f>
        <v>Alta</v>
      </c>
      <c r="E13" s="164" t="s">
        <v>29</v>
      </c>
      <c r="F13" s="34" t="s">
        <v>49</v>
      </c>
      <c r="G13" s="165">
        <v>40784</v>
      </c>
      <c r="H13" s="73">
        <v>40796</v>
      </c>
      <c r="I13" s="167" t="s">
        <v>132</v>
      </c>
      <c r="J13" s="164" t="s">
        <v>218</v>
      </c>
      <c r="K13" s="164" t="s">
        <v>219</v>
      </c>
      <c r="L13" s="34">
        <f>IF((Observaciones[[#This Row],[Fecha Levantamiento]]-Observaciones[[#This Row],[Fecha Detección]])&gt;=0,Observaciones[[#This Row],[Fecha Levantamiento]]-Observaciones[[#This Row],[Fecha Detección]]+1,0)</f>
        <v>13</v>
      </c>
      <c r="M13" s="34" t="str">
        <f>LOOKUP(Observaciones[[#This Row],[Caso de Prueba]],CasoPrueba[Código CP],CasoPrueba[Código de REQ])</f>
        <v>INSPECCIÓN</v>
      </c>
    </row>
    <row r="14" spans="1:15" ht="30" hidden="1">
      <c r="A14" s="166" t="s">
        <v>220</v>
      </c>
      <c r="B14" s="164" t="s">
        <v>88</v>
      </c>
      <c r="C14" s="164" t="str">
        <f>VLOOKUP(Observaciones[[#This Row],[Caso de Prueba]],CasoPrueba[[Código CP]:[Descripción Caso de Prueba]],3,0)</f>
        <v>MacroProceso - Gestión de Recursos Humanos</v>
      </c>
      <c r="D14" s="34" t="str">
        <f>VLOOKUP(Observaciones[Caso de Prueba],CasoPrueba[[#All],[Código CP]:[Prioridad]],7,TRUE)</f>
        <v>Alta</v>
      </c>
      <c r="E14" s="164" t="s">
        <v>30</v>
      </c>
      <c r="F14" s="34" t="s">
        <v>49</v>
      </c>
      <c r="G14" s="165">
        <v>40784</v>
      </c>
      <c r="H14" s="73">
        <v>40796</v>
      </c>
      <c r="I14" s="167" t="s">
        <v>132</v>
      </c>
      <c r="J14" s="164" t="s">
        <v>221</v>
      </c>
      <c r="K14" s="164" t="s">
        <v>222</v>
      </c>
      <c r="L14" s="34">
        <f>IF((Observaciones[[#This Row],[Fecha Levantamiento]]-Observaciones[[#This Row],[Fecha Detección]])&gt;=0,Observaciones[[#This Row],[Fecha Levantamiento]]-Observaciones[[#This Row],[Fecha Detección]]+1,0)</f>
        <v>13</v>
      </c>
      <c r="M14" s="34" t="str">
        <f>LOOKUP(Observaciones[[#This Row],[Caso de Prueba]],CasoPrueba[Código CP],CasoPrueba[Código de REQ])</f>
        <v>INSPECCIÓN</v>
      </c>
    </row>
    <row r="15" spans="1:15" ht="60" hidden="1">
      <c r="A15" s="166" t="s">
        <v>223</v>
      </c>
      <c r="B15" s="164" t="s">
        <v>88</v>
      </c>
      <c r="C15" s="164" t="str">
        <f>VLOOKUP(Observaciones[[#This Row],[Caso de Prueba]],CasoPrueba[[Código CP]:[Descripción Caso de Prueba]],3,0)</f>
        <v>MacroProceso - Gestión de Recursos Humanos</v>
      </c>
      <c r="D15" s="34" t="str">
        <f>VLOOKUP(Observaciones[Caso de Prueba],CasoPrueba[[#All],[Código CP]:[Prioridad]],7,TRUE)</f>
        <v>Alta</v>
      </c>
      <c r="E15" s="164" t="s">
        <v>30</v>
      </c>
      <c r="F15" s="34" t="s">
        <v>49</v>
      </c>
      <c r="G15" s="165">
        <v>40784</v>
      </c>
      <c r="H15" s="73">
        <v>40796</v>
      </c>
      <c r="I15" s="167" t="s">
        <v>132</v>
      </c>
      <c r="J15" s="164" t="s">
        <v>224</v>
      </c>
      <c r="K15" s="164" t="s">
        <v>225</v>
      </c>
      <c r="L15" s="34">
        <f>IF((Observaciones[[#This Row],[Fecha Levantamiento]]-Observaciones[[#This Row],[Fecha Detección]])&gt;=0,Observaciones[[#This Row],[Fecha Levantamiento]]-Observaciones[[#This Row],[Fecha Detección]]+1,0)</f>
        <v>13</v>
      </c>
      <c r="M15" s="34" t="str">
        <f>LOOKUP(Observaciones[[#This Row],[Caso de Prueba]],CasoPrueba[Código CP],CasoPrueba[Código de REQ])</f>
        <v>INSPECCIÓN</v>
      </c>
    </row>
    <row r="16" spans="1:15" ht="45" hidden="1">
      <c r="A16" s="166" t="s">
        <v>226</v>
      </c>
      <c r="B16" s="164" t="s">
        <v>151</v>
      </c>
      <c r="C16" s="164" t="str">
        <f>VLOOKUP(Observaciones[[#This Row],[Caso de Prueba]],CasoPrueba[[Código CP]:[Descripción Caso de Prueba]],3,0)</f>
        <v>Proceso - Capacitación de Personal</v>
      </c>
      <c r="D16" s="34" t="str">
        <f>VLOOKUP(Observaciones[Caso de Prueba],CasoPrueba[[#All],[Código CP]:[Prioridad]],7,TRUE)</f>
        <v>Alta</v>
      </c>
      <c r="E16" s="164" t="s">
        <v>30</v>
      </c>
      <c r="F16" s="34" t="s">
        <v>49</v>
      </c>
      <c r="G16" s="165">
        <v>40786</v>
      </c>
      <c r="H16" s="73">
        <v>40796</v>
      </c>
      <c r="I16" s="167" t="s">
        <v>132</v>
      </c>
      <c r="J16" s="164" t="s">
        <v>227</v>
      </c>
      <c r="K16" s="164" t="s">
        <v>228</v>
      </c>
      <c r="L16" s="34">
        <f>IF((Observaciones[[#This Row],[Fecha Levantamiento]]-Observaciones[[#This Row],[Fecha Detección]])&gt;=0,Observaciones[[#This Row],[Fecha Levantamiento]]-Observaciones[[#This Row],[Fecha Detección]]+1,0)</f>
        <v>11</v>
      </c>
      <c r="M16" s="34" t="str">
        <f>LOOKUP(Observaciones[[#This Row],[Caso de Prueba]],CasoPrueba[Código CP],CasoPrueba[Código de REQ])</f>
        <v>INSPECCIÓN</v>
      </c>
    </row>
    <row r="17" spans="1:13" ht="30" hidden="1">
      <c r="A17" s="166" t="s">
        <v>229</v>
      </c>
      <c r="B17" s="164" t="s">
        <v>151</v>
      </c>
      <c r="C17" s="164" t="str">
        <f>VLOOKUP(Observaciones[[#This Row],[Caso de Prueba]],CasoPrueba[[Código CP]:[Descripción Caso de Prueba]],3,0)</f>
        <v>Proceso - Capacitación de Personal</v>
      </c>
      <c r="D17" s="34" t="str">
        <f>VLOOKUP(Observaciones[Caso de Prueba],CasoPrueba[[#All],[Código CP]:[Prioridad]],7,TRUE)</f>
        <v>Alta</v>
      </c>
      <c r="E17" s="164" t="s">
        <v>162</v>
      </c>
      <c r="F17" s="34" t="s">
        <v>49</v>
      </c>
      <c r="G17" s="165">
        <v>40786</v>
      </c>
      <c r="H17" s="73">
        <v>40796</v>
      </c>
      <c r="I17" s="167" t="s">
        <v>132</v>
      </c>
      <c r="J17" s="164" t="s">
        <v>230</v>
      </c>
      <c r="K17" s="164" t="s">
        <v>231</v>
      </c>
      <c r="L17" s="34">
        <f>IF((Observaciones[[#This Row],[Fecha Levantamiento]]-Observaciones[[#This Row],[Fecha Detección]])&gt;=0,Observaciones[[#This Row],[Fecha Levantamiento]]-Observaciones[[#This Row],[Fecha Detección]]+1,0)</f>
        <v>11</v>
      </c>
      <c r="M17" s="34" t="str">
        <f>LOOKUP(Observaciones[[#This Row],[Caso de Prueba]],CasoPrueba[Código CP],CasoPrueba[Código de REQ])</f>
        <v>INSPECCIÓN</v>
      </c>
    </row>
    <row r="18" spans="1:13" ht="30" hidden="1">
      <c r="A18" s="166" t="s">
        <v>232</v>
      </c>
      <c r="B18" s="164" t="s">
        <v>151</v>
      </c>
      <c r="C18" s="164" t="str">
        <f>VLOOKUP(Observaciones[[#This Row],[Caso de Prueba]],CasoPrueba[[Código CP]:[Descripción Caso de Prueba]],3,0)</f>
        <v>Proceso - Capacitación de Personal</v>
      </c>
      <c r="D18" s="34" t="str">
        <f>VLOOKUP(Observaciones[Caso de Prueba],CasoPrueba[[#All],[Código CP]:[Prioridad]],7,TRUE)</f>
        <v>Alta</v>
      </c>
      <c r="E18" s="164" t="s">
        <v>162</v>
      </c>
      <c r="F18" s="34" t="s">
        <v>49</v>
      </c>
      <c r="G18" s="165">
        <v>40786</v>
      </c>
      <c r="H18" s="73">
        <v>40796</v>
      </c>
      <c r="I18" s="167" t="s">
        <v>132</v>
      </c>
      <c r="J18" s="164" t="s">
        <v>233</v>
      </c>
      <c r="K18" s="164" t="s">
        <v>234</v>
      </c>
      <c r="L18" s="34">
        <f>IF((Observaciones[[#This Row],[Fecha Levantamiento]]-Observaciones[[#This Row],[Fecha Detección]])&gt;=0,Observaciones[[#This Row],[Fecha Levantamiento]]-Observaciones[[#This Row],[Fecha Detección]]+1,0)</f>
        <v>11</v>
      </c>
      <c r="M18" s="34" t="str">
        <f>LOOKUP(Observaciones[[#This Row],[Caso de Prueba]],CasoPrueba[Código CP],CasoPrueba[Código de REQ])</f>
        <v>INSPECCIÓN</v>
      </c>
    </row>
    <row r="19" spans="1:13" ht="30" hidden="1">
      <c r="A19" s="166" t="s">
        <v>235</v>
      </c>
      <c r="B19" s="164" t="s">
        <v>151</v>
      </c>
      <c r="C19" s="164" t="str">
        <f>VLOOKUP(Observaciones[[#This Row],[Caso de Prueba]],CasoPrueba[[Código CP]:[Descripción Caso de Prueba]],3,0)</f>
        <v>Proceso - Capacitación de Personal</v>
      </c>
      <c r="D19" s="34" t="str">
        <f>VLOOKUP(Observaciones[Caso de Prueba],CasoPrueba[[#All],[Código CP]:[Prioridad]],7,TRUE)</f>
        <v>Alta</v>
      </c>
      <c r="E19" s="164" t="s">
        <v>30</v>
      </c>
      <c r="F19" s="34" t="s">
        <v>49</v>
      </c>
      <c r="G19" s="165">
        <v>40793</v>
      </c>
      <c r="H19" s="73">
        <v>40796</v>
      </c>
      <c r="I19" s="167" t="s">
        <v>132</v>
      </c>
      <c r="J19" s="164" t="s">
        <v>236</v>
      </c>
      <c r="K19" s="164" t="s">
        <v>237</v>
      </c>
      <c r="L19" s="34">
        <f>IF((Observaciones[[#This Row],[Fecha Levantamiento]]-Observaciones[[#This Row],[Fecha Detección]])&gt;=0,Observaciones[[#This Row],[Fecha Levantamiento]]-Observaciones[[#This Row],[Fecha Detección]]+1,0)</f>
        <v>4</v>
      </c>
      <c r="M19" s="34" t="str">
        <f>LOOKUP(Observaciones[[#This Row],[Caso de Prueba]],CasoPrueba[Código CP],CasoPrueba[Código de REQ])</f>
        <v>INSPECCIÓN</v>
      </c>
    </row>
    <row r="20" spans="1:13" ht="30" hidden="1">
      <c r="A20" s="166" t="s">
        <v>238</v>
      </c>
      <c r="B20" s="164" t="s">
        <v>151</v>
      </c>
      <c r="C20" s="164" t="str">
        <f>VLOOKUP(Observaciones[[#This Row],[Caso de Prueba]],CasoPrueba[[Código CP]:[Descripción Caso de Prueba]],3,0)</f>
        <v>Proceso - Capacitación de Personal</v>
      </c>
      <c r="D20" s="34" t="str">
        <f>VLOOKUP(Observaciones[Caso de Prueba],CasoPrueba[[#All],[Código CP]:[Prioridad]],7,TRUE)</f>
        <v>Alta</v>
      </c>
      <c r="E20" s="164" t="s">
        <v>29</v>
      </c>
      <c r="F20" s="34" t="s">
        <v>49</v>
      </c>
      <c r="G20" s="165">
        <v>40786</v>
      </c>
      <c r="H20" s="73">
        <v>40796</v>
      </c>
      <c r="I20" s="167" t="s">
        <v>132</v>
      </c>
      <c r="J20" s="164" t="s">
        <v>239</v>
      </c>
      <c r="K20" s="164" t="s">
        <v>240</v>
      </c>
      <c r="L20" s="34">
        <f>IF((Observaciones[[#This Row],[Fecha Levantamiento]]-Observaciones[[#This Row],[Fecha Detección]])&gt;=0,Observaciones[[#This Row],[Fecha Levantamiento]]-Observaciones[[#This Row],[Fecha Detección]]+1,0)</f>
        <v>11</v>
      </c>
      <c r="M20" s="34" t="str">
        <f>LOOKUP(Observaciones[[#This Row],[Caso de Prueba]],CasoPrueba[Código CP],CasoPrueba[Código de REQ])</f>
        <v>INSPECCIÓN</v>
      </c>
    </row>
    <row r="21" spans="1:13" ht="45" hidden="1">
      <c r="A21" s="166" t="s">
        <v>241</v>
      </c>
      <c r="B21" s="164" t="s">
        <v>151</v>
      </c>
      <c r="C21" s="164" t="str">
        <f>VLOOKUP(Observaciones[[#This Row],[Caso de Prueba]],CasoPrueba[[Código CP]:[Descripción Caso de Prueba]],3,0)</f>
        <v>Proceso - Capacitación de Personal</v>
      </c>
      <c r="D21" s="34" t="str">
        <f>VLOOKUP(Observaciones[Caso de Prueba],CasoPrueba[[#All],[Código CP]:[Prioridad]],7,TRUE)</f>
        <v>Alta</v>
      </c>
      <c r="E21" s="164" t="s">
        <v>29</v>
      </c>
      <c r="F21" s="34" t="s">
        <v>49</v>
      </c>
      <c r="G21" s="165">
        <v>40786</v>
      </c>
      <c r="H21" s="73">
        <v>40796</v>
      </c>
      <c r="I21" s="167" t="s">
        <v>132</v>
      </c>
      <c r="J21" s="164" t="s">
        <v>242</v>
      </c>
      <c r="K21" s="164" t="s">
        <v>243</v>
      </c>
      <c r="L21" s="34">
        <f>IF((Observaciones[[#This Row],[Fecha Levantamiento]]-Observaciones[[#This Row],[Fecha Detección]])&gt;=0,Observaciones[[#This Row],[Fecha Levantamiento]]-Observaciones[[#This Row],[Fecha Detección]]+1,0)</f>
        <v>11</v>
      </c>
      <c r="M21" s="34" t="str">
        <f>LOOKUP(Observaciones[[#This Row],[Caso de Prueba]],CasoPrueba[Código CP],CasoPrueba[Código de REQ])</f>
        <v>INSPECCIÓN</v>
      </c>
    </row>
    <row r="22" spans="1:13" ht="30" hidden="1">
      <c r="A22" s="166" t="s">
        <v>244</v>
      </c>
      <c r="B22" s="164" t="s">
        <v>151</v>
      </c>
      <c r="C22" s="164" t="str">
        <f>VLOOKUP(Observaciones[[#This Row],[Caso de Prueba]],CasoPrueba[[Código CP]:[Descripción Caso de Prueba]],3,0)</f>
        <v>Proceso - Capacitación de Personal</v>
      </c>
      <c r="D22" s="34" t="str">
        <f>VLOOKUP(Observaciones[Caso de Prueba],CasoPrueba[[#All],[Código CP]:[Prioridad]],7,TRUE)</f>
        <v>Alta</v>
      </c>
      <c r="E22" s="164" t="s">
        <v>29</v>
      </c>
      <c r="F22" s="34" t="s">
        <v>49</v>
      </c>
      <c r="G22" s="165">
        <v>40786</v>
      </c>
      <c r="H22" s="73">
        <v>40796</v>
      </c>
      <c r="I22" s="167" t="s">
        <v>132</v>
      </c>
      <c r="J22" s="164" t="s">
        <v>245</v>
      </c>
      <c r="K22" s="164" t="s">
        <v>246</v>
      </c>
      <c r="L22" s="34">
        <f>IF((Observaciones[[#This Row],[Fecha Levantamiento]]-Observaciones[[#This Row],[Fecha Detección]])&gt;=0,Observaciones[[#This Row],[Fecha Levantamiento]]-Observaciones[[#This Row],[Fecha Detección]]+1,0)</f>
        <v>11</v>
      </c>
      <c r="M22" s="34" t="str">
        <f>LOOKUP(Observaciones[[#This Row],[Caso de Prueba]],CasoPrueba[Código CP],CasoPrueba[Código de REQ])</f>
        <v>INSPECCIÓN</v>
      </c>
    </row>
    <row r="23" spans="1:13" ht="30" hidden="1">
      <c r="A23" s="166" t="s">
        <v>247</v>
      </c>
      <c r="B23" s="164" t="s">
        <v>151</v>
      </c>
      <c r="C23" s="164" t="str">
        <f>VLOOKUP(Observaciones[[#This Row],[Caso de Prueba]],CasoPrueba[[Código CP]:[Descripción Caso de Prueba]],3,0)</f>
        <v>Proceso - Capacitación de Personal</v>
      </c>
      <c r="D23" s="34" t="str">
        <f>VLOOKUP(Observaciones[Caso de Prueba],CasoPrueba[[#All],[Código CP]:[Prioridad]],7,TRUE)</f>
        <v>Alta</v>
      </c>
      <c r="E23" s="164" t="s">
        <v>162</v>
      </c>
      <c r="F23" s="34" t="s">
        <v>49</v>
      </c>
      <c r="G23" s="165">
        <v>40786</v>
      </c>
      <c r="H23" s="73">
        <v>40796</v>
      </c>
      <c r="I23" s="167" t="s">
        <v>132</v>
      </c>
      <c r="J23" s="164" t="s">
        <v>248</v>
      </c>
      <c r="K23" s="164" t="s">
        <v>196</v>
      </c>
      <c r="L23" s="34">
        <f>IF((Observaciones[[#This Row],[Fecha Levantamiento]]-Observaciones[[#This Row],[Fecha Detección]])&gt;=0,Observaciones[[#This Row],[Fecha Levantamiento]]-Observaciones[[#This Row],[Fecha Detección]]+1,0)</f>
        <v>11</v>
      </c>
      <c r="M23" s="34" t="str">
        <f>LOOKUP(Observaciones[[#This Row],[Caso de Prueba]],CasoPrueba[Código CP],CasoPrueba[Código de REQ])</f>
        <v>INSPECCIÓN</v>
      </c>
    </row>
    <row r="24" spans="1:13" ht="30" hidden="1">
      <c r="A24" s="166" t="s">
        <v>249</v>
      </c>
      <c r="B24" s="164" t="s">
        <v>151</v>
      </c>
      <c r="C24" s="164" t="str">
        <f>VLOOKUP(Observaciones[[#This Row],[Caso de Prueba]],CasoPrueba[[Código CP]:[Descripción Caso de Prueba]],3,0)</f>
        <v>Proceso - Capacitación de Personal</v>
      </c>
      <c r="D24" s="34" t="str">
        <f>VLOOKUP(Observaciones[Caso de Prueba],CasoPrueba[[#All],[Código CP]:[Prioridad]],7,TRUE)</f>
        <v>Alta</v>
      </c>
      <c r="E24" s="164" t="s">
        <v>28</v>
      </c>
      <c r="F24" s="34" t="s">
        <v>49</v>
      </c>
      <c r="G24" s="165">
        <v>40786</v>
      </c>
      <c r="H24" s="73">
        <v>40796</v>
      </c>
      <c r="I24" s="167" t="s">
        <v>132</v>
      </c>
      <c r="J24" s="164" t="s">
        <v>250</v>
      </c>
      <c r="K24" s="164" t="s">
        <v>251</v>
      </c>
      <c r="L24" s="34">
        <f>IF((Observaciones[[#This Row],[Fecha Levantamiento]]-Observaciones[[#This Row],[Fecha Detección]])&gt;=0,Observaciones[[#This Row],[Fecha Levantamiento]]-Observaciones[[#This Row],[Fecha Detección]]+1,0)</f>
        <v>11</v>
      </c>
      <c r="M24" s="34" t="str">
        <f>LOOKUP(Observaciones[[#This Row],[Caso de Prueba]],CasoPrueba[Código CP],CasoPrueba[Código de REQ])</f>
        <v>INSPECCIÓN</v>
      </c>
    </row>
    <row r="25" spans="1:13" ht="45" hidden="1">
      <c r="A25" s="166" t="s">
        <v>252</v>
      </c>
      <c r="B25" s="164" t="s">
        <v>152</v>
      </c>
      <c r="C25" s="164" t="str">
        <f>VLOOKUP(Observaciones[[#This Row],[Caso de Prueba]],CasoPrueba[[Código CP]:[Descripción Caso de Prueba]],3,0)</f>
        <v>Proceso - Contratación e Inducción</v>
      </c>
      <c r="D25" s="34" t="str">
        <f>VLOOKUP(Observaciones[Caso de Prueba],CasoPrueba[[#All],[Código CP]:[Prioridad]],7,TRUE)</f>
        <v>Alta</v>
      </c>
      <c r="E25" s="164" t="s">
        <v>30</v>
      </c>
      <c r="F25" s="34" t="s">
        <v>49</v>
      </c>
      <c r="G25" s="165">
        <v>40786</v>
      </c>
      <c r="H25" s="73">
        <v>40796</v>
      </c>
      <c r="I25" s="167" t="s">
        <v>132</v>
      </c>
      <c r="J25" s="164" t="s">
        <v>253</v>
      </c>
      <c r="K25" s="164" t="s">
        <v>228</v>
      </c>
      <c r="L25" s="34">
        <f>IF((Observaciones[[#This Row],[Fecha Levantamiento]]-Observaciones[[#This Row],[Fecha Detección]])&gt;=0,Observaciones[[#This Row],[Fecha Levantamiento]]-Observaciones[[#This Row],[Fecha Detección]]+1,0)</f>
        <v>11</v>
      </c>
      <c r="M25" s="34" t="str">
        <f>LOOKUP(Observaciones[[#This Row],[Caso de Prueba]],CasoPrueba[Código CP],CasoPrueba[Código de REQ])</f>
        <v>INSPECCIÓN</v>
      </c>
    </row>
    <row r="26" spans="1:13" ht="30" hidden="1">
      <c r="A26" s="166" t="s">
        <v>254</v>
      </c>
      <c r="B26" s="164" t="s">
        <v>152</v>
      </c>
      <c r="C26" s="164" t="str">
        <f>VLOOKUP(Observaciones[[#This Row],[Caso de Prueba]],CasoPrueba[[Código CP]:[Descripción Caso de Prueba]],3,0)</f>
        <v>Proceso - Contratación e Inducción</v>
      </c>
      <c r="D26" s="34" t="str">
        <f>VLOOKUP(Observaciones[Caso de Prueba],CasoPrueba[[#All],[Código CP]:[Prioridad]],7,TRUE)</f>
        <v>Alta</v>
      </c>
      <c r="E26" s="164" t="s">
        <v>30</v>
      </c>
      <c r="F26" s="164" t="s">
        <v>49</v>
      </c>
      <c r="G26" s="165">
        <v>40793</v>
      </c>
      <c r="H26" s="73">
        <v>40796</v>
      </c>
      <c r="I26" s="167" t="s">
        <v>132</v>
      </c>
      <c r="J26" s="164" t="s">
        <v>236</v>
      </c>
      <c r="K26" s="164" t="s">
        <v>255</v>
      </c>
      <c r="L26" s="34">
        <f>IF((Observaciones[[#This Row],[Fecha Levantamiento]]-Observaciones[[#This Row],[Fecha Detección]])&gt;=0,Observaciones[[#This Row],[Fecha Levantamiento]]-Observaciones[[#This Row],[Fecha Detección]]+1,0)</f>
        <v>4</v>
      </c>
      <c r="M26" s="34" t="str">
        <f>LOOKUP(Observaciones[[#This Row],[Caso de Prueba]],CasoPrueba[Código CP],CasoPrueba[Código de REQ])</f>
        <v>INSPECCIÓN</v>
      </c>
    </row>
    <row r="27" spans="1:13" ht="30" hidden="1">
      <c r="A27" s="166" t="s">
        <v>256</v>
      </c>
      <c r="B27" s="164" t="s">
        <v>152</v>
      </c>
      <c r="C27" s="164" t="str">
        <f>VLOOKUP(Observaciones[[#This Row],[Caso de Prueba]],CasoPrueba[[Código CP]:[Descripción Caso de Prueba]],3,0)</f>
        <v>Proceso - Contratación e Inducción</v>
      </c>
      <c r="D27" s="34" t="str">
        <f>VLOOKUP(Observaciones[Caso de Prueba],CasoPrueba[[#All],[Código CP]:[Prioridad]],7,TRUE)</f>
        <v>Alta</v>
      </c>
      <c r="E27" s="164" t="s">
        <v>29</v>
      </c>
      <c r="F27" s="164" t="s">
        <v>49</v>
      </c>
      <c r="G27" s="165">
        <v>40786</v>
      </c>
      <c r="H27" s="73">
        <v>40796</v>
      </c>
      <c r="I27" s="167" t="s">
        <v>132</v>
      </c>
      <c r="J27" s="164" t="s">
        <v>257</v>
      </c>
      <c r="K27" s="164" t="s">
        <v>258</v>
      </c>
      <c r="L27" s="34">
        <f>IF((Observaciones[[#This Row],[Fecha Levantamiento]]-Observaciones[[#This Row],[Fecha Detección]])&gt;=0,Observaciones[[#This Row],[Fecha Levantamiento]]-Observaciones[[#This Row],[Fecha Detección]]+1,0)</f>
        <v>11</v>
      </c>
      <c r="M27" s="34" t="str">
        <f>LOOKUP(Observaciones[[#This Row],[Caso de Prueba]],CasoPrueba[Código CP],CasoPrueba[Código de REQ])</f>
        <v>INSPECCIÓN</v>
      </c>
    </row>
    <row r="28" spans="1:13" ht="60" hidden="1">
      <c r="A28" s="166" t="s">
        <v>259</v>
      </c>
      <c r="B28" s="164" t="s">
        <v>152</v>
      </c>
      <c r="C28" s="164" t="str">
        <f>VLOOKUP(Observaciones[[#This Row],[Caso de Prueba]],CasoPrueba[[Código CP]:[Descripción Caso de Prueba]],3,0)</f>
        <v>Proceso - Contratación e Inducción</v>
      </c>
      <c r="D28" s="34" t="str">
        <f>VLOOKUP(Observaciones[Caso de Prueba],CasoPrueba[[#All],[Código CP]:[Prioridad]],7,TRUE)</f>
        <v>Alta</v>
      </c>
      <c r="E28" s="164" t="s">
        <v>29</v>
      </c>
      <c r="F28" s="164" t="s">
        <v>49</v>
      </c>
      <c r="G28" s="165">
        <v>40786</v>
      </c>
      <c r="H28" s="73">
        <v>40796</v>
      </c>
      <c r="I28" s="167" t="s">
        <v>132</v>
      </c>
      <c r="J28" s="164" t="s">
        <v>260</v>
      </c>
      <c r="K28" s="164" t="s">
        <v>261</v>
      </c>
      <c r="L28" s="34">
        <f>IF((Observaciones[[#This Row],[Fecha Levantamiento]]-Observaciones[[#This Row],[Fecha Detección]])&gt;=0,Observaciones[[#This Row],[Fecha Levantamiento]]-Observaciones[[#This Row],[Fecha Detección]]+1,0)</f>
        <v>11</v>
      </c>
      <c r="M28" s="34" t="str">
        <f>LOOKUP(Observaciones[[#This Row],[Caso de Prueba]],CasoPrueba[Código CP],CasoPrueba[Código de REQ])</f>
        <v>INSPECCIÓN</v>
      </c>
    </row>
    <row r="29" spans="1:13" ht="30" hidden="1">
      <c r="A29" s="166" t="s">
        <v>262</v>
      </c>
      <c r="B29" s="164" t="s">
        <v>152</v>
      </c>
      <c r="C29" s="164" t="str">
        <f>VLOOKUP(Observaciones[[#This Row],[Caso de Prueba]],CasoPrueba[[Código CP]:[Descripción Caso de Prueba]],3,0)</f>
        <v>Proceso - Contratación e Inducción</v>
      </c>
      <c r="D29" s="34" t="str">
        <f>VLOOKUP(Observaciones[Caso de Prueba],CasoPrueba[[#All],[Código CP]:[Prioridad]],7,TRUE)</f>
        <v>Alta</v>
      </c>
      <c r="E29" s="164" t="s">
        <v>162</v>
      </c>
      <c r="F29" s="164" t="s">
        <v>49</v>
      </c>
      <c r="G29" s="165">
        <v>40786</v>
      </c>
      <c r="H29" s="73">
        <v>40796</v>
      </c>
      <c r="I29" s="167" t="s">
        <v>132</v>
      </c>
      <c r="J29" s="164" t="s">
        <v>263</v>
      </c>
      <c r="K29" s="164" t="s">
        <v>264</v>
      </c>
      <c r="L29" s="34">
        <f>IF((Observaciones[[#This Row],[Fecha Levantamiento]]-Observaciones[[#This Row],[Fecha Detección]])&gt;=0,Observaciones[[#This Row],[Fecha Levantamiento]]-Observaciones[[#This Row],[Fecha Detección]]+1,0)</f>
        <v>11</v>
      </c>
      <c r="M29" s="34" t="str">
        <f>LOOKUP(Observaciones[[#This Row],[Caso de Prueba]],CasoPrueba[Código CP],CasoPrueba[Código de REQ])</f>
        <v>INSPECCIÓN</v>
      </c>
    </row>
    <row r="30" spans="1:13" hidden="1">
      <c r="A30" s="166" t="s">
        <v>265</v>
      </c>
      <c r="B30" s="164" t="s">
        <v>152</v>
      </c>
      <c r="C30" s="164" t="str">
        <f>VLOOKUP(Observaciones[[#This Row],[Caso de Prueba]],CasoPrueba[[Código CP]:[Descripción Caso de Prueba]],3,0)</f>
        <v>Proceso - Contratación e Inducción</v>
      </c>
      <c r="D30" s="34" t="str">
        <f>VLOOKUP(Observaciones[Caso de Prueba],CasoPrueba[[#All],[Código CP]:[Prioridad]],7,TRUE)</f>
        <v>Alta</v>
      </c>
      <c r="E30" s="164" t="s">
        <v>28</v>
      </c>
      <c r="F30" s="164" t="s">
        <v>49</v>
      </c>
      <c r="G30" s="165">
        <v>40793</v>
      </c>
      <c r="H30" s="73">
        <v>40796</v>
      </c>
      <c r="I30" s="167" t="s">
        <v>132</v>
      </c>
      <c r="J30" s="164" t="s">
        <v>250</v>
      </c>
      <c r="K30" s="164" t="s">
        <v>266</v>
      </c>
      <c r="L30" s="34">
        <f>IF((Observaciones[[#This Row],[Fecha Levantamiento]]-Observaciones[[#This Row],[Fecha Detección]])&gt;=0,Observaciones[[#This Row],[Fecha Levantamiento]]-Observaciones[[#This Row],[Fecha Detección]]+1,0)</f>
        <v>4</v>
      </c>
      <c r="M30" s="34" t="str">
        <f>LOOKUP(Observaciones[[#This Row],[Caso de Prueba]],CasoPrueba[Código CP],CasoPrueba[Código de REQ])</f>
        <v>INSPECCIÓN</v>
      </c>
    </row>
    <row r="31" spans="1:13" ht="30" hidden="1">
      <c r="A31" s="166" t="s">
        <v>267</v>
      </c>
      <c r="B31" s="164" t="s">
        <v>153</v>
      </c>
      <c r="C31" s="164" t="str">
        <f>VLOOKUP(Observaciones[[#This Row],[Caso de Prueba]],CasoPrueba[[Código CP]:[Descripción Caso de Prueba]],3,0)</f>
        <v>Proceso - Despido o Retiro de Personal</v>
      </c>
      <c r="D31" s="34" t="str">
        <f>VLOOKUP(Observaciones[Caso de Prueba],CasoPrueba[[#All],[Código CP]:[Prioridad]],7,TRUE)</f>
        <v>Alta</v>
      </c>
      <c r="E31" s="164" t="s">
        <v>30</v>
      </c>
      <c r="F31" s="164" t="s">
        <v>49</v>
      </c>
      <c r="G31" s="165">
        <v>40788</v>
      </c>
      <c r="H31" s="73">
        <v>40796</v>
      </c>
      <c r="I31" s="167" t="s">
        <v>132</v>
      </c>
      <c r="J31" s="164" t="s">
        <v>268</v>
      </c>
      <c r="K31" s="164" t="s">
        <v>269</v>
      </c>
      <c r="L31" s="34">
        <f>IF((Observaciones[[#This Row],[Fecha Levantamiento]]-Observaciones[[#This Row],[Fecha Detección]])&gt;=0,Observaciones[[#This Row],[Fecha Levantamiento]]-Observaciones[[#This Row],[Fecha Detección]]+1,0)</f>
        <v>9</v>
      </c>
      <c r="M31" s="34" t="str">
        <f>LOOKUP(Observaciones[[#This Row],[Caso de Prueba]],CasoPrueba[Código CP],CasoPrueba[Código de REQ])</f>
        <v>INSPECCIÓN</v>
      </c>
    </row>
    <row r="32" spans="1:13" ht="45" hidden="1">
      <c r="A32" s="166" t="s">
        <v>270</v>
      </c>
      <c r="B32" s="164" t="s">
        <v>153</v>
      </c>
      <c r="C32" s="164" t="str">
        <f>VLOOKUP(Observaciones[[#This Row],[Caso de Prueba]],CasoPrueba[[Código CP]:[Descripción Caso de Prueba]],3,0)</f>
        <v>Proceso - Despido o Retiro de Personal</v>
      </c>
      <c r="D32" s="34" t="str">
        <f>VLOOKUP(Observaciones[Caso de Prueba],CasoPrueba[[#All],[Código CP]:[Prioridad]],7,TRUE)</f>
        <v>Alta</v>
      </c>
      <c r="E32" s="164" t="s">
        <v>30</v>
      </c>
      <c r="F32" s="164" t="s">
        <v>49</v>
      </c>
      <c r="G32" s="165">
        <v>40788</v>
      </c>
      <c r="H32" s="73">
        <v>40796</v>
      </c>
      <c r="I32" s="167" t="s">
        <v>132</v>
      </c>
      <c r="J32" s="164" t="s">
        <v>253</v>
      </c>
      <c r="K32" s="164" t="s">
        <v>228</v>
      </c>
      <c r="L32" s="34">
        <f>IF((Observaciones[[#This Row],[Fecha Levantamiento]]-Observaciones[[#This Row],[Fecha Detección]])&gt;=0,Observaciones[[#This Row],[Fecha Levantamiento]]-Observaciones[[#This Row],[Fecha Detección]]+1,0)</f>
        <v>9</v>
      </c>
      <c r="M32" s="34" t="str">
        <f>LOOKUP(Observaciones[[#This Row],[Caso de Prueba]],CasoPrueba[Código CP],CasoPrueba[Código de REQ])</f>
        <v>INSPECCIÓN</v>
      </c>
    </row>
    <row r="33" spans="1:13" ht="30" hidden="1">
      <c r="A33" s="166" t="s">
        <v>271</v>
      </c>
      <c r="B33" s="164" t="s">
        <v>153</v>
      </c>
      <c r="C33" s="164" t="str">
        <f>VLOOKUP(Observaciones[[#This Row],[Caso de Prueba]],CasoPrueba[[Código CP]:[Descripción Caso de Prueba]],3,0)</f>
        <v>Proceso - Despido o Retiro de Personal</v>
      </c>
      <c r="D33" s="34" t="str">
        <f>VLOOKUP(Observaciones[Caso de Prueba],CasoPrueba[[#All],[Código CP]:[Prioridad]],7,TRUE)</f>
        <v>Alta</v>
      </c>
      <c r="E33" s="164" t="s">
        <v>30</v>
      </c>
      <c r="F33" s="164" t="s">
        <v>49</v>
      </c>
      <c r="G33" s="165">
        <v>40793</v>
      </c>
      <c r="H33" s="73">
        <v>40796</v>
      </c>
      <c r="I33" s="167" t="s">
        <v>132</v>
      </c>
      <c r="J33" s="164" t="s">
        <v>236</v>
      </c>
      <c r="K33" s="164" t="s">
        <v>272</v>
      </c>
      <c r="L33" s="34">
        <f>IF((Observaciones[[#This Row],[Fecha Levantamiento]]-Observaciones[[#This Row],[Fecha Detección]])&gt;=0,Observaciones[[#This Row],[Fecha Levantamiento]]-Observaciones[[#This Row],[Fecha Detección]]+1,0)</f>
        <v>4</v>
      </c>
      <c r="M33" s="34" t="str">
        <f>LOOKUP(Observaciones[[#This Row],[Caso de Prueba]],CasoPrueba[Código CP],CasoPrueba[Código de REQ])</f>
        <v>INSPECCIÓN</v>
      </c>
    </row>
    <row r="34" spans="1:13" ht="30" hidden="1">
      <c r="A34" s="166" t="s">
        <v>273</v>
      </c>
      <c r="B34" s="164" t="s">
        <v>153</v>
      </c>
      <c r="C34" s="164" t="str">
        <f>VLOOKUP(Observaciones[[#This Row],[Caso de Prueba]],CasoPrueba[[Código CP]:[Descripción Caso de Prueba]],3,0)</f>
        <v>Proceso - Despido o Retiro de Personal</v>
      </c>
      <c r="D34" s="34" t="str">
        <f>VLOOKUP(Observaciones[Caso de Prueba],CasoPrueba[[#All],[Código CP]:[Prioridad]],7,TRUE)</f>
        <v>Alta</v>
      </c>
      <c r="E34" s="164" t="s">
        <v>29</v>
      </c>
      <c r="F34" s="164" t="s">
        <v>49</v>
      </c>
      <c r="G34" s="165">
        <v>40788</v>
      </c>
      <c r="H34" s="73">
        <v>40796</v>
      </c>
      <c r="I34" s="167" t="s">
        <v>132</v>
      </c>
      <c r="J34" s="164" t="s">
        <v>206</v>
      </c>
      <c r="K34" s="164" t="s">
        <v>274</v>
      </c>
      <c r="L34" s="34">
        <f>IF((Observaciones[[#This Row],[Fecha Levantamiento]]-Observaciones[[#This Row],[Fecha Detección]])&gt;=0,Observaciones[[#This Row],[Fecha Levantamiento]]-Observaciones[[#This Row],[Fecha Detección]]+1,0)</f>
        <v>9</v>
      </c>
      <c r="M34" s="34" t="str">
        <f>LOOKUP(Observaciones[[#This Row],[Caso de Prueba]],CasoPrueba[Código CP],CasoPrueba[Código de REQ])</f>
        <v>INSPECCIÓN</v>
      </c>
    </row>
    <row r="35" spans="1:13" ht="45" hidden="1">
      <c r="A35" s="166" t="s">
        <v>275</v>
      </c>
      <c r="B35" s="164" t="s">
        <v>153</v>
      </c>
      <c r="C35" s="164" t="str">
        <f>VLOOKUP(Observaciones[[#This Row],[Caso de Prueba]],CasoPrueba[[Código CP]:[Descripción Caso de Prueba]],3,0)</f>
        <v>Proceso - Despido o Retiro de Personal</v>
      </c>
      <c r="D35" s="34" t="str">
        <f>VLOOKUP(Observaciones[Caso de Prueba],CasoPrueba[[#All],[Código CP]:[Prioridad]],7,TRUE)</f>
        <v>Alta</v>
      </c>
      <c r="E35" s="164" t="s">
        <v>30</v>
      </c>
      <c r="F35" s="164" t="s">
        <v>49</v>
      </c>
      <c r="G35" s="165">
        <v>40788</v>
      </c>
      <c r="H35" s="73">
        <v>40796</v>
      </c>
      <c r="I35" s="167" t="s">
        <v>132</v>
      </c>
      <c r="J35" s="164" t="s">
        <v>276</v>
      </c>
      <c r="K35" s="164" t="s">
        <v>277</v>
      </c>
      <c r="L35" s="34">
        <f>IF((Observaciones[[#This Row],[Fecha Levantamiento]]-Observaciones[[#This Row],[Fecha Detección]])&gt;=0,Observaciones[[#This Row],[Fecha Levantamiento]]-Observaciones[[#This Row],[Fecha Detección]]+1,0)</f>
        <v>9</v>
      </c>
      <c r="M35" s="34" t="str">
        <f>LOOKUP(Observaciones[[#This Row],[Caso de Prueba]],CasoPrueba[Código CP],CasoPrueba[Código de REQ])</f>
        <v>INSPECCIÓN</v>
      </c>
    </row>
    <row r="36" spans="1:13" ht="60" hidden="1">
      <c r="A36" s="166" t="s">
        <v>278</v>
      </c>
      <c r="B36" s="164" t="s">
        <v>153</v>
      </c>
      <c r="C36" s="164" t="str">
        <f>VLOOKUP(Observaciones[[#This Row],[Caso de Prueba]],CasoPrueba[[Código CP]:[Descripción Caso de Prueba]],3,0)</f>
        <v>Proceso - Despido o Retiro de Personal</v>
      </c>
      <c r="D36" s="34" t="str">
        <f>VLOOKUP(Observaciones[Caso de Prueba],CasoPrueba[[#All],[Código CP]:[Prioridad]],7,TRUE)</f>
        <v>Alta</v>
      </c>
      <c r="E36" s="164" t="s">
        <v>29</v>
      </c>
      <c r="F36" s="164" t="s">
        <v>49</v>
      </c>
      <c r="G36" s="165">
        <v>40788</v>
      </c>
      <c r="H36" s="73">
        <v>40796</v>
      </c>
      <c r="I36" s="167" t="s">
        <v>132</v>
      </c>
      <c r="J36" s="164" t="s">
        <v>279</v>
      </c>
      <c r="K36" s="164" t="s">
        <v>280</v>
      </c>
      <c r="L36" s="34">
        <f>IF((Observaciones[[#This Row],[Fecha Levantamiento]]-Observaciones[[#This Row],[Fecha Detección]])&gt;=0,Observaciones[[#This Row],[Fecha Levantamiento]]-Observaciones[[#This Row],[Fecha Detección]]+1,0)</f>
        <v>9</v>
      </c>
      <c r="M36" s="34" t="str">
        <f>LOOKUP(Observaciones[[#This Row],[Caso de Prueba]],CasoPrueba[Código CP],CasoPrueba[Código de REQ])</f>
        <v>INSPECCIÓN</v>
      </c>
    </row>
    <row r="37" spans="1:13" ht="30" hidden="1">
      <c r="A37" s="166" t="s">
        <v>281</v>
      </c>
      <c r="B37" s="164" t="s">
        <v>153</v>
      </c>
      <c r="C37" s="164" t="str">
        <f>VLOOKUP(Observaciones[[#This Row],[Caso de Prueba]],CasoPrueba[[Código CP]:[Descripción Caso de Prueba]],3,0)</f>
        <v>Proceso - Despido o Retiro de Personal</v>
      </c>
      <c r="D37" s="34" t="str">
        <f>VLOOKUP(Observaciones[Caso de Prueba],CasoPrueba[[#All],[Código CP]:[Prioridad]],7,TRUE)</f>
        <v>Alta</v>
      </c>
      <c r="E37" s="164" t="s">
        <v>29</v>
      </c>
      <c r="F37" s="164" t="s">
        <v>49</v>
      </c>
      <c r="G37" s="165">
        <v>40788</v>
      </c>
      <c r="H37" s="73">
        <v>40796</v>
      </c>
      <c r="I37" s="167" t="s">
        <v>132</v>
      </c>
      <c r="J37" s="164" t="s">
        <v>282</v>
      </c>
      <c r="K37" s="164" t="s">
        <v>283</v>
      </c>
      <c r="L37" s="34">
        <f>IF((Observaciones[[#This Row],[Fecha Levantamiento]]-Observaciones[[#This Row],[Fecha Detección]])&gt;=0,Observaciones[[#This Row],[Fecha Levantamiento]]-Observaciones[[#This Row],[Fecha Detección]]+1,0)</f>
        <v>9</v>
      </c>
      <c r="M37" s="34" t="str">
        <f>LOOKUP(Observaciones[[#This Row],[Caso de Prueba]],CasoPrueba[Código CP],CasoPrueba[Código de REQ])</f>
        <v>INSPECCIÓN</v>
      </c>
    </row>
    <row r="38" spans="1:13" ht="30" hidden="1">
      <c r="A38" s="166" t="s">
        <v>284</v>
      </c>
      <c r="B38" s="164" t="s">
        <v>153</v>
      </c>
      <c r="C38" s="164" t="str">
        <f>VLOOKUP(Observaciones[[#This Row],[Caso de Prueba]],CasoPrueba[[Código CP]:[Descripción Caso de Prueba]],3,0)</f>
        <v>Proceso - Despido o Retiro de Personal</v>
      </c>
      <c r="D38" s="34" t="str">
        <f>VLOOKUP(Observaciones[Caso de Prueba],CasoPrueba[[#All],[Código CP]:[Prioridad]],7,TRUE)</f>
        <v>Alta</v>
      </c>
      <c r="E38" s="164" t="s">
        <v>29</v>
      </c>
      <c r="F38" s="164" t="s">
        <v>49</v>
      </c>
      <c r="G38" s="165">
        <v>40788</v>
      </c>
      <c r="H38" s="73">
        <v>40796</v>
      </c>
      <c r="I38" s="167" t="s">
        <v>132</v>
      </c>
      <c r="J38" s="164" t="s">
        <v>285</v>
      </c>
      <c r="K38" s="164" t="s">
        <v>286</v>
      </c>
      <c r="L38" s="34">
        <f>IF((Observaciones[[#This Row],[Fecha Levantamiento]]-Observaciones[[#This Row],[Fecha Detección]])&gt;=0,Observaciones[[#This Row],[Fecha Levantamiento]]-Observaciones[[#This Row],[Fecha Detección]]+1,0)</f>
        <v>9</v>
      </c>
      <c r="M38" s="34" t="str">
        <f>LOOKUP(Observaciones[[#This Row],[Caso de Prueba]],CasoPrueba[Código CP],CasoPrueba[Código de REQ])</f>
        <v>INSPECCIÓN</v>
      </c>
    </row>
    <row r="39" spans="1:13" ht="45" hidden="1">
      <c r="A39" s="166" t="s">
        <v>287</v>
      </c>
      <c r="B39" s="164" t="s">
        <v>153</v>
      </c>
      <c r="C39" s="164" t="str">
        <f>VLOOKUP(Observaciones[[#This Row],[Caso de Prueba]],CasoPrueba[[Código CP]:[Descripción Caso de Prueba]],3,0)</f>
        <v>Proceso - Despido o Retiro de Personal</v>
      </c>
      <c r="D39" s="34" t="str">
        <f>VLOOKUP(Observaciones[Caso de Prueba],CasoPrueba[[#All],[Código CP]:[Prioridad]],7,TRUE)</f>
        <v>Alta</v>
      </c>
      <c r="E39" s="164" t="s">
        <v>29</v>
      </c>
      <c r="F39" s="164" t="s">
        <v>49</v>
      </c>
      <c r="G39" s="165">
        <v>40788</v>
      </c>
      <c r="H39" s="73">
        <v>40796</v>
      </c>
      <c r="I39" s="167" t="s">
        <v>132</v>
      </c>
      <c r="J39" s="164" t="s">
        <v>288</v>
      </c>
      <c r="K39" s="164" t="s">
        <v>289</v>
      </c>
      <c r="L39" s="34">
        <f>IF((Observaciones[[#This Row],[Fecha Levantamiento]]-Observaciones[[#This Row],[Fecha Detección]])&gt;=0,Observaciones[[#This Row],[Fecha Levantamiento]]-Observaciones[[#This Row],[Fecha Detección]]+1,0)</f>
        <v>9</v>
      </c>
      <c r="M39" s="34" t="str">
        <f>LOOKUP(Observaciones[[#This Row],[Caso de Prueba]],CasoPrueba[Código CP],CasoPrueba[Código de REQ])</f>
        <v>INSPECCIÓN</v>
      </c>
    </row>
    <row r="40" spans="1:13" ht="30" hidden="1">
      <c r="A40" s="166" t="s">
        <v>290</v>
      </c>
      <c r="B40" s="164" t="s">
        <v>153</v>
      </c>
      <c r="C40" s="164" t="str">
        <f>VLOOKUP(Observaciones[[#This Row],[Caso de Prueba]],CasoPrueba[[Código CP]:[Descripción Caso de Prueba]],3,0)</f>
        <v>Proceso - Despido o Retiro de Personal</v>
      </c>
      <c r="D40" s="34" t="str">
        <f>VLOOKUP(Observaciones[Caso de Prueba],CasoPrueba[[#All],[Código CP]:[Prioridad]],7,TRUE)</f>
        <v>Alta</v>
      </c>
      <c r="E40" s="164" t="s">
        <v>162</v>
      </c>
      <c r="F40" s="164" t="s">
        <v>49</v>
      </c>
      <c r="G40" s="165">
        <v>40788</v>
      </c>
      <c r="H40" s="73">
        <v>40796</v>
      </c>
      <c r="I40" s="167" t="s">
        <v>132</v>
      </c>
      <c r="J40" s="164" t="s">
        <v>291</v>
      </c>
      <c r="K40" s="164" t="s">
        <v>199</v>
      </c>
      <c r="L40" s="34">
        <f>IF((Observaciones[[#This Row],[Fecha Levantamiento]]-Observaciones[[#This Row],[Fecha Detección]])&gt;=0,Observaciones[[#This Row],[Fecha Levantamiento]]-Observaciones[[#This Row],[Fecha Detección]]+1,0)</f>
        <v>9</v>
      </c>
      <c r="M40" s="34" t="str">
        <f>LOOKUP(Observaciones[[#This Row],[Caso de Prueba]],CasoPrueba[Código CP],CasoPrueba[Código de REQ])</f>
        <v>INSPECCIÓN</v>
      </c>
    </row>
    <row r="41" spans="1:13" ht="30" hidden="1">
      <c r="A41" s="166" t="s">
        <v>292</v>
      </c>
      <c r="B41" s="164" t="s">
        <v>153</v>
      </c>
      <c r="C41" s="164" t="str">
        <f>VLOOKUP(Observaciones[[#This Row],[Caso de Prueba]],CasoPrueba[[Código CP]:[Descripción Caso de Prueba]],3,0)</f>
        <v>Proceso - Despido o Retiro de Personal</v>
      </c>
      <c r="D41" s="34" t="str">
        <f>VLOOKUP(Observaciones[Caso de Prueba],CasoPrueba[[#All],[Código CP]:[Prioridad]],7,TRUE)</f>
        <v>Alta</v>
      </c>
      <c r="E41" s="164" t="s">
        <v>30</v>
      </c>
      <c r="F41" s="164" t="s">
        <v>49</v>
      </c>
      <c r="G41" s="165">
        <v>40788</v>
      </c>
      <c r="H41" s="73">
        <v>40796</v>
      </c>
      <c r="I41" s="167" t="s">
        <v>132</v>
      </c>
      <c r="J41" s="164" t="s">
        <v>293</v>
      </c>
      <c r="K41" s="164" t="s">
        <v>294</v>
      </c>
      <c r="L41" s="34">
        <f>IF((Observaciones[[#This Row],[Fecha Levantamiento]]-Observaciones[[#This Row],[Fecha Detección]])&gt;=0,Observaciones[[#This Row],[Fecha Levantamiento]]-Observaciones[[#This Row],[Fecha Detección]]+1,0)</f>
        <v>9</v>
      </c>
      <c r="M41" s="34" t="str">
        <f>LOOKUP(Observaciones[[#This Row],[Caso de Prueba]],CasoPrueba[Código CP],CasoPrueba[Código de REQ])</f>
        <v>INSPECCIÓN</v>
      </c>
    </row>
    <row r="42" spans="1:13" ht="30" hidden="1">
      <c r="A42" s="166" t="s">
        <v>295</v>
      </c>
      <c r="B42" s="164" t="s">
        <v>153</v>
      </c>
      <c r="C42" s="164" t="str">
        <f>VLOOKUP(Observaciones[[#This Row],[Caso de Prueba]],CasoPrueba[[Código CP]:[Descripción Caso de Prueba]],3,0)</f>
        <v>Proceso - Despido o Retiro de Personal</v>
      </c>
      <c r="D42" s="34" t="str">
        <f>VLOOKUP(Observaciones[Caso de Prueba],CasoPrueba[[#All],[Código CP]:[Prioridad]],7,TRUE)</f>
        <v>Alta</v>
      </c>
      <c r="E42" s="164" t="s">
        <v>29</v>
      </c>
      <c r="F42" s="164" t="s">
        <v>49</v>
      </c>
      <c r="G42" s="165">
        <v>40788</v>
      </c>
      <c r="H42" s="73">
        <v>40796</v>
      </c>
      <c r="I42" s="167" t="s">
        <v>132</v>
      </c>
      <c r="J42" s="164" t="s">
        <v>296</v>
      </c>
      <c r="K42" s="164" t="s">
        <v>297</v>
      </c>
      <c r="L42" s="34">
        <f>IF((Observaciones[[#This Row],[Fecha Levantamiento]]-Observaciones[[#This Row],[Fecha Detección]])&gt;=0,Observaciones[[#This Row],[Fecha Levantamiento]]-Observaciones[[#This Row],[Fecha Detección]]+1,0)</f>
        <v>9</v>
      </c>
      <c r="M42" s="34" t="str">
        <f>LOOKUP(Observaciones[[#This Row],[Caso de Prueba]],CasoPrueba[Código CP],CasoPrueba[Código de REQ])</f>
        <v>INSPECCIÓN</v>
      </c>
    </row>
    <row r="43" spans="1:13" ht="45" hidden="1">
      <c r="A43" s="166" t="s">
        <v>298</v>
      </c>
      <c r="B43" s="164" t="s">
        <v>154</v>
      </c>
      <c r="C43" s="164" t="str">
        <f>VLOOKUP(Observaciones[[#This Row],[Caso de Prueba]],CasoPrueba[[Código CP]:[Descripción Caso de Prueba]],3,0)</f>
        <v>Proceso - Evaluación de Postulantes</v>
      </c>
      <c r="D43" s="34" t="str">
        <f>VLOOKUP(Observaciones[Caso de Prueba],CasoPrueba[[#All],[Código CP]:[Prioridad]],7,TRUE)</f>
        <v>Alta</v>
      </c>
      <c r="E43" s="164" t="s">
        <v>30</v>
      </c>
      <c r="F43" s="164" t="s">
        <v>49</v>
      </c>
      <c r="G43" s="165">
        <v>40788</v>
      </c>
      <c r="H43" s="73">
        <v>40796</v>
      </c>
      <c r="I43" s="167" t="s">
        <v>132</v>
      </c>
      <c r="J43" s="164" t="s">
        <v>253</v>
      </c>
      <c r="K43" s="164" t="s">
        <v>228</v>
      </c>
      <c r="L43" s="34">
        <f>IF((Observaciones[[#This Row],[Fecha Levantamiento]]-Observaciones[[#This Row],[Fecha Detección]])&gt;=0,Observaciones[[#This Row],[Fecha Levantamiento]]-Observaciones[[#This Row],[Fecha Detección]]+1,0)</f>
        <v>9</v>
      </c>
      <c r="M43" s="34" t="str">
        <f>LOOKUP(Observaciones[[#This Row],[Caso de Prueba]],CasoPrueba[Código CP],CasoPrueba[Código de REQ])</f>
        <v>INSPECCIÓN</v>
      </c>
    </row>
    <row r="44" spans="1:13" ht="30" hidden="1">
      <c r="A44" s="166" t="s">
        <v>299</v>
      </c>
      <c r="B44" s="164" t="s">
        <v>154</v>
      </c>
      <c r="C44" s="164" t="str">
        <f>VLOOKUP(Observaciones[[#This Row],[Caso de Prueba]],CasoPrueba[[Código CP]:[Descripción Caso de Prueba]],3,0)</f>
        <v>Proceso - Evaluación de Postulantes</v>
      </c>
      <c r="D44" s="34" t="str">
        <f>VLOOKUP(Observaciones[Caso de Prueba],CasoPrueba[[#All],[Código CP]:[Prioridad]],7,TRUE)</f>
        <v>Alta</v>
      </c>
      <c r="E44" s="164" t="s">
        <v>30</v>
      </c>
      <c r="F44" s="164" t="s">
        <v>49</v>
      </c>
      <c r="G44" s="165">
        <v>40793</v>
      </c>
      <c r="H44" s="73">
        <v>40796</v>
      </c>
      <c r="I44" s="167" t="s">
        <v>132</v>
      </c>
      <c r="J44" s="164" t="s">
        <v>236</v>
      </c>
      <c r="K44" s="164" t="s">
        <v>255</v>
      </c>
      <c r="L44" s="34">
        <f>IF((Observaciones[[#This Row],[Fecha Levantamiento]]-Observaciones[[#This Row],[Fecha Detección]])&gt;=0,Observaciones[[#This Row],[Fecha Levantamiento]]-Observaciones[[#This Row],[Fecha Detección]]+1,0)</f>
        <v>4</v>
      </c>
      <c r="M44" s="34" t="str">
        <f>LOOKUP(Observaciones[[#This Row],[Caso de Prueba]],CasoPrueba[Código CP],CasoPrueba[Código de REQ])</f>
        <v>INSPECCIÓN</v>
      </c>
    </row>
    <row r="45" spans="1:13" ht="30" hidden="1">
      <c r="A45" s="166" t="s">
        <v>300</v>
      </c>
      <c r="B45" s="164" t="s">
        <v>154</v>
      </c>
      <c r="C45" s="164" t="str">
        <f>VLOOKUP(Observaciones[[#This Row],[Caso de Prueba]],CasoPrueba[[Código CP]:[Descripción Caso de Prueba]],3,0)</f>
        <v>Proceso - Evaluación de Postulantes</v>
      </c>
      <c r="D45" s="34" t="str">
        <f>VLOOKUP(Observaciones[Caso de Prueba],CasoPrueba[[#All],[Código CP]:[Prioridad]],7,TRUE)</f>
        <v>Alta</v>
      </c>
      <c r="E45" s="164" t="s">
        <v>29</v>
      </c>
      <c r="F45" s="164" t="s">
        <v>49</v>
      </c>
      <c r="G45" s="165">
        <v>40788</v>
      </c>
      <c r="H45" s="73">
        <v>40796</v>
      </c>
      <c r="I45" s="167" t="s">
        <v>132</v>
      </c>
      <c r="J45" s="164" t="s">
        <v>301</v>
      </c>
      <c r="K45" s="164" t="s">
        <v>258</v>
      </c>
      <c r="L45" s="34">
        <f>IF((Observaciones[[#This Row],[Fecha Levantamiento]]-Observaciones[[#This Row],[Fecha Detección]])&gt;=0,Observaciones[[#This Row],[Fecha Levantamiento]]-Observaciones[[#This Row],[Fecha Detección]]+1,0)</f>
        <v>9</v>
      </c>
      <c r="M45" s="34" t="str">
        <f>LOOKUP(Observaciones[[#This Row],[Caso de Prueba]],CasoPrueba[Código CP],CasoPrueba[Código de REQ])</f>
        <v>INSPECCIÓN</v>
      </c>
    </row>
    <row r="46" spans="1:13" ht="60" hidden="1">
      <c r="A46" s="166" t="s">
        <v>302</v>
      </c>
      <c r="B46" s="164" t="s">
        <v>154</v>
      </c>
      <c r="C46" s="164" t="str">
        <f>VLOOKUP(Observaciones[[#This Row],[Caso de Prueba]],CasoPrueba[[Código CP]:[Descripción Caso de Prueba]],3,0)</f>
        <v>Proceso - Evaluación de Postulantes</v>
      </c>
      <c r="D46" s="34" t="str">
        <f>VLOOKUP(Observaciones[Caso de Prueba],CasoPrueba[[#All],[Código CP]:[Prioridad]],7,TRUE)</f>
        <v>Alta</v>
      </c>
      <c r="E46" s="164" t="s">
        <v>29</v>
      </c>
      <c r="F46" s="164" t="s">
        <v>49</v>
      </c>
      <c r="G46" s="165">
        <v>40788</v>
      </c>
      <c r="H46" s="73">
        <v>40796</v>
      </c>
      <c r="I46" s="167" t="s">
        <v>132</v>
      </c>
      <c r="J46" s="164" t="s">
        <v>303</v>
      </c>
      <c r="K46" s="164" t="s">
        <v>261</v>
      </c>
      <c r="L46" s="34">
        <f>IF((Observaciones[[#This Row],[Fecha Levantamiento]]-Observaciones[[#This Row],[Fecha Detección]])&gt;=0,Observaciones[[#This Row],[Fecha Levantamiento]]-Observaciones[[#This Row],[Fecha Detección]]+1,0)</f>
        <v>9</v>
      </c>
      <c r="M46" s="34" t="str">
        <f>LOOKUP(Observaciones[[#This Row],[Caso de Prueba]],CasoPrueba[Código CP],CasoPrueba[Código de REQ])</f>
        <v>INSPECCIÓN</v>
      </c>
    </row>
    <row r="47" spans="1:13" hidden="1">
      <c r="A47" s="166" t="s">
        <v>304</v>
      </c>
      <c r="B47" s="164" t="s">
        <v>154</v>
      </c>
      <c r="C47" s="164" t="str">
        <f>VLOOKUP(Observaciones[[#This Row],[Caso de Prueba]],CasoPrueba[[Código CP]:[Descripción Caso de Prueba]],3,0)</f>
        <v>Proceso - Evaluación de Postulantes</v>
      </c>
      <c r="D47" s="34" t="str">
        <f>VLOOKUP(Observaciones[Caso de Prueba],CasoPrueba[[#All],[Código CP]:[Prioridad]],7,TRUE)</f>
        <v>Alta</v>
      </c>
      <c r="E47" s="164" t="s">
        <v>28</v>
      </c>
      <c r="F47" s="164" t="s">
        <v>49</v>
      </c>
      <c r="G47" s="165">
        <v>40793</v>
      </c>
      <c r="H47" s="73">
        <v>40796</v>
      </c>
      <c r="I47" s="167" t="s">
        <v>132</v>
      </c>
      <c r="J47" s="164" t="s">
        <v>250</v>
      </c>
      <c r="K47" s="164" t="s">
        <v>305</v>
      </c>
      <c r="L47" s="34">
        <f>IF((Observaciones[[#This Row],[Fecha Levantamiento]]-Observaciones[[#This Row],[Fecha Detección]])&gt;=0,Observaciones[[#This Row],[Fecha Levantamiento]]-Observaciones[[#This Row],[Fecha Detección]]+1,0)</f>
        <v>4</v>
      </c>
      <c r="M47" s="34" t="str">
        <f>LOOKUP(Observaciones[[#This Row],[Caso de Prueba]],CasoPrueba[Código CP],CasoPrueba[Código de REQ])</f>
        <v>INSPECCIÓN</v>
      </c>
    </row>
    <row r="48" spans="1:13" ht="45" hidden="1">
      <c r="A48" s="166" t="s">
        <v>306</v>
      </c>
      <c r="B48" s="164" t="s">
        <v>155</v>
      </c>
      <c r="C48" s="164" t="str">
        <f>VLOOKUP(Observaciones[[#This Row],[Caso de Prueba]],CasoPrueba[[Código CP]:[Descripción Caso de Prueba]],3,0)</f>
        <v>Proceso - Reclutamiento de Postulantes</v>
      </c>
      <c r="D48" s="34" t="str">
        <f>VLOOKUP(Observaciones[Caso de Prueba],CasoPrueba[[#All],[Código CP]:[Prioridad]],7,TRUE)</f>
        <v>Alta</v>
      </c>
      <c r="E48" s="164" t="s">
        <v>30</v>
      </c>
      <c r="F48" s="164" t="s">
        <v>49</v>
      </c>
      <c r="G48" s="165">
        <v>40788</v>
      </c>
      <c r="H48" s="73">
        <v>40796</v>
      </c>
      <c r="I48" s="167" t="s">
        <v>132</v>
      </c>
      <c r="J48" s="164" t="s">
        <v>253</v>
      </c>
      <c r="K48" s="164" t="s">
        <v>228</v>
      </c>
      <c r="L48" s="34">
        <f>IF((Observaciones[[#This Row],[Fecha Levantamiento]]-Observaciones[[#This Row],[Fecha Detección]])&gt;=0,Observaciones[[#This Row],[Fecha Levantamiento]]-Observaciones[[#This Row],[Fecha Detección]]+1,0)</f>
        <v>9</v>
      </c>
      <c r="M48" s="34" t="str">
        <f>LOOKUP(Observaciones[[#This Row],[Caso de Prueba]],CasoPrueba[Código CP],CasoPrueba[Código de REQ])</f>
        <v>INSPECCIÓN</v>
      </c>
    </row>
    <row r="49" spans="1:13" ht="30" hidden="1">
      <c r="A49" s="166" t="s">
        <v>307</v>
      </c>
      <c r="B49" s="164" t="s">
        <v>155</v>
      </c>
      <c r="C49" s="164" t="str">
        <f>VLOOKUP(Observaciones[[#This Row],[Caso de Prueba]],CasoPrueba[[Código CP]:[Descripción Caso de Prueba]],3,0)</f>
        <v>Proceso - Reclutamiento de Postulantes</v>
      </c>
      <c r="D49" s="34" t="str">
        <f>VLOOKUP(Observaciones[Caso de Prueba],CasoPrueba[[#All],[Código CP]:[Prioridad]],7,TRUE)</f>
        <v>Alta</v>
      </c>
      <c r="E49" s="164" t="s">
        <v>30</v>
      </c>
      <c r="F49" s="164" t="s">
        <v>49</v>
      </c>
      <c r="G49" s="165">
        <v>40793</v>
      </c>
      <c r="H49" s="73">
        <v>40796</v>
      </c>
      <c r="I49" s="167" t="s">
        <v>132</v>
      </c>
      <c r="J49" s="164" t="s">
        <v>236</v>
      </c>
      <c r="K49" s="164" t="s">
        <v>255</v>
      </c>
      <c r="L49" s="34">
        <f>IF((Observaciones[[#This Row],[Fecha Levantamiento]]-Observaciones[[#This Row],[Fecha Detección]])&gt;=0,Observaciones[[#This Row],[Fecha Levantamiento]]-Observaciones[[#This Row],[Fecha Detección]]+1,0)</f>
        <v>4</v>
      </c>
      <c r="M49" s="34" t="str">
        <f>LOOKUP(Observaciones[[#This Row],[Caso de Prueba]],CasoPrueba[Código CP],CasoPrueba[Código de REQ])</f>
        <v>INSPECCIÓN</v>
      </c>
    </row>
    <row r="50" spans="1:13" ht="30" hidden="1">
      <c r="A50" s="166" t="s">
        <v>308</v>
      </c>
      <c r="B50" s="164" t="s">
        <v>155</v>
      </c>
      <c r="C50" s="164" t="str">
        <f>VLOOKUP(Observaciones[[#This Row],[Caso de Prueba]],CasoPrueba[[Código CP]:[Descripción Caso de Prueba]],3,0)</f>
        <v>Proceso - Reclutamiento de Postulantes</v>
      </c>
      <c r="D50" s="34" t="str">
        <f>VLOOKUP(Observaciones[Caso de Prueba],CasoPrueba[[#All],[Código CP]:[Prioridad]],7,TRUE)</f>
        <v>Alta</v>
      </c>
      <c r="E50" s="164" t="s">
        <v>29</v>
      </c>
      <c r="F50" s="164" t="s">
        <v>49</v>
      </c>
      <c r="G50" s="165">
        <v>40788</v>
      </c>
      <c r="H50" s="73">
        <v>40796</v>
      </c>
      <c r="I50" s="167" t="s">
        <v>132</v>
      </c>
      <c r="J50" s="164" t="s">
        <v>301</v>
      </c>
      <c r="K50" s="164" t="s">
        <v>258</v>
      </c>
      <c r="L50" s="34">
        <f>IF((Observaciones[[#This Row],[Fecha Levantamiento]]-Observaciones[[#This Row],[Fecha Detección]])&gt;=0,Observaciones[[#This Row],[Fecha Levantamiento]]-Observaciones[[#This Row],[Fecha Detección]]+1,0)</f>
        <v>9</v>
      </c>
      <c r="M50" s="34" t="str">
        <f>LOOKUP(Observaciones[[#This Row],[Caso de Prueba]],CasoPrueba[Código CP],CasoPrueba[Código de REQ])</f>
        <v>INSPECCIÓN</v>
      </c>
    </row>
    <row r="51" spans="1:13" ht="45" hidden="1">
      <c r="A51" s="166" t="s">
        <v>309</v>
      </c>
      <c r="B51" s="164" t="s">
        <v>156</v>
      </c>
      <c r="C51" s="164" t="str">
        <f>VLOOKUP(Observaciones[[#This Row],[Caso de Prueba]],CasoPrueba[[Código CP]:[Descripción Caso de Prueba]],3,0)</f>
        <v>Proceso - Rendición de Gastos de Viaje</v>
      </c>
      <c r="D51" s="34" t="str">
        <f>VLOOKUP(Observaciones[Caso de Prueba],CasoPrueba[[#All],[Código CP]:[Prioridad]],7,TRUE)</f>
        <v>Alta</v>
      </c>
      <c r="E51" s="164" t="s">
        <v>30</v>
      </c>
      <c r="F51" s="164" t="s">
        <v>49</v>
      </c>
      <c r="G51" s="165">
        <v>40789</v>
      </c>
      <c r="H51" s="73">
        <v>40796</v>
      </c>
      <c r="I51" s="167" t="s">
        <v>132</v>
      </c>
      <c r="J51" s="164" t="s">
        <v>253</v>
      </c>
      <c r="K51" s="164" t="s">
        <v>228</v>
      </c>
      <c r="L51" s="34">
        <f>IF((Observaciones[[#This Row],[Fecha Levantamiento]]-Observaciones[[#This Row],[Fecha Detección]])&gt;=0,Observaciones[[#This Row],[Fecha Levantamiento]]-Observaciones[[#This Row],[Fecha Detección]]+1,0)</f>
        <v>8</v>
      </c>
      <c r="M51" s="34" t="str">
        <f>LOOKUP(Observaciones[[#This Row],[Caso de Prueba]],CasoPrueba[Código CP],CasoPrueba[Código de REQ])</f>
        <v>INSPECCIÓN</v>
      </c>
    </row>
    <row r="52" spans="1:13" ht="30" hidden="1">
      <c r="A52" s="166" t="s">
        <v>310</v>
      </c>
      <c r="B52" s="164" t="s">
        <v>156</v>
      </c>
      <c r="C52" s="164" t="str">
        <f>VLOOKUP(Observaciones[[#This Row],[Caso de Prueba]],CasoPrueba[[Código CP]:[Descripción Caso de Prueba]],3,0)</f>
        <v>Proceso - Rendición de Gastos de Viaje</v>
      </c>
      <c r="D52" s="34" t="str">
        <f>VLOOKUP(Observaciones[Caso de Prueba],CasoPrueba[[#All],[Código CP]:[Prioridad]],7,TRUE)</f>
        <v>Alta</v>
      </c>
      <c r="E52" s="164" t="s">
        <v>30</v>
      </c>
      <c r="F52" s="164" t="s">
        <v>49</v>
      </c>
      <c r="G52" s="165">
        <v>40793</v>
      </c>
      <c r="H52" s="73">
        <v>40796</v>
      </c>
      <c r="I52" s="167" t="s">
        <v>132</v>
      </c>
      <c r="J52" s="164" t="s">
        <v>236</v>
      </c>
      <c r="K52" s="164" t="s">
        <v>255</v>
      </c>
      <c r="L52" s="34">
        <f>IF((Observaciones[[#This Row],[Fecha Levantamiento]]-Observaciones[[#This Row],[Fecha Detección]])&gt;=0,Observaciones[[#This Row],[Fecha Levantamiento]]-Observaciones[[#This Row],[Fecha Detección]]+1,0)</f>
        <v>4</v>
      </c>
      <c r="M52" s="34" t="str">
        <f>LOOKUP(Observaciones[[#This Row],[Caso de Prueba]],CasoPrueba[Código CP],CasoPrueba[Código de REQ])</f>
        <v>INSPECCIÓN</v>
      </c>
    </row>
    <row r="53" spans="1:13" ht="30" hidden="1">
      <c r="A53" s="166" t="s">
        <v>311</v>
      </c>
      <c r="B53" s="164" t="s">
        <v>156</v>
      </c>
      <c r="C53" s="164" t="str">
        <f>VLOOKUP(Observaciones[[#This Row],[Caso de Prueba]],CasoPrueba[[Código CP]:[Descripción Caso de Prueba]],3,0)</f>
        <v>Proceso - Rendición de Gastos de Viaje</v>
      </c>
      <c r="D53" s="34" t="str">
        <f>VLOOKUP(Observaciones[Caso de Prueba],CasoPrueba[[#All],[Código CP]:[Prioridad]],7,TRUE)</f>
        <v>Alta</v>
      </c>
      <c r="E53" s="164" t="s">
        <v>30</v>
      </c>
      <c r="F53" s="164" t="s">
        <v>49</v>
      </c>
      <c r="G53" s="165">
        <v>40789</v>
      </c>
      <c r="H53" s="73">
        <v>40796</v>
      </c>
      <c r="I53" s="167" t="s">
        <v>132</v>
      </c>
      <c r="J53" s="164" t="s">
        <v>312</v>
      </c>
      <c r="K53" s="164" t="s">
        <v>313</v>
      </c>
      <c r="L53" s="34">
        <f>IF((Observaciones[[#This Row],[Fecha Levantamiento]]-Observaciones[[#This Row],[Fecha Detección]])&gt;=0,Observaciones[[#This Row],[Fecha Levantamiento]]-Observaciones[[#This Row],[Fecha Detección]]+1,0)</f>
        <v>8</v>
      </c>
      <c r="M53" s="34" t="str">
        <f>LOOKUP(Observaciones[[#This Row],[Caso de Prueba]],CasoPrueba[Código CP],CasoPrueba[Código de REQ])</f>
        <v>INSPECCIÓN</v>
      </c>
    </row>
    <row r="54" spans="1:13" ht="45" hidden="1">
      <c r="A54" s="166" t="s">
        <v>314</v>
      </c>
      <c r="B54" s="164" t="s">
        <v>156</v>
      </c>
      <c r="C54" s="164" t="str">
        <f>VLOOKUP(Observaciones[[#This Row],[Caso de Prueba]],CasoPrueba[[Código CP]:[Descripción Caso de Prueba]],3,0)</f>
        <v>Proceso - Rendición de Gastos de Viaje</v>
      </c>
      <c r="D54" s="34" t="str">
        <f>VLOOKUP(Observaciones[Caso de Prueba],CasoPrueba[[#All],[Código CP]:[Prioridad]],7,TRUE)</f>
        <v>Alta</v>
      </c>
      <c r="E54" s="164" t="s">
        <v>29</v>
      </c>
      <c r="F54" s="164" t="s">
        <v>49</v>
      </c>
      <c r="G54" s="165">
        <v>40789</v>
      </c>
      <c r="H54" s="73">
        <v>40796</v>
      </c>
      <c r="I54" s="167" t="s">
        <v>132</v>
      </c>
      <c r="J54" s="164" t="s">
        <v>315</v>
      </c>
      <c r="K54" s="164" t="s">
        <v>261</v>
      </c>
      <c r="L54" s="34">
        <f>IF((Observaciones[[#This Row],[Fecha Levantamiento]]-Observaciones[[#This Row],[Fecha Detección]])&gt;=0,Observaciones[[#This Row],[Fecha Levantamiento]]-Observaciones[[#This Row],[Fecha Detección]]+1,0)</f>
        <v>8</v>
      </c>
      <c r="M54" s="34" t="str">
        <f>LOOKUP(Observaciones[[#This Row],[Caso de Prueba]],CasoPrueba[Código CP],CasoPrueba[Código de REQ])</f>
        <v>INSPECCIÓN</v>
      </c>
    </row>
    <row r="55" spans="1:13" ht="60" hidden="1">
      <c r="A55" s="166" t="s">
        <v>316</v>
      </c>
      <c r="B55" s="164" t="s">
        <v>156</v>
      </c>
      <c r="C55" s="164" t="str">
        <f>VLOOKUP(Observaciones[[#This Row],[Caso de Prueba]],CasoPrueba[[Código CP]:[Descripción Caso de Prueba]],3,0)</f>
        <v>Proceso - Rendición de Gastos de Viaje</v>
      </c>
      <c r="D55" s="34" t="str">
        <f>VLOOKUP(Observaciones[Caso de Prueba],CasoPrueba[[#All],[Código CP]:[Prioridad]],7,TRUE)</f>
        <v>Alta</v>
      </c>
      <c r="E55" s="164" t="s">
        <v>30</v>
      </c>
      <c r="F55" s="164" t="s">
        <v>49</v>
      </c>
      <c r="G55" s="165">
        <v>40793</v>
      </c>
      <c r="H55" s="73">
        <v>40796</v>
      </c>
      <c r="I55" s="167" t="s">
        <v>132</v>
      </c>
      <c r="J55" s="164" t="s">
        <v>317</v>
      </c>
      <c r="K55" s="164" t="s">
        <v>318</v>
      </c>
      <c r="L55" s="34">
        <f>IF((Observaciones[[#This Row],[Fecha Levantamiento]]-Observaciones[[#This Row],[Fecha Detección]])&gt;=0,Observaciones[[#This Row],[Fecha Levantamiento]]-Observaciones[[#This Row],[Fecha Detección]]+1,0)</f>
        <v>4</v>
      </c>
      <c r="M55" s="34" t="str">
        <f>LOOKUP(Observaciones[[#This Row],[Caso de Prueba]],CasoPrueba[Código CP],CasoPrueba[Código de REQ])</f>
        <v>INSPECCIÓN</v>
      </c>
    </row>
    <row r="56" spans="1:13" ht="60" hidden="1">
      <c r="A56" s="166" t="s">
        <v>319</v>
      </c>
      <c r="B56" s="164" t="s">
        <v>156</v>
      </c>
      <c r="C56" s="164" t="str">
        <f>VLOOKUP(Observaciones[[#This Row],[Caso de Prueba]],CasoPrueba[[Código CP]:[Descripción Caso de Prueba]],3,0)</f>
        <v>Proceso - Rendición de Gastos de Viaje</v>
      </c>
      <c r="D56" s="34" t="str">
        <f>VLOOKUP(Observaciones[Caso de Prueba],CasoPrueba[[#All],[Código CP]:[Prioridad]],7,TRUE)</f>
        <v>Alta</v>
      </c>
      <c r="E56" s="164" t="s">
        <v>30</v>
      </c>
      <c r="F56" s="164" t="s">
        <v>49</v>
      </c>
      <c r="G56" s="165">
        <v>40789</v>
      </c>
      <c r="H56" s="73">
        <v>40796</v>
      </c>
      <c r="I56" s="167" t="s">
        <v>132</v>
      </c>
      <c r="J56" s="164" t="s">
        <v>320</v>
      </c>
      <c r="K56" s="164" t="s">
        <v>321</v>
      </c>
      <c r="L56" s="34">
        <f>IF((Observaciones[[#This Row],[Fecha Levantamiento]]-Observaciones[[#This Row],[Fecha Detección]])&gt;=0,Observaciones[[#This Row],[Fecha Levantamiento]]-Observaciones[[#This Row],[Fecha Detección]]+1,0)</f>
        <v>8</v>
      </c>
      <c r="M56" s="34" t="str">
        <f>LOOKUP(Observaciones[[#This Row],[Caso de Prueba]],CasoPrueba[Código CP],CasoPrueba[Código de REQ])</f>
        <v>INSPECCIÓN</v>
      </c>
    </row>
    <row r="57" spans="1:13" ht="30" hidden="1">
      <c r="A57" s="166" t="s">
        <v>322</v>
      </c>
      <c r="B57" s="164" t="s">
        <v>156</v>
      </c>
      <c r="C57" s="164" t="str">
        <f>VLOOKUP(Observaciones[[#This Row],[Caso de Prueba]],CasoPrueba[[Código CP]:[Descripción Caso de Prueba]],3,0)</f>
        <v>Proceso - Rendición de Gastos de Viaje</v>
      </c>
      <c r="D57" s="34" t="str">
        <f>VLOOKUP(Observaciones[Caso de Prueba],CasoPrueba[[#All],[Código CP]:[Prioridad]],7,TRUE)</f>
        <v>Alta</v>
      </c>
      <c r="E57" s="164" t="s">
        <v>29</v>
      </c>
      <c r="F57" s="164" t="s">
        <v>49</v>
      </c>
      <c r="G57" s="165">
        <v>40789</v>
      </c>
      <c r="H57" s="73">
        <v>40796</v>
      </c>
      <c r="I57" s="167" t="s">
        <v>132</v>
      </c>
      <c r="J57" s="164" t="s">
        <v>323</v>
      </c>
      <c r="K57" s="164" t="s">
        <v>324</v>
      </c>
      <c r="L57" s="34">
        <f>IF((Observaciones[[#This Row],[Fecha Levantamiento]]-Observaciones[[#This Row],[Fecha Detección]])&gt;=0,Observaciones[[#This Row],[Fecha Levantamiento]]-Observaciones[[#This Row],[Fecha Detección]]+1,0)</f>
        <v>8</v>
      </c>
      <c r="M57" s="34" t="str">
        <f>LOOKUP(Observaciones[[#This Row],[Caso de Prueba]],CasoPrueba[Código CP],CasoPrueba[Código de REQ])</f>
        <v>INSPECCIÓN</v>
      </c>
    </row>
    <row r="58" spans="1:13" ht="45" hidden="1">
      <c r="A58" s="166" t="s">
        <v>325</v>
      </c>
      <c r="B58" s="164" t="s">
        <v>157</v>
      </c>
      <c r="C58" s="164" t="str">
        <f>VLOOKUP(Observaciones[[#This Row],[Caso de Prueba]],CasoPrueba[[Código CP]:[Descripción Caso de Prueba]],3,0)</f>
        <v>Proceso - Seguimiento de Personal</v>
      </c>
      <c r="D58" s="34" t="str">
        <f>VLOOKUP(Observaciones[Caso de Prueba],CasoPrueba[[#All],[Código CP]:[Prioridad]],7,TRUE)</f>
        <v>Alta</v>
      </c>
      <c r="E58" s="164" t="s">
        <v>30</v>
      </c>
      <c r="F58" s="164" t="s">
        <v>49</v>
      </c>
      <c r="G58" s="165">
        <v>40789</v>
      </c>
      <c r="H58" s="73">
        <v>40796</v>
      </c>
      <c r="I58" s="167" t="s">
        <v>132</v>
      </c>
      <c r="J58" s="164" t="s">
        <v>253</v>
      </c>
      <c r="K58" s="164" t="s">
        <v>228</v>
      </c>
      <c r="L58" s="34">
        <f>IF((Observaciones[[#This Row],[Fecha Levantamiento]]-Observaciones[[#This Row],[Fecha Detección]])&gt;=0,Observaciones[[#This Row],[Fecha Levantamiento]]-Observaciones[[#This Row],[Fecha Detección]]+1,0)</f>
        <v>8</v>
      </c>
      <c r="M58" s="34" t="str">
        <f>LOOKUP(Observaciones[[#This Row],[Caso de Prueba]],CasoPrueba[Código CP],CasoPrueba[Código de REQ])</f>
        <v>INSPECCIÓN</v>
      </c>
    </row>
    <row r="59" spans="1:13" ht="30" hidden="1">
      <c r="A59" s="166" t="s">
        <v>326</v>
      </c>
      <c r="B59" s="164" t="s">
        <v>157</v>
      </c>
      <c r="C59" s="164" t="str">
        <f>VLOOKUP(Observaciones[[#This Row],[Caso de Prueba]],CasoPrueba[[Código CP]:[Descripción Caso de Prueba]],3,0)</f>
        <v>Proceso - Seguimiento de Personal</v>
      </c>
      <c r="D59" s="34" t="str">
        <f>VLOOKUP(Observaciones[Caso de Prueba],CasoPrueba[[#All],[Código CP]:[Prioridad]],7,TRUE)</f>
        <v>Alta</v>
      </c>
      <c r="E59" s="164" t="s">
        <v>30</v>
      </c>
      <c r="F59" s="164" t="s">
        <v>49</v>
      </c>
      <c r="G59" s="165">
        <v>40793</v>
      </c>
      <c r="H59" s="73">
        <v>40796</v>
      </c>
      <c r="I59" s="167" t="s">
        <v>132</v>
      </c>
      <c r="J59" s="164" t="s">
        <v>236</v>
      </c>
      <c r="K59" s="164" t="s">
        <v>272</v>
      </c>
      <c r="L59" s="34">
        <f>IF((Observaciones[[#This Row],[Fecha Levantamiento]]-Observaciones[[#This Row],[Fecha Detección]])&gt;=0,Observaciones[[#This Row],[Fecha Levantamiento]]-Observaciones[[#This Row],[Fecha Detección]]+1,0)</f>
        <v>4</v>
      </c>
      <c r="M59" s="34" t="str">
        <f>LOOKUP(Observaciones[[#This Row],[Caso de Prueba]],CasoPrueba[Código CP],CasoPrueba[Código de REQ])</f>
        <v>INSPECCIÓN</v>
      </c>
    </row>
    <row r="60" spans="1:13" ht="30" hidden="1">
      <c r="A60" s="166" t="s">
        <v>327</v>
      </c>
      <c r="B60" s="164" t="s">
        <v>157</v>
      </c>
      <c r="C60" s="164" t="str">
        <f>VLOOKUP(Observaciones[[#This Row],[Caso de Prueba]],CasoPrueba[[Código CP]:[Descripción Caso de Prueba]],3,0)</f>
        <v>Proceso - Seguimiento de Personal</v>
      </c>
      <c r="D60" s="34" t="str">
        <f>VLOOKUP(Observaciones[Caso de Prueba],CasoPrueba[[#All],[Código CP]:[Prioridad]],7,TRUE)</f>
        <v>Alta</v>
      </c>
      <c r="E60" s="164" t="s">
        <v>162</v>
      </c>
      <c r="F60" s="164" t="s">
        <v>49</v>
      </c>
      <c r="G60" s="165">
        <v>40789</v>
      </c>
      <c r="H60" s="73">
        <v>40796</v>
      </c>
      <c r="I60" s="167" t="s">
        <v>132</v>
      </c>
      <c r="J60" s="164" t="s">
        <v>328</v>
      </c>
      <c r="K60" s="164" t="s">
        <v>199</v>
      </c>
      <c r="L60" s="34">
        <f>IF((Observaciones[[#This Row],[Fecha Levantamiento]]-Observaciones[[#This Row],[Fecha Detección]])&gt;=0,Observaciones[[#This Row],[Fecha Levantamiento]]-Observaciones[[#This Row],[Fecha Detección]]+1,0)</f>
        <v>8</v>
      </c>
      <c r="M60" s="34" t="str">
        <f>LOOKUP(Observaciones[[#This Row],[Caso de Prueba]],CasoPrueba[Código CP],CasoPrueba[Código de REQ])</f>
        <v>INSPECCIÓN</v>
      </c>
    </row>
    <row r="61" spans="1:13" ht="30" hidden="1">
      <c r="A61" s="166" t="s">
        <v>329</v>
      </c>
      <c r="B61" s="164" t="s">
        <v>157</v>
      </c>
      <c r="C61" s="164" t="str">
        <f>VLOOKUP(Observaciones[[#This Row],[Caso de Prueba]],CasoPrueba[[Código CP]:[Descripción Caso de Prueba]],3,0)</f>
        <v>Proceso - Seguimiento de Personal</v>
      </c>
      <c r="D61" s="34" t="str">
        <f>VLOOKUP(Observaciones[Caso de Prueba],CasoPrueba[[#All],[Código CP]:[Prioridad]],7,TRUE)</f>
        <v>Alta</v>
      </c>
      <c r="E61" s="164" t="s">
        <v>29</v>
      </c>
      <c r="F61" s="164" t="s">
        <v>49</v>
      </c>
      <c r="G61" s="165">
        <v>40789</v>
      </c>
      <c r="H61" s="73">
        <v>40796</v>
      </c>
      <c r="I61" s="167" t="s">
        <v>132</v>
      </c>
      <c r="J61" s="164" t="s">
        <v>330</v>
      </c>
      <c r="K61" s="164" t="s">
        <v>331</v>
      </c>
      <c r="L61" s="34">
        <f>IF((Observaciones[[#This Row],[Fecha Levantamiento]]-Observaciones[[#This Row],[Fecha Detección]])&gt;=0,Observaciones[[#This Row],[Fecha Levantamiento]]-Observaciones[[#This Row],[Fecha Detección]]+1,0)</f>
        <v>8</v>
      </c>
      <c r="M61" s="34" t="str">
        <f>LOOKUP(Observaciones[[#This Row],[Caso de Prueba]],CasoPrueba[Código CP],CasoPrueba[Código de REQ])</f>
        <v>INSPECCIÓN</v>
      </c>
    </row>
    <row r="62" spans="1:13" ht="45" hidden="1">
      <c r="A62" s="166" t="s">
        <v>332</v>
      </c>
      <c r="B62" s="164" t="s">
        <v>157</v>
      </c>
      <c r="C62" s="164" t="str">
        <f>VLOOKUP(Observaciones[[#This Row],[Caso de Prueba]],CasoPrueba[[Código CP]:[Descripción Caso de Prueba]],3,0)</f>
        <v>Proceso - Seguimiento de Personal</v>
      </c>
      <c r="D62" s="34" t="str">
        <f>VLOOKUP(Observaciones[Caso de Prueba],CasoPrueba[[#All],[Código CP]:[Prioridad]],7,TRUE)</f>
        <v>Alta</v>
      </c>
      <c r="E62" s="164" t="s">
        <v>29</v>
      </c>
      <c r="F62" s="164" t="s">
        <v>49</v>
      </c>
      <c r="G62" s="165">
        <v>40789</v>
      </c>
      <c r="H62" s="73">
        <v>40796</v>
      </c>
      <c r="I62" s="167" t="s">
        <v>132</v>
      </c>
      <c r="J62" s="164" t="s">
        <v>333</v>
      </c>
      <c r="K62" s="164" t="s">
        <v>280</v>
      </c>
      <c r="L62" s="34">
        <f>IF((Observaciones[[#This Row],[Fecha Levantamiento]]-Observaciones[[#This Row],[Fecha Detección]])&gt;=0,Observaciones[[#This Row],[Fecha Levantamiento]]-Observaciones[[#This Row],[Fecha Detección]]+1,0)</f>
        <v>8</v>
      </c>
      <c r="M62" s="34" t="str">
        <f>LOOKUP(Observaciones[[#This Row],[Caso de Prueba]],CasoPrueba[Código CP],CasoPrueba[Código de REQ])</f>
        <v>INSPECCIÓN</v>
      </c>
    </row>
    <row r="63" spans="1:13" hidden="1">
      <c r="A63" s="166" t="s">
        <v>334</v>
      </c>
      <c r="B63" s="164" t="s">
        <v>157</v>
      </c>
      <c r="C63" s="164" t="str">
        <f>VLOOKUP(Observaciones[[#This Row],[Caso de Prueba]],CasoPrueba[[Código CP]:[Descripción Caso de Prueba]],3,0)</f>
        <v>Proceso - Seguimiento de Personal</v>
      </c>
      <c r="D63" s="34" t="str">
        <f>VLOOKUP(Observaciones[Caso de Prueba],CasoPrueba[[#All],[Código CP]:[Prioridad]],7,TRUE)</f>
        <v>Alta</v>
      </c>
      <c r="E63" s="164" t="s">
        <v>28</v>
      </c>
      <c r="F63" s="164" t="s">
        <v>49</v>
      </c>
      <c r="G63" s="165">
        <v>40793</v>
      </c>
      <c r="H63" s="73">
        <v>40796</v>
      </c>
      <c r="I63" s="167" t="s">
        <v>132</v>
      </c>
      <c r="J63" s="164" t="s">
        <v>250</v>
      </c>
      <c r="K63" s="164" t="s">
        <v>335</v>
      </c>
      <c r="L63" s="34">
        <f>IF((Observaciones[[#This Row],[Fecha Levantamiento]]-Observaciones[[#This Row],[Fecha Detección]])&gt;=0,Observaciones[[#This Row],[Fecha Levantamiento]]-Observaciones[[#This Row],[Fecha Detección]]+1,0)</f>
        <v>4</v>
      </c>
      <c r="M63" s="34" t="str">
        <f>LOOKUP(Observaciones[[#This Row],[Caso de Prueba]],CasoPrueba[Código CP],CasoPrueba[Código de REQ])</f>
        <v>INSPECCIÓN</v>
      </c>
    </row>
    <row r="64" spans="1:13" ht="45" hidden="1">
      <c r="A64" s="166" t="s">
        <v>336</v>
      </c>
      <c r="B64" s="164" t="s">
        <v>158</v>
      </c>
      <c r="C64" s="164" t="str">
        <f>VLOOKUP(Observaciones[[#This Row],[Caso de Prueba]],CasoPrueba[[Código CP]:[Descripción Caso de Prueba]],3,0)</f>
        <v>Proceso - Solicitud de Fondos de Viaje</v>
      </c>
      <c r="D64" s="34" t="str">
        <f>VLOOKUP(Observaciones[Caso de Prueba],CasoPrueba[[#All],[Código CP]:[Prioridad]],7,TRUE)</f>
        <v>Alta</v>
      </c>
      <c r="E64" s="164" t="s">
        <v>30</v>
      </c>
      <c r="F64" s="164" t="s">
        <v>49</v>
      </c>
      <c r="G64" s="165">
        <v>40791</v>
      </c>
      <c r="H64" s="73">
        <v>40796</v>
      </c>
      <c r="I64" s="167" t="s">
        <v>132</v>
      </c>
      <c r="J64" s="164" t="s">
        <v>253</v>
      </c>
      <c r="K64" s="164" t="s">
        <v>228</v>
      </c>
      <c r="L64" s="34">
        <f>IF((Observaciones[[#This Row],[Fecha Levantamiento]]-Observaciones[[#This Row],[Fecha Detección]])&gt;=0,Observaciones[[#This Row],[Fecha Levantamiento]]-Observaciones[[#This Row],[Fecha Detección]]+1,0)</f>
        <v>6</v>
      </c>
      <c r="M64" s="34" t="str">
        <f>LOOKUP(Observaciones[[#This Row],[Caso de Prueba]],CasoPrueba[Código CP],CasoPrueba[Código de REQ])</f>
        <v>INSPECCIÓN</v>
      </c>
    </row>
    <row r="65" spans="1:13" ht="30" hidden="1">
      <c r="A65" s="166" t="s">
        <v>337</v>
      </c>
      <c r="B65" s="164" t="s">
        <v>158</v>
      </c>
      <c r="C65" s="164" t="str">
        <f>VLOOKUP(Observaciones[[#This Row],[Caso de Prueba]],CasoPrueba[[Código CP]:[Descripción Caso de Prueba]],3,0)</f>
        <v>Proceso - Solicitud de Fondos de Viaje</v>
      </c>
      <c r="D65" s="34" t="str">
        <f>VLOOKUP(Observaciones[Caso de Prueba],CasoPrueba[[#All],[Código CP]:[Prioridad]],7,TRUE)</f>
        <v>Alta</v>
      </c>
      <c r="E65" s="164" t="s">
        <v>30</v>
      </c>
      <c r="F65" s="164" t="s">
        <v>49</v>
      </c>
      <c r="G65" s="165">
        <v>40793</v>
      </c>
      <c r="H65" s="73">
        <v>40796</v>
      </c>
      <c r="I65" s="167" t="s">
        <v>132</v>
      </c>
      <c r="J65" s="164" t="s">
        <v>236</v>
      </c>
      <c r="K65" s="164" t="s">
        <v>255</v>
      </c>
      <c r="L65" s="34">
        <f>IF((Observaciones[[#This Row],[Fecha Levantamiento]]-Observaciones[[#This Row],[Fecha Detección]])&gt;=0,Observaciones[[#This Row],[Fecha Levantamiento]]-Observaciones[[#This Row],[Fecha Detección]]+1,0)</f>
        <v>4</v>
      </c>
      <c r="M65" s="34" t="str">
        <f>LOOKUP(Observaciones[[#This Row],[Caso de Prueba]],CasoPrueba[Código CP],CasoPrueba[Código de REQ])</f>
        <v>INSPECCIÓN</v>
      </c>
    </row>
    <row r="66" spans="1:13" ht="60" hidden="1">
      <c r="A66" s="166" t="s">
        <v>338</v>
      </c>
      <c r="B66" s="164" t="s">
        <v>158</v>
      </c>
      <c r="C66" s="164" t="str">
        <f>VLOOKUP(Observaciones[[#This Row],[Caso de Prueba]],CasoPrueba[[Código CP]:[Descripción Caso de Prueba]],3,0)</f>
        <v>Proceso - Solicitud de Fondos de Viaje</v>
      </c>
      <c r="D66" s="34" t="str">
        <f>VLOOKUP(Observaciones[Caso de Prueba],CasoPrueba[[#All],[Código CP]:[Prioridad]],7,TRUE)</f>
        <v>Alta</v>
      </c>
      <c r="E66" s="164" t="s">
        <v>30</v>
      </c>
      <c r="F66" s="164" t="s">
        <v>49</v>
      </c>
      <c r="G66" s="165">
        <v>40793</v>
      </c>
      <c r="H66" s="73">
        <v>40796</v>
      </c>
      <c r="I66" s="167" t="s">
        <v>132</v>
      </c>
      <c r="J66" s="164" t="s">
        <v>317</v>
      </c>
      <c r="K66" s="164" t="s">
        <v>318</v>
      </c>
      <c r="L66" s="34">
        <f>IF((Observaciones[[#This Row],[Fecha Levantamiento]]-Observaciones[[#This Row],[Fecha Detección]])&gt;=0,Observaciones[[#This Row],[Fecha Levantamiento]]-Observaciones[[#This Row],[Fecha Detección]]+1,0)</f>
        <v>4</v>
      </c>
      <c r="M66" s="34" t="str">
        <f>LOOKUP(Observaciones[[#This Row],[Caso de Prueba]],CasoPrueba[Código CP],CasoPrueba[Código de REQ])</f>
        <v>INSPECCIÓN</v>
      </c>
    </row>
    <row r="67" spans="1:13" ht="45" hidden="1">
      <c r="A67" s="166" t="s">
        <v>339</v>
      </c>
      <c r="B67" s="164" t="s">
        <v>158</v>
      </c>
      <c r="C67" s="164" t="str">
        <f>VLOOKUP(Observaciones[[#This Row],[Caso de Prueba]],CasoPrueba[[Código CP]:[Descripción Caso de Prueba]],3,0)</f>
        <v>Proceso - Solicitud de Fondos de Viaje</v>
      </c>
      <c r="D67" s="34" t="str">
        <f>VLOOKUP(Observaciones[Caso de Prueba],CasoPrueba[[#All],[Código CP]:[Prioridad]],7,TRUE)</f>
        <v>Alta</v>
      </c>
      <c r="E67" s="164" t="s">
        <v>29</v>
      </c>
      <c r="F67" s="164" t="s">
        <v>49</v>
      </c>
      <c r="G67" s="165">
        <v>40791</v>
      </c>
      <c r="H67" s="73">
        <v>40796</v>
      </c>
      <c r="I67" s="167" t="s">
        <v>132</v>
      </c>
      <c r="J67" s="164" t="s">
        <v>340</v>
      </c>
      <c r="K67" s="164" t="s">
        <v>261</v>
      </c>
      <c r="L67" s="34">
        <f>IF((Observaciones[[#This Row],[Fecha Levantamiento]]-Observaciones[[#This Row],[Fecha Detección]])&gt;=0,Observaciones[[#This Row],[Fecha Levantamiento]]-Observaciones[[#This Row],[Fecha Detección]]+1,0)</f>
        <v>6</v>
      </c>
      <c r="M67" s="34" t="str">
        <f>LOOKUP(Observaciones[[#This Row],[Caso de Prueba]],CasoPrueba[Código CP],CasoPrueba[Código de REQ])</f>
        <v>INSPECCIÓN</v>
      </c>
    </row>
    <row r="68" spans="1:13" ht="45" hidden="1">
      <c r="A68" s="166" t="s">
        <v>341</v>
      </c>
      <c r="B68" s="164" t="s">
        <v>158</v>
      </c>
      <c r="C68" s="164" t="str">
        <f>VLOOKUP(Observaciones[[#This Row],[Caso de Prueba]],CasoPrueba[[Código CP]:[Descripción Caso de Prueba]],3,0)</f>
        <v>Proceso - Solicitud de Fondos de Viaje</v>
      </c>
      <c r="D68" s="34" t="str">
        <f>VLOOKUP(Observaciones[Caso de Prueba],CasoPrueba[[#All],[Código CP]:[Prioridad]],7,TRUE)</f>
        <v>Alta</v>
      </c>
      <c r="E68" s="164" t="s">
        <v>162</v>
      </c>
      <c r="F68" s="164" t="s">
        <v>49</v>
      </c>
      <c r="G68" s="165">
        <v>40791</v>
      </c>
      <c r="H68" s="73">
        <v>40796</v>
      </c>
      <c r="I68" s="167" t="s">
        <v>132</v>
      </c>
      <c r="J68" s="164" t="s">
        <v>342</v>
      </c>
      <c r="K68" s="164" t="s">
        <v>264</v>
      </c>
      <c r="L68" s="34">
        <f>IF((Observaciones[[#This Row],[Fecha Levantamiento]]-Observaciones[[#This Row],[Fecha Detección]])&gt;=0,Observaciones[[#This Row],[Fecha Levantamiento]]-Observaciones[[#This Row],[Fecha Detección]]+1,0)</f>
        <v>6</v>
      </c>
      <c r="M68" s="34" t="str">
        <f>LOOKUP(Observaciones[[#This Row],[Caso de Prueba]],CasoPrueba[Código CP],CasoPrueba[Código de REQ])</f>
        <v>INSPECCIÓN</v>
      </c>
    </row>
    <row r="69" spans="1:13" ht="30" hidden="1">
      <c r="A69" s="166" t="s">
        <v>343</v>
      </c>
      <c r="B69" s="164" t="s">
        <v>158</v>
      </c>
      <c r="C69" s="164" t="str">
        <f>VLOOKUP(Observaciones[[#This Row],[Caso de Prueba]],CasoPrueba[[Código CP]:[Descripción Caso de Prueba]],3,0)</f>
        <v>Proceso - Solicitud de Fondos de Viaje</v>
      </c>
      <c r="D69" s="34" t="str">
        <f>VLOOKUP(Observaciones[Caso de Prueba],CasoPrueba[[#All],[Código CP]:[Prioridad]],7,TRUE)</f>
        <v>Alta</v>
      </c>
      <c r="E69" s="164" t="s">
        <v>29</v>
      </c>
      <c r="F69" s="164" t="s">
        <v>49</v>
      </c>
      <c r="G69" s="165">
        <v>40791</v>
      </c>
      <c r="H69" s="73">
        <v>40796</v>
      </c>
      <c r="I69" s="167" t="s">
        <v>132</v>
      </c>
      <c r="J69" s="164" t="s">
        <v>323</v>
      </c>
      <c r="K69" s="164" t="s">
        <v>324</v>
      </c>
      <c r="L69" s="34">
        <f>IF((Observaciones[[#This Row],[Fecha Levantamiento]]-Observaciones[[#This Row],[Fecha Detección]])&gt;=0,Observaciones[[#This Row],[Fecha Levantamiento]]-Observaciones[[#This Row],[Fecha Detección]]+1,0)</f>
        <v>6</v>
      </c>
      <c r="M69" s="34" t="str">
        <f>LOOKUP(Observaciones[[#This Row],[Caso de Prueba]],CasoPrueba[Código CP],CasoPrueba[Código de REQ])</f>
        <v>INSPECCIÓN</v>
      </c>
    </row>
    <row r="70" spans="1:13" ht="45" hidden="1">
      <c r="A70" s="166" t="s">
        <v>344</v>
      </c>
      <c r="B70" s="164" t="s">
        <v>171</v>
      </c>
      <c r="C70" s="164" t="str">
        <f>VLOOKUP(Observaciones[[#This Row],[Caso de Prueba]],CasoPrueba[[Código CP]:[Descripción Caso de Prueba]],3,0)</f>
        <v>Proceso - Solicitud de Personal</v>
      </c>
      <c r="D70" s="34" t="str">
        <f>VLOOKUP(Observaciones[Caso de Prueba],CasoPrueba[[#All],[Código CP]:[Prioridad]],7,TRUE)</f>
        <v>Alta</v>
      </c>
      <c r="E70" s="164" t="s">
        <v>30</v>
      </c>
      <c r="F70" s="164" t="s">
        <v>49</v>
      </c>
      <c r="G70" s="165">
        <v>40791</v>
      </c>
      <c r="H70" s="73">
        <v>40796</v>
      </c>
      <c r="I70" s="167" t="s">
        <v>132</v>
      </c>
      <c r="J70" s="164" t="s">
        <v>253</v>
      </c>
      <c r="K70" s="164" t="s">
        <v>228</v>
      </c>
      <c r="L70" s="34">
        <f>IF((Observaciones[[#This Row],[Fecha Levantamiento]]-Observaciones[[#This Row],[Fecha Detección]])&gt;=0,Observaciones[[#This Row],[Fecha Levantamiento]]-Observaciones[[#This Row],[Fecha Detección]]+1,0)</f>
        <v>6</v>
      </c>
      <c r="M70" s="34" t="str">
        <f>LOOKUP(Observaciones[[#This Row],[Caso de Prueba]],CasoPrueba[Código CP],CasoPrueba[Código de REQ])</f>
        <v>INSPECCIÓN</v>
      </c>
    </row>
    <row r="71" spans="1:13" ht="30" hidden="1">
      <c r="A71" s="166" t="s">
        <v>345</v>
      </c>
      <c r="B71" s="164" t="s">
        <v>171</v>
      </c>
      <c r="C71" s="164" t="str">
        <f>VLOOKUP(Observaciones[[#This Row],[Caso de Prueba]],CasoPrueba[[Código CP]:[Descripción Caso de Prueba]],3,0)</f>
        <v>Proceso - Solicitud de Personal</v>
      </c>
      <c r="D71" s="34" t="str">
        <f>VLOOKUP(Observaciones[Caso de Prueba],CasoPrueba[[#All],[Código CP]:[Prioridad]],7,TRUE)</f>
        <v>Alta</v>
      </c>
      <c r="E71" s="164" t="s">
        <v>30</v>
      </c>
      <c r="F71" s="164" t="s">
        <v>49</v>
      </c>
      <c r="G71" s="165">
        <v>40793</v>
      </c>
      <c r="H71" s="73">
        <v>40796</v>
      </c>
      <c r="I71" s="167" t="s">
        <v>132</v>
      </c>
      <c r="J71" s="164" t="s">
        <v>236</v>
      </c>
      <c r="K71" s="164" t="s">
        <v>255</v>
      </c>
      <c r="L71" s="34">
        <f>IF((Observaciones[[#This Row],[Fecha Levantamiento]]-Observaciones[[#This Row],[Fecha Detección]])&gt;=0,Observaciones[[#This Row],[Fecha Levantamiento]]-Observaciones[[#This Row],[Fecha Detección]]+1,0)</f>
        <v>4</v>
      </c>
      <c r="M71" s="34" t="str">
        <f>LOOKUP(Observaciones[[#This Row],[Caso de Prueba]],CasoPrueba[Código CP],CasoPrueba[Código de REQ])</f>
        <v>INSPECCIÓN</v>
      </c>
    </row>
    <row r="72" spans="1:13" ht="30" hidden="1">
      <c r="A72" s="166" t="s">
        <v>346</v>
      </c>
      <c r="B72" s="164" t="s">
        <v>171</v>
      </c>
      <c r="C72" s="164" t="str">
        <f>VLOOKUP(Observaciones[[#This Row],[Caso de Prueba]],CasoPrueba[[Código CP]:[Descripción Caso de Prueba]],3,0)</f>
        <v>Proceso - Solicitud de Personal</v>
      </c>
      <c r="D72" s="34" t="str">
        <f>VLOOKUP(Observaciones[Caso de Prueba],CasoPrueba[[#All],[Código CP]:[Prioridad]],7,TRUE)</f>
        <v>Alta</v>
      </c>
      <c r="E72" s="164" t="s">
        <v>29</v>
      </c>
      <c r="F72" s="164" t="s">
        <v>49</v>
      </c>
      <c r="G72" s="165">
        <v>40791</v>
      </c>
      <c r="H72" s="73">
        <v>40796</v>
      </c>
      <c r="I72" s="167" t="s">
        <v>132</v>
      </c>
      <c r="J72" s="164" t="s">
        <v>323</v>
      </c>
      <c r="K72" s="164" t="s">
        <v>324</v>
      </c>
      <c r="L72" s="34">
        <f>IF((Observaciones[[#This Row],[Fecha Levantamiento]]-Observaciones[[#This Row],[Fecha Detección]])&gt;=0,Observaciones[[#This Row],[Fecha Levantamiento]]-Observaciones[[#This Row],[Fecha Detección]]+1,0)</f>
        <v>6</v>
      </c>
      <c r="M72" s="34" t="str">
        <f>LOOKUP(Observaciones[[#This Row],[Caso de Prueba]],CasoPrueba[Código CP],CasoPrueba[Código de REQ])</f>
        <v>INSPECCIÓN</v>
      </c>
    </row>
    <row r="73" spans="1:13" hidden="1">
      <c r="A73" s="166" t="s">
        <v>347</v>
      </c>
      <c r="B73" s="164" t="s">
        <v>171</v>
      </c>
      <c r="C73" s="164" t="str">
        <f>VLOOKUP(Observaciones[[#This Row],[Caso de Prueba]],CasoPrueba[[Código CP]:[Descripción Caso de Prueba]],3,0)</f>
        <v>Proceso - Solicitud de Personal</v>
      </c>
      <c r="D73" s="34" t="str">
        <f>VLOOKUP(Observaciones[Caso de Prueba],CasoPrueba[[#All],[Código CP]:[Prioridad]],7,TRUE)</f>
        <v>Alta</v>
      </c>
      <c r="E73" s="164" t="s">
        <v>28</v>
      </c>
      <c r="F73" s="164" t="s">
        <v>49</v>
      </c>
      <c r="G73" s="165">
        <v>40793</v>
      </c>
      <c r="H73" s="73">
        <v>40796</v>
      </c>
      <c r="I73" s="167" t="s">
        <v>132</v>
      </c>
      <c r="J73" s="164" t="s">
        <v>250</v>
      </c>
      <c r="K73" s="164" t="s">
        <v>266</v>
      </c>
      <c r="L73" s="34">
        <f>IF((Observaciones[[#This Row],[Fecha Levantamiento]]-Observaciones[[#This Row],[Fecha Detección]])&gt;=0,Observaciones[[#This Row],[Fecha Levantamiento]]-Observaciones[[#This Row],[Fecha Detección]]+1,0)</f>
        <v>4</v>
      </c>
      <c r="M73" s="34" t="str">
        <f>LOOKUP(Observaciones[[#This Row],[Caso de Prueba]],CasoPrueba[Código CP],CasoPrueba[Código de REQ])</f>
        <v>INSPECCIÓN</v>
      </c>
    </row>
    <row r="74" spans="1:13" ht="45" hidden="1">
      <c r="A74" s="166" t="s">
        <v>348</v>
      </c>
      <c r="B74" s="164" t="s">
        <v>172</v>
      </c>
      <c r="C74" s="164" t="str">
        <f>VLOOKUP(Observaciones[[#This Row],[Caso de Prueba]],CasoPrueba[[Código CP]:[Descripción Caso de Prueba]],3,0)</f>
        <v>MacroProceso - Gestión de Educación Rural</v>
      </c>
      <c r="D74" s="34" t="str">
        <f>VLOOKUP(Observaciones[Caso de Prueba],CasoPrueba[[#All],[Código CP]:[Prioridad]],7,TRUE)</f>
        <v>Alta</v>
      </c>
      <c r="E74" s="164" t="s">
        <v>162</v>
      </c>
      <c r="F74" s="164" t="s">
        <v>49</v>
      </c>
      <c r="G74" s="165">
        <v>40793</v>
      </c>
      <c r="H74" s="73">
        <v>40796</v>
      </c>
      <c r="I74" s="167" t="s">
        <v>132</v>
      </c>
      <c r="J74" s="164" t="s">
        <v>349</v>
      </c>
      <c r="K74" s="164" t="s">
        <v>196</v>
      </c>
      <c r="L74" s="34">
        <f>IF((Observaciones[[#This Row],[Fecha Levantamiento]]-Observaciones[[#This Row],[Fecha Detección]])&gt;=0,Observaciones[[#This Row],[Fecha Levantamiento]]-Observaciones[[#This Row],[Fecha Detección]]+1,0)</f>
        <v>4</v>
      </c>
      <c r="M74" s="34" t="str">
        <f>LOOKUP(Observaciones[[#This Row],[Caso de Prueba]],CasoPrueba[Código CP],CasoPrueba[Código de REQ])</f>
        <v>INSPECCIÓN</v>
      </c>
    </row>
    <row r="75" spans="1:13" ht="30" hidden="1">
      <c r="A75" s="166" t="s">
        <v>350</v>
      </c>
      <c r="B75" s="164" t="s">
        <v>172</v>
      </c>
      <c r="C75" s="164" t="str">
        <f>VLOOKUP(Observaciones[[#This Row],[Caso de Prueba]],CasoPrueba[[Código CP]:[Descripción Caso de Prueba]],3,0)</f>
        <v>MacroProceso - Gestión de Educación Rural</v>
      </c>
      <c r="D75" s="34" t="str">
        <f>VLOOKUP(Observaciones[Caso de Prueba],CasoPrueba[[#All],[Código CP]:[Prioridad]],7,TRUE)</f>
        <v>Alta</v>
      </c>
      <c r="E75" s="164" t="s">
        <v>162</v>
      </c>
      <c r="F75" s="164" t="s">
        <v>49</v>
      </c>
      <c r="G75" s="165">
        <v>40793</v>
      </c>
      <c r="H75" s="73">
        <v>40796</v>
      </c>
      <c r="I75" s="167" t="s">
        <v>132</v>
      </c>
      <c r="J75" s="164" t="s">
        <v>351</v>
      </c>
      <c r="K75" s="164" t="s">
        <v>352</v>
      </c>
      <c r="L75" s="34">
        <f>IF((Observaciones[[#This Row],[Fecha Levantamiento]]-Observaciones[[#This Row],[Fecha Detección]])&gt;=0,Observaciones[[#This Row],[Fecha Levantamiento]]-Observaciones[[#This Row],[Fecha Detección]]+1,0)</f>
        <v>4</v>
      </c>
      <c r="M75" s="34" t="str">
        <f>LOOKUP(Observaciones[[#This Row],[Caso de Prueba]],CasoPrueba[Código CP],CasoPrueba[Código de REQ])</f>
        <v>INSPECCIÓN</v>
      </c>
    </row>
    <row r="76" spans="1:13" ht="30" hidden="1">
      <c r="A76" s="166" t="s">
        <v>353</v>
      </c>
      <c r="B76" s="164" t="s">
        <v>172</v>
      </c>
      <c r="C76" s="164" t="str">
        <f>VLOOKUP(Observaciones[[#This Row],[Caso de Prueba]],CasoPrueba[[Código CP]:[Descripción Caso de Prueba]],3,0)</f>
        <v>MacroProceso - Gestión de Educación Rural</v>
      </c>
      <c r="D76" s="34" t="str">
        <f>VLOOKUP(Observaciones[Caso de Prueba],CasoPrueba[[#All],[Código CP]:[Prioridad]],7,TRUE)</f>
        <v>Alta</v>
      </c>
      <c r="E76" s="164" t="s">
        <v>30</v>
      </c>
      <c r="F76" s="164" t="s">
        <v>49</v>
      </c>
      <c r="G76" s="165">
        <v>40793</v>
      </c>
      <c r="H76" s="73">
        <v>40796</v>
      </c>
      <c r="I76" s="167" t="s">
        <v>132</v>
      </c>
      <c r="J76" s="164" t="s">
        <v>354</v>
      </c>
      <c r="K76" s="164" t="s">
        <v>355</v>
      </c>
      <c r="L76" s="34">
        <f>IF((Observaciones[[#This Row],[Fecha Levantamiento]]-Observaciones[[#This Row],[Fecha Detección]])&gt;=0,Observaciones[[#This Row],[Fecha Levantamiento]]-Observaciones[[#This Row],[Fecha Detección]]+1,0)</f>
        <v>4</v>
      </c>
      <c r="M76" s="34" t="str">
        <f>LOOKUP(Observaciones[[#This Row],[Caso de Prueba]],CasoPrueba[Código CP],CasoPrueba[Código de REQ])</f>
        <v>INSPECCIÓN</v>
      </c>
    </row>
    <row r="77" spans="1:13" ht="45" hidden="1">
      <c r="A77" s="166" t="s">
        <v>356</v>
      </c>
      <c r="B77" s="164" t="s">
        <v>172</v>
      </c>
      <c r="C77" s="164" t="str">
        <f>VLOOKUP(Observaciones[[#This Row],[Caso de Prueba]],CasoPrueba[[Código CP]:[Descripción Caso de Prueba]],3,0)</f>
        <v>MacroProceso - Gestión de Educación Rural</v>
      </c>
      <c r="D77" s="34" t="str">
        <f>VLOOKUP(Observaciones[Caso de Prueba],CasoPrueba[[#All],[Código CP]:[Prioridad]],7,TRUE)</f>
        <v>Alta</v>
      </c>
      <c r="E77" s="164" t="s">
        <v>28</v>
      </c>
      <c r="F77" s="164" t="s">
        <v>49</v>
      </c>
      <c r="G77" s="165">
        <v>40793</v>
      </c>
      <c r="H77" s="73">
        <v>40796</v>
      </c>
      <c r="I77" s="167" t="s">
        <v>132</v>
      </c>
      <c r="J77" s="164" t="s">
        <v>357</v>
      </c>
      <c r="K77" s="164" t="s">
        <v>358</v>
      </c>
      <c r="L77" s="34">
        <f>IF((Observaciones[[#This Row],[Fecha Levantamiento]]-Observaciones[[#This Row],[Fecha Detección]])&gt;=0,Observaciones[[#This Row],[Fecha Levantamiento]]-Observaciones[[#This Row],[Fecha Detección]]+1,0)</f>
        <v>4</v>
      </c>
      <c r="M77" s="34" t="str">
        <f>LOOKUP(Observaciones[[#This Row],[Caso de Prueba]],CasoPrueba[Código CP],CasoPrueba[Código de REQ])</f>
        <v>INSPECCIÓN</v>
      </c>
    </row>
    <row r="78" spans="1:13" hidden="1">
      <c r="A78" s="166" t="s">
        <v>359</v>
      </c>
      <c r="B78" s="164" t="s">
        <v>172</v>
      </c>
      <c r="C78" s="164" t="str">
        <f>VLOOKUP(Observaciones[[#This Row],[Caso de Prueba]],CasoPrueba[[Código CP]:[Descripción Caso de Prueba]],3,0)</f>
        <v>MacroProceso - Gestión de Educación Rural</v>
      </c>
      <c r="D78" s="34" t="str">
        <f>VLOOKUP(Observaciones[Caso de Prueba],CasoPrueba[[#All],[Código CP]:[Prioridad]],7,TRUE)</f>
        <v>Alta</v>
      </c>
      <c r="E78" s="164" t="s">
        <v>28</v>
      </c>
      <c r="F78" s="164" t="s">
        <v>49</v>
      </c>
      <c r="G78" s="165">
        <v>40793</v>
      </c>
      <c r="H78" s="73">
        <v>40796</v>
      </c>
      <c r="I78" s="167" t="s">
        <v>132</v>
      </c>
      <c r="J78" s="164" t="s">
        <v>250</v>
      </c>
      <c r="K78" s="164" t="s">
        <v>360</v>
      </c>
      <c r="L78" s="34">
        <f>IF((Observaciones[[#This Row],[Fecha Levantamiento]]-Observaciones[[#This Row],[Fecha Detección]])&gt;=0,Observaciones[[#This Row],[Fecha Levantamiento]]-Observaciones[[#This Row],[Fecha Detección]]+1,0)</f>
        <v>4</v>
      </c>
      <c r="M78" s="34" t="str">
        <f>LOOKUP(Observaciones[[#This Row],[Caso de Prueba]],CasoPrueba[Código CP],CasoPrueba[Código de REQ])</f>
        <v>INSPECCIÓN</v>
      </c>
    </row>
    <row r="79" spans="1:13" ht="30" hidden="1">
      <c r="A79" s="166" t="s">
        <v>361</v>
      </c>
      <c r="B79" s="164" t="s">
        <v>172</v>
      </c>
      <c r="C79" s="164" t="str">
        <f>VLOOKUP(Observaciones[[#This Row],[Caso de Prueba]],CasoPrueba[[Código CP]:[Descripción Caso de Prueba]],3,0)</f>
        <v>MacroProceso - Gestión de Educación Rural</v>
      </c>
      <c r="D79" s="34" t="str">
        <f>VLOOKUP(Observaciones[Caso de Prueba],CasoPrueba[[#All],[Código CP]:[Prioridad]],7,TRUE)</f>
        <v>Alta</v>
      </c>
      <c r="E79" s="164" t="s">
        <v>29</v>
      </c>
      <c r="F79" s="164" t="s">
        <v>49</v>
      </c>
      <c r="G79" s="165">
        <v>40793</v>
      </c>
      <c r="H79" s="73">
        <v>40796</v>
      </c>
      <c r="I79" s="167" t="s">
        <v>132</v>
      </c>
      <c r="J79" s="164" t="s">
        <v>301</v>
      </c>
      <c r="K79" s="164" t="s">
        <v>362</v>
      </c>
      <c r="L79" s="34">
        <f>IF((Observaciones[[#This Row],[Fecha Levantamiento]]-Observaciones[[#This Row],[Fecha Detección]])&gt;=0,Observaciones[[#This Row],[Fecha Levantamiento]]-Observaciones[[#This Row],[Fecha Detección]]+1,0)</f>
        <v>4</v>
      </c>
      <c r="M79" s="34" t="str">
        <f>LOOKUP(Observaciones[[#This Row],[Caso de Prueba]],CasoPrueba[Código CP],CasoPrueba[Código de REQ])</f>
        <v>INSPECCIÓN</v>
      </c>
    </row>
    <row r="80" spans="1:13" ht="45" hidden="1">
      <c r="A80" s="166" t="s">
        <v>363</v>
      </c>
      <c r="B80" s="164" t="s">
        <v>172</v>
      </c>
      <c r="C80" s="164" t="str">
        <f>VLOOKUP(Observaciones[[#This Row],[Caso de Prueba]],CasoPrueba[[Código CP]:[Descripción Caso de Prueba]],3,0)</f>
        <v>MacroProceso - Gestión de Educación Rural</v>
      </c>
      <c r="D80" s="34" t="str">
        <f>VLOOKUP(Observaciones[Caso de Prueba],CasoPrueba[[#All],[Código CP]:[Prioridad]],7,TRUE)</f>
        <v>Alta</v>
      </c>
      <c r="E80" s="164" t="s">
        <v>29</v>
      </c>
      <c r="F80" s="164" t="s">
        <v>49</v>
      </c>
      <c r="G80" s="165">
        <v>40793</v>
      </c>
      <c r="H80" s="73">
        <v>40796</v>
      </c>
      <c r="I80" s="167" t="s">
        <v>132</v>
      </c>
      <c r="J80" s="164" t="s">
        <v>364</v>
      </c>
      <c r="K80" s="164" t="s">
        <v>365</v>
      </c>
      <c r="L80" s="34">
        <f>IF((Observaciones[[#This Row],[Fecha Levantamiento]]-Observaciones[[#This Row],[Fecha Detección]])&gt;=0,Observaciones[[#This Row],[Fecha Levantamiento]]-Observaciones[[#This Row],[Fecha Detección]]+1,0)</f>
        <v>4</v>
      </c>
      <c r="M80" s="34" t="str">
        <f>LOOKUP(Observaciones[[#This Row],[Caso de Prueba]],CasoPrueba[Código CP],CasoPrueba[Código de REQ])</f>
        <v>INSPECCIÓN</v>
      </c>
    </row>
    <row r="81" spans="1:13" ht="45" hidden="1">
      <c r="A81" s="166" t="s">
        <v>366</v>
      </c>
      <c r="B81" s="164" t="s">
        <v>172</v>
      </c>
      <c r="C81" s="164" t="str">
        <f>VLOOKUP(Observaciones[[#This Row],[Caso de Prueba]],CasoPrueba[[Código CP]:[Descripción Caso de Prueba]],3,0)</f>
        <v>MacroProceso - Gestión de Educación Rural</v>
      </c>
      <c r="D81" s="34" t="str">
        <f>VLOOKUP(Observaciones[Caso de Prueba],CasoPrueba[[#All],[Código CP]:[Prioridad]],7,TRUE)</f>
        <v>Alta</v>
      </c>
      <c r="E81" s="164" t="s">
        <v>30</v>
      </c>
      <c r="F81" s="164" t="s">
        <v>49</v>
      </c>
      <c r="G81" s="165">
        <v>40793</v>
      </c>
      <c r="H81" s="73">
        <v>40796</v>
      </c>
      <c r="I81" s="167" t="s">
        <v>132</v>
      </c>
      <c r="J81" s="164" t="s">
        <v>460</v>
      </c>
      <c r="K81" s="164" t="s">
        <v>367</v>
      </c>
      <c r="L81" s="34">
        <f>IF((Observaciones[[#This Row],[Fecha Levantamiento]]-Observaciones[[#This Row],[Fecha Detección]])&gt;=0,Observaciones[[#This Row],[Fecha Levantamiento]]-Observaciones[[#This Row],[Fecha Detección]]+1,0)</f>
        <v>4</v>
      </c>
      <c r="M81" s="34" t="str">
        <f>LOOKUP(Observaciones[[#This Row],[Caso de Prueba]],CasoPrueba[Código CP],CasoPrueba[Código de REQ])</f>
        <v>INSPECCIÓN</v>
      </c>
    </row>
    <row r="82" spans="1:13" ht="60" hidden="1">
      <c r="A82" s="166" t="s">
        <v>368</v>
      </c>
      <c r="B82" s="164" t="s">
        <v>172</v>
      </c>
      <c r="C82" s="164" t="str">
        <f>VLOOKUP(Observaciones[[#This Row],[Caso de Prueba]],CasoPrueba[[Código CP]:[Descripción Caso de Prueba]],3,0)</f>
        <v>MacroProceso - Gestión de Educación Rural</v>
      </c>
      <c r="D82" s="34" t="str">
        <f>VLOOKUP(Observaciones[Caso de Prueba],CasoPrueba[[#All],[Código CP]:[Prioridad]],7,TRUE)</f>
        <v>Alta</v>
      </c>
      <c r="E82" s="164" t="s">
        <v>29</v>
      </c>
      <c r="F82" s="164" t="s">
        <v>49</v>
      </c>
      <c r="G82" s="165">
        <v>40793</v>
      </c>
      <c r="H82" s="73">
        <v>40796</v>
      </c>
      <c r="I82" s="167" t="s">
        <v>132</v>
      </c>
      <c r="J82" s="164" t="s">
        <v>369</v>
      </c>
      <c r="K82" s="164" t="s">
        <v>370</v>
      </c>
      <c r="L82" s="34">
        <f>IF((Observaciones[[#This Row],[Fecha Levantamiento]]-Observaciones[[#This Row],[Fecha Detección]])&gt;=0,Observaciones[[#This Row],[Fecha Levantamiento]]-Observaciones[[#This Row],[Fecha Detección]]+1,0)</f>
        <v>4</v>
      </c>
      <c r="M82" s="34" t="str">
        <f>LOOKUP(Observaciones[[#This Row],[Caso de Prueba]],CasoPrueba[Código CP],CasoPrueba[Código de REQ])</f>
        <v>INSPECCIÓN</v>
      </c>
    </row>
    <row r="83" spans="1:13" ht="60" hidden="1">
      <c r="A83" s="166" t="s">
        <v>371</v>
      </c>
      <c r="B83" s="164" t="s">
        <v>172</v>
      </c>
      <c r="C83" s="164" t="str">
        <f>VLOOKUP(Observaciones[[#This Row],[Caso de Prueba]],CasoPrueba[[Código CP]:[Descripción Caso de Prueba]],3,0)</f>
        <v>MacroProceso - Gestión de Educación Rural</v>
      </c>
      <c r="D83" s="34" t="str">
        <f>VLOOKUP(Observaciones[Caso de Prueba],CasoPrueba[[#All],[Código CP]:[Prioridad]],7,TRUE)</f>
        <v>Alta</v>
      </c>
      <c r="E83" s="164" t="s">
        <v>29</v>
      </c>
      <c r="F83" s="164" t="s">
        <v>49</v>
      </c>
      <c r="G83" s="165">
        <v>40793</v>
      </c>
      <c r="H83" s="73">
        <v>40796</v>
      </c>
      <c r="I83" s="167" t="s">
        <v>132</v>
      </c>
      <c r="J83" s="164" t="s">
        <v>372</v>
      </c>
      <c r="K83" s="164" t="s">
        <v>370</v>
      </c>
      <c r="L83" s="34">
        <f>IF((Observaciones[[#This Row],[Fecha Levantamiento]]-Observaciones[[#This Row],[Fecha Detección]])&gt;=0,Observaciones[[#This Row],[Fecha Levantamiento]]-Observaciones[[#This Row],[Fecha Detección]]+1,0)</f>
        <v>4</v>
      </c>
      <c r="M83" s="34" t="str">
        <f>LOOKUP(Observaciones[[#This Row],[Caso de Prueba]],CasoPrueba[Código CP],CasoPrueba[Código de REQ])</f>
        <v>INSPECCIÓN</v>
      </c>
    </row>
    <row r="84" spans="1:13" ht="30" hidden="1">
      <c r="A84" s="166" t="s">
        <v>373</v>
      </c>
      <c r="B84" s="164" t="s">
        <v>172</v>
      </c>
      <c r="C84" s="164" t="str">
        <f>VLOOKUP(Observaciones[[#This Row],[Caso de Prueba]],CasoPrueba[[Código CP]:[Descripción Caso de Prueba]],3,0)</f>
        <v>MacroProceso - Gestión de Educación Rural</v>
      </c>
      <c r="D84" s="34" t="str">
        <f>VLOOKUP(Observaciones[Caso de Prueba],CasoPrueba[[#All],[Código CP]:[Prioridad]],7,TRUE)</f>
        <v>Alta</v>
      </c>
      <c r="E84" s="164" t="s">
        <v>29</v>
      </c>
      <c r="F84" s="164" t="s">
        <v>49</v>
      </c>
      <c r="G84" s="165">
        <v>40793</v>
      </c>
      <c r="H84" s="73">
        <v>40796</v>
      </c>
      <c r="I84" s="167" t="s">
        <v>132</v>
      </c>
      <c r="J84" s="164" t="s">
        <v>374</v>
      </c>
      <c r="K84" s="164" t="s">
        <v>375</v>
      </c>
      <c r="L84" s="34">
        <f>IF((Observaciones[[#This Row],[Fecha Levantamiento]]-Observaciones[[#This Row],[Fecha Detección]])&gt;=0,Observaciones[[#This Row],[Fecha Levantamiento]]-Observaciones[[#This Row],[Fecha Detección]]+1,0)</f>
        <v>4</v>
      </c>
      <c r="M84" s="34" t="str">
        <f>LOOKUP(Observaciones[[#This Row],[Caso de Prueba]],CasoPrueba[Código CP],CasoPrueba[Código de REQ])</f>
        <v>INSPECCIÓN</v>
      </c>
    </row>
    <row r="85" spans="1:13" ht="90" hidden="1">
      <c r="A85" s="166" t="s">
        <v>376</v>
      </c>
      <c r="B85" s="164" t="s">
        <v>172</v>
      </c>
      <c r="C85" s="164" t="str">
        <f>VLOOKUP(Observaciones[[#This Row],[Caso de Prueba]],CasoPrueba[[Código CP]:[Descripción Caso de Prueba]],3,0)</f>
        <v>MacroProceso - Gestión de Educación Rural</v>
      </c>
      <c r="D85" s="34" t="str">
        <f>VLOOKUP(Observaciones[Caso de Prueba],CasoPrueba[[#All],[Código CP]:[Prioridad]],7,TRUE)</f>
        <v>Alta</v>
      </c>
      <c r="E85" s="164" t="s">
        <v>29</v>
      </c>
      <c r="F85" s="164" t="s">
        <v>49</v>
      </c>
      <c r="G85" s="165">
        <v>40793</v>
      </c>
      <c r="H85" s="73">
        <v>40796</v>
      </c>
      <c r="I85" s="167" t="s">
        <v>132</v>
      </c>
      <c r="J85" s="164" t="s">
        <v>377</v>
      </c>
      <c r="K85" s="164" t="s">
        <v>378</v>
      </c>
      <c r="L85" s="34">
        <f>IF((Observaciones[[#This Row],[Fecha Levantamiento]]-Observaciones[[#This Row],[Fecha Detección]])&gt;=0,Observaciones[[#This Row],[Fecha Levantamiento]]-Observaciones[[#This Row],[Fecha Detección]]+1,0)</f>
        <v>4</v>
      </c>
      <c r="M85" s="34" t="str">
        <f>LOOKUP(Observaciones[[#This Row],[Caso de Prueba]],CasoPrueba[Código CP],CasoPrueba[Código de REQ])</f>
        <v>INSPECCIÓN</v>
      </c>
    </row>
    <row r="86" spans="1:13" ht="45" hidden="1">
      <c r="A86" s="166" t="s">
        <v>379</v>
      </c>
      <c r="B86" s="164" t="s">
        <v>172</v>
      </c>
      <c r="C86" s="164" t="str">
        <f>VLOOKUP(Observaciones[[#This Row],[Caso de Prueba]],CasoPrueba[[Código CP]:[Descripción Caso de Prueba]],3,0)</f>
        <v>MacroProceso - Gestión de Educación Rural</v>
      </c>
      <c r="D86" s="34" t="str">
        <f>VLOOKUP(Observaciones[Caso de Prueba],CasoPrueba[[#All],[Código CP]:[Prioridad]],7,TRUE)</f>
        <v>Alta</v>
      </c>
      <c r="E86" s="164" t="s">
        <v>162</v>
      </c>
      <c r="F86" s="164" t="s">
        <v>49</v>
      </c>
      <c r="G86" s="165">
        <v>40793</v>
      </c>
      <c r="H86" s="73">
        <v>40796</v>
      </c>
      <c r="I86" s="167" t="s">
        <v>132</v>
      </c>
      <c r="J86" s="164" t="s">
        <v>380</v>
      </c>
      <c r="K86" s="164" t="s">
        <v>234</v>
      </c>
      <c r="L86" s="34">
        <f>IF((Observaciones[[#This Row],[Fecha Levantamiento]]-Observaciones[[#This Row],[Fecha Detección]])&gt;=0,Observaciones[[#This Row],[Fecha Levantamiento]]-Observaciones[[#This Row],[Fecha Detección]]+1,0)</f>
        <v>4</v>
      </c>
      <c r="M86" s="34" t="str">
        <f>LOOKUP(Observaciones[[#This Row],[Caso de Prueba]],CasoPrueba[Código CP],CasoPrueba[Código de REQ])</f>
        <v>INSPECCIÓN</v>
      </c>
    </row>
    <row r="87" spans="1:13" ht="90" hidden="1">
      <c r="A87" s="166" t="s">
        <v>381</v>
      </c>
      <c r="B87" s="164" t="s">
        <v>172</v>
      </c>
      <c r="C87" s="164" t="str">
        <f>VLOOKUP(Observaciones[[#This Row],[Caso de Prueba]],CasoPrueba[[Código CP]:[Descripción Caso de Prueba]],3,0)</f>
        <v>MacroProceso - Gestión de Educación Rural</v>
      </c>
      <c r="D87" s="34" t="str">
        <f>VLOOKUP(Observaciones[Caso de Prueba],CasoPrueba[[#All],[Código CP]:[Prioridad]],7,TRUE)</f>
        <v>Alta</v>
      </c>
      <c r="E87" s="164" t="s">
        <v>29</v>
      </c>
      <c r="F87" s="164" t="s">
        <v>49</v>
      </c>
      <c r="G87" s="165">
        <v>40793</v>
      </c>
      <c r="H87" s="73">
        <v>40796</v>
      </c>
      <c r="I87" s="167" t="s">
        <v>132</v>
      </c>
      <c r="J87" s="164" t="s">
        <v>382</v>
      </c>
      <c r="K87" s="164" t="s">
        <v>383</v>
      </c>
      <c r="L87" s="34">
        <f>IF((Observaciones[[#This Row],[Fecha Levantamiento]]-Observaciones[[#This Row],[Fecha Detección]])&gt;=0,Observaciones[[#This Row],[Fecha Levantamiento]]-Observaciones[[#This Row],[Fecha Detección]]+1,0)</f>
        <v>4</v>
      </c>
      <c r="M87" s="34" t="str">
        <f>LOOKUP(Observaciones[[#This Row],[Caso de Prueba]],CasoPrueba[Código CP],CasoPrueba[Código de REQ])</f>
        <v>INSPECCIÓN</v>
      </c>
    </row>
    <row r="88" spans="1:13" ht="30" hidden="1">
      <c r="A88" s="166" t="s">
        <v>384</v>
      </c>
      <c r="B88" s="164" t="s">
        <v>173</v>
      </c>
      <c r="C88" s="164" t="str">
        <f>VLOOKUP(Observaciones[[#This Row],[Caso de Prueba]],CasoPrueba[[Código CP]:[Descripción Caso de Prueba]],3,0)</f>
        <v>Proceso - Acompañamiento a los Programas Educativos Rurales</v>
      </c>
      <c r="D88" s="34" t="str">
        <f>VLOOKUP(Observaciones[Caso de Prueba],CasoPrueba[[#All],[Código CP]:[Prioridad]],7,TRUE)</f>
        <v>Alta</v>
      </c>
      <c r="E88" s="164" t="s">
        <v>162</v>
      </c>
      <c r="F88" s="164" t="s">
        <v>49</v>
      </c>
      <c r="G88" s="165">
        <v>40795</v>
      </c>
      <c r="H88" s="73">
        <v>40796</v>
      </c>
      <c r="I88" s="167" t="s">
        <v>132</v>
      </c>
      <c r="J88" s="164" t="s">
        <v>385</v>
      </c>
      <c r="K88" s="164" t="s">
        <v>386</v>
      </c>
      <c r="L88" s="34">
        <f>IF((Observaciones[[#This Row],[Fecha Levantamiento]]-Observaciones[[#This Row],[Fecha Detección]])&gt;=0,Observaciones[[#This Row],[Fecha Levantamiento]]-Observaciones[[#This Row],[Fecha Detección]]+1,0)</f>
        <v>2</v>
      </c>
      <c r="M88" s="34" t="str">
        <f>LOOKUP(Observaciones[[#This Row],[Caso de Prueba]],CasoPrueba[Código CP],CasoPrueba[Código de REQ])</f>
        <v>INSPECCIÓN</v>
      </c>
    </row>
    <row r="89" spans="1:13" ht="75" hidden="1">
      <c r="A89" s="166" t="s">
        <v>387</v>
      </c>
      <c r="B89" s="164" t="s">
        <v>173</v>
      </c>
      <c r="C89" s="164" t="str">
        <f>VLOOKUP(Observaciones[[#This Row],[Caso de Prueba]],CasoPrueba[[Código CP]:[Descripción Caso de Prueba]],3,0)</f>
        <v>Proceso - Acompañamiento a los Programas Educativos Rurales</v>
      </c>
      <c r="D89" s="34" t="str">
        <f>VLOOKUP(Observaciones[Caso de Prueba],CasoPrueba[[#All],[Código CP]:[Prioridad]],7,TRUE)</f>
        <v>Alta</v>
      </c>
      <c r="E89" s="164" t="s">
        <v>162</v>
      </c>
      <c r="F89" s="164" t="s">
        <v>49</v>
      </c>
      <c r="G89" s="165">
        <v>40795</v>
      </c>
      <c r="H89" s="73">
        <v>40796</v>
      </c>
      <c r="I89" s="167" t="s">
        <v>132</v>
      </c>
      <c r="J89" s="164" t="s">
        <v>388</v>
      </c>
      <c r="K89" s="164" t="s">
        <v>389</v>
      </c>
      <c r="L89" s="34">
        <f>IF((Observaciones[[#This Row],[Fecha Levantamiento]]-Observaciones[[#This Row],[Fecha Detección]])&gt;=0,Observaciones[[#This Row],[Fecha Levantamiento]]-Observaciones[[#This Row],[Fecha Detección]]+1,0)</f>
        <v>2</v>
      </c>
      <c r="M89" s="34" t="str">
        <f>LOOKUP(Observaciones[[#This Row],[Caso de Prueba]],CasoPrueba[Código CP],CasoPrueba[Código de REQ])</f>
        <v>INSPECCIÓN</v>
      </c>
    </row>
    <row r="90" spans="1:13" ht="30" hidden="1">
      <c r="A90" s="166" t="s">
        <v>390</v>
      </c>
      <c r="B90" s="164" t="s">
        <v>173</v>
      </c>
      <c r="C90" s="164" t="str">
        <f>VLOOKUP(Observaciones[[#This Row],[Caso de Prueba]],CasoPrueba[[Código CP]:[Descripción Caso de Prueba]],3,0)</f>
        <v>Proceso - Acompañamiento a los Programas Educativos Rurales</v>
      </c>
      <c r="D90" s="34" t="str">
        <f>VLOOKUP(Observaciones[Caso de Prueba],CasoPrueba[[#All],[Código CP]:[Prioridad]],7,TRUE)</f>
        <v>Alta</v>
      </c>
      <c r="E90" s="164" t="s">
        <v>30</v>
      </c>
      <c r="F90" s="164" t="s">
        <v>49</v>
      </c>
      <c r="G90" s="165">
        <v>40795</v>
      </c>
      <c r="H90" s="73">
        <v>40796</v>
      </c>
      <c r="I90" s="167" t="s">
        <v>132</v>
      </c>
      <c r="J90" s="164" t="s">
        <v>354</v>
      </c>
      <c r="K90" s="164" t="s">
        <v>391</v>
      </c>
      <c r="L90" s="34">
        <f>IF((Observaciones[[#This Row],[Fecha Levantamiento]]-Observaciones[[#This Row],[Fecha Detección]])&gt;=0,Observaciones[[#This Row],[Fecha Levantamiento]]-Observaciones[[#This Row],[Fecha Detección]]+1,0)</f>
        <v>2</v>
      </c>
      <c r="M90" s="34" t="str">
        <f>LOOKUP(Observaciones[[#This Row],[Caso de Prueba]],CasoPrueba[Código CP],CasoPrueba[Código de REQ])</f>
        <v>INSPECCIÓN</v>
      </c>
    </row>
    <row r="91" spans="1:13" ht="45" hidden="1">
      <c r="A91" s="166" t="s">
        <v>392</v>
      </c>
      <c r="B91" s="164" t="s">
        <v>173</v>
      </c>
      <c r="C91" s="164" t="str">
        <f>VLOOKUP(Observaciones[[#This Row],[Caso de Prueba]],CasoPrueba[[Código CP]:[Descripción Caso de Prueba]],3,0)</f>
        <v>Proceso - Acompañamiento a los Programas Educativos Rurales</v>
      </c>
      <c r="D91" s="34" t="str">
        <f>VLOOKUP(Observaciones[Caso de Prueba],CasoPrueba[[#All],[Código CP]:[Prioridad]],7,TRUE)</f>
        <v>Alta</v>
      </c>
      <c r="E91" s="164" t="s">
        <v>28</v>
      </c>
      <c r="F91" s="164" t="s">
        <v>49</v>
      </c>
      <c r="G91" s="165">
        <v>40795</v>
      </c>
      <c r="H91" s="73">
        <v>40796</v>
      </c>
      <c r="I91" s="167" t="s">
        <v>132</v>
      </c>
      <c r="J91" s="164" t="s">
        <v>393</v>
      </c>
      <c r="K91" s="164" t="s">
        <v>394</v>
      </c>
      <c r="L91" s="34">
        <f>IF((Observaciones[[#This Row],[Fecha Levantamiento]]-Observaciones[[#This Row],[Fecha Detección]])&gt;=0,Observaciones[[#This Row],[Fecha Levantamiento]]-Observaciones[[#This Row],[Fecha Detección]]+1,0)</f>
        <v>2</v>
      </c>
      <c r="M91" s="34" t="str">
        <f>LOOKUP(Observaciones[[#This Row],[Caso de Prueba]],CasoPrueba[Código CP],CasoPrueba[Código de REQ])</f>
        <v>INSPECCIÓN</v>
      </c>
    </row>
    <row r="92" spans="1:13" ht="45" hidden="1">
      <c r="A92" s="166" t="s">
        <v>395</v>
      </c>
      <c r="B92" s="164" t="s">
        <v>173</v>
      </c>
      <c r="C92" s="164" t="str">
        <f>VLOOKUP(Observaciones[[#This Row],[Caso de Prueba]],CasoPrueba[[Código CP]:[Descripción Caso de Prueba]],3,0)</f>
        <v>Proceso - Acompañamiento a los Programas Educativos Rurales</v>
      </c>
      <c r="D92" s="34" t="str">
        <f>VLOOKUP(Observaciones[Caso de Prueba],CasoPrueba[[#All],[Código CP]:[Prioridad]],7,TRUE)</f>
        <v>Alta</v>
      </c>
      <c r="E92" s="164" t="s">
        <v>30</v>
      </c>
      <c r="F92" s="164" t="s">
        <v>49</v>
      </c>
      <c r="G92" s="165">
        <v>40795</v>
      </c>
      <c r="H92" s="73">
        <v>40796</v>
      </c>
      <c r="I92" s="167" t="s">
        <v>132</v>
      </c>
      <c r="J92" s="164" t="s">
        <v>396</v>
      </c>
      <c r="K92" s="164" t="s">
        <v>397</v>
      </c>
      <c r="L92" s="34">
        <f>IF((Observaciones[[#This Row],[Fecha Levantamiento]]-Observaciones[[#This Row],[Fecha Detección]])&gt;=0,Observaciones[[#This Row],[Fecha Levantamiento]]-Observaciones[[#This Row],[Fecha Detección]]+1,0)</f>
        <v>2</v>
      </c>
      <c r="M92" s="34" t="str">
        <f>LOOKUP(Observaciones[[#This Row],[Caso de Prueba]],CasoPrueba[Código CP],CasoPrueba[Código de REQ])</f>
        <v>INSPECCIÓN</v>
      </c>
    </row>
    <row r="93" spans="1:13" ht="45" hidden="1">
      <c r="A93" s="166" t="s">
        <v>398</v>
      </c>
      <c r="B93" s="164" t="s">
        <v>173</v>
      </c>
      <c r="C93" s="164" t="str">
        <f>VLOOKUP(Observaciones[[#This Row],[Caso de Prueba]],CasoPrueba[[Código CP]:[Descripción Caso de Prueba]],3,0)</f>
        <v>Proceso - Acompañamiento a los Programas Educativos Rurales</v>
      </c>
      <c r="D93" s="34" t="str">
        <f>VLOOKUP(Observaciones[Caso de Prueba],CasoPrueba[[#All],[Código CP]:[Prioridad]],7,TRUE)</f>
        <v>Alta</v>
      </c>
      <c r="E93" s="164" t="s">
        <v>30</v>
      </c>
      <c r="F93" s="164" t="s">
        <v>49</v>
      </c>
      <c r="G93" s="165">
        <v>40795</v>
      </c>
      <c r="H93" s="73">
        <v>40796</v>
      </c>
      <c r="I93" s="167" t="s">
        <v>132</v>
      </c>
      <c r="J93" s="164" t="s">
        <v>399</v>
      </c>
      <c r="K93" s="164" t="s">
        <v>400</v>
      </c>
      <c r="L93" s="34">
        <f>IF((Observaciones[[#This Row],[Fecha Levantamiento]]-Observaciones[[#This Row],[Fecha Detección]])&gt;=0,Observaciones[[#This Row],[Fecha Levantamiento]]-Observaciones[[#This Row],[Fecha Detección]]+1,0)</f>
        <v>2</v>
      </c>
      <c r="M93" s="34" t="str">
        <f>LOOKUP(Observaciones[[#This Row],[Caso de Prueba]],CasoPrueba[Código CP],CasoPrueba[Código de REQ])</f>
        <v>INSPECCIÓN</v>
      </c>
    </row>
    <row r="94" spans="1:13" ht="60" hidden="1">
      <c r="A94" s="166" t="s">
        <v>401</v>
      </c>
      <c r="B94" s="164" t="s">
        <v>173</v>
      </c>
      <c r="C94" s="164" t="str">
        <f>VLOOKUP(Observaciones[[#This Row],[Caso de Prueba]],CasoPrueba[[Código CP]:[Descripción Caso de Prueba]],3,0)</f>
        <v>Proceso - Acompañamiento a los Programas Educativos Rurales</v>
      </c>
      <c r="D94" s="34" t="str">
        <f>VLOOKUP(Observaciones[Caso de Prueba],CasoPrueba[[#All],[Código CP]:[Prioridad]],7,TRUE)</f>
        <v>Alta</v>
      </c>
      <c r="E94" s="164" t="s">
        <v>30</v>
      </c>
      <c r="F94" s="164" t="s">
        <v>49</v>
      </c>
      <c r="G94" s="165">
        <v>40795</v>
      </c>
      <c r="H94" s="73">
        <v>40796</v>
      </c>
      <c r="I94" s="167" t="s">
        <v>132</v>
      </c>
      <c r="J94" s="164" t="s">
        <v>402</v>
      </c>
      <c r="K94" s="164" t="s">
        <v>403</v>
      </c>
      <c r="L94" s="34">
        <f>IF((Observaciones[[#This Row],[Fecha Levantamiento]]-Observaciones[[#This Row],[Fecha Detección]])&gt;=0,Observaciones[[#This Row],[Fecha Levantamiento]]-Observaciones[[#This Row],[Fecha Detección]]+1,0)</f>
        <v>2</v>
      </c>
      <c r="M94" s="34" t="str">
        <f>LOOKUP(Observaciones[[#This Row],[Caso de Prueba]],CasoPrueba[Código CP],CasoPrueba[Código de REQ])</f>
        <v>INSPECCIÓN</v>
      </c>
    </row>
    <row r="95" spans="1:13" ht="60" hidden="1">
      <c r="A95" s="166" t="s">
        <v>404</v>
      </c>
      <c r="B95" s="164" t="s">
        <v>175</v>
      </c>
      <c r="C95" s="164" t="str">
        <f>VLOOKUP(Observaciones[[#This Row],[Caso de Prueba]],CasoPrueba[[Código CP]:[Descripción Caso de Prueba]],3,0)</f>
        <v>Proceso - Planificación de los Programas Educativos Rurales</v>
      </c>
      <c r="D95" s="34" t="str">
        <f>VLOOKUP(Observaciones[Caso de Prueba],CasoPrueba[[#All],[Código CP]:[Prioridad]],7,TRUE)</f>
        <v>Alta</v>
      </c>
      <c r="E95" s="164" t="s">
        <v>162</v>
      </c>
      <c r="F95" s="164" t="s">
        <v>49</v>
      </c>
      <c r="G95" s="165">
        <v>40795</v>
      </c>
      <c r="H95" s="73">
        <v>40796</v>
      </c>
      <c r="I95" s="167" t="s">
        <v>132</v>
      </c>
      <c r="J95" s="164" t="s">
        <v>405</v>
      </c>
      <c r="K95" s="164" t="s">
        <v>406</v>
      </c>
      <c r="L95" s="34">
        <f>IF((Observaciones[[#This Row],[Fecha Levantamiento]]-Observaciones[[#This Row],[Fecha Detección]])&gt;=0,Observaciones[[#This Row],[Fecha Levantamiento]]-Observaciones[[#This Row],[Fecha Detección]]+1,0)</f>
        <v>2</v>
      </c>
      <c r="M95" s="34" t="str">
        <f>LOOKUP(Observaciones[[#This Row],[Caso de Prueba]],CasoPrueba[Código CP],CasoPrueba[Código de REQ])</f>
        <v>INSPECCIÓN</v>
      </c>
    </row>
    <row r="96" spans="1:13" ht="30" hidden="1">
      <c r="A96" s="166" t="s">
        <v>407</v>
      </c>
      <c r="B96" s="164" t="s">
        <v>175</v>
      </c>
      <c r="C96" s="164" t="str">
        <f>VLOOKUP(Observaciones[[#This Row],[Caso de Prueba]],CasoPrueba[[Código CP]:[Descripción Caso de Prueba]],3,0)</f>
        <v>Proceso - Planificación de los Programas Educativos Rurales</v>
      </c>
      <c r="D96" s="34" t="str">
        <f>VLOOKUP(Observaciones[Caso de Prueba],CasoPrueba[[#All],[Código CP]:[Prioridad]],7,TRUE)</f>
        <v>Alta</v>
      </c>
      <c r="E96" s="164" t="s">
        <v>30</v>
      </c>
      <c r="F96" s="164" t="s">
        <v>49</v>
      </c>
      <c r="G96" s="165">
        <v>40795</v>
      </c>
      <c r="H96" s="73">
        <v>40796</v>
      </c>
      <c r="I96" s="167" t="s">
        <v>132</v>
      </c>
      <c r="J96" s="164" t="s">
        <v>354</v>
      </c>
      <c r="K96" s="164" t="s">
        <v>408</v>
      </c>
      <c r="L96" s="34">
        <f>IF((Observaciones[[#This Row],[Fecha Levantamiento]]-Observaciones[[#This Row],[Fecha Detección]])&gt;=0,Observaciones[[#This Row],[Fecha Levantamiento]]-Observaciones[[#This Row],[Fecha Detección]]+1,0)</f>
        <v>2</v>
      </c>
      <c r="M96" s="34" t="str">
        <f>LOOKUP(Observaciones[[#This Row],[Caso de Prueba]],CasoPrueba[Código CP],CasoPrueba[Código de REQ])</f>
        <v>INSPECCIÓN</v>
      </c>
    </row>
    <row r="97" spans="1:13" ht="45" hidden="1">
      <c r="A97" s="166" t="s">
        <v>409</v>
      </c>
      <c r="B97" s="164" t="s">
        <v>175</v>
      </c>
      <c r="C97" s="164" t="str">
        <f>VLOOKUP(Observaciones[[#This Row],[Caso de Prueba]],CasoPrueba[[Código CP]:[Descripción Caso de Prueba]],3,0)</f>
        <v>Proceso - Planificación de los Programas Educativos Rurales</v>
      </c>
      <c r="D97" s="34" t="str">
        <f>VLOOKUP(Observaciones[Caso de Prueba],CasoPrueba[[#All],[Código CP]:[Prioridad]],7,TRUE)</f>
        <v>Alta</v>
      </c>
      <c r="E97" s="164" t="s">
        <v>162</v>
      </c>
      <c r="F97" s="164" t="s">
        <v>49</v>
      </c>
      <c r="G97" s="165">
        <v>40795</v>
      </c>
      <c r="H97" s="73">
        <v>40796</v>
      </c>
      <c r="I97" s="167" t="s">
        <v>132</v>
      </c>
      <c r="J97" s="164" t="s">
        <v>410</v>
      </c>
      <c r="K97" s="164" t="s">
        <v>411</v>
      </c>
      <c r="L97" s="34">
        <f>IF((Observaciones[[#This Row],[Fecha Levantamiento]]-Observaciones[[#This Row],[Fecha Detección]])&gt;=0,Observaciones[[#This Row],[Fecha Levantamiento]]-Observaciones[[#This Row],[Fecha Detección]]+1,0)</f>
        <v>2</v>
      </c>
      <c r="M97" s="34" t="str">
        <f>LOOKUP(Observaciones[[#This Row],[Caso de Prueba]],CasoPrueba[Código CP],CasoPrueba[Código de REQ])</f>
        <v>INSPECCIÓN</v>
      </c>
    </row>
    <row r="98" spans="1:13" ht="48" hidden="1" customHeight="1">
      <c r="A98" s="166" t="s">
        <v>412</v>
      </c>
      <c r="B98" s="164" t="s">
        <v>175</v>
      </c>
      <c r="C98" s="164" t="str">
        <f>VLOOKUP(Observaciones[[#This Row],[Caso de Prueba]],CasoPrueba[[Código CP]:[Descripción Caso de Prueba]],3,0)</f>
        <v>Proceso - Planificación de los Programas Educativos Rurales</v>
      </c>
      <c r="D98" s="34" t="str">
        <f>VLOOKUP(Observaciones[Caso de Prueba],CasoPrueba[[#All],[Código CP]:[Prioridad]],7,TRUE)</f>
        <v>Alta</v>
      </c>
      <c r="E98" s="164" t="s">
        <v>29</v>
      </c>
      <c r="F98" s="164" t="s">
        <v>49</v>
      </c>
      <c r="G98" s="165">
        <v>40795</v>
      </c>
      <c r="H98" s="73">
        <v>40796</v>
      </c>
      <c r="I98" s="167" t="s">
        <v>132</v>
      </c>
      <c r="J98" s="164" t="s">
        <v>413</v>
      </c>
      <c r="K98" s="164" t="s">
        <v>414</v>
      </c>
      <c r="L98" s="34">
        <f>IF((Observaciones[[#This Row],[Fecha Levantamiento]]-Observaciones[[#This Row],[Fecha Detección]])&gt;=0,Observaciones[[#This Row],[Fecha Levantamiento]]-Observaciones[[#This Row],[Fecha Detección]]+1,0)</f>
        <v>2</v>
      </c>
      <c r="M98" s="34" t="str">
        <f>LOOKUP(Observaciones[[#This Row],[Caso de Prueba]],CasoPrueba[Código CP],CasoPrueba[Código de REQ])</f>
        <v>INSPECCIÓN</v>
      </c>
    </row>
    <row r="99" spans="1:13" ht="60" hidden="1">
      <c r="A99" s="166" t="s">
        <v>415</v>
      </c>
      <c r="B99" s="164" t="s">
        <v>175</v>
      </c>
      <c r="C99" s="164" t="str">
        <f>VLOOKUP(Observaciones[[#This Row],[Caso de Prueba]],CasoPrueba[[Código CP]:[Descripción Caso de Prueba]],3,0)</f>
        <v>Proceso - Planificación de los Programas Educativos Rurales</v>
      </c>
      <c r="D99" s="34" t="str">
        <f>VLOOKUP(Observaciones[Caso de Prueba],CasoPrueba[[#All],[Código CP]:[Prioridad]],7,TRUE)</f>
        <v>Alta</v>
      </c>
      <c r="E99" s="164" t="s">
        <v>30</v>
      </c>
      <c r="F99" s="164" t="s">
        <v>49</v>
      </c>
      <c r="G99" s="165">
        <v>40795</v>
      </c>
      <c r="H99" s="73">
        <v>40796</v>
      </c>
      <c r="I99" s="167" t="s">
        <v>132</v>
      </c>
      <c r="J99" s="164" t="s">
        <v>416</v>
      </c>
      <c r="K99" s="164" t="s">
        <v>417</v>
      </c>
      <c r="L99" s="34">
        <f>IF((Observaciones[[#This Row],[Fecha Levantamiento]]-Observaciones[[#This Row],[Fecha Detección]])&gt;=0,Observaciones[[#This Row],[Fecha Levantamiento]]-Observaciones[[#This Row],[Fecha Detección]]+1,0)</f>
        <v>2</v>
      </c>
      <c r="M99" s="34" t="str">
        <f>LOOKUP(Observaciones[[#This Row],[Caso de Prueba]],CasoPrueba[Código CP],CasoPrueba[Código de REQ])</f>
        <v>INSPECCIÓN</v>
      </c>
    </row>
    <row r="100" spans="1:13" ht="30" hidden="1">
      <c r="A100" s="166" t="s">
        <v>418</v>
      </c>
      <c r="B100" s="164" t="s">
        <v>175</v>
      </c>
      <c r="C100" s="164" t="str">
        <f>VLOOKUP(Observaciones[[#This Row],[Caso de Prueba]],CasoPrueba[[Código CP]:[Descripción Caso de Prueba]],3,0)</f>
        <v>Proceso - Planificación de los Programas Educativos Rurales</v>
      </c>
      <c r="D100" s="34" t="str">
        <f>VLOOKUP(Observaciones[Caso de Prueba],CasoPrueba[[#All],[Código CP]:[Prioridad]],7,TRUE)</f>
        <v>Alta</v>
      </c>
      <c r="E100" s="164" t="s">
        <v>162</v>
      </c>
      <c r="F100" s="164" t="s">
        <v>49</v>
      </c>
      <c r="G100" s="165">
        <v>40795</v>
      </c>
      <c r="H100" s="73">
        <v>40796</v>
      </c>
      <c r="I100" s="167" t="s">
        <v>132</v>
      </c>
      <c r="J100" s="164" t="s">
        <v>419</v>
      </c>
      <c r="K100" s="164" t="s">
        <v>196</v>
      </c>
      <c r="L100" s="34">
        <f>IF((Observaciones[[#This Row],[Fecha Levantamiento]]-Observaciones[[#This Row],[Fecha Detección]])&gt;=0,Observaciones[[#This Row],[Fecha Levantamiento]]-Observaciones[[#This Row],[Fecha Detección]]+1,0)</f>
        <v>2</v>
      </c>
      <c r="M100" s="34" t="str">
        <f>LOOKUP(Observaciones[[#This Row],[Caso de Prueba]],CasoPrueba[Código CP],CasoPrueba[Código de REQ])</f>
        <v>INSPECCIÓN</v>
      </c>
    </row>
    <row r="101" spans="1:13" ht="30" hidden="1">
      <c r="A101" s="166" t="s">
        <v>420</v>
      </c>
      <c r="B101" s="164" t="s">
        <v>176</v>
      </c>
      <c r="C101" s="164" t="str">
        <f>VLOOKUP(Observaciones[[#This Row],[Caso de Prueba]],CasoPrueba[[Código CP]:[Descripción Caso de Prueba]],3,0)</f>
        <v>Proceso - Seguimiento  a los Programas Educativos Rurales</v>
      </c>
      <c r="D101" s="34" t="str">
        <f>VLOOKUP(Observaciones[Caso de Prueba],CasoPrueba[[#All],[Código CP]:[Prioridad]],7,TRUE)</f>
        <v>Alta</v>
      </c>
      <c r="E101" s="164" t="s">
        <v>30</v>
      </c>
      <c r="F101" s="164" t="s">
        <v>49</v>
      </c>
      <c r="G101" s="165">
        <v>40795</v>
      </c>
      <c r="H101" s="73">
        <v>40796</v>
      </c>
      <c r="I101" s="167" t="s">
        <v>132</v>
      </c>
      <c r="J101" s="164" t="s">
        <v>354</v>
      </c>
      <c r="K101" s="164" t="s">
        <v>408</v>
      </c>
      <c r="L101" s="34">
        <f>IF((Observaciones[[#This Row],[Fecha Levantamiento]]-Observaciones[[#This Row],[Fecha Detección]])&gt;=0,Observaciones[[#This Row],[Fecha Levantamiento]]-Observaciones[[#This Row],[Fecha Detección]]+1,0)</f>
        <v>2</v>
      </c>
      <c r="M101" s="34" t="str">
        <f>LOOKUP(Observaciones[[#This Row],[Caso de Prueba]],CasoPrueba[Código CP],CasoPrueba[Código de REQ])</f>
        <v>INSPECCIÓN</v>
      </c>
    </row>
    <row r="102" spans="1:13" hidden="1">
      <c r="A102" s="166" t="s">
        <v>421</v>
      </c>
      <c r="B102" s="164" t="s">
        <v>176</v>
      </c>
      <c r="C102" s="164" t="str">
        <f>VLOOKUP(Observaciones[[#This Row],[Caso de Prueba]],CasoPrueba[[Código CP]:[Descripción Caso de Prueba]],3,0)</f>
        <v>Proceso - Seguimiento  a los Programas Educativos Rurales</v>
      </c>
      <c r="D102" s="34" t="str">
        <f>VLOOKUP(Observaciones[Caso de Prueba],CasoPrueba[[#All],[Código CP]:[Prioridad]],7,TRUE)</f>
        <v>Alta</v>
      </c>
      <c r="E102" s="164" t="s">
        <v>29</v>
      </c>
      <c r="F102" s="164" t="s">
        <v>49</v>
      </c>
      <c r="G102" s="165">
        <v>40795</v>
      </c>
      <c r="H102" s="73">
        <v>40796</v>
      </c>
      <c r="I102" s="167" t="s">
        <v>132</v>
      </c>
      <c r="J102" s="164" t="s">
        <v>422</v>
      </c>
      <c r="K102" s="164" t="s">
        <v>362</v>
      </c>
      <c r="L102" s="34">
        <f>IF((Observaciones[[#This Row],[Fecha Levantamiento]]-Observaciones[[#This Row],[Fecha Detección]])&gt;=0,Observaciones[[#This Row],[Fecha Levantamiento]]-Observaciones[[#This Row],[Fecha Detección]]+1,0)</f>
        <v>2</v>
      </c>
      <c r="M102" s="34" t="str">
        <f>LOOKUP(Observaciones[[#This Row],[Caso de Prueba]],CasoPrueba[Código CP],CasoPrueba[Código de REQ])</f>
        <v>INSPECCIÓN</v>
      </c>
    </row>
    <row r="103" spans="1:13" ht="45" hidden="1">
      <c r="A103" s="166" t="s">
        <v>423</v>
      </c>
      <c r="B103" s="164" t="s">
        <v>176</v>
      </c>
      <c r="C103" s="164" t="str">
        <f>VLOOKUP(Observaciones[[#This Row],[Caso de Prueba]],CasoPrueba[[Código CP]:[Descripción Caso de Prueba]],3,0)</f>
        <v>Proceso - Seguimiento  a los Programas Educativos Rurales</v>
      </c>
      <c r="D103" s="34" t="str">
        <f>VLOOKUP(Observaciones[Caso de Prueba],CasoPrueba[[#All],[Código CP]:[Prioridad]],7,TRUE)</f>
        <v>Alta</v>
      </c>
      <c r="E103" s="164" t="s">
        <v>30</v>
      </c>
      <c r="F103" s="164" t="s">
        <v>49</v>
      </c>
      <c r="G103" s="165">
        <v>40795</v>
      </c>
      <c r="H103" s="73">
        <v>40796</v>
      </c>
      <c r="I103" s="167" t="s">
        <v>132</v>
      </c>
      <c r="J103" s="164" t="s">
        <v>424</v>
      </c>
      <c r="K103" s="164" t="s">
        <v>425</v>
      </c>
      <c r="L103" s="34">
        <f>IF((Observaciones[[#This Row],[Fecha Levantamiento]]-Observaciones[[#This Row],[Fecha Detección]])&gt;=0,Observaciones[[#This Row],[Fecha Levantamiento]]-Observaciones[[#This Row],[Fecha Detección]]+1,0)</f>
        <v>2</v>
      </c>
      <c r="M103" s="34" t="str">
        <f>LOOKUP(Observaciones[[#This Row],[Caso de Prueba]],CasoPrueba[Código CP],CasoPrueba[Código de REQ])</f>
        <v>INSPECCIÓN</v>
      </c>
    </row>
    <row r="104" spans="1:13" ht="45" hidden="1">
      <c r="A104" s="166" t="s">
        <v>427</v>
      </c>
      <c r="B104" s="34" t="s">
        <v>88</v>
      </c>
      <c r="C104" s="34" t="str">
        <f>VLOOKUP(Observaciones[[#This Row],[Caso de Prueba]],CasoPrueba[[Código CP]:[Descripción Caso de Prueba]],3,0)</f>
        <v>MacroProceso - Gestión de Recursos Humanos</v>
      </c>
      <c r="D104" s="34" t="str">
        <f>VLOOKUP(Observaciones[Caso de Prueba],CasoPrueba[[#All],[Código CP]:[Prioridad]],7,TRUE)</f>
        <v>Alta</v>
      </c>
      <c r="E104" s="34" t="s">
        <v>162</v>
      </c>
      <c r="F104" s="34" t="s">
        <v>49</v>
      </c>
      <c r="G104" s="73">
        <v>40798</v>
      </c>
      <c r="H104" s="73">
        <v>40803</v>
      </c>
      <c r="I104" s="167" t="s">
        <v>132</v>
      </c>
      <c r="J104" s="34" t="s">
        <v>438</v>
      </c>
      <c r="K104" s="34" t="s">
        <v>196</v>
      </c>
      <c r="L104" s="34">
        <f>IF((Observaciones[[#This Row],[Fecha Levantamiento]]-Observaciones[[#This Row],[Fecha Detección]])&gt;=0,Observaciones[[#This Row],[Fecha Levantamiento]]-Observaciones[[#This Row],[Fecha Detección]]+1,0)</f>
        <v>6</v>
      </c>
      <c r="M104" s="34" t="str">
        <f>LOOKUP(Observaciones[[#This Row],[Caso de Prueba]],CasoPrueba[Código CP],CasoPrueba[Código de REQ])</f>
        <v>INSPECCIÓN</v>
      </c>
    </row>
    <row r="105" spans="1:13" ht="76.5" hidden="1" customHeight="1">
      <c r="A105" s="166" t="s">
        <v>428</v>
      </c>
      <c r="B105" s="34" t="s">
        <v>88</v>
      </c>
      <c r="C105" s="34" t="str">
        <f>VLOOKUP(Observaciones[[#This Row],[Caso de Prueba]],CasoPrueba[[Código CP]:[Descripción Caso de Prueba]],3,0)</f>
        <v>MacroProceso - Gestión de Recursos Humanos</v>
      </c>
      <c r="D105" s="34" t="str">
        <f>VLOOKUP(Observaciones[Caso de Prueba],CasoPrueba[[#All],[Código CP]:[Prioridad]],7,TRUE)</f>
        <v>Alta</v>
      </c>
      <c r="E105" s="34" t="s">
        <v>29</v>
      </c>
      <c r="F105" s="34" t="s">
        <v>49</v>
      </c>
      <c r="G105" s="73">
        <v>40798</v>
      </c>
      <c r="H105" s="73">
        <v>40803</v>
      </c>
      <c r="I105" s="167" t="s">
        <v>132</v>
      </c>
      <c r="J105" s="34" t="s">
        <v>439</v>
      </c>
      <c r="K105" s="34" t="s">
        <v>465</v>
      </c>
      <c r="L105" s="34">
        <f>IF((Observaciones[[#This Row],[Fecha Levantamiento]]-Observaciones[[#This Row],[Fecha Detección]])&gt;=0,Observaciones[[#This Row],[Fecha Levantamiento]]-Observaciones[[#This Row],[Fecha Detección]]+1,0)</f>
        <v>6</v>
      </c>
      <c r="M105" s="34" t="str">
        <f>LOOKUP(Observaciones[[#This Row],[Caso de Prueba]],CasoPrueba[Código CP],CasoPrueba[Código de REQ])</f>
        <v>INSPECCIÓN</v>
      </c>
    </row>
    <row r="106" spans="1:13" ht="48" hidden="1" customHeight="1">
      <c r="A106" s="166" t="s">
        <v>429</v>
      </c>
      <c r="B106" s="34" t="s">
        <v>88</v>
      </c>
      <c r="C106" s="34" t="str">
        <f>VLOOKUP(Observaciones[[#This Row],[Caso de Prueba]],CasoPrueba[[Código CP]:[Descripción Caso de Prueba]],3,0)</f>
        <v>MacroProceso - Gestión de Recursos Humanos</v>
      </c>
      <c r="D106" s="34" t="str">
        <f>VLOOKUP(Observaciones[Caso de Prueba],CasoPrueba[[#All],[Código CP]:[Prioridad]],7,TRUE)</f>
        <v>Alta</v>
      </c>
      <c r="E106" s="34" t="s">
        <v>162</v>
      </c>
      <c r="F106" s="34" t="s">
        <v>49</v>
      </c>
      <c r="G106" s="73">
        <v>40798</v>
      </c>
      <c r="H106" s="73">
        <v>40803</v>
      </c>
      <c r="I106" s="167" t="s">
        <v>132</v>
      </c>
      <c r="J106" s="34" t="s">
        <v>440</v>
      </c>
      <c r="K106" s="34" t="s">
        <v>466</v>
      </c>
      <c r="L106" s="34">
        <f>IF((Observaciones[[#This Row],[Fecha Levantamiento]]-Observaciones[[#This Row],[Fecha Detección]])&gt;=0,Observaciones[[#This Row],[Fecha Levantamiento]]-Observaciones[[#This Row],[Fecha Detección]]+1,0)</f>
        <v>6</v>
      </c>
      <c r="M106" s="34" t="str">
        <f>LOOKUP(Observaciones[[#This Row],[Caso de Prueba]],CasoPrueba[Código CP],CasoPrueba[Código de REQ])</f>
        <v>INSPECCIÓN</v>
      </c>
    </row>
    <row r="107" spans="1:13" ht="45" hidden="1">
      <c r="A107" s="166" t="s">
        <v>430</v>
      </c>
      <c r="B107" s="34" t="s">
        <v>88</v>
      </c>
      <c r="C107" s="34" t="str">
        <f>VLOOKUP(Observaciones[[#This Row],[Caso de Prueba]],CasoPrueba[[Código CP]:[Descripción Caso de Prueba]],3,0)</f>
        <v>MacroProceso - Gestión de Recursos Humanos</v>
      </c>
      <c r="D107" s="34" t="str">
        <f>VLOOKUP(Observaciones[Caso de Prueba],CasoPrueba[[#All],[Código CP]:[Prioridad]],7,TRUE)</f>
        <v>Alta</v>
      </c>
      <c r="E107" s="34" t="s">
        <v>30</v>
      </c>
      <c r="F107" s="34" t="s">
        <v>49</v>
      </c>
      <c r="G107" s="73">
        <v>40798</v>
      </c>
      <c r="H107" s="73">
        <v>40803</v>
      </c>
      <c r="I107" s="167" t="s">
        <v>132</v>
      </c>
      <c r="J107" s="34" t="s">
        <v>458</v>
      </c>
      <c r="K107" s="34" t="s">
        <v>467</v>
      </c>
      <c r="L107" s="34">
        <f>IF((Observaciones[[#This Row],[Fecha Levantamiento]]-Observaciones[[#This Row],[Fecha Detección]])&gt;=0,Observaciones[[#This Row],[Fecha Levantamiento]]-Observaciones[[#This Row],[Fecha Detección]]+1,0)</f>
        <v>6</v>
      </c>
      <c r="M107" s="34" t="str">
        <f>LOOKUP(Observaciones[[#This Row],[Caso de Prueba]],CasoPrueba[Código CP],CasoPrueba[Código de REQ])</f>
        <v>INSPECCIÓN</v>
      </c>
    </row>
    <row r="108" spans="1:13" ht="30" hidden="1">
      <c r="A108" s="166" t="s">
        <v>431</v>
      </c>
      <c r="B108" s="34" t="s">
        <v>151</v>
      </c>
      <c r="C108" s="34" t="str">
        <f>VLOOKUP(Observaciones[[#This Row],[Caso de Prueba]],CasoPrueba[[Código CP]:[Descripción Caso de Prueba]],3,0)</f>
        <v>Proceso - Capacitación de Personal</v>
      </c>
      <c r="D108" s="34" t="str">
        <f>VLOOKUP(Observaciones[Caso de Prueba],CasoPrueba[[#All],[Código CP]:[Prioridad]],7,TRUE)</f>
        <v>Alta</v>
      </c>
      <c r="E108" s="34" t="s">
        <v>162</v>
      </c>
      <c r="F108" s="34" t="s">
        <v>49</v>
      </c>
      <c r="G108" s="73">
        <v>40798</v>
      </c>
      <c r="H108" s="73">
        <v>40803</v>
      </c>
      <c r="I108" s="167" t="s">
        <v>132</v>
      </c>
      <c r="J108" s="34" t="s">
        <v>441</v>
      </c>
      <c r="K108" s="34" t="s">
        <v>234</v>
      </c>
      <c r="L108" s="34">
        <f>IF((Observaciones[[#This Row],[Fecha Levantamiento]]-Observaciones[[#This Row],[Fecha Detección]])&gt;=0,Observaciones[[#This Row],[Fecha Levantamiento]]-Observaciones[[#This Row],[Fecha Detección]]+1,0)</f>
        <v>6</v>
      </c>
      <c r="M108" s="34" t="str">
        <f>LOOKUP(Observaciones[[#This Row],[Caso de Prueba]],CasoPrueba[Código CP],CasoPrueba[Código de REQ])</f>
        <v>INSPECCIÓN</v>
      </c>
    </row>
    <row r="109" spans="1:13" ht="45" hidden="1">
      <c r="A109" s="166" t="s">
        <v>432</v>
      </c>
      <c r="B109" s="34" t="s">
        <v>152</v>
      </c>
      <c r="C109" s="34" t="str">
        <f>VLOOKUP(Observaciones[[#This Row],[Caso de Prueba]],CasoPrueba[[Código CP]:[Descripción Caso de Prueba]],3,0)</f>
        <v>Proceso - Contratación e Inducción</v>
      </c>
      <c r="D109" s="34" t="str">
        <f>VLOOKUP(Observaciones[Caso de Prueba],CasoPrueba[[#All],[Código CP]:[Prioridad]],7,TRUE)</f>
        <v>Alta</v>
      </c>
      <c r="E109" s="34" t="s">
        <v>29</v>
      </c>
      <c r="F109" s="34" t="s">
        <v>49</v>
      </c>
      <c r="G109" s="73">
        <v>40798</v>
      </c>
      <c r="H109" s="73">
        <v>40803</v>
      </c>
      <c r="I109" s="167" t="s">
        <v>132</v>
      </c>
      <c r="J109" s="34" t="s">
        <v>442</v>
      </c>
      <c r="K109" s="34" t="s">
        <v>468</v>
      </c>
      <c r="L109" s="34">
        <f>IF((Observaciones[[#This Row],[Fecha Levantamiento]]-Observaciones[[#This Row],[Fecha Detección]])&gt;=0,Observaciones[[#This Row],[Fecha Levantamiento]]-Observaciones[[#This Row],[Fecha Detección]]+1,0)</f>
        <v>6</v>
      </c>
      <c r="M109" s="34" t="str">
        <f>LOOKUP(Observaciones[[#This Row],[Caso de Prueba]],CasoPrueba[Código CP],CasoPrueba[Código de REQ])</f>
        <v>INSPECCIÓN</v>
      </c>
    </row>
    <row r="110" spans="1:13" ht="30" hidden="1">
      <c r="A110" s="166" t="s">
        <v>433</v>
      </c>
      <c r="B110" s="34" t="s">
        <v>153</v>
      </c>
      <c r="C110" s="34" t="str">
        <f>VLOOKUP(Observaciones[[#This Row],[Caso de Prueba]],CasoPrueba[[Código CP]:[Descripción Caso de Prueba]],3,0)</f>
        <v>Proceso - Despido o Retiro de Personal</v>
      </c>
      <c r="D110" s="34" t="str">
        <f>VLOOKUP(Observaciones[Caso de Prueba],CasoPrueba[[#All],[Código CP]:[Prioridad]],7,TRUE)</f>
        <v>Alta</v>
      </c>
      <c r="E110" s="34" t="s">
        <v>162</v>
      </c>
      <c r="F110" s="34" t="s">
        <v>49</v>
      </c>
      <c r="G110" s="73">
        <v>40800</v>
      </c>
      <c r="H110" s="73">
        <v>40803</v>
      </c>
      <c r="I110" s="94" t="s">
        <v>132</v>
      </c>
      <c r="J110" s="34" t="s">
        <v>443</v>
      </c>
      <c r="K110" s="34" t="s">
        <v>234</v>
      </c>
      <c r="L110" s="34">
        <f>IF((Observaciones[[#This Row],[Fecha Levantamiento]]-Observaciones[[#This Row],[Fecha Detección]])&gt;=0,Observaciones[[#This Row],[Fecha Levantamiento]]-Observaciones[[#This Row],[Fecha Detección]]+1,0)</f>
        <v>4</v>
      </c>
      <c r="M110" s="34" t="str">
        <f>LOOKUP(Observaciones[[#This Row],[Caso de Prueba]],CasoPrueba[Código CP],CasoPrueba[Código de REQ])</f>
        <v>INSPECCIÓN</v>
      </c>
    </row>
    <row r="111" spans="1:13" ht="30" hidden="1">
      <c r="A111" s="166" t="s">
        <v>434</v>
      </c>
      <c r="B111" s="34" t="s">
        <v>153</v>
      </c>
      <c r="C111" s="34" t="str">
        <f>VLOOKUP(Observaciones[[#This Row],[Caso de Prueba]],CasoPrueba[[Código CP]:[Descripción Caso de Prueba]],3,0)</f>
        <v>Proceso - Despido o Retiro de Personal</v>
      </c>
      <c r="D111" s="34" t="str">
        <f>VLOOKUP(Observaciones[Caso de Prueba],CasoPrueba[[#All],[Código CP]:[Prioridad]],7,TRUE)</f>
        <v>Alta</v>
      </c>
      <c r="E111" s="34" t="s">
        <v>162</v>
      </c>
      <c r="F111" s="34" t="s">
        <v>49</v>
      </c>
      <c r="G111" s="73">
        <v>40800</v>
      </c>
      <c r="H111" s="73">
        <v>40803</v>
      </c>
      <c r="I111" s="94" t="s">
        <v>132</v>
      </c>
      <c r="J111" s="34" t="s">
        <v>444</v>
      </c>
      <c r="K111" s="34" t="s">
        <v>234</v>
      </c>
      <c r="L111" s="34">
        <f>IF((Observaciones[[#This Row],[Fecha Levantamiento]]-Observaciones[[#This Row],[Fecha Detección]])&gt;=0,Observaciones[[#This Row],[Fecha Levantamiento]]-Observaciones[[#This Row],[Fecha Detección]]+1,0)</f>
        <v>4</v>
      </c>
      <c r="M111" s="34" t="str">
        <f>LOOKUP(Observaciones[[#This Row],[Caso de Prueba]],CasoPrueba[Código CP],CasoPrueba[Código de REQ])</f>
        <v>INSPECCIÓN</v>
      </c>
    </row>
    <row r="112" spans="1:13" ht="45" hidden="1">
      <c r="A112" s="166" t="s">
        <v>435</v>
      </c>
      <c r="B112" s="34" t="s">
        <v>153</v>
      </c>
      <c r="C112" s="34" t="str">
        <f>VLOOKUP(Observaciones[[#This Row],[Caso de Prueba]],CasoPrueba[[Código CP]:[Descripción Caso de Prueba]],3,0)</f>
        <v>Proceso - Despido o Retiro de Personal</v>
      </c>
      <c r="D112" s="34" t="str">
        <f>VLOOKUP(Observaciones[Caso de Prueba],CasoPrueba[[#All],[Código CP]:[Prioridad]],7,TRUE)</f>
        <v>Alta</v>
      </c>
      <c r="E112" s="34" t="s">
        <v>29</v>
      </c>
      <c r="F112" s="34" t="s">
        <v>49</v>
      </c>
      <c r="G112" s="73">
        <v>40800</v>
      </c>
      <c r="H112" s="73">
        <v>40803</v>
      </c>
      <c r="I112" s="94" t="s">
        <v>132</v>
      </c>
      <c r="J112" s="34" t="s">
        <v>446</v>
      </c>
      <c r="K112" s="34" t="s">
        <v>469</v>
      </c>
      <c r="L112" s="34"/>
      <c r="M112" s="34"/>
    </row>
    <row r="113" spans="1:13" ht="120" hidden="1">
      <c r="A113" s="166" t="s">
        <v>436</v>
      </c>
      <c r="B113" s="34" t="s">
        <v>154</v>
      </c>
      <c r="C113" s="34" t="str">
        <f>VLOOKUP(Observaciones[[#This Row],[Caso de Prueba]],CasoPrueba[[Código CP]:[Descripción Caso de Prueba]],3,0)</f>
        <v>Proceso - Evaluación de Postulantes</v>
      </c>
      <c r="D113" s="34" t="str">
        <f>VLOOKUP(Observaciones[Caso de Prueba],CasoPrueba[[#All],[Código CP]:[Prioridad]],7,TRUE)</f>
        <v>Alta</v>
      </c>
      <c r="E113" s="34" t="s">
        <v>30</v>
      </c>
      <c r="F113" s="34" t="s">
        <v>49</v>
      </c>
      <c r="G113" s="73">
        <v>40800</v>
      </c>
      <c r="H113" s="73">
        <v>40803</v>
      </c>
      <c r="I113" s="94" t="s">
        <v>132</v>
      </c>
      <c r="J113" s="34" t="s">
        <v>445</v>
      </c>
      <c r="K113" s="34" t="s">
        <v>470</v>
      </c>
      <c r="L113" s="34">
        <f>IF((Observaciones[[#This Row],[Fecha Levantamiento]]-Observaciones[[#This Row],[Fecha Detección]])&gt;=0,Observaciones[[#This Row],[Fecha Levantamiento]]-Observaciones[[#This Row],[Fecha Detección]]+1,0)</f>
        <v>4</v>
      </c>
      <c r="M113" s="34" t="str">
        <f>LOOKUP(Observaciones[[#This Row],[Caso de Prueba]],CasoPrueba[Código CP],CasoPrueba[Código de REQ])</f>
        <v>INSPECCIÓN</v>
      </c>
    </row>
    <row r="114" spans="1:13" ht="30" hidden="1">
      <c r="A114" s="166" t="s">
        <v>437</v>
      </c>
      <c r="B114" s="34" t="s">
        <v>154</v>
      </c>
      <c r="C114" s="34" t="str">
        <f>VLOOKUP(Observaciones[[#This Row],[Caso de Prueba]],CasoPrueba[[Código CP]:[Descripción Caso de Prueba]],3,0)</f>
        <v>Proceso - Evaluación de Postulantes</v>
      </c>
      <c r="D114" s="34" t="str">
        <f>VLOOKUP(Observaciones[Caso de Prueba],CasoPrueba[[#All],[Código CP]:[Prioridad]],7,TRUE)</f>
        <v>Alta</v>
      </c>
      <c r="E114" s="34" t="s">
        <v>29</v>
      </c>
      <c r="F114" s="34" t="s">
        <v>49</v>
      </c>
      <c r="G114" s="73">
        <v>40800</v>
      </c>
      <c r="H114" s="73">
        <v>40803</v>
      </c>
      <c r="I114" s="94" t="s">
        <v>132</v>
      </c>
      <c r="J114" s="34" t="s">
        <v>455</v>
      </c>
      <c r="K114" s="34" t="s">
        <v>471</v>
      </c>
      <c r="L114" s="34">
        <f>IF((Observaciones[[#This Row],[Fecha Levantamiento]]-Observaciones[[#This Row],[Fecha Detección]])&gt;=0,Observaciones[[#This Row],[Fecha Levantamiento]]-Observaciones[[#This Row],[Fecha Detección]]+1,0)</f>
        <v>4</v>
      </c>
      <c r="M114" s="34" t="str">
        <f>LOOKUP(Observaciones[[#This Row],[Caso de Prueba]],CasoPrueba[Código CP],CasoPrueba[Código de REQ])</f>
        <v>INSPECCIÓN</v>
      </c>
    </row>
    <row r="115" spans="1:13" ht="45" hidden="1">
      <c r="A115" s="166" t="s">
        <v>447</v>
      </c>
      <c r="B115" s="34" t="s">
        <v>156</v>
      </c>
      <c r="C115" s="34" t="str">
        <f>VLOOKUP(Observaciones[[#This Row],[Caso de Prueba]],CasoPrueba[[Código CP]:[Descripción Caso de Prueba]],3,0)</f>
        <v>Proceso - Rendición de Gastos de Viaje</v>
      </c>
      <c r="D115" s="34" t="str">
        <f>VLOOKUP(Observaciones[Caso de Prueba],CasoPrueba[[#All],[Código CP]:[Prioridad]],7,TRUE)</f>
        <v>Alta</v>
      </c>
      <c r="E115" s="34" t="s">
        <v>30</v>
      </c>
      <c r="F115" s="34" t="s">
        <v>49</v>
      </c>
      <c r="G115" s="73">
        <v>40800</v>
      </c>
      <c r="H115" s="73">
        <v>40803</v>
      </c>
      <c r="I115" s="94" t="s">
        <v>132</v>
      </c>
      <c r="J115" s="34" t="s">
        <v>456</v>
      </c>
      <c r="K115" s="34" t="s">
        <v>470</v>
      </c>
      <c r="L115" s="34">
        <f>IF((Observaciones[[#This Row],[Fecha Levantamiento]]-Observaciones[[#This Row],[Fecha Detección]])&gt;=0,Observaciones[[#This Row],[Fecha Levantamiento]]-Observaciones[[#This Row],[Fecha Detección]]+1,0)</f>
        <v>4</v>
      </c>
      <c r="M115" s="34" t="str">
        <f>LOOKUP(Observaciones[[#This Row],[Caso de Prueba]],CasoPrueba[Código CP],CasoPrueba[Código de REQ])</f>
        <v>INSPECCIÓN</v>
      </c>
    </row>
    <row r="116" spans="1:13" ht="45" hidden="1">
      <c r="A116" s="166" t="s">
        <v>448</v>
      </c>
      <c r="B116" s="34" t="s">
        <v>156</v>
      </c>
      <c r="C116" s="34" t="str">
        <f>VLOOKUP(Observaciones[[#This Row],[Caso de Prueba]],CasoPrueba[[Código CP]:[Descripción Caso de Prueba]],3,0)</f>
        <v>Proceso - Rendición de Gastos de Viaje</v>
      </c>
      <c r="D116" s="34" t="str">
        <f>VLOOKUP(Observaciones[Caso de Prueba],CasoPrueba[[#All],[Código CP]:[Prioridad]],7,TRUE)</f>
        <v>Alta</v>
      </c>
      <c r="E116" s="34" t="s">
        <v>29</v>
      </c>
      <c r="F116" s="34" t="s">
        <v>49</v>
      </c>
      <c r="G116" s="73">
        <v>40800</v>
      </c>
      <c r="H116" s="73">
        <v>40803</v>
      </c>
      <c r="I116" s="94" t="s">
        <v>132</v>
      </c>
      <c r="J116" s="34" t="s">
        <v>457</v>
      </c>
      <c r="K116" s="34" t="s">
        <v>472</v>
      </c>
      <c r="L116" s="34">
        <f>IF((Observaciones[[#This Row],[Fecha Levantamiento]]-Observaciones[[#This Row],[Fecha Detección]])&gt;=0,Observaciones[[#This Row],[Fecha Levantamiento]]-Observaciones[[#This Row],[Fecha Detección]]+1,0)</f>
        <v>4</v>
      </c>
      <c r="M116" s="34" t="str">
        <f>LOOKUP(Observaciones[[#This Row],[Caso de Prueba]],CasoPrueba[Código CP],CasoPrueba[Código de REQ])</f>
        <v>INSPECCIÓN</v>
      </c>
    </row>
    <row r="117" spans="1:13" ht="45" hidden="1">
      <c r="A117" s="166" t="s">
        <v>449</v>
      </c>
      <c r="B117" s="34" t="s">
        <v>158</v>
      </c>
      <c r="C117" s="34" t="str">
        <f>VLOOKUP(Observaciones[[#This Row],[Caso de Prueba]],CasoPrueba[[Código CP]:[Descripción Caso de Prueba]],3,0)</f>
        <v>Proceso - Solicitud de Fondos de Viaje</v>
      </c>
      <c r="D117" s="34" t="str">
        <f>VLOOKUP(Observaciones[Caso de Prueba],CasoPrueba[[#All],[Código CP]:[Prioridad]],7,TRUE)</f>
        <v>Alta</v>
      </c>
      <c r="E117" s="34" t="s">
        <v>30</v>
      </c>
      <c r="F117" s="34" t="s">
        <v>49</v>
      </c>
      <c r="G117" s="73">
        <v>40800</v>
      </c>
      <c r="H117" s="73">
        <v>40803</v>
      </c>
      <c r="I117" s="94" t="s">
        <v>132</v>
      </c>
      <c r="J117" s="34" t="s">
        <v>456</v>
      </c>
      <c r="K117" s="34" t="s">
        <v>470</v>
      </c>
      <c r="L117" s="34">
        <f>IF((Observaciones[[#This Row],[Fecha Levantamiento]]-Observaciones[[#This Row],[Fecha Detección]])&gt;=0,Observaciones[[#This Row],[Fecha Levantamiento]]-Observaciones[[#This Row],[Fecha Detección]]+1,0)</f>
        <v>4</v>
      </c>
      <c r="M117" s="34" t="str">
        <f>LOOKUP(Observaciones[[#This Row],[Caso de Prueba]],CasoPrueba[Código CP],CasoPrueba[Código de REQ])</f>
        <v>INSPECCIÓN</v>
      </c>
    </row>
    <row r="118" spans="1:13" ht="45" hidden="1">
      <c r="A118" s="166" t="s">
        <v>450</v>
      </c>
      <c r="B118" s="34" t="s">
        <v>172</v>
      </c>
      <c r="C118" s="34" t="str">
        <f>VLOOKUP(Observaciones[[#This Row],[Caso de Prueba]],CasoPrueba[[Código CP]:[Descripción Caso de Prueba]],3,0)</f>
        <v>MacroProceso - Gestión de Educación Rural</v>
      </c>
      <c r="D118" s="34" t="str">
        <f>VLOOKUP(Observaciones[Caso de Prueba],CasoPrueba[[#All],[Código CP]:[Prioridad]],7,TRUE)</f>
        <v>Alta</v>
      </c>
      <c r="E118" s="34" t="s">
        <v>28</v>
      </c>
      <c r="F118" s="34" t="s">
        <v>49</v>
      </c>
      <c r="G118" s="73">
        <v>40800</v>
      </c>
      <c r="H118" s="73">
        <v>40803</v>
      </c>
      <c r="I118" s="94" t="s">
        <v>132</v>
      </c>
      <c r="J118" s="34" t="s">
        <v>459</v>
      </c>
      <c r="K118" s="34" t="s">
        <v>467</v>
      </c>
      <c r="L118" s="34">
        <f>IF((Observaciones[[#This Row],[Fecha Levantamiento]]-Observaciones[[#This Row],[Fecha Detección]])&gt;=0,Observaciones[[#This Row],[Fecha Levantamiento]]-Observaciones[[#This Row],[Fecha Detección]]+1,0)</f>
        <v>4</v>
      </c>
      <c r="M118" s="34" t="str">
        <f>LOOKUP(Observaciones[[#This Row],[Caso de Prueba]],CasoPrueba[Código CP],CasoPrueba[Código de REQ])</f>
        <v>INSPECCIÓN</v>
      </c>
    </row>
    <row r="119" spans="1:13" ht="93" hidden="1" customHeight="1">
      <c r="A119" s="166" t="s">
        <v>451</v>
      </c>
      <c r="B119" s="34" t="s">
        <v>172</v>
      </c>
      <c r="C119" s="34" t="str">
        <f>VLOOKUP(Observaciones[[#This Row],[Caso de Prueba]],CasoPrueba[[Código CP]:[Descripción Caso de Prueba]],3,0)</f>
        <v>MacroProceso - Gestión de Educación Rural</v>
      </c>
      <c r="D119" s="34" t="str">
        <f>VLOOKUP(Observaciones[Caso de Prueba],CasoPrueba[[#All],[Código CP]:[Prioridad]],7,TRUE)</f>
        <v>Alta</v>
      </c>
      <c r="E119" s="34" t="s">
        <v>29</v>
      </c>
      <c r="F119" s="34" t="s">
        <v>49</v>
      </c>
      <c r="G119" s="73">
        <v>40800</v>
      </c>
      <c r="H119" s="73">
        <v>40803</v>
      </c>
      <c r="I119" s="94" t="s">
        <v>132</v>
      </c>
      <c r="J119" s="34" t="s">
        <v>476</v>
      </c>
      <c r="K119" s="34" t="s">
        <v>473</v>
      </c>
      <c r="L119" s="34">
        <f>IF((Observaciones[[#This Row],[Fecha Levantamiento]]-Observaciones[[#This Row],[Fecha Detección]])&gt;=0,Observaciones[[#This Row],[Fecha Levantamiento]]-Observaciones[[#This Row],[Fecha Detección]]+1,0)</f>
        <v>4</v>
      </c>
      <c r="M119" s="34" t="str">
        <f>LOOKUP(Observaciones[[#This Row],[Caso de Prueba]],CasoPrueba[Código CP],CasoPrueba[Código de REQ])</f>
        <v>INSPECCIÓN</v>
      </c>
    </row>
    <row r="120" spans="1:13" ht="105" hidden="1">
      <c r="A120" s="166" t="s">
        <v>452</v>
      </c>
      <c r="B120" s="34" t="s">
        <v>172</v>
      </c>
      <c r="C120" s="34" t="str">
        <f>VLOOKUP(Observaciones[[#This Row],[Caso de Prueba]],CasoPrueba[[Código CP]:[Descripción Caso de Prueba]],3,0)</f>
        <v>MacroProceso - Gestión de Educación Rural</v>
      </c>
      <c r="D120" s="34" t="str">
        <f>VLOOKUP(Observaciones[Caso de Prueba],CasoPrueba[[#All],[Código CP]:[Prioridad]],7,TRUE)</f>
        <v>Alta</v>
      </c>
      <c r="E120" s="34" t="s">
        <v>29</v>
      </c>
      <c r="F120" s="34" t="s">
        <v>49</v>
      </c>
      <c r="G120" s="73">
        <v>40800</v>
      </c>
      <c r="H120" s="73">
        <v>40803</v>
      </c>
      <c r="I120" s="94" t="s">
        <v>132</v>
      </c>
      <c r="J120" s="34" t="s">
        <v>477</v>
      </c>
      <c r="K120" s="34" t="s">
        <v>474</v>
      </c>
      <c r="L120" s="34">
        <f>IF((Observaciones[[#This Row],[Fecha Levantamiento]]-Observaciones[[#This Row],[Fecha Detección]])&gt;=0,Observaciones[[#This Row],[Fecha Levantamiento]]-Observaciones[[#This Row],[Fecha Detección]]+1,0)</f>
        <v>4</v>
      </c>
      <c r="M120" s="34" t="str">
        <f>LOOKUP(Observaciones[[#This Row],[Caso de Prueba]],CasoPrueba[Código CP],CasoPrueba[Código de REQ])</f>
        <v>INSPECCIÓN</v>
      </c>
    </row>
    <row r="121" spans="1:13" ht="105" hidden="1">
      <c r="A121" s="166" t="s">
        <v>453</v>
      </c>
      <c r="B121" s="34" t="s">
        <v>173</v>
      </c>
      <c r="C121" s="34" t="str">
        <f>VLOOKUP(Observaciones[[#This Row],[Caso de Prueba]],CasoPrueba[[Código CP]:[Descripción Caso de Prueba]],3,0)</f>
        <v>Proceso - Acompañamiento a los Programas Educativos Rurales</v>
      </c>
      <c r="D121" s="34" t="str">
        <f>VLOOKUP(Observaciones[Caso de Prueba],CasoPrueba[[#All],[Código CP]:[Prioridad]],7,TRUE)</f>
        <v>Alta</v>
      </c>
      <c r="E121" s="34" t="s">
        <v>28</v>
      </c>
      <c r="F121" s="34" t="s">
        <v>49</v>
      </c>
      <c r="G121" s="73">
        <v>40800</v>
      </c>
      <c r="H121" s="73">
        <v>40803</v>
      </c>
      <c r="I121" s="94" t="s">
        <v>132</v>
      </c>
      <c r="J121" s="34" t="s">
        <v>461</v>
      </c>
      <c r="K121" s="34" t="s">
        <v>266</v>
      </c>
      <c r="L121" s="34">
        <f>IF((Observaciones[[#This Row],[Fecha Levantamiento]]-Observaciones[[#This Row],[Fecha Detección]])&gt;=0,Observaciones[[#This Row],[Fecha Levantamiento]]-Observaciones[[#This Row],[Fecha Detección]]+1,0)</f>
        <v>4</v>
      </c>
      <c r="M121" s="34" t="str">
        <f>LOOKUP(Observaciones[[#This Row],[Caso de Prueba]],CasoPrueba[Código CP],CasoPrueba[Código de REQ])</f>
        <v>INSPECCIÓN</v>
      </c>
    </row>
    <row r="122" spans="1:13" ht="30" hidden="1">
      <c r="A122" s="166" t="s">
        <v>454</v>
      </c>
      <c r="B122" s="34" t="s">
        <v>174</v>
      </c>
      <c r="C122" s="34" t="str">
        <f>VLOOKUP(Observaciones[[#This Row],[Caso de Prueba]],CasoPrueba[[Código CP]:[Descripción Caso de Prueba]],3,0)</f>
        <v>Proceso - Creación de Programa Educativo Rural</v>
      </c>
      <c r="D122" s="34" t="str">
        <f>VLOOKUP(Observaciones[Caso de Prueba],CasoPrueba[[#All],[Código CP]:[Prioridad]],7,TRUE)</f>
        <v>Alta</v>
      </c>
      <c r="E122" s="34" t="s">
        <v>30</v>
      </c>
      <c r="F122" s="34" t="s">
        <v>49</v>
      </c>
      <c r="G122" s="73">
        <v>40800</v>
      </c>
      <c r="H122" s="73">
        <v>40803</v>
      </c>
      <c r="I122" s="94" t="s">
        <v>132</v>
      </c>
      <c r="J122" s="34" t="s">
        <v>462</v>
      </c>
      <c r="K122" s="34" t="s">
        <v>475</v>
      </c>
      <c r="L122" s="34">
        <f>IF((Observaciones[[#This Row],[Fecha Levantamiento]]-Observaciones[[#This Row],[Fecha Detección]])&gt;=0,Observaciones[[#This Row],[Fecha Levantamiento]]-Observaciones[[#This Row],[Fecha Detección]]+1,0)</f>
        <v>4</v>
      </c>
      <c r="M122" s="34" t="str">
        <f>LOOKUP(Observaciones[[#This Row],[Caso de Prueba]],CasoPrueba[Código CP],CasoPrueba[Código de REQ])</f>
        <v>INSPECCIÓN</v>
      </c>
    </row>
    <row r="123" spans="1:13" ht="45" hidden="1">
      <c r="A123" s="166" t="s">
        <v>478</v>
      </c>
      <c r="B123" s="34" t="s">
        <v>173</v>
      </c>
      <c r="C123" s="34" t="str">
        <f>VLOOKUP(Observaciones[[#This Row],[Caso de Prueba]],CasoPrueba[[Código CP]:[Descripción Caso de Prueba]],3,0)</f>
        <v>Proceso - Acompañamiento a los Programas Educativos Rurales</v>
      </c>
      <c r="D123" s="34" t="str">
        <f>VLOOKUP(Observaciones[Caso de Prueba],CasoPrueba[[#All],[Código CP]:[Prioridad]],7,TRUE)</f>
        <v>Alta</v>
      </c>
      <c r="E123" s="34" t="s">
        <v>162</v>
      </c>
      <c r="F123" s="34" t="s">
        <v>49</v>
      </c>
      <c r="G123" s="73">
        <v>40802</v>
      </c>
      <c r="H123" s="73">
        <v>40805</v>
      </c>
      <c r="I123" s="94" t="s">
        <v>132</v>
      </c>
      <c r="J123" s="34" t="s">
        <v>484</v>
      </c>
      <c r="K123" s="34" t="s">
        <v>493</v>
      </c>
      <c r="L123" s="34">
        <f>IF((Observaciones[[#This Row],[Fecha Levantamiento]]-Observaciones[[#This Row],[Fecha Detección]])&gt;=0,Observaciones[[#This Row],[Fecha Levantamiento]]-Observaciones[[#This Row],[Fecha Detección]]+1,0)</f>
        <v>4</v>
      </c>
      <c r="M123" s="34" t="str">
        <f>LOOKUP(Observaciones[[#This Row],[Caso de Prueba]],CasoPrueba[Código CP],CasoPrueba[Código de REQ])</f>
        <v>INSPECCIÓN</v>
      </c>
    </row>
    <row r="124" spans="1:13" ht="45.75" hidden="1" customHeight="1">
      <c r="A124" s="166" t="s">
        <v>479</v>
      </c>
      <c r="B124" s="34" t="s">
        <v>173</v>
      </c>
      <c r="C124" s="34" t="str">
        <f>VLOOKUP(Observaciones[[#This Row],[Caso de Prueba]],CasoPrueba[[Código CP]:[Descripción Caso de Prueba]],3,0)</f>
        <v>Proceso - Acompañamiento a los Programas Educativos Rurales</v>
      </c>
      <c r="D124" s="34" t="str">
        <f>VLOOKUP(Observaciones[Caso de Prueba],CasoPrueba[[#All],[Código CP]:[Prioridad]],7,TRUE)</f>
        <v>Alta</v>
      </c>
      <c r="E124" s="34" t="s">
        <v>29</v>
      </c>
      <c r="F124" s="34" t="s">
        <v>49</v>
      </c>
      <c r="G124" s="73">
        <v>40802</v>
      </c>
      <c r="H124" s="73">
        <v>40805</v>
      </c>
      <c r="I124" s="94" t="s">
        <v>132</v>
      </c>
      <c r="J124" s="34" t="s">
        <v>485</v>
      </c>
      <c r="K124" s="34" t="s">
        <v>494</v>
      </c>
      <c r="L124" s="34">
        <f>IF((Observaciones[[#This Row],[Fecha Levantamiento]]-Observaciones[[#This Row],[Fecha Detección]])&gt;=0,Observaciones[[#This Row],[Fecha Levantamiento]]-Observaciones[[#This Row],[Fecha Detección]]+1,0)</f>
        <v>4</v>
      </c>
      <c r="M124" s="34" t="str">
        <f>LOOKUP(Observaciones[[#This Row],[Caso de Prueba]],CasoPrueba[Código CP],CasoPrueba[Código de REQ])</f>
        <v>INSPECCIÓN</v>
      </c>
    </row>
    <row r="125" spans="1:13" ht="30" hidden="1">
      <c r="A125" s="166" t="s">
        <v>480</v>
      </c>
      <c r="B125" s="34" t="s">
        <v>173</v>
      </c>
      <c r="C125" s="34" t="str">
        <f>VLOOKUP(Observaciones[[#This Row],[Caso de Prueba]],CasoPrueba[[Código CP]:[Descripción Caso de Prueba]],3,0)</f>
        <v>Proceso - Acompañamiento a los Programas Educativos Rurales</v>
      </c>
      <c r="D125" s="34" t="str">
        <f>VLOOKUP(Observaciones[Caso de Prueba],CasoPrueba[[#All],[Código CP]:[Prioridad]],7,TRUE)</f>
        <v>Alta</v>
      </c>
      <c r="E125" s="34" t="s">
        <v>29</v>
      </c>
      <c r="F125" s="34" t="s">
        <v>49</v>
      </c>
      <c r="G125" s="73">
        <v>40802</v>
      </c>
      <c r="H125" s="73">
        <v>40805</v>
      </c>
      <c r="I125" s="94" t="s">
        <v>132</v>
      </c>
      <c r="J125" s="34" t="s">
        <v>486</v>
      </c>
      <c r="K125" s="34" t="s">
        <v>495</v>
      </c>
      <c r="L125" s="34">
        <f>IF((Observaciones[[#This Row],[Fecha Levantamiento]]-Observaciones[[#This Row],[Fecha Detección]])&gt;=0,Observaciones[[#This Row],[Fecha Levantamiento]]-Observaciones[[#This Row],[Fecha Detección]]+1,0)</f>
        <v>4</v>
      </c>
      <c r="M125" s="34" t="str">
        <f>LOOKUP(Observaciones[[#This Row],[Caso de Prueba]],CasoPrueba[Código CP],CasoPrueba[Código de REQ])</f>
        <v>INSPECCIÓN</v>
      </c>
    </row>
    <row r="126" spans="1:13" ht="45" hidden="1">
      <c r="A126" s="166" t="s">
        <v>481</v>
      </c>
      <c r="B126" s="34" t="s">
        <v>487</v>
      </c>
      <c r="C126" s="34" t="str">
        <f>VLOOKUP(Observaciones[[#This Row],[Caso de Prueba]],CasoPrueba[[Código CP]:[Descripción Caso de Prueba]],3,0)</f>
        <v>MP - Planificación</v>
      </c>
      <c r="D126" s="34" t="str">
        <f>VLOOKUP(Observaciones[Caso de Prueba],CasoPrueba[[#All],[Código CP]:[Prioridad]],7,TRUE)</f>
        <v>Alta</v>
      </c>
      <c r="E126" s="34" t="s">
        <v>162</v>
      </c>
      <c r="F126" s="34" t="s">
        <v>49</v>
      </c>
      <c r="G126" s="73">
        <v>40805</v>
      </c>
      <c r="H126" s="73">
        <v>40831</v>
      </c>
      <c r="I126" s="94" t="s">
        <v>132</v>
      </c>
      <c r="J126" s="34" t="s">
        <v>624</v>
      </c>
      <c r="K126" s="34" t="s">
        <v>816</v>
      </c>
      <c r="L126" s="34">
        <f>IF((Observaciones[[#This Row],[Fecha Levantamiento]]-Observaciones[[#This Row],[Fecha Detección]])&gt;=0,Observaciones[[#This Row],[Fecha Levantamiento]]-Observaciones[[#This Row],[Fecha Detección]]+1,0)</f>
        <v>27</v>
      </c>
      <c r="M126" s="34" t="str">
        <f>LOOKUP(Observaciones[[#This Row],[Caso de Prueba]],CasoPrueba[Código CP],CasoPrueba[Código de REQ])</f>
        <v>INSPECCIÓN</v>
      </c>
    </row>
    <row r="127" spans="1:13" ht="90" hidden="1">
      <c r="A127" s="166" t="s">
        <v>482</v>
      </c>
      <c r="B127" s="34" t="s">
        <v>487</v>
      </c>
      <c r="C127" s="34" t="str">
        <f>VLOOKUP(Observaciones[[#This Row],[Caso de Prueba]],CasoPrueba[[Código CP]:[Descripción Caso de Prueba]],3,0)</f>
        <v>MP - Planificación</v>
      </c>
      <c r="D127" s="34" t="str">
        <f>VLOOKUP(Observaciones[Caso de Prueba],CasoPrueba[[#All],[Código CP]:[Prioridad]],7,TRUE)</f>
        <v>Alta</v>
      </c>
      <c r="E127" s="34" t="s">
        <v>30</v>
      </c>
      <c r="F127" s="34" t="s">
        <v>49</v>
      </c>
      <c r="G127" s="73">
        <v>40805</v>
      </c>
      <c r="H127" s="73">
        <v>40831</v>
      </c>
      <c r="I127" s="94" t="s">
        <v>132</v>
      </c>
      <c r="J127" s="34" t="s">
        <v>599</v>
      </c>
      <c r="K127" s="34" t="s">
        <v>817</v>
      </c>
      <c r="L127" s="34">
        <f>IF((Observaciones[[#This Row],[Fecha Levantamiento]]-Observaciones[[#This Row],[Fecha Detección]])&gt;=0,Observaciones[[#This Row],[Fecha Levantamiento]]-Observaciones[[#This Row],[Fecha Detección]]+1,0)</f>
        <v>27</v>
      </c>
      <c r="M127" s="34" t="str">
        <f>LOOKUP(Observaciones[[#This Row],[Caso de Prueba]],CasoPrueba[Código CP],CasoPrueba[Código de REQ])</f>
        <v>INSPECCIÓN</v>
      </c>
    </row>
    <row r="128" spans="1:13" ht="30" hidden="1">
      <c r="A128" s="166" t="s">
        <v>483</v>
      </c>
      <c r="B128" s="34" t="s">
        <v>487</v>
      </c>
      <c r="C128" s="34" t="str">
        <f>VLOOKUP(Observaciones[[#This Row],[Caso de Prueba]],CasoPrueba[[Código CP]:[Descripción Caso de Prueba]],3,0)</f>
        <v>MP - Planificación</v>
      </c>
      <c r="D128" s="34" t="str">
        <f>VLOOKUP(Observaciones[Caso de Prueba],CasoPrueba[[#All],[Código CP]:[Prioridad]],7,TRUE)</f>
        <v>Alta</v>
      </c>
      <c r="E128" s="34" t="s">
        <v>29</v>
      </c>
      <c r="F128" s="34" t="s">
        <v>49</v>
      </c>
      <c r="G128" s="73">
        <v>40805</v>
      </c>
      <c r="H128" s="73">
        <v>40831</v>
      </c>
      <c r="I128" s="94" t="s">
        <v>132</v>
      </c>
      <c r="J128" s="34" t="s">
        <v>583</v>
      </c>
      <c r="K128" s="34" t="s">
        <v>818</v>
      </c>
      <c r="L128" s="34">
        <f>IF((Observaciones[[#This Row],[Fecha Levantamiento]]-Observaciones[[#This Row],[Fecha Detección]])&gt;=0,Observaciones[[#This Row],[Fecha Levantamiento]]-Observaciones[[#This Row],[Fecha Detección]]+1,0)</f>
        <v>27</v>
      </c>
      <c r="M128" s="34" t="str">
        <f>LOOKUP(Observaciones[[#This Row],[Caso de Prueba]],CasoPrueba[Código CP],CasoPrueba[Código de REQ])</f>
        <v>INSPECCIÓN</v>
      </c>
    </row>
    <row r="129" spans="1:13" ht="30" hidden="1">
      <c r="A129" s="166" t="s">
        <v>496</v>
      </c>
      <c r="B129" s="34" t="s">
        <v>487</v>
      </c>
      <c r="C129" s="34" t="str">
        <f>VLOOKUP(Observaciones[[#This Row],[Caso de Prueba]],CasoPrueba[[Código CP]:[Descripción Caso de Prueba]],3,0)</f>
        <v>MP - Planificación</v>
      </c>
      <c r="D129" s="34" t="str">
        <f>VLOOKUP(Observaciones[Caso de Prueba],CasoPrueba[[#All],[Código CP]:[Prioridad]],7,TRUE)</f>
        <v>Alta</v>
      </c>
      <c r="E129" s="34" t="s">
        <v>28</v>
      </c>
      <c r="F129" s="34" t="s">
        <v>49</v>
      </c>
      <c r="G129" s="73">
        <v>40805</v>
      </c>
      <c r="H129" s="73">
        <v>40831</v>
      </c>
      <c r="I129" s="94" t="s">
        <v>132</v>
      </c>
      <c r="J129" s="34" t="s">
        <v>584</v>
      </c>
      <c r="K129" s="34" t="s">
        <v>819</v>
      </c>
      <c r="L129" s="34">
        <f>IF((Observaciones[[#This Row],[Fecha Levantamiento]]-Observaciones[[#This Row],[Fecha Detección]])&gt;=0,Observaciones[[#This Row],[Fecha Levantamiento]]-Observaciones[[#This Row],[Fecha Detección]]+1,0)</f>
        <v>27</v>
      </c>
      <c r="M129" s="34" t="str">
        <f>LOOKUP(Observaciones[[#This Row],[Caso de Prueba]],CasoPrueba[Código CP],CasoPrueba[Código de REQ])</f>
        <v>INSPECCIÓN</v>
      </c>
    </row>
    <row r="130" spans="1:13" ht="30" hidden="1">
      <c r="A130" s="166" t="s">
        <v>497</v>
      </c>
      <c r="B130" s="34" t="s">
        <v>487</v>
      </c>
      <c r="C130" s="34" t="str">
        <f>VLOOKUP(Observaciones[[#This Row],[Caso de Prueba]],CasoPrueba[[Código CP]:[Descripción Caso de Prueba]],3,0)</f>
        <v>MP - Planificación</v>
      </c>
      <c r="D130" s="34" t="str">
        <f>VLOOKUP(Observaciones[Caso de Prueba],CasoPrueba[[#All],[Código CP]:[Prioridad]],7,TRUE)</f>
        <v>Alta</v>
      </c>
      <c r="E130" s="34" t="s">
        <v>30</v>
      </c>
      <c r="F130" s="34" t="s">
        <v>49</v>
      </c>
      <c r="G130" s="73">
        <v>40805</v>
      </c>
      <c r="H130" s="73">
        <v>40831</v>
      </c>
      <c r="I130" s="94" t="s">
        <v>132</v>
      </c>
      <c r="J130" s="34" t="s">
        <v>585</v>
      </c>
      <c r="K130" s="34" t="s">
        <v>820</v>
      </c>
      <c r="L130" s="34">
        <f>IF((Observaciones[[#This Row],[Fecha Levantamiento]]-Observaciones[[#This Row],[Fecha Detección]])&gt;=0,Observaciones[[#This Row],[Fecha Levantamiento]]-Observaciones[[#This Row],[Fecha Detección]]+1,0)</f>
        <v>27</v>
      </c>
      <c r="M130" s="34" t="str">
        <f>LOOKUP(Observaciones[[#This Row],[Caso de Prueba]],CasoPrueba[Código CP],CasoPrueba[Código de REQ])</f>
        <v>INSPECCIÓN</v>
      </c>
    </row>
    <row r="131" spans="1:13" ht="60" hidden="1">
      <c r="A131" s="166" t="s">
        <v>498</v>
      </c>
      <c r="B131" s="34" t="s">
        <v>487</v>
      </c>
      <c r="C131" s="34" t="str">
        <f>VLOOKUP(Observaciones[[#This Row],[Caso de Prueba]],CasoPrueba[[Código CP]:[Descripción Caso de Prueba]],3,0)</f>
        <v>MP - Planificación</v>
      </c>
      <c r="D131" s="34" t="str">
        <f>VLOOKUP(Observaciones[Caso de Prueba],CasoPrueba[[#All],[Código CP]:[Prioridad]],7,TRUE)</f>
        <v>Alta</v>
      </c>
      <c r="E131" s="34" t="s">
        <v>29</v>
      </c>
      <c r="F131" s="34" t="s">
        <v>49</v>
      </c>
      <c r="G131" s="73">
        <v>40805</v>
      </c>
      <c r="H131" s="73">
        <v>40831</v>
      </c>
      <c r="I131" s="94" t="s">
        <v>132</v>
      </c>
      <c r="J131" s="34" t="s">
        <v>586</v>
      </c>
      <c r="K131" s="34" t="s">
        <v>821</v>
      </c>
      <c r="L131" s="34">
        <f>IF((Observaciones[[#This Row],[Fecha Levantamiento]]-Observaciones[[#This Row],[Fecha Detección]])&gt;=0,Observaciones[[#This Row],[Fecha Levantamiento]]-Observaciones[[#This Row],[Fecha Detección]]+1,0)</f>
        <v>27</v>
      </c>
      <c r="M131" s="34" t="str">
        <f>LOOKUP(Observaciones[[#This Row],[Caso de Prueba]],CasoPrueba[Código CP],CasoPrueba[Código de REQ])</f>
        <v>INSPECCIÓN</v>
      </c>
    </row>
    <row r="132" spans="1:13" ht="60" hidden="1">
      <c r="A132" s="166" t="s">
        <v>499</v>
      </c>
      <c r="B132" s="34" t="s">
        <v>487</v>
      </c>
      <c r="C132" s="34" t="str">
        <f>VLOOKUP(Observaciones[[#This Row],[Caso de Prueba]],CasoPrueba[[Código CP]:[Descripción Caso de Prueba]],3,0)</f>
        <v>MP - Planificación</v>
      </c>
      <c r="D132" s="34" t="str">
        <f>VLOOKUP(Observaciones[Caso de Prueba],CasoPrueba[[#All],[Código CP]:[Prioridad]],7,TRUE)</f>
        <v>Alta</v>
      </c>
      <c r="E132" s="34" t="s">
        <v>30</v>
      </c>
      <c r="F132" s="34" t="s">
        <v>49</v>
      </c>
      <c r="G132" s="73">
        <v>40805</v>
      </c>
      <c r="H132" s="73">
        <v>40831</v>
      </c>
      <c r="I132" s="94" t="s">
        <v>132</v>
      </c>
      <c r="J132" s="34" t="s">
        <v>626</v>
      </c>
      <c r="K132" s="34" t="s">
        <v>822</v>
      </c>
      <c r="L132" s="34">
        <f>IF((Observaciones[[#This Row],[Fecha Levantamiento]]-Observaciones[[#This Row],[Fecha Detección]])&gt;=0,Observaciones[[#This Row],[Fecha Levantamiento]]-Observaciones[[#This Row],[Fecha Detección]]+1,0)</f>
        <v>27</v>
      </c>
      <c r="M132" s="34" t="str">
        <f>LOOKUP(Observaciones[[#This Row],[Caso de Prueba]],CasoPrueba[Código CP],CasoPrueba[Código de REQ])</f>
        <v>INSPECCIÓN</v>
      </c>
    </row>
    <row r="133" spans="1:13" ht="45" hidden="1">
      <c r="A133" s="166" t="s">
        <v>500</v>
      </c>
      <c r="B133" s="34" t="s">
        <v>487</v>
      </c>
      <c r="C133" s="34" t="str">
        <f>VLOOKUP(Observaciones[[#This Row],[Caso de Prueba]],CasoPrueba[[Código CP]:[Descripción Caso de Prueba]],3,0)</f>
        <v>MP - Planificación</v>
      </c>
      <c r="D133" s="34" t="str">
        <f>VLOOKUP(Observaciones[Caso de Prueba],CasoPrueba[[#All],[Código CP]:[Prioridad]],7,TRUE)</f>
        <v>Alta</v>
      </c>
      <c r="E133" s="34" t="s">
        <v>162</v>
      </c>
      <c r="F133" s="34" t="s">
        <v>49</v>
      </c>
      <c r="G133" s="73">
        <v>40805</v>
      </c>
      <c r="H133" s="73">
        <v>40831</v>
      </c>
      <c r="I133" s="94" t="s">
        <v>132</v>
      </c>
      <c r="J133" s="34" t="s">
        <v>587</v>
      </c>
      <c r="K133" s="34" t="s">
        <v>823</v>
      </c>
      <c r="L133" s="34">
        <f>IF((Observaciones[[#This Row],[Fecha Levantamiento]]-Observaciones[[#This Row],[Fecha Detección]])&gt;=0,Observaciones[[#This Row],[Fecha Levantamiento]]-Observaciones[[#This Row],[Fecha Detección]]+1,0)</f>
        <v>27</v>
      </c>
      <c r="M133" s="34" t="str">
        <f>LOOKUP(Observaciones[[#This Row],[Caso de Prueba]],CasoPrueba[Código CP],CasoPrueba[Código de REQ])</f>
        <v>INSPECCIÓN</v>
      </c>
    </row>
    <row r="134" spans="1:13" ht="45" hidden="1">
      <c r="A134" s="166" t="s">
        <v>501</v>
      </c>
      <c r="B134" s="34" t="s">
        <v>487</v>
      </c>
      <c r="C134" s="34" t="str">
        <f>VLOOKUP(Observaciones[[#This Row],[Caso de Prueba]],CasoPrueba[[Código CP]:[Descripción Caso de Prueba]],3,0)</f>
        <v>MP - Planificación</v>
      </c>
      <c r="D134" s="34" t="str">
        <f>VLOOKUP(Observaciones[Caso de Prueba],CasoPrueba[[#All],[Código CP]:[Prioridad]],7,TRUE)</f>
        <v>Alta</v>
      </c>
      <c r="E134" s="34" t="s">
        <v>29</v>
      </c>
      <c r="F134" s="34" t="s">
        <v>49</v>
      </c>
      <c r="G134" s="73">
        <v>40805</v>
      </c>
      <c r="H134" s="73">
        <v>40831</v>
      </c>
      <c r="I134" s="94" t="s">
        <v>132</v>
      </c>
      <c r="J134" s="34" t="s">
        <v>588</v>
      </c>
      <c r="K134" s="34" t="s">
        <v>824</v>
      </c>
      <c r="L134" s="34">
        <f>IF((Observaciones[[#This Row],[Fecha Levantamiento]]-Observaciones[[#This Row],[Fecha Detección]])&gt;=0,Observaciones[[#This Row],[Fecha Levantamiento]]-Observaciones[[#This Row],[Fecha Detección]]+1,0)</f>
        <v>27</v>
      </c>
      <c r="M134" s="34" t="str">
        <f>LOOKUP(Observaciones[[#This Row],[Caso de Prueba]],CasoPrueba[Código CP],CasoPrueba[Código de REQ])</f>
        <v>INSPECCIÓN</v>
      </c>
    </row>
    <row r="135" spans="1:13" ht="45" hidden="1">
      <c r="A135" s="166" t="s">
        <v>502</v>
      </c>
      <c r="B135" s="34" t="s">
        <v>487</v>
      </c>
      <c r="C135" s="34" t="str">
        <f>VLOOKUP(Observaciones[[#This Row],[Caso de Prueba]],CasoPrueba[[Código CP]:[Descripción Caso de Prueba]],3,0)</f>
        <v>MP - Planificación</v>
      </c>
      <c r="D135" s="34" t="str">
        <f>VLOOKUP(Observaciones[Caso de Prueba],CasoPrueba[[#All],[Código CP]:[Prioridad]],7,TRUE)</f>
        <v>Alta</v>
      </c>
      <c r="E135" s="34" t="s">
        <v>29</v>
      </c>
      <c r="F135" s="34" t="s">
        <v>49</v>
      </c>
      <c r="G135" s="73">
        <v>40805</v>
      </c>
      <c r="H135" s="73">
        <v>40831</v>
      </c>
      <c r="I135" s="94" t="s">
        <v>132</v>
      </c>
      <c r="J135" s="34" t="s">
        <v>589</v>
      </c>
      <c r="K135" s="34" t="s">
        <v>825</v>
      </c>
      <c r="L135" s="34">
        <f>IF((Observaciones[[#This Row],[Fecha Levantamiento]]-Observaciones[[#This Row],[Fecha Detección]])&gt;=0,Observaciones[[#This Row],[Fecha Levantamiento]]-Observaciones[[#This Row],[Fecha Detección]]+1,0)</f>
        <v>27</v>
      </c>
      <c r="M135" s="34" t="str">
        <f>LOOKUP(Observaciones[[#This Row],[Caso de Prueba]],CasoPrueba[Código CP],CasoPrueba[Código de REQ])</f>
        <v>INSPECCIÓN</v>
      </c>
    </row>
    <row r="136" spans="1:13" ht="105" hidden="1">
      <c r="A136" s="166" t="s">
        <v>503</v>
      </c>
      <c r="B136" s="34" t="s">
        <v>487</v>
      </c>
      <c r="C136" s="34" t="str">
        <f>VLOOKUP(Observaciones[[#This Row],[Caso de Prueba]],CasoPrueba[[Código CP]:[Descripción Caso de Prueba]],3,0)</f>
        <v>MP - Planificación</v>
      </c>
      <c r="D136" s="34" t="str">
        <f>VLOOKUP(Observaciones[Caso de Prueba],CasoPrueba[[#All],[Código CP]:[Prioridad]],7,TRUE)</f>
        <v>Alta</v>
      </c>
      <c r="E136" s="34" t="s">
        <v>29</v>
      </c>
      <c r="F136" s="34" t="s">
        <v>49</v>
      </c>
      <c r="G136" s="73">
        <v>40805</v>
      </c>
      <c r="H136" s="73">
        <v>40831</v>
      </c>
      <c r="I136" s="94" t="s">
        <v>132</v>
      </c>
      <c r="J136" s="34" t="s">
        <v>590</v>
      </c>
      <c r="K136" s="34" t="s">
        <v>826</v>
      </c>
      <c r="L136" s="34">
        <f>IF((Observaciones[[#This Row],[Fecha Levantamiento]]-Observaciones[[#This Row],[Fecha Detección]])&gt;=0,Observaciones[[#This Row],[Fecha Levantamiento]]-Observaciones[[#This Row],[Fecha Detección]]+1,0)</f>
        <v>27</v>
      </c>
      <c r="M136" s="34" t="str">
        <f>LOOKUP(Observaciones[[#This Row],[Caso de Prueba]],CasoPrueba[Código CP],CasoPrueba[Código de REQ])</f>
        <v>INSPECCIÓN</v>
      </c>
    </row>
    <row r="137" spans="1:13" ht="60" hidden="1">
      <c r="A137" s="166" t="s">
        <v>504</v>
      </c>
      <c r="B137" s="34" t="s">
        <v>487</v>
      </c>
      <c r="C137" s="34" t="str">
        <f>VLOOKUP(Observaciones[[#This Row],[Caso de Prueba]],CasoPrueba[[Código CP]:[Descripción Caso de Prueba]],3,0)</f>
        <v>MP - Planificación</v>
      </c>
      <c r="D137" s="34" t="str">
        <f>VLOOKUP(Observaciones[Caso de Prueba],CasoPrueba[[#All],[Código CP]:[Prioridad]],7,TRUE)</f>
        <v>Alta</v>
      </c>
      <c r="E137" s="34" t="s">
        <v>29</v>
      </c>
      <c r="F137" s="34" t="s">
        <v>49</v>
      </c>
      <c r="G137" s="73">
        <v>40805</v>
      </c>
      <c r="H137" s="73">
        <v>40831</v>
      </c>
      <c r="I137" s="94" t="s">
        <v>132</v>
      </c>
      <c r="J137" s="34" t="s">
        <v>591</v>
      </c>
      <c r="K137" s="34" t="s">
        <v>827</v>
      </c>
      <c r="L137" s="34">
        <f>IF((Observaciones[[#This Row],[Fecha Levantamiento]]-Observaciones[[#This Row],[Fecha Detección]])&gt;=0,Observaciones[[#This Row],[Fecha Levantamiento]]-Observaciones[[#This Row],[Fecha Detección]]+1,0)</f>
        <v>27</v>
      </c>
      <c r="M137" s="34" t="str">
        <f>LOOKUP(Observaciones[[#This Row],[Caso de Prueba]],CasoPrueba[Código CP],CasoPrueba[Código de REQ])</f>
        <v>INSPECCIÓN</v>
      </c>
    </row>
    <row r="138" spans="1:13" ht="30" hidden="1">
      <c r="A138" s="166" t="s">
        <v>505</v>
      </c>
      <c r="B138" s="34" t="s">
        <v>487</v>
      </c>
      <c r="C138" s="34" t="str">
        <f>VLOOKUP(Observaciones[[#This Row],[Caso de Prueba]],CasoPrueba[[Código CP]:[Descripción Caso de Prueba]],3,0)</f>
        <v>MP - Planificación</v>
      </c>
      <c r="D138" s="34" t="str">
        <f>VLOOKUP(Observaciones[Caso de Prueba],CasoPrueba[[#All],[Código CP]:[Prioridad]],7,TRUE)</f>
        <v>Alta</v>
      </c>
      <c r="E138" s="34" t="s">
        <v>162</v>
      </c>
      <c r="F138" s="34" t="s">
        <v>49</v>
      </c>
      <c r="G138" s="73">
        <v>40805</v>
      </c>
      <c r="H138" s="73">
        <v>40831</v>
      </c>
      <c r="I138" s="94" t="s">
        <v>132</v>
      </c>
      <c r="J138" s="34" t="s">
        <v>592</v>
      </c>
      <c r="K138" s="34" t="s">
        <v>234</v>
      </c>
      <c r="L138" s="34">
        <f>IF((Observaciones[[#This Row],[Fecha Levantamiento]]-Observaciones[[#This Row],[Fecha Detección]])&gt;=0,Observaciones[[#This Row],[Fecha Levantamiento]]-Observaciones[[#This Row],[Fecha Detección]]+1,0)</f>
        <v>27</v>
      </c>
      <c r="M138" s="34" t="str">
        <f>LOOKUP(Observaciones[[#This Row],[Caso de Prueba]],CasoPrueba[Código CP],CasoPrueba[Código de REQ])</f>
        <v>INSPECCIÓN</v>
      </c>
    </row>
    <row r="139" spans="1:13" ht="78.75" hidden="1" customHeight="1">
      <c r="A139" s="166" t="s">
        <v>506</v>
      </c>
      <c r="B139" s="34" t="s">
        <v>487</v>
      </c>
      <c r="C139" s="34" t="str">
        <f>VLOOKUP(Observaciones[[#This Row],[Caso de Prueba]],CasoPrueba[[Código CP]:[Descripción Caso de Prueba]],3,0)</f>
        <v>MP - Planificación</v>
      </c>
      <c r="D139" s="34" t="str">
        <f>VLOOKUP(Observaciones[Caso de Prueba],CasoPrueba[[#All],[Código CP]:[Prioridad]],7,TRUE)</f>
        <v>Alta</v>
      </c>
      <c r="E139" s="34" t="s">
        <v>29</v>
      </c>
      <c r="F139" s="34" t="s">
        <v>49</v>
      </c>
      <c r="G139" s="73">
        <v>40805</v>
      </c>
      <c r="H139" s="73">
        <v>40831</v>
      </c>
      <c r="I139" s="94" t="s">
        <v>132</v>
      </c>
      <c r="J139" s="34" t="s">
        <v>593</v>
      </c>
      <c r="K139" s="34" t="s">
        <v>828</v>
      </c>
      <c r="L139" s="34">
        <f>IF((Observaciones[[#This Row],[Fecha Levantamiento]]-Observaciones[[#This Row],[Fecha Detección]])&gt;=0,Observaciones[[#This Row],[Fecha Levantamiento]]-Observaciones[[#This Row],[Fecha Detección]]+1,0)</f>
        <v>27</v>
      </c>
      <c r="M139" s="34" t="str">
        <f>LOOKUP(Observaciones[[#This Row],[Caso de Prueba]],CasoPrueba[Código CP],CasoPrueba[Código de REQ])</f>
        <v>INSPECCIÓN</v>
      </c>
    </row>
    <row r="140" spans="1:13" hidden="1">
      <c r="A140" s="166" t="s">
        <v>507</v>
      </c>
      <c r="B140" s="34" t="s">
        <v>487</v>
      </c>
      <c r="C140" s="34" t="str">
        <f>VLOOKUP(Observaciones[[#This Row],[Caso de Prueba]],CasoPrueba[[Código CP]:[Descripción Caso de Prueba]],3,0)</f>
        <v>MP - Planificación</v>
      </c>
      <c r="D140" s="34" t="str">
        <f>VLOOKUP(Observaciones[Caso de Prueba],CasoPrueba[[#All],[Código CP]:[Prioridad]],7,TRUE)</f>
        <v>Alta</v>
      </c>
      <c r="E140" s="34" t="s">
        <v>30</v>
      </c>
      <c r="F140" s="34" t="s">
        <v>49</v>
      </c>
      <c r="G140" s="73">
        <v>40805</v>
      </c>
      <c r="H140" s="73">
        <v>40831</v>
      </c>
      <c r="I140" s="94" t="s">
        <v>132</v>
      </c>
      <c r="J140" s="34" t="s">
        <v>594</v>
      </c>
      <c r="K140" s="34" t="s">
        <v>829</v>
      </c>
      <c r="L140" s="34">
        <f>IF((Observaciones[[#This Row],[Fecha Levantamiento]]-Observaciones[[#This Row],[Fecha Detección]])&gt;=0,Observaciones[[#This Row],[Fecha Levantamiento]]-Observaciones[[#This Row],[Fecha Detección]]+1,0)</f>
        <v>27</v>
      </c>
      <c r="M140" s="34" t="str">
        <f>LOOKUP(Observaciones[[#This Row],[Caso de Prueba]],CasoPrueba[Código CP],CasoPrueba[Código de REQ])</f>
        <v>INSPECCIÓN</v>
      </c>
    </row>
    <row r="141" spans="1:13" ht="30" hidden="1">
      <c r="A141" s="166" t="s">
        <v>508</v>
      </c>
      <c r="B141" s="34" t="s">
        <v>487</v>
      </c>
      <c r="C141" s="34" t="str">
        <f>VLOOKUP(Observaciones[[#This Row],[Caso de Prueba]],CasoPrueba[[Código CP]:[Descripción Caso de Prueba]],3,0)</f>
        <v>MP - Planificación</v>
      </c>
      <c r="D141" s="34" t="str">
        <f>VLOOKUP(Observaciones[Caso de Prueba],CasoPrueba[[#All],[Código CP]:[Prioridad]],7,TRUE)</f>
        <v>Alta</v>
      </c>
      <c r="E141" s="34" t="s">
        <v>162</v>
      </c>
      <c r="F141" s="34" t="s">
        <v>49</v>
      </c>
      <c r="G141" s="73">
        <v>40805</v>
      </c>
      <c r="H141" s="73">
        <v>40831</v>
      </c>
      <c r="I141" s="94" t="s">
        <v>132</v>
      </c>
      <c r="J141" s="34" t="s">
        <v>595</v>
      </c>
      <c r="K141" s="34" t="s">
        <v>823</v>
      </c>
      <c r="L141" s="34">
        <f>IF((Observaciones[[#This Row],[Fecha Levantamiento]]-Observaciones[[#This Row],[Fecha Detección]])&gt;=0,Observaciones[[#This Row],[Fecha Levantamiento]]-Observaciones[[#This Row],[Fecha Detección]]+1,0)</f>
        <v>27</v>
      </c>
      <c r="M141" s="34" t="str">
        <f>LOOKUP(Observaciones[[#This Row],[Caso de Prueba]],CasoPrueba[Código CP],CasoPrueba[Código de REQ])</f>
        <v>INSPECCIÓN</v>
      </c>
    </row>
    <row r="142" spans="1:13" ht="45" hidden="1">
      <c r="A142" s="166" t="s">
        <v>509</v>
      </c>
      <c r="B142" s="34" t="s">
        <v>487</v>
      </c>
      <c r="C142" s="34" t="str">
        <f>VLOOKUP(Observaciones[[#This Row],[Caso de Prueba]],CasoPrueba[[Código CP]:[Descripción Caso de Prueba]],3,0)</f>
        <v>MP - Planificación</v>
      </c>
      <c r="D142" s="34" t="str">
        <f>VLOOKUP(Observaciones[Caso de Prueba],CasoPrueba[[#All],[Código CP]:[Prioridad]],7,TRUE)</f>
        <v>Alta</v>
      </c>
      <c r="E142" s="34" t="s">
        <v>29</v>
      </c>
      <c r="F142" s="34" t="s">
        <v>49</v>
      </c>
      <c r="G142" s="73">
        <v>40805</v>
      </c>
      <c r="H142" s="73">
        <v>40831</v>
      </c>
      <c r="I142" s="94" t="s">
        <v>132</v>
      </c>
      <c r="J142" s="34" t="s">
        <v>596</v>
      </c>
      <c r="K142" s="34" t="s">
        <v>826</v>
      </c>
      <c r="L142" s="34">
        <f>IF((Observaciones[[#This Row],[Fecha Levantamiento]]-Observaciones[[#This Row],[Fecha Detección]])&gt;=0,Observaciones[[#This Row],[Fecha Levantamiento]]-Observaciones[[#This Row],[Fecha Detección]]+1,0)</f>
        <v>27</v>
      </c>
      <c r="M142" s="34" t="str">
        <f>LOOKUP(Observaciones[[#This Row],[Caso de Prueba]],CasoPrueba[Código CP],CasoPrueba[Código de REQ])</f>
        <v>INSPECCIÓN</v>
      </c>
    </row>
    <row r="143" spans="1:13" ht="63.75" hidden="1" customHeight="1">
      <c r="A143" s="166" t="s">
        <v>510</v>
      </c>
      <c r="B143" s="34" t="s">
        <v>488</v>
      </c>
      <c r="C143" s="34" t="str">
        <f>VLOOKUP(Observaciones[[#This Row],[Caso de Prueba]],CasoPrueba[[Código CP]:[Descripción Caso de Prueba]],3,0)</f>
        <v>PROCESO - Elaboración del Plan Operativo Institucional</v>
      </c>
      <c r="D143" s="34" t="str">
        <f>VLOOKUP(Observaciones[Caso de Prueba],CasoPrueba[[#All],[Código CP]:[Prioridad]],7,TRUE)</f>
        <v>Alta</v>
      </c>
      <c r="E143" s="34" t="s">
        <v>29</v>
      </c>
      <c r="F143" s="34" t="s">
        <v>49</v>
      </c>
      <c r="G143" s="73">
        <v>40805</v>
      </c>
      <c r="H143" s="73">
        <v>40831</v>
      </c>
      <c r="I143" s="94" t="s">
        <v>132</v>
      </c>
      <c r="J143" s="34" t="s">
        <v>597</v>
      </c>
      <c r="K143" s="34" t="s">
        <v>830</v>
      </c>
      <c r="L143" s="34">
        <f>IF((Observaciones[[#This Row],[Fecha Levantamiento]]-Observaciones[[#This Row],[Fecha Detección]])&gt;=0,Observaciones[[#This Row],[Fecha Levantamiento]]-Observaciones[[#This Row],[Fecha Detección]]+1,0)</f>
        <v>27</v>
      </c>
      <c r="M143" s="34" t="str">
        <f>LOOKUP(Observaciones[[#This Row],[Caso de Prueba]],CasoPrueba[Código CP],CasoPrueba[Código de REQ])</f>
        <v>INSPECCIÓN</v>
      </c>
    </row>
    <row r="144" spans="1:13" ht="30" hidden="1">
      <c r="A144" s="166" t="s">
        <v>511</v>
      </c>
      <c r="B144" s="34" t="s">
        <v>488</v>
      </c>
      <c r="C144" s="34" t="str">
        <f>VLOOKUP(Observaciones[[#This Row],[Caso de Prueba]],CasoPrueba[[Código CP]:[Descripción Caso de Prueba]],3,0)</f>
        <v>PROCESO - Elaboración del Plan Operativo Institucional</v>
      </c>
      <c r="D144" s="34" t="str">
        <f>VLOOKUP(Observaciones[Caso de Prueba],CasoPrueba[[#All],[Código CP]:[Prioridad]],7,TRUE)</f>
        <v>Alta</v>
      </c>
      <c r="E144" s="34" t="s">
        <v>162</v>
      </c>
      <c r="F144" s="34" t="s">
        <v>49</v>
      </c>
      <c r="G144" s="73">
        <v>40805</v>
      </c>
      <c r="H144" s="73">
        <v>40831</v>
      </c>
      <c r="I144" s="94" t="s">
        <v>132</v>
      </c>
      <c r="J144" s="34" t="s">
        <v>598</v>
      </c>
      <c r="K144" s="34" t="s">
        <v>831</v>
      </c>
      <c r="L144" s="34">
        <f>IF((Observaciones[[#This Row],[Fecha Levantamiento]]-Observaciones[[#This Row],[Fecha Detección]])&gt;=0,Observaciones[[#This Row],[Fecha Levantamiento]]-Observaciones[[#This Row],[Fecha Detección]]+1,0)</f>
        <v>27</v>
      </c>
      <c r="M144" s="34" t="str">
        <f>LOOKUP(Observaciones[[#This Row],[Caso de Prueba]],CasoPrueba[Código CP],CasoPrueba[Código de REQ])</f>
        <v>INSPECCIÓN</v>
      </c>
    </row>
    <row r="145" spans="1:13" ht="30" hidden="1">
      <c r="A145" s="166" t="s">
        <v>512</v>
      </c>
      <c r="B145" s="34" t="s">
        <v>488</v>
      </c>
      <c r="C145" s="34" t="str">
        <f>VLOOKUP(Observaciones[[#This Row],[Caso de Prueba]],CasoPrueba[[Código CP]:[Descripción Caso de Prueba]],3,0)</f>
        <v>PROCESO - Elaboración del Plan Operativo Institucional</v>
      </c>
      <c r="D145" s="34" t="str">
        <f>VLOOKUP(Observaciones[Caso de Prueba],CasoPrueba[[#All],[Código CP]:[Prioridad]],7,TRUE)</f>
        <v>Alta</v>
      </c>
      <c r="E145" s="34" t="s">
        <v>28</v>
      </c>
      <c r="F145" s="34" t="s">
        <v>49</v>
      </c>
      <c r="G145" s="73">
        <v>40805</v>
      </c>
      <c r="H145" s="73">
        <v>40831</v>
      </c>
      <c r="I145" s="94" t="s">
        <v>132</v>
      </c>
      <c r="J145" s="34" t="s">
        <v>584</v>
      </c>
      <c r="K145" s="34" t="s">
        <v>832</v>
      </c>
      <c r="L145" s="34">
        <f>IF((Observaciones[[#This Row],[Fecha Levantamiento]]-Observaciones[[#This Row],[Fecha Detección]])&gt;=0,Observaciones[[#This Row],[Fecha Levantamiento]]-Observaciones[[#This Row],[Fecha Detección]]+1,0)</f>
        <v>27</v>
      </c>
      <c r="M145" s="34" t="str">
        <f>LOOKUP(Observaciones[[#This Row],[Caso de Prueba]],CasoPrueba[Código CP],CasoPrueba[Código de REQ])</f>
        <v>INSPECCIÓN</v>
      </c>
    </row>
    <row r="146" spans="1:13" ht="90" hidden="1">
      <c r="A146" s="166" t="s">
        <v>513</v>
      </c>
      <c r="B146" s="34" t="s">
        <v>488</v>
      </c>
      <c r="C146" s="34" t="str">
        <f>VLOOKUP(Observaciones[[#This Row],[Caso de Prueba]],CasoPrueba[[Código CP]:[Descripción Caso de Prueba]],3,0)</f>
        <v>PROCESO - Elaboración del Plan Operativo Institucional</v>
      </c>
      <c r="D146" s="34" t="str">
        <f>VLOOKUP(Observaciones[Caso de Prueba],CasoPrueba[[#All],[Código CP]:[Prioridad]],7,TRUE)</f>
        <v>Alta</v>
      </c>
      <c r="E146" s="34" t="s">
        <v>30</v>
      </c>
      <c r="F146" s="34" t="s">
        <v>49</v>
      </c>
      <c r="G146" s="73">
        <v>40805</v>
      </c>
      <c r="H146" s="73">
        <v>40831</v>
      </c>
      <c r="I146" s="94" t="s">
        <v>132</v>
      </c>
      <c r="J146" s="34" t="s">
        <v>599</v>
      </c>
      <c r="K146" s="34" t="s">
        <v>817</v>
      </c>
      <c r="L146" s="34">
        <f>IF((Observaciones[[#This Row],[Fecha Levantamiento]]-Observaciones[[#This Row],[Fecha Detección]])&gt;=0,Observaciones[[#This Row],[Fecha Levantamiento]]-Observaciones[[#This Row],[Fecha Detección]]+1,0)</f>
        <v>27</v>
      </c>
      <c r="M146" s="34" t="str">
        <f>LOOKUP(Observaciones[[#This Row],[Caso de Prueba]],CasoPrueba[Código CP],CasoPrueba[Código de REQ])</f>
        <v>INSPECCIÓN</v>
      </c>
    </row>
    <row r="147" spans="1:13" ht="30" hidden="1">
      <c r="A147" s="166" t="s">
        <v>514</v>
      </c>
      <c r="B147" s="34" t="s">
        <v>488</v>
      </c>
      <c r="C147" s="34" t="str">
        <f>VLOOKUP(Observaciones[[#This Row],[Caso de Prueba]],CasoPrueba[[Código CP]:[Descripción Caso de Prueba]],3,0)</f>
        <v>PROCESO - Elaboración del Plan Operativo Institucional</v>
      </c>
      <c r="D147" s="34" t="str">
        <f>VLOOKUP(Observaciones[Caso de Prueba],CasoPrueba[[#All],[Código CP]:[Prioridad]],7,TRUE)</f>
        <v>Alta</v>
      </c>
      <c r="E147" s="34" t="s">
        <v>30</v>
      </c>
      <c r="F147" s="34" t="s">
        <v>49</v>
      </c>
      <c r="G147" s="73">
        <v>40805</v>
      </c>
      <c r="H147" s="73">
        <v>40831</v>
      </c>
      <c r="I147" s="94" t="s">
        <v>132</v>
      </c>
      <c r="J147" s="34" t="s">
        <v>600</v>
      </c>
      <c r="K147" s="34" t="s">
        <v>833</v>
      </c>
      <c r="L147" s="34">
        <f>IF((Observaciones[[#This Row],[Fecha Levantamiento]]-Observaciones[[#This Row],[Fecha Detección]])&gt;=0,Observaciones[[#This Row],[Fecha Levantamiento]]-Observaciones[[#This Row],[Fecha Detección]]+1,0)</f>
        <v>27</v>
      </c>
      <c r="M147" s="34" t="str">
        <f>LOOKUP(Observaciones[[#This Row],[Caso de Prueba]],CasoPrueba[Código CP],CasoPrueba[Código de REQ])</f>
        <v>INSPECCIÓN</v>
      </c>
    </row>
    <row r="148" spans="1:13" ht="80.25" hidden="1" customHeight="1">
      <c r="A148" s="166" t="s">
        <v>515</v>
      </c>
      <c r="B148" s="34" t="s">
        <v>488</v>
      </c>
      <c r="C148" s="34" t="str">
        <f>VLOOKUP(Observaciones[[#This Row],[Caso de Prueba]],CasoPrueba[[Código CP]:[Descripción Caso de Prueba]],3,0)</f>
        <v>PROCESO - Elaboración del Plan Operativo Institucional</v>
      </c>
      <c r="D148" s="34" t="str">
        <f>VLOOKUP(Observaciones[Caso de Prueba],CasoPrueba[[#All],[Código CP]:[Prioridad]],7,TRUE)</f>
        <v>Alta</v>
      </c>
      <c r="E148" s="34" t="s">
        <v>28</v>
      </c>
      <c r="F148" s="34" t="s">
        <v>49</v>
      </c>
      <c r="G148" s="73">
        <v>40805</v>
      </c>
      <c r="H148" s="73">
        <v>40831</v>
      </c>
      <c r="I148" s="94" t="s">
        <v>132</v>
      </c>
      <c r="J148" s="34" t="s">
        <v>601</v>
      </c>
      <c r="K148" s="34" t="s">
        <v>834</v>
      </c>
      <c r="L148" s="34">
        <f>IF((Observaciones[[#This Row],[Fecha Levantamiento]]-Observaciones[[#This Row],[Fecha Detección]])&gt;=0,Observaciones[[#This Row],[Fecha Levantamiento]]-Observaciones[[#This Row],[Fecha Detección]]+1,0)</f>
        <v>27</v>
      </c>
      <c r="M148" s="34" t="str">
        <f>LOOKUP(Observaciones[[#This Row],[Caso de Prueba]],CasoPrueba[Código CP],CasoPrueba[Código de REQ])</f>
        <v>INSPECCIÓN</v>
      </c>
    </row>
    <row r="149" spans="1:13" ht="78" hidden="1" customHeight="1">
      <c r="A149" s="166" t="s">
        <v>516</v>
      </c>
      <c r="B149" s="34" t="s">
        <v>488</v>
      </c>
      <c r="C149" s="34" t="str">
        <f>VLOOKUP(Observaciones[[#This Row],[Caso de Prueba]],CasoPrueba[[Código CP]:[Descripción Caso de Prueba]],3,0)</f>
        <v>PROCESO - Elaboración del Plan Operativo Institucional</v>
      </c>
      <c r="D149" s="34" t="str">
        <f>VLOOKUP(Observaciones[Caso de Prueba],CasoPrueba[[#All],[Código CP]:[Prioridad]],7,TRUE)</f>
        <v>Alta</v>
      </c>
      <c r="E149" s="34" t="s">
        <v>29</v>
      </c>
      <c r="F149" s="34" t="s">
        <v>49</v>
      </c>
      <c r="G149" s="73">
        <v>40805</v>
      </c>
      <c r="H149" s="73">
        <v>40831</v>
      </c>
      <c r="I149" s="94" t="s">
        <v>132</v>
      </c>
      <c r="J149" s="34" t="s">
        <v>602</v>
      </c>
      <c r="K149" s="34" t="s">
        <v>835</v>
      </c>
      <c r="L149" s="34">
        <f>IF((Observaciones[[#This Row],[Fecha Levantamiento]]-Observaciones[[#This Row],[Fecha Detección]])&gt;=0,Observaciones[[#This Row],[Fecha Levantamiento]]-Observaciones[[#This Row],[Fecha Detección]]+1,0)</f>
        <v>27</v>
      </c>
      <c r="M149" s="34" t="str">
        <f>LOOKUP(Observaciones[[#This Row],[Caso de Prueba]],CasoPrueba[Código CP],CasoPrueba[Código de REQ])</f>
        <v>INSPECCIÓN</v>
      </c>
    </row>
    <row r="150" spans="1:13" ht="49.5" hidden="1" customHeight="1">
      <c r="A150" s="166" t="s">
        <v>517</v>
      </c>
      <c r="B150" s="34" t="s">
        <v>488</v>
      </c>
      <c r="C150" s="34" t="str">
        <f>VLOOKUP(Observaciones[[#This Row],[Caso de Prueba]],CasoPrueba[[Código CP]:[Descripción Caso de Prueba]],3,0)</f>
        <v>PROCESO - Elaboración del Plan Operativo Institucional</v>
      </c>
      <c r="D150" s="34" t="str">
        <f>VLOOKUP(Observaciones[Caso de Prueba],CasoPrueba[[#All],[Código CP]:[Prioridad]],7,TRUE)</f>
        <v>Alta</v>
      </c>
      <c r="E150" s="34" t="s">
        <v>162</v>
      </c>
      <c r="F150" s="34" t="s">
        <v>49</v>
      </c>
      <c r="G150" s="73">
        <v>40805</v>
      </c>
      <c r="H150" s="73">
        <v>40831</v>
      </c>
      <c r="I150" s="94" t="s">
        <v>132</v>
      </c>
      <c r="J150" s="34" t="s">
        <v>603</v>
      </c>
      <c r="K150" s="34" t="s">
        <v>234</v>
      </c>
      <c r="L150" s="34">
        <f>IF((Observaciones[[#This Row],[Fecha Levantamiento]]-Observaciones[[#This Row],[Fecha Detección]])&gt;=0,Observaciones[[#This Row],[Fecha Levantamiento]]-Observaciones[[#This Row],[Fecha Detección]]+1,0)</f>
        <v>27</v>
      </c>
      <c r="M150" s="34" t="str">
        <f>LOOKUP(Observaciones[[#This Row],[Caso de Prueba]],CasoPrueba[Código CP],CasoPrueba[Código de REQ])</f>
        <v>INSPECCIÓN</v>
      </c>
    </row>
    <row r="151" spans="1:13" ht="45" hidden="1">
      <c r="A151" s="166" t="s">
        <v>518</v>
      </c>
      <c r="B151" s="34" t="s">
        <v>488</v>
      </c>
      <c r="C151" s="34" t="str">
        <f>VLOOKUP(Observaciones[[#This Row],[Caso de Prueba]],CasoPrueba[[Código CP]:[Descripción Caso de Prueba]],3,0)</f>
        <v>PROCESO - Elaboración del Plan Operativo Institucional</v>
      </c>
      <c r="D151" s="34" t="str">
        <f>VLOOKUP(Observaciones[Caso de Prueba],CasoPrueba[[#All],[Código CP]:[Prioridad]],7,TRUE)</f>
        <v>Alta</v>
      </c>
      <c r="E151" s="34" t="s">
        <v>162</v>
      </c>
      <c r="F151" s="34" t="s">
        <v>49</v>
      </c>
      <c r="G151" s="73">
        <v>40805</v>
      </c>
      <c r="H151" s="73">
        <v>40831</v>
      </c>
      <c r="I151" s="94" t="s">
        <v>132</v>
      </c>
      <c r="J151" s="34" t="s">
        <v>604</v>
      </c>
      <c r="K151" s="34" t="s">
        <v>234</v>
      </c>
      <c r="L151" s="34">
        <f>IF((Observaciones[[#This Row],[Fecha Levantamiento]]-Observaciones[[#This Row],[Fecha Detección]])&gt;=0,Observaciones[[#This Row],[Fecha Levantamiento]]-Observaciones[[#This Row],[Fecha Detección]]+1,0)</f>
        <v>27</v>
      </c>
      <c r="M151" s="34" t="str">
        <f>LOOKUP(Observaciones[[#This Row],[Caso de Prueba]],CasoPrueba[Código CP],CasoPrueba[Código de REQ])</f>
        <v>INSPECCIÓN</v>
      </c>
    </row>
    <row r="152" spans="1:13" ht="30" hidden="1">
      <c r="A152" s="166" t="s">
        <v>519</v>
      </c>
      <c r="B152" s="34" t="s">
        <v>488</v>
      </c>
      <c r="C152" s="34" t="str">
        <f>VLOOKUP(Observaciones[[#This Row],[Caso de Prueba]],CasoPrueba[[Código CP]:[Descripción Caso de Prueba]],3,0)</f>
        <v>PROCESO - Elaboración del Plan Operativo Institucional</v>
      </c>
      <c r="D152" s="34" t="str">
        <f>VLOOKUP(Observaciones[Caso de Prueba],CasoPrueba[[#All],[Código CP]:[Prioridad]],7,TRUE)</f>
        <v>Alta</v>
      </c>
      <c r="E152" s="34" t="s">
        <v>162</v>
      </c>
      <c r="F152" s="34" t="s">
        <v>49</v>
      </c>
      <c r="G152" s="73">
        <v>40805</v>
      </c>
      <c r="H152" s="73">
        <v>40831</v>
      </c>
      <c r="I152" s="94" t="s">
        <v>132</v>
      </c>
      <c r="J152" s="34" t="s">
        <v>595</v>
      </c>
      <c r="K152" s="34" t="s">
        <v>234</v>
      </c>
      <c r="L152" s="34">
        <f>IF((Observaciones[[#This Row],[Fecha Levantamiento]]-Observaciones[[#This Row],[Fecha Detección]])&gt;=0,Observaciones[[#This Row],[Fecha Levantamiento]]-Observaciones[[#This Row],[Fecha Detección]]+1,0)</f>
        <v>27</v>
      </c>
      <c r="M152" s="34" t="str">
        <f>LOOKUP(Observaciones[[#This Row],[Caso de Prueba]],CasoPrueba[Código CP],CasoPrueba[Código de REQ])</f>
        <v>INSPECCIÓN</v>
      </c>
    </row>
    <row r="153" spans="1:13" ht="66" hidden="1" customHeight="1">
      <c r="A153" s="166" t="s">
        <v>520</v>
      </c>
      <c r="B153" s="34" t="s">
        <v>489</v>
      </c>
      <c r="C153" s="34" t="str">
        <f>VLOOKUP(Observaciones[[#This Row],[Caso de Prueba]],CasoPrueba[[Código CP]:[Descripción Caso de Prueba]],3,0)</f>
        <v>PROCESO - Planificación del Departamento de Proyectos</v>
      </c>
      <c r="D153" s="34" t="str">
        <f>VLOOKUP(Observaciones[Caso de Prueba],CasoPrueba[[#All],[Código CP]:[Prioridad]],7,TRUE)</f>
        <v>Alta</v>
      </c>
      <c r="E153" s="34" t="s">
        <v>29</v>
      </c>
      <c r="F153" s="34" t="s">
        <v>49</v>
      </c>
      <c r="G153" s="73">
        <v>40807</v>
      </c>
      <c r="H153" s="73">
        <v>40831</v>
      </c>
      <c r="I153" s="94" t="s">
        <v>132</v>
      </c>
      <c r="J153" s="34" t="s">
        <v>597</v>
      </c>
      <c r="K153" s="34" t="s">
        <v>830</v>
      </c>
      <c r="L153" s="34">
        <f>IF((Observaciones[[#This Row],[Fecha Levantamiento]]-Observaciones[[#This Row],[Fecha Detección]])&gt;=0,Observaciones[[#This Row],[Fecha Levantamiento]]-Observaciones[[#This Row],[Fecha Detección]]+1,0)</f>
        <v>25</v>
      </c>
      <c r="M153" s="34" t="str">
        <f>LOOKUP(Observaciones[[#This Row],[Caso de Prueba]],CasoPrueba[Código CP],CasoPrueba[Código de REQ])</f>
        <v>INSPECCIÓN</v>
      </c>
    </row>
    <row r="154" spans="1:13" ht="30" hidden="1">
      <c r="A154" s="166" t="s">
        <v>521</v>
      </c>
      <c r="B154" s="34" t="s">
        <v>489</v>
      </c>
      <c r="C154" s="34" t="str">
        <f>VLOOKUP(Observaciones[[#This Row],[Caso de Prueba]],CasoPrueba[[Código CP]:[Descripción Caso de Prueba]],3,0)</f>
        <v>PROCESO - Planificación del Departamento de Proyectos</v>
      </c>
      <c r="D154" s="34" t="str">
        <f>VLOOKUP(Observaciones[Caso de Prueba],CasoPrueba[[#All],[Código CP]:[Prioridad]],7,TRUE)</f>
        <v>Alta</v>
      </c>
      <c r="E154" s="34" t="s">
        <v>28</v>
      </c>
      <c r="F154" s="34" t="s">
        <v>49</v>
      </c>
      <c r="G154" s="73">
        <v>40807</v>
      </c>
      <c r="H154" s="73">
        <v>40831</v>
      </c>
      <c r="I154" s="94" t="s">
        <v>132</v>
      </c>
      <c r="J154" s="34" t="s">
        <v>584</v>
      </c>
      <c r="K154" s="34" t="s">
        <v>832</v>
      </c>
      <c r="L154" s="34">
        <f>IF((Observaciones[[#This Row],[Fecha Levantamiento]]-Observaciones[[#This Row],[Fecha Detección]])&gt;=0,Observaciones[[#This Row],[Fecha Levantamiento]]-Observaciones[[#This Row],[Fecha Detección]]+1,0)</f>
        <v>25</v>
      </c>
      <c r="M154" s="34" t="str">
        <f>LOOKUP(Observaciones[[#This Row],[Caso de Prueba]],CasoPrueba[Código CP],CasoPrueba[Código de REQ])</f>
        <v>INSPECCIÓN</v>
      </c>
    </row>
    <row r="155" spans="1:13" ht="45" hidden="1">
      <c r="A155" s="166" t="s">
        <v>522</v>
      </c>
      <c r="B155" s="34" t="s">
        <v>489</v>
      </c>
      <c r="C155" s="34" t="str">
        <f>VLOOKUP(Observaciones[[#This Row],[Caso de Prueba]],CasoPrueba[[Código CP]:[Descripción Caso de Prueba]],3,0)</f>
        <v>PROCESO - Planificación del Departamento de Proyectos</v>
      </c>
      <c r="D155" s="34" t="str">
        <f>VLOOKUP(Observaciones[Caso de Prueba],CasoPrueba[[#All],[Código CP]:[Prioridad]],7,TRUE)</f>
        <v>Alta</v>
      </c>
      <c r="E155" s="34" t="s">
        <v>162</v>
      </c>
      <c r="F155" s="34" t="s">
        <v>49</v>
      </c>
      <c r="G155" s="73">
        <v>40807</v>
      </c>
      <c r="H155" s="73">
        <v>40831</v>
      </c>
      <c r="I155" s="94" t="s">
        <v>132</v>
      </c>
      <c r="J155" s="34" t="s">
        <v>605</v>
      </c>
      <c r="K155" s="34" t="s">
        <v>836</v>
      </c>
      <c r="L155" s="34">
        <f>IF((Observaciones[[#This Row],[Fecha Levantamiento]]-Observaciones[[#This Row],[Fecha Detección]])&gt;=0,Observaciones[[#This Row],[Fecha Levantamiento]]-Observaciones[[#This Row],[Fecha Detección]]+1,0)</f>
        <v>25</v>
      </c>
      <c r="M155" s="34" t="str">
        <f>LOOKUP(Observaciones[[#This Row],[Caso de Prueba]],CasoPrueba[Código CP],CasoPrueba[Código de REQ])</f>
        <v>INSPECCIÓN</v>
      </c>
    </row>
    <row r="156" spans="1:13" ht="45" hidden="1">
      <c r="A156" s="166" t="s">
        <v>523</v>
      </c>
      <c r="B156" s="34" t="s">
        <v>489</v>
      </c>
      <c r="C156" s="34" t="str">
        <f>VLOOKUP(Observaciones[[#This Row],[Caso de Prueba]],CasoPrueba[[Código CP]:[Descripción Caso de Prueba]],3,0)</f>
        <v>PROCESO - Planificación del Departamento de Proyectos</v>
      </c>
      <c r="D156" s="34" t="str">
        <f>VLOOKUP(Observaciones[Caso de Prueba],CasoPrueba[[#All],[Código CP]:[Prioridad]],7,TRUE)</f>
        <v>Alta</v>
      </c>
      <c r="E156" s="34" t="s">
        <v>29</v>
      </c>
      <c r="F156" s="34" t="s">
        <v>49</v>
      </c>
      <c r="G156" s="73">
        <v>40807</v>
      </c>
      <c r="H156" s="73">
        <v>40831</v>
      </c>
      <c r="I156" s="94" t="s">
        <v>132</v>
      </c>
      <c r="J156" s="34" t="s">
        <v>606</v>
      </c>
      <c r="K156" s="34" t="s">
        <v>266</v>
      </c>
      <c r="L156" s="34">
        <f>IF((Observaciones[[#This Row],[Fecha Levantamiento]]-Observaciones[[#This Row],[Fecha Detección]])&gt;=0,Observaciones[[#This Row],[Fecha Levantamiento]]-Observaciones[[#This Row],[Fecha Detección]]+1,0)</f>
        <v>25</v>
      </c>
      <c r="M156" s="34" t="str">
        <f>LOOKUP(Observaciones[[#This Row],[Caso de Prueba]],CasoPrueba[Código CP],CasoPrueba[Código de REQ])</f>
        <v>INSPECCIÓN</v>
      </c>
    </row>
    <row r="157" spans="1:13" ht="90" hidden="1">
      <c r="A157" s="166" t="s">
        <v>524</v>
      </c>
      <c r="B157" s="34" t="s">
        <v>489</v>
      </c>
      <c r="C157" s="34" t="str">
        <f>VLOOKUP(Observaciones[[#This Row],[Caso de Prueba]],CasoPrueba[[Código CP]:[Descripción Caso de Prueba]],3,0)</f>
        <v>PROCESO - Planificación del Departamento de Proyectos</v>
      </c>
      <c r="D157" s="34" t="str">
        <f>VLOOKUP(Observaciones[Caso de Prueba],CasoPrueba[[#All],[Código CP]:[Prioridad]],7,TRUE)</f>
        <v>Alta</v>
      </c>
      <c r="E157" s="34" t="s">
        <v>29</v>
      </c>
      <c r="F157" s="34" t="s">
        <v>49</v>
      </c>
      <c r="G157" s="73">
        <v>40807</v>
      </c>
      <c r="H157" s="73">
        <v>40831</v>
      </c>
      <c r="I157" s="94" t="s">
        <v>132</v>
      </c>
      <c r="J157" s="34" t="s">
        <v>599</v>
      </c>
      <c r="K157" s="34" t="s">
        <v>817</v>
      </c>
      <c r="L157" s="34">
        <f>IF((Observaciones[[#This Row],[Fecha Levantamiento]]-Observaciones[[#This Row],[Fecha Detección]])&gt;=0,Observaciones[[#This Row],[Fecha Levantamiento]]-Observaciones[[#This Row],[Fecha Detección]]+1,0)</f>
        <v>25</v>
      </c>
      <c r="M157" s="34" t="str">
        <f>LOOKUP(Observaciones[[#This Row],[Caso de Prueba]],CasoPrueba[Código CP],CasoPrueba[Código de REQ])</f>
        <v>INSPECCIÓN</v>
      </c>
    </row>
    <row r="158" spans="1:13" ht="75" hidden="1">
      <c r="A158" s="166" t="s">
        <v>525</v>
      </c>
      <c r="B158" s="34" t="s">
        <v>489</v>
      </c>
      <c r="C158" s="34" t="str">
        <f>VLOOKUP(Observaciones[[#This Row],[Caso de Prueba]],CasoPrueba[[Código CP]:[Descripción Caso de Prueba]],3,0)</f>
        <v>PROCESO - Planificación del Departamento de Proyectos</v>
      </c>
      <c r="D158" s="34" t="str">
        <f>VLOOKUP(Observaciones[Caso de Prueba],CasoPrueba[[#All],[Código CP]:[Prioridad]],7,TRUE)</f>
        <v>Alta</v>
      </c>
      <c r="E158" s="34" t="s">
        <v>30</v>
      </c>
      <c r="F158" s="34" t="s">
        <v>49</v>
      </c>
      <c r="G158" s="73">
        <v>40807</v>
      </c>
      <c r="H158" s="73">
        <v>40831</v>
      </c>
      <c r="I158" s="94" t="s">
        <v>132</v>
      </c>
      <c r="J158" s="34" t="s">
        <v>607</v>
      </c>
      <c r="K158" s="34" t="s">
        <v>837</v>
      </c>
      <c r="L158" s="34">
        <f>IF((Observaciones[[#This Row],[Fecha Levantamiento]]-Observaciones[[#This Row],[Fecha Detección]])&gt;=0,Observaciones[[#This Row],[Fecha Levantamiento]]-Observaciones[[#This Row],[Fecha Detección]]+1,0)</f>
        <v>25</v>
      </c>
      <c r="M158" s="34" t="str">
        <f>LOOKUP(Observaciones[[#This Row],[Caso de Prueba]],CasoPrueba[Código CP],CasoPrueba[Código de REQ])</f>
        <v>INSPECCIÓN</v>
      </c>
    </row>
    <row r="159" spans="1:13" ht="60" hidden="1">
      <c r="A159" s="166" t="s">
        <v>526</v>
      </c>
      <c r="B159" s="34" t="s">
        <v>489</v>
      </c>
      <c r="C159" s="34" t="str">
        <f>VLOOKUP(Observaciones[[#This Row],[Caso de Prueba]],CasoPrueba[[Código CP]:[Descripción Caso de Prueba]],3,0)</f>
        <v>PROCESO - Planificación del Departamento de Proyectos</v>
      </c>
      <c r="D159" s="34" t="str">
        <f>VLOOKUP(Observaciones[Caso de Prueba],CasoPrueba[[#All],[Código CP]:[Prioridad]],7,TRUE)</f>
        <v>Alta</v>
      </c>
      <c r="E159" s="34" t="s">
        <v>29</v>
      </c>
      <c r="F159" s="34" t="s">
        <v>49</v>
      </c>
      <c r="G159" s="73">
        <v>40807</v>
      </c>
      <c r="H159" s="73">
        <v>40831</v>
      </c>
      <c r="I159" s="94" t="s">
        <v>132</v>
      </c>
      <c r="J159" s="34" t="s">
        <v>608</v>
      </c>
      <c r="K159" s="34" t="s">
        <v>838</v>
      </c>
      <c r="L159" s="34">
        <f>IF((Observaciones[[#This Row],[Fecha Levantamiento]]-Observaciones[[#This Row],[Fecha Detección]])&gt;=0,Observaciones[[#This Row],[Fecha Levantamiento]]-Observaciones[[#This Row],[Fecha Detección]]+1,0)</f>
        <v>25</v>
      </c>
      <c r="M159" s="34" t="str">
        <f>LOOKUP(Observaciones[[#This Row],[Caso de Prueba]],CasoPrueba[Código CP],CasoPrueba[Código de REQ])</f>
        <v>INSPECCIÓN</v>
      </c>
    </row>
    <row r="160" spans="1:13" ht="30" hidden="1">
      <c r="A160" s="166" t="s">
        <v>527</v>
      </c>
      <c r="B160" s="34" t="s">
        <v>489</v>
      </c>
      <c r="C160" s="34" t="str">
        <f>VLOOKUP(Observaciones[[#This Row],[Caso de Prueba]],CasoPrueba[[Código CP]:[Descripción Caso de Prueba]],3,0)</f>
        <v>PROCESO - Planificación del Departamento de Proyectos</v>
      </c>
      <c r="D160" s="34" t="str">
        <f>VLOOKUP(Observaciones[Caso de Prueba],CasoPrueba[[#All],[Código CP]:[Prioridad]],7,TRUE)</f>
        <v>Alta</v>
      </c>
      <c r="E160" s="34" t="s">
        <v>28</v>
      </c>
      <c r="F160" s="34" t="s">
        <v>49</v>
      </c>
      <c r="G160" s="73">
        <v>40807</v>
      </c>
      <c r="H160" s="73">
        <v>40831</v>
      </c>
      <c r="I160" s="94" t="s">
        <v>132</v>
      </c>
      <c r="J160" s="34" t="s">
        <v>609</v>
      </c>
      <c r="K160" s="34" t="s">
        <v>266</v>
      </c>
      <c r="L160" s="34">
        <f>IF((Observaciones[[#This Row],[Fecha Levantamiento]]-Observaciones[[#This Row],[Fecha Detección]])&gt;=0,Observaciones[[#This Row],[Fecha Levantamiento]]-Observaciones[[#This Row],[Fecha Detección]]+1,0)</f>
        <v>25</v>
      </c>
      <c r="M160" s="34" t="str">
        <f>LOOKUP(Observaciones[[#This Row],[Caso de Prueba]],CasoPrueba[Código CP],CasoPrueba[Código de REQ])</f>
        <v>INSPECCIÓN</v>
      </c>
    </row>
    <row r="161" spans="1:13" ht="45" hidden="1">
      <c r="A161" s="166" t="s">
        <v>528</v>
      </c>
      <c r="B161" s="34" t="s">
        <v>489</v>
      </c>
      <c r="C161" s="34" t="str">
        <f>VLOOKUP(Observaciones[[#This Row],[Caso de Prueba]],CasoPrueba[[Código CP]:[Descripción Caso de Prueba]],3,0)</f>
        <v>PROCESO - Planificación del Departamento de Proyectos</v>
      </c>
      <c r="D161" s="34" t="str">
        <f>VLOOKUP(Observaciones[Caso de Prueba],CasoPrueba[[#All],[Código CP]:[Prioridad]],7,TRUE)</f>
        <v>Alta</v>
      </c>
      <c r="E161" s="34" t="s">
        <v>29</v>
      </c>
      <c r="F161" s="34" t="s">
        <v>49</v>
      </c>
      <c r="G161" s="73">
        <v>40807</v>
      </c>
      <c r="H161" s="73">
        <v>40831</v>
      </c>
      <c r="I161" s="94" t="s">
        <v>132</v>
      </c>
      <c r="J161" s="34" t="s">
        <v>610</v>
      </c>
      <c r="K161" s="34" t="s">
        <v>839</v>
      </c>
      <c r="L161" s="34">
        <f>IF((Observaciones[[#This Row],[Fecha Levantamiento]]-Observaciones[[#This Row],[Fecha Detección]])&gt;=0,Observaciones[[#This Row],[Fecha Levantamiento]]-Observaciones[[#This Row],[Fecha Detección]]+1,0)</f>
        <v>25</v>
      </c>
      <c r="M161" s="34" t="str">
        <f>LOOKUP(Observaciones[[#This Row],[Caso de Prueba]],CasoPrueba[Código CP],CasoPrueba[Código de REQ])</f>
        <v>INSPECCIÓN</v>
      </c>
    </row>
    <row r="162" spans="1:13" ht="45" hidden="1">
      <c r="A162" s="166" t="s">
        <v>529</v>
      </c>
      <c r="B162" s="34" t="s">
        <v>489</v>
      </c>
      <c r="C162" s="34" t="str">
        <f>VLOOKUP(Observaciones[[#This Row],[Caso de Prueba]],CasoPrueba[[Código CP]:[Descripción Caso de Prueba]],3,0)</f>
        <v>PROCESO - Planificación del Departamento de Proyectos</v>
      </c>
      <c r="D162" s="34" t="str">
        <f>VLOOKUP(Observaciones[Caso de Prueba],CasoPrueba[[#All],[Código CP]:[Prioridad]],7,TRUE)</f>
        <v>Alta</v>
      </c>
      <c r="E162" s="34" t="s">
        <v>162</v>
      </c>
      <c r="F162" s="34" t="s">
        <v>49</v>
      </c>
      <c r="G162" s="73">
        <v>40807</v>
      </c>
      <c r="H162" s="73">
        <v>40831</v>
      </c>
      <c r="I162" s="94" t="s">
        <v>132</v>
      </c>
      <c r="J162" s="34" t="s">
        <v>611</v>
      </c>
      <c r="K162" s="34" t="s">
        <v>234</v>
      </c>
      <c r="L162" s="34">
        <f>IF((Observaciones[[#This Row],[Fecha Levantamiento]]-Observaciones[[#This Row],[Fecha Detección]])&gt;=0,Observaciones[[#This Row],[Fecha Levantamiento]]-Observaciones[[#This Row],[Fecha Detección]]+1,0)</f>
        <v>25</v>
      </c>
      <c r="M162" s="34" t="str">
        <f>LOOKUP(Observaciones[[#This Row],[Caso de Prueba]],CasoPrueba[Código CP],CasoPrueba[Código de REQ])</f>
        <v>INSPECCIÓN</v>
      </c>
    </row>
    <row r="163" spans="1:13" ht="75" hidden="1">
      <c r="A163" s="166" t="s">
        <v>530</v>
      </c>
      <c r="B163" s="34" t="s">
        <v>489</v>
      </c>
      <c r="C163" s="34" t="str">
        <f>VLOOKUP(Observaciones[[#This Row],[Caso de Prueba]],CasoPrueba[[Código CP]:[Descripción Caso de Prueba]],3,0)</f>
        <v>PROCESO - Planificación del Departamento de Proyectos</v>
      </c>
      <c r="D163" s="34" t="str">
        <f>VLOOKUP(Observaciones[Caso de Prueba],CasoPrueba[[#All],[Código CP]:[Prioridad]],7,TRUE)</f>
        <v>Alta</v>
      </c>
      <c r="E163" s="34" t="s">
        <v>29</v>
      </c>
      <c r="F163" s="34" t="s">
        <v>49</v>
      </c>
      <c r="G163" s="73">
        <v>40807</v>
      </c>
      <c r="H163" s="73">
        <v>40831</v>
      </c>
      <c r="I163" s="94" t="s">
        <v>132</v>
      </c>
      <c r="J163" s="34" t="s">
        <v>612</v>
      </c>
      <c r="K163" s="34" t="s">
        <v>266</v>
      </c>
      <c r="L163" s="34">
        <f>IF((Observaciones[[#This Row],[Fecha Levantamiento]]-Observaciones[[#This Row],[Fecha Detección]])&gt;=0,Observaciones[[#This Row],[Fecha Levantamiento]]-Observaciones[[#This Row],[Fecha Detección]]+1,0)</f>
        <v>25</v>
      </c>
      <c r="M163" s="34" t="str">
        <f>LOOKUP(Observaciones[[#This Row],[Caso de Prueba]],CasoPrueba[Código CP],CasoPrueba[Código de REQ])</f>
        <v>INSPECCIÓN</v>
      </c>
    </row>
    <row r="164" spans="1:13" ht="59.25" hidden="1" customHeight="1">
      <c r="A164" s="166" t="s">
        <v>531</v>
      </c>
      <c r="B164" s="34" t="s">
        <v>489</v>
      </c>
      <c r="C164" s="34" t="str">
        <f>VLOOKUP(Observaciones[[#This Row],[Caso de Prueba]],CasoPrueba[[Código CP]:[Descripción Caso de Prueba]],3,0)</f>
        <v>PROCESO - Planificación del Departamento de Proyectos</v>
      </c>
      <c r="D164" s="34" t="str">
        <f>VLOOKUP(Observaciones[Caso de Prueba],CasoPrueba[[#All],[Código CP]:[Prioridad]],7,TRUE)</f>
        <v>Alta</v>
      </c>
      <c r="E164" s="34" t="s">
        <v>162</v>
      </c>
      <c r="F164" s="34" t="s">
        <v>49</v>
      </c>
      <c r="G164" s="73">
        <v>40807</v>
      </c>
      <c r="H164" s="73">
        <v>40831</v>
      </c>
      <c r="I164" s="94" t="s">
        <v>132</v>
      </c>
      <c r="J164" s="34" t="s">
        <v>613</v>
      </c>
      <c r="K164" s="34" t="s">
        <v>264</v>
      </c>
      <c r="L164" s="34">
        <f>IF((Observaciones[[#This Row],[Fecha Levantamiento]]-Observaciones[[#This Row],[Fecha Detección]])&gt;=0,Observaciones[[#This Row],[Fecha Levantamiento]]-Observaciones[[#This Row],[Fecha Detección]]+1,0)</f>
        <v>25</v>
      </c>
      <c r="M164" s="34" t="str">
        <f>LOOKUP(Observaciones[[#This Row],[Caso de Prueba]],CasoPrueba[Código CP],CasoPrueba[Código de REQ])</f>
        <v>INSPECCIÓN</v>
      </c>
    </row>
    <row r="165" spans="1:13" ht="30" hidden="1">
      <c r="A165" s="166" t="s">
        <v>532</v>
      </c>
      <c r="B165" s="34" t="s">
        <v>614</v>
      </c>
      <c r="C165" s="34" t="str">
        <f>VLOOKUP(Observaciones[[#This Row],[Caso de Prueba]],CasoPrueba[[Código CP]:[Descripción Caso de Prueba]],3,0)</f>
        <v>MP - Gestión de Imagen Institucional y Donaciones</v>
      </c>
      <c r="D165" s="34" t="str">
        <f>VLOOKUP(Observaciones[Caso de Prueba],CasoPrueba[[#All],[Código CP]:[Prioridad]],7,TRUE)</f>
        <v>Alta</v>
      </c>
      <c r="E165" s="34" t="s">
        <v>162</v>
      </c>
      <c r="F165" s="34" t="s">
        <v>49</v>
      </c>
      <c r="G165" s="73">
        <v>40807</v>
      </c>
      <c r="H165" s="73">
        <v>40831</v>
      </c>
      <c r="I165" s="94" t="s">
        <v>132</v>
      </c>
      <c r="J165" s="34" t="s">
        <v>625</v>
      </c>
      <c r="K165" s="34" t="s">
        <v>199</v>
      </c>
      <c r="L165" s="34">
        <f>IF((Observaciones[[#This Row],[Fecha Levantamiento]]-Observaciones[[#This Row],[Fecha Detección]])&gt;=0,Observaciones[[#This Row],[Fecha Levantamiento]]-Observaciones[[#This Row],[Fecha Detección]]+1,0)</f>
        <v>25</v>
      </c>
      <c r="M165" s="34" t="str">
        <f>LOOKUP(Observaciones[[#This Row],[Caso de Prueba]],CasoPrueba[Código CP],CasoPrueba[Código de REQ])</f>
        <v>INSPECCIÓN</v>
      </c>
    </row>
    <row r="166" spans="1:13" ht="30" hidden="1">
      <c r="A166" s="166" t="s">
        <v>533</v>
      </c>
      <c r="B166" s="34" t="s">
        <v>614</v>
      </c>
      <c r="C166" s="34" t="str">
        <f>VLOOKUP(Observaciones[[#This Row],[Caso de Prueba]],CasoPrueba[[Código CP]:[Descripción Caso de Prueba]],3,0)</f>
        <v>MP - Gestión de Imagen Institucional y Donaciones</v>
      </c>
      <c r="D166" s="34" t="str">
        <f>VLOOKUP(Observaciones[Caso de Prueba],CasoPrueba[[#All],[Código CP]:[Prioridad]],7,TRUE)</f>
        <v>Alta</v>
      </c>
      <c r="E166" s="34" t="s">
        <v>28</v>
      </c>
      <c r="F166" s="34" t="s">
        <v>49</v>
      </c>
      <c r="G166" s="73">
        <v>40807</v>
      </c>
      <c r="H166" s="73">
        <v>40831</v>
      </c>
      <c r="I166" s="94" t="s">
        <v>132</v>
      </c>
      <c r="J166" s="34" t="s">
        <v>584</v>
      </c>
      <c r="K166" s="34" t="s">
        <v>819</v>
      </c>
      <c r="L166" s="34">
        <f>IF((Observaciones[[#This Row],[Fecha Levantamiento]]-Observaciones[[#This Row],[Fecha Detección]])&gt;=0,Observaciones[[#This Row],[Fecha Levantamiento]]-Observaciones[[#This Row],[Fecha Detección]]+1,0)</f>
        <v>25</v>
      </c>
      <c r="M166" s="34" t="str">
        <f>LOOKUP(Observaciones[[#This Row],[Caso de Prueba]],CasoPrueba[Código CP],CasoPrueba[Código de REQ])</f>
        <v>INSPECCIÓN</v>
      </c>
    </row>
    <row r="167" spans="1:13" ht="90" hidden="1">
      <c r="A167" s="166" t="s">
        <v>534</v>
      </c>
      <c r="B167" s="34" t="s">
        <v>614</v>
      </c>
      <c r="C167" s="34" t="str">
        <f>VLOOKUP(Observaciones[[#This Row],[Caso de Prueba]],CasoPrueba[[Código CP]:[Descripción Caso de Prueba]],3,0)</f>
        <v>MP - Gestión de Imagen Institucional y Donaciones</v>
      </c>
      <c r="D167" s="34" t="str">
        <f>VLOOKUP(Observaciones[Caso de Prueba],CasoPrueba[[#All],[Código CP]:[Prioridad]],7,TRUE)</f>
        <v>Alta</v>
      </c>
      <c r="E167" s="34" t="s">
        <v>29</v>
      </c>
      <c r="F167" s="34" t="s">
        <v>49</v>
      </c>
      <c r="G167" s="73">
        <v>40807</v>
      </c>
      <c r="H167" s="73">
        <v>40831</v>
      </c>
      <c r="I167" s="94" t="s">
        <v>132</v>
      </c>
      <c r="J167" s="34" t="s">
        <v>599</v>
      </c>
      <c r="K167" s="34" t="s">
        <v>840</v>
      </c>
      <c r="L167" s="34">
        <f>IF((Observaciones[[#This Row],[Fecha Levantamiento]]-Observaciones[[#This Row],[Fecha Detección]])&gt;=0,Observaciones[[#This Row],[Fecha Levantamiento]]-Observaciones[[#This Row],[Fecha Detección]]+1,0)</f>
        <v>25</v>
      </c>
      <c r="M167" s="34" t="str">
        <f>LOOKUP(Observaciones[[#This Row],[Caso de Prueba]],CasoPrueba[Código CP],CasoPrueba[Código de REQ])</f>
        <v>INSPECCIÓN</v>
      </c>
    </row>
    <row r="168" spans="1:13" ht="30" hidden="1">
      <c r="A168" s="166" t="s">
        <v>535</v>
      </c>
      <c r="B168" s="34" t="s">
        <v>614</v>
      </c>
      <c r="C168" s="34" t="str">
        <f>VLOOKUP(Observaciones[[#This Row],[Caso de Prueba]],CasoPrueba[[Código CP]:[Descripción Caso de Prueba]],3,0)</f>
        <v>MP - Gestión de Imagen Institucional y Donaciones</v>
      </c>
      <c r="D168" s="34" t="str">
        <f>VLOOKUP(Observaciones[Caso de Prueba],CasoPrueba[[#All],[Código CP]:[Prioridad]],7,TRUE)</f>
        <v>Alta</v>
      </c>
      <c r="E168" s="34" t="s">
        <v>162</v>
      </c>
      <c r="F168" s="34" t="s">
        <v>49</v>
      </c>
      <c r="G168" s="73">
        <v>40807</v>
      </c>
      <c r="H168" s="73">
        <v>40831</v>
      </c>
      <c r="I168" s="94" t="s">
        <v>132</v>
      </c>
      <c r="J168" s="34" t="s">
        <v>634</v>
      </c>
      <c r="K168" s="34" t="s">
        <v>467</v>
      </c>
      <c r="L168" s="34">
        <f>IF((Observaciones[[#This Row],[Fecha Levantamiento]]-Observaciones[[#This Row],[Fecha Detección]])&gt;=0,Observaciones[[#This Row],[Fecha Levantamiento]]-Observaciones[[#This Row],[Fecha Detección]]+1,0)</f>
        <v>25</v>
      </c>
      <c r="M168" s="34" t="str">
        <f>LOOKUP(Observaciones[[#This Row],[Caso de Prueba]],CasoPrueba[Código CP],CasoPrueba[Código de REQ])</f>
        <v>INSPECCIÓN</v>
      </c>
    </row>
    <row r="169" spans="1:13" ht="45" hidden="1">
      <c r="A169" s="166" t="s">
        <v>536</v>
      </c>
      <c r="B169" s="34" t="s">
        <v>614</v>
      </c>
      <c r="C169" s="34" t="str">
        <f>VLOOKUP(Observaciones[[#This Row],[Caso de Prueba]],CasoPrueba[[Código CP]:[Descripción Caso de Prueba]],3,0)</f>
        <v>MP - Gestión de Imagen Institucional y Donaciones</v>
      </c>
      <c r="D169" s="34" t="str">
        <f>VLOOKUP(Observaciones[Caso de Prueba],CasoPrueba[[#All],[Código CP]:[Prioridad]],7,TRUE)</f>
        <v>Alta</v>
      </c>
      <c r="E169" s="34" t="s">
        <v>30</v>
      </c>
      <c r="F169" s="34" t="s">
        <v>49</v>
      </c>
      <c r="G169" s="73">
        <v>40807</v>
      </c>
      <c r="H169" s="73">
        <v>40831</v>
      </c>
      <c r="I169" s="94" t="s">
        <v>132</v>
      </c>
      <c r="J169" s="34" t="s">
        <v>630</v>
      </c>
      <c r="K169" s="34" t="s">
        <v>841</v>
      </c>
      <c r="L169" s="34">
        <f>IF((Observaciones[[#This Row],[Fecha Levantamiento]]-Observaciones[[#This Row],[Fecha Detección]])&gt;=0,Observaciones[[#This Row],[Fecha Levantamiento]]-Observaciones[[#This Row],[Fecha Detección]]+1,0)</f>
        <v>25</v>
      </c>
      <c r="M169" s="34" t="str">
        <f>LOOKUP(Observaciones[[#This Row],[Caso de Prueba]],CasoPrueba[Código CP],CasoPrueba[Código de REQ])</f>
        <v>INSPECCIÓN</v>
      </c>
    </row>
    <row r="170" spans="1:13" ht="45" hidden="1">
      <c r="A170" s="166" t="s">
        <v>537</v>
      </c>
      <c r="B170" s="34" t="s">
        <v>614</v>
      </c>
      <c r="C170" s="34" t="str">
        <f>VLOOKUP(Observaciones[[#This Row],[Caso de Prueba]],CasoPrueba[[Código CP]:[Descripción Caso de Prueba]],3,0)</f>
        <v>MP - Gestión de Imagen Institucional y Donaciones</v>
      </c>
      <c r="D170" s="34" t="str">
        <f>VLOOKUP(Observaciones[Caso de Prueba],CasoPrueba[[#All],[Código CP]:[Prioridad]],7,TRUE)</f>
        <v>Alta</v>
      </c>
      <c r="E170" s="34" t="s">
        <v>162</v>
      </c>
      <c r="F170" s="34" t="s">
        <v>49</v>
      </c>
      <c r="G170" s="73">
        <v>40807</v>
      </c>
      <c r="H170" s="73">
        <v>40831</v>
      </c>
      <c r="I170" s="94" t="s">
        <v>132</v>
      </c>
      <c r="J170" s="34" t="s">
        <v>627</v>
      </c>
      <c r="K170" s="34" t="s">
        <v>842</v>
      </c>
      <c r="L170" s="34">
        <f>IF((Observaciones[[#This Row],[Fecha Levantamiento]]-Observaciones[[#This Row],[Fecha Detección]])&gt;=0,Observaciones[[#This Row],[Fecha Levantamiento]]-Observaciones[[#This Row],[Fecha Detección]]+1,0)</f>
        <v>25</v>
      </c>
      <c r="M170" s="34" t="str">
        <f>LOOKUP(Observaciones[[#This Row],[Caso de Prueba]],CasoPrueba[Código CP],CasoPrueba[Código de REQ])</f>
        <v>INSPECCIÓN</v>
      </c>
    </row>
    <row r="171" spans="1:13" ht="30" hidden="1">
      <c r="A171" s="166" t="s">
        <v>538</v>
      </c>
      <c r="B171" s="34" t="s">
        <v>614</v>
      </c>
      <c r="C171" s="34" t="str">
        <f>VLOOKUP(Observaciones[[#This Row],[Caso de Prueba]],CasoPrueba[[Código CP]:[Descripción Caso de Prueba]],3,0)</f>
        <v>MP - Gestión de Imagen Institucional y Donaciones</v>
      </c>
      <c r="D171" s="34" t="str">
        <f>VLOOKUP(Observaciones[Caso de Prueba],CasoPrueba[[#All],[Código CP]:[Prioridad]],7,TRUE)</f>
        <v>Alta</v>
      </c>
      <c r="E171" s="34" t="s">
        <v>162</v>
      </c>
      <c r="F171" s="34" t="s">
        <v>49</v>
      </c>
      <c r="G171" s="73">
        <v>40807</v>
      </c>
      <c r="H171" s="73">
        <v>40831</v>
      </c>
      <c r="I171" s="94" t="s">
        <v>132</v>
      </c>
      <c r="J171" s="34" t="s">
        <v>628</v>
      </c>
      <c r="K171" s="34" t="s">
        <v>467</v>
      </c>
      <c r="L171" s="34">
        <f>IF((Observaciones[[#This Row],[Fecha Levantamiento]]-Observaciones[[#This Row],[Fecha Detección]])&gt;=0,Observaciones[[#This Row],[Fecha Levantamiento]]-Observaciones[[#This Row],[Fecha Detección]]+1,0)</f>
        <v>25</v>
      </c>
      <c r="M171" s="34" t="str">
        <f>LOOKUP(Observaciones[[#This Row],[Caso de Prueba]],CasoPrueba[Código CP],CasoPrueba[Código de REQ])</f>
        <v>INSPECCIÓN</v>
      </c>
    </row>
    <row r="172" spans="1:13" ht="45" hidden="1">
      <c r="A172" s="166" t="s">
        <v>539</v>
      </c>
      <c r="B172" s="34" t="s">
        <v>614</v>
      </c>
      <c r="C172" s="34" t="str">
        <f>VLOOKUP(Observaciones[[#This Row],[Caso de Prueba]],CasoPrueba[[Código CP]:[Descripción Caso de Prueba]],3,0)</f>
        <v>MP - Gestión de Imagen Institucional y Donaciones</v>
      </c>
      <c r="D172" s="34" t="str">
        <f>VLOOKUP(Observaciones[Caso de Prueba],CasoPrueba[[#All],[Código CP]:[Prioridad]],7,TRUE)</f>
        <v>Alta</v>
      </c>
      <c r="E172" s="34" t="s">
        <v>162</v>
      </c>
      <c r="F172" s="34" t="s">
        <v>49</v>
      </c>
      <c r="G172" s="73">
        <v>40807</v>
      </c>
      <c r="H172" s="73">
        <v>40831</v>
      </c>
      <c r="I172" s="94" t="s">
        <v>132</v>
      </c>
      <c r="J172" s="34" t="s">
        <v>629</v>
      </c>
      <c r="K172" s="34" t="s">
        <v>467</v>
      </c>
      <c r="L172" s="34">
        <f>IF((Observaciones[[#This Row],[Fecha Levantamiento]]-Observaciones[[#This Row],[Fecha Detección]])&gt;=0,Observaciones[[#This Row],[Fecha Levantamiento]]-Observaciones[[#This Row],[Fecha Detección]]+1,0)</f>
        <v>25</v>
      </c>
      <c r="M172" s="34" t="str">
        <f>LOOKUP(Observaciones[[#This Row],[Caso de Prueba]],CasoPrueba[Código CP],CasoPrueba[Código de REQ])</f>
        <v>INSPECCIÓN</v>
      </c>
    </row>
    <row r="173" spans="1:13" ht="30" hidden="1">
      <c r="A173" s="166" t="s">
        <v>540</v>
      </c>
      <c r="B173" s="34" t="s">
        <v>614</v>
      </c>
      <c r="C173" s="34" t="str">
        <f>VLOOKUP(Observaciones[[#This Row],[Caso de Prueba]],CasoPrueba[[Código CP]:[Descripción Caso de Prueba]],3,0)</f>
        <v>MP - Gestión de Imagen Institucional y Donaciones</v>
      </c>
      <c r="D173" s="34" t="str">
        <f>VLOOKUP(Observaciones[Caso de Prueba],CasoPrueba[[#All],[Código CP]:[Prioridad]],7,TRUE)</f>
        <v>Alta</v>
      </c>
      <c r="E173" s="34" t="s">
        <v>162</v>
      </c>
      <c r="F173" s="34" t="s">
        <v>49</v>
      </c>
      <c r="G173" s="73">
        <v>40807</v>
      </c>
      <c r="H173" s="73">
        <v>40831</v>
      </c>
      <c r="I173" s="94" t="s">
        <v>132</v>
      </c>
      <c r="J173" s="34" t="s">
        <v>631</v>
      </c>
      <c r="K173" s="34" t="s">
        <v>199</v>
      </c>
      <c r="L173" s="34">
        <f>IF((Observaciones[[#This Row],[Fecha Levantamiento]]-Observaciones[[#This Row],[Fecha Detección]])&gt;=0,Observaciones[[#This Row],[Fecha Levantamiento]]-Observaciones[[#This Row],[Fecha Detección]]+1,0)</f>
        <v>25</v>
      </c>
      <c r="M173" s="34" t="str">
        <f>LOOKUP(Observaciones[[#This Row],[Caso de Prueba]],CasoPrueba[Código CP],CasoPrueba[Código de REQ])</f>
        <v>INSPECCIÓN</v>
      </c>
    </row>
    <row r="174" spans="1:13" ht="45" hidden="1">
      <c r="A174" s="166" t="s">
        <v>541</v>
      </c>
      <c r="B174" s="34" t="s">
        <v>614</v>
      </c>
      <c r="C174" s="34" t="str">
        <f>VLOOKUP(Observaciones[[#This Row],[Caso de Prueba]],CasoPrueba[[Código CP]:[Descripción Caso de Prueba]],3,0)</f>
        <v>MP - Gestión de Imagen Institucional y Donaciones</v>
      </c>
      <c r="D174" s="34" t="str">
        <f>VLOOKUP(Observaciones[Caso de Prueba],CasoPrueba[[#All],[Código CP]:[Prioridad]],7,TRUE)</f>
        <v>Alta</v>
      </c>
      <c r="E174" s="34" t="s">
        <v>29</v>
      </c>
      <c r="F174" s="34" t="s">
        <v>49</v>
      </c>
      <c r="G174" s="73">
        <v>40807</v>
      </c>
      <c r="H174" s="73">
        <v>40831</v>
      </c>
      <c r="I174" s="94" t="s">
        <v>132</v>
      </c>
      <c r="J174" s="34" t="s">
        <v>632</v>
      </c>
      <c r="K174" s="34" t="s">
        <v>843</v>
      </c>
      <c r="L174" s="34">
        <f>IF((Observaciones[[#This Row],[Fecha Levantamiento]]-Observaciones[[#This Row],[Fecha Detección]])&gt;=0,Observaciones[[#This Row],[Fecha Levantamiento]]-Observaciones[[#This Row],[Fecha Detección]]+1,0)</f>
        <v>25</v>
      </c>
      <c r="M174" s="34" t="str">
        <f>LOOKUP(Observaciones[[#This Row],[Caso de Prueba]],CasoPrueba[Código CP],CasoPrueba[Código de REQ])</f>
        <v>INSPECCIÓN</v>
      </c>
    </row>
    <row r="175" spans="1:13" ht="60" hidden="1">
      <c r="A175" s="166" t="s">
        <v>542</v>
      </c>
      <c r="B175" s="34" t="s">
        <v>614</v>
      </c>
      <c r="C175" s="34" t="str">
        <f>VLOOKUP(Observaciones[[#This Row],[Caso de Prueba]],CasoPrueba[[Código CP]:[Descripción Caso de Prueba]],3,0)</f>
        <v>MP - Gestión de Imagen Institucional y Donaciones</v>
      </c>
      <c r="D175" s="34" t="str">
        <f>VLOOKUP(Observaciones[Caso de Prueba],CasoPrueba[[#All],[Código CP]:[Prioridad]],7,TRUE)</f>
        <v>Alta</v>
      </c>
      <c r="E175" s="34" t="s">
        <v>29</v>
      </c>
      <c r="F175" s="34" t="s">
        <v>49</v>
      </c>
      <c r="G175" s="73">
        <v>40807</v>
      </c>
      <c r="H175" s="73">
        <v>40831</v>
      </c>
      <c r="I175" s="94" t="s">
        <v>132</v>
      </c>
      <c r="J175" s="34" t="s">
        <v>633</v>
      </c>
      <c r="K175" s="34" t="s">
        <v>844</v>
      </c>
      <c r="L175" s="34">
        <f>IF((Observaciones[[#This Row],[Fecha Levantamiento]]-Observaciones[[#This Row],[Fecha Detección]])&gt;=0,Observaciones[[#This Row],[Fecha Levantamiento]]-Observaciones[[#This Row],[Fecha Detección]]+1,0)</f>
        <v>25</v>
      </c>
      <c r="M175" s="34" t="str">
        <f>LOOKUP(Observaciones[[#This Row],[Caso de Prueba]],CasoPrueba[Código CP],CasoPrueba[Código de REQ])</f>
        <v>INSPECCIÓN</v>
      </c>
    </row>
    <row r="176" spans="1:13" ht="45" hidden="1">
      <c r="A176" s="166" t="s">
        <v>543</v>
      </c>
      <c r="B176" s="34" t="s">
        <v>616</v>
      </c>
      <c r="C176" s="34" t="str">
        <f>VLOOKUP(Observaciones[[#This Row],[Caso de Prueba]],CasoPrueba[[Código CP]:[Descripción Caso de Prueba]],3,0)</f>
        <v>Proceso - Elaboración de Campaña Publicitaria de Imagen Institucional</v>
      </c>
      <c r="D176" s="34" t="str">
        <f>VLOOKUP(Observaciones[Caso de Prueba],CasoPrueba[[#All],[Código CP]:[Prioridad]],7,TRUE)</f>
        <v>Alta</v>
      </c>
      <c r="E176" s="34" t="s">
        <v>29</v>
      </c>
      <c r="F176" s="34" t="s">
        <v>49</v>
      </c>
      <c r="G176" s="73">
        <v>40826</v>
      </c>
      <c r="H176" s="73">
        <v>40831</v>
      </c>
      <c r="I176" s="94" t="s">
        <v>132</v>
      </c>
      <c r="J176" s="34" t="s">
        <v>597</v>
      </c>
      <c r="K176" s="34" t="s">
        <v>830</v>
      </c>
      <c r="L176" s="34">
        <f>IF((Observaciones[[#This Row],[Fecha Levantamiento]]-Observaciones[[#This Row],[Fecha Detección]])&gt;=0,Observaciones[[#This Row],[Fecha Levantamiento]]-Observaciones[[#This Row],[Fecha Detección]]+1,0)</f>
        <v>6</v>
      </c>
      <c r="M176" s="34" t="str">
        <f>LOOKUP(Observaciones[[#This Row],[Caso de Prueba]],CasoPrueba[Código CP],CasoPrueba[Código de REQ])</f>
        <v>INSPECCIÓN</v>
      </c>
    </row>
    <row r="177" spans="1:13" ht="30" hidden="1">
      <c r="A177" s="166" t="s">
        <v>544</v>
      </c>
      <c r="B177" s="34" t="s">
        <v>616</v>
      </c>
      <c r="C177" s="34" t="str">
        <f>VLOOKUP(Observaciones[[#This Row],[Caso de Prueba]],CasoPrueba[[Código CP]:[Descripción Caso de Prueba]],3,0)</f>
        <v>Proceso - Elaboración de Campaña Publicitaria de Imagen Institucional</v>
      </c>
      <c r="D177" s="34" t="str">
        <f>VLOOKUP(Observaciones[Caso de Prueba],CasoPrueba[[#All],[Código CP]:[Prioridad]],7,TRUE)</f>
        <v>Alta</v>
      </c>
      <c r="E177" s="34" t="s">
        <v>28</v>
      </c>
      <c r="F177" s="34" t="s">
        <v>49</v>
      </c>
      <c r="G177" s="73">
        <v>40826</v>
      </c>
      <c r="H177" s="73">
        <v>40831</v>
      </c>
      <c r="I177" s="94" t="s">
        <v>132</v>
      </c>
      <c r="J177" s="34" t="s">
        <v>584</v>
      </c>
      <c r="K177" s="34" t="s">
        <v>832</v>
      </c>
      <c r="L177" s="34">
        <f>IF((Observaciones[[#This Row],[Fecha Levantamiento]]-Observaciones[[#This Row],[Fecha Detección]])&gt;=0,Observaciones[[#This Row],[Fecha Levantamiento]]-Observaciones[[#This Row],[Fecha Detección]]+1,0)</f>
        <v>6</v>
      </c>
      <c r="M177" s="34" t="str">
        <f>LOOKUP(Observaciones[[#This Row],[Caso de Prueba]],CasoPrueba[Código CP],CasoPrueba[Código de REQ])</f>
        <v>INSPECCIÓN</v>
      </c>
    </row>
    <row r="178" spans="1:13" ht="75" hidden="1">
      <c r="A178" s="166" t="s">
        <v>545</v>
      </c>
      <c r="B178" s="34" t="s">
        <v>616</v>
      </c>
      <c r="C178" s="34" t="str">
        <f>VLOOKUP(Observaciones[[#This Row],[Caso de Prueba]],CasoPrueba[[Código CP]:[Descripción Caso de Prueba]],3,0)</f>
        <v>Proceso - Elaboración de Campaña Publicitaria de Imagen Institucional</v>
      </c>
      <c r="D178" s="34" t="str">
        <f>VLOOKUP(Observaciones[Caso de Prueba],CasoPrueba[[#All],[Código CP]:[Prioridad]],7,TRUE)</f>
        <v>Alta</v>
      </c>
      <c r="E178" s="34" t="s">
        <v>28</v>
      </c>
      <c r="F178" s="34" t="s">
        <v>49</v>
      </c>
      <c r="G178" s="73">
        <v>40826</v>
      </c>
      <c r="H178" s="73">
        <v>40831</v>
      </c>
      <c r="I178" s="94" t="s">
        <v>132</v>
      </c>
      <c r="J178" s="34" t="s">
        <v>635</v>
      </c>
      <c r="K178" s="34" t="s">
        <v>845</v>
      </c>
      <c r="L178" s="34">
        <f>IF((Observaciones[[#This Row],[Fecha Levantamiento]]-Observaciones[[#This Row],[Fecha Detección]])&gt;=0,Observaciones[[#This Row],[Fecha Levantamiento]]-Observaciones[[#This Row],[Fecha Detección]]+1,0)</f>
        <v>6</v>
      </c>
      <c r="M178" s="34" t="str">
        <f>LOOKUP(Observaciones[[#This Row],[Caso de Prueba]],CasoPrueba[Código CP],CasoPrueba[Código de REQ])</f>
        <v>INSPECCIÓN</v>
      </c>
    </row>
    <row r="179" spans="1:13" ht="45" hidden="1">
      <c r="A179" s="166" t="s">
        <v>546</v>
      </c>
      <c r="B179" s="34" t="s">
        <v>616</v>
      </c>
      <c r="C179" s="34" t="str">
        <f>VLOOKUP(Observaciones[[#This Row],[Caso de Prueba]],CasoPrueba[[Código CP]:[Descripción Caso de Prueba]],3,0)</f>
        <v>Proceso - Elaboración de Campaña Publicitaria de Imagen Institucional</v>
      </c>
      <c r="D179" s="34" t="str">
        <f>VLOOKUP(Observaciones[Caso de Prueba],CasoPrueba[[#All],[Código CP]:[Prioridad]],7,TRUE)</f>
        <v>Alta</v>
      </c>
      <c r="E179" s="34" t="s">
        <v>30</v>
      </c>
      <c r="F179" s="34" t="s">
        <v>49</v>
      </c>
      <c r="G179" s="73">
        <v>40826</v>
      </c>
      <c r="H179" s="73">
        <v>40831</v>
      </c>
      <c r="I179" s="94" t="s">
        <v>132</v>
      </c>
      <c r="J179" s="34" t="s">
        <v>636</v>
      </c>
      <c r="K179" s="34" t="s">
        <v>846</v>
      </c>
      <c r="L179" s="34">
        <f>IF((Observaciones[[#This Row],[Fecha Levantamiento]]-Observaciones[[#This Row],[Fecha Detección]])&gt;=0,Observaciones[[#This Row],[Fecha Levantamiento]]-Observaciones[[#This Row],[Fecha Detección]]+1,0)</f>
        <v>6</v>
      </c>
      <c r="M179" s="34" t="str">
        <f>LOOKUP(Observaciones[[#This Row],[Caso de Prueba]],CasoPrueba[Código CP],CasoPrueba[Código de REQ])</f>
        <v>INSPECCIÓN</v>
      </c>
    </row>
    <row r="180" spans="1:13" ht="30" hidden="1">
      <c r="A180" s="166" t="s">
        <v>547</v>
      </c>
      <c r="B180" s="34" t="s">
        <v>616</v>
      </c>
      <c r="C180" s="34" t="str">
        <f>VLOOKUP(Observaciones[[#This Row],[Caso de Prueba]],CasoPrueba[[Código CP]:[Descripción Caso de Prueba]],3,0)</f>
        <v>Proceso - Elaboración de Campaña Publicitaria de Imagen Institucional</v>
      </c>
      <c r="D180" s="34" t="str">
        <f>VLOOKUP(Observaciones[Caso de Prueba],CasoPrueba[[#All],[Código CP]:[Prioridad]],7,TRUE)</f>
        <v>Alta</v>
      </c>
      <c r="E180" s="34" t="s">
        <v>29</v>
      </c>
      <c r="F180" s="34" t="s">
        <v>49</v>
      </c>
      <c r="G180" s="73">
        <v>40826</v>
      </c>
      <c r="H180" s="73">
        <v>40831</v>
      </c>
      <c r="I180" s="94" t="s">
        <v>132</v>
      </c>
      <c r="J180" s="34" t="s">
        <v>637</v>
      </c>
      <c r="K180" s="34" t="s">
        <v>847</v>
      </c>
      <c r="L180" s="34">
        <f>IF((Observaciones[[#This Row],[Fecha Levantamiento]]-Observaciones[[#This Row],[Fecha Detección]])&gt;=0,Observaciones[[#This Row],[Fecha Levantamiento]]-Observaciones[[#This Row],[Fecha Detección]]+1,0)</f>
        <v>6</v>
      </c>
      <c r="M180" s="34" t="str">
        <f>LOOKUP(Observaciones[[#This Row],[Caso de Prueba]],CasoPrueba[Código CP],CasoPrueba[Código de REQ])</f>
        <v>INSPECCIÓN</v>
      </c>
    </row>
    <row r="181" spans="1:13" ht="45" hidden="1">
      <c r="A181" s="166" t="s">
        <v>548</v>
      </c>
      <c r="B181" s="34" t="s">
        <v>616</v>
      </c>
      <c r="C181" s="34" t="str">
        <f>VLOOKUP(Observaciones[[#This Row],[Caso de Prueba]],CasoPrueba[[Código CP]:[Descripción Caso de Prueba]],3,0)</f>
        <v>Proceso - Elaboración de Campaña Publicitaria de Imagen Institucional</v>
      </c>
      <c r="D181" s="34" t="str">
        <f>VLOOKUP(Observaciones[Caso de Prueba],CasoPrueba[[#All],[Código CP]:[Prioridad]],7,TRUE)</f>
        <v>Alta</v>
      </c>
      <c r="E181" s="34" t="s">
        <v>30</v>
      </c>
      <c r="F181" s="34" t="s">
        <v>49</v>
      </c>
      <c r="G181" s="73">
        <v>40826</v>
      </c>
      <c r="H181" s="73">
        <v>40831</v>
      </c>
      <c r="I181" s="94" t="s">
        <v>132</v>
      </c>
      <c r="J181" s="34" t="s">
        <v>638</v>
      </c>
      <c r="K181" s="34" t="s">
        <v>848</v>
      </c>
      <c r="L181" s="34">
        <f>IF((Observaciones[[#This Row],[Fecha Levantamiento]]-Observaciones[[#This Row],[Fecha Detección]])&gt;=0,Observaciones[[#This Row],[Fecha Levantamiento]]-Observaciones[[#This Row],[Fecha Detección]]+1,0)</f>
        <v>6</v>
      </c>
      <c r="M181" s="34" t="str">
        <f>LOOKUP(Observaciones[[#This Row],[Caso de Prueba]],CasoPrueba[Código CP],CasoPrueba[Código de REQ])</f>
        <v>INSPECCIÓN</v>
      </c>
    </row>
    <row r="182" spans="1:13" ht="43.5" hidden="1" customHeight="1">
      <c r="A182" s="166" t="s">
        <v>549</v>
      </c>
      <c r="B182" s="34" t="s">
        <v>616</v>
      </c>
      <c r="C182" s="34" t="str">
        <f>VLOOKUP(Observaciones[[#This Row],[Caso de Prueba]],CasoPrueba[[Código CP]:[Descripción Caso de Prueba]],3,0)</f>
        <v>Proceso - Elaboración de Campaña Publicitaria de Imagen Institucional</v>
      </c>
      <c r="D182" s="34" t="str">
        <f>VLOOKUP(Observaciones[Caso de Prueba],CasoPrueba[[#All],[Código CP]:[Prioridad]],7,TRUE)</f>
        <v>Alta</v>
      </c>
      <c r="E182" s="34" t="s">
        <v>30</v>
      </c>
      <c r="F182" s="34" t="s">
        <v>49</v>
      </c>
      <c r="G182" s="73">
        <v>40826</v>
      </c>
      <c r="H182" s="73">
        <v>40831</v>
      </c>
      <c r="I182" s="94" t="s">
        <v>132</v>
      </c>
      <c r="J182" s="34" t="s">
        <v>639</v>
      </c>
      <c r="K182" s="34" t="s">
        <v>849</v>
      </c>
      <c r="L182" s="34">
        <f>IF((Observaciones[[#This Row],[Fecha Levantamiento]]-Observaciones[[#This Row],[Fecha Detección]])&gt;=0,Observaciones[[#This Row],[Fecha Levantamiento]]-Observaciones[[#This Row],[Fecha Detección]]+1,0)</f>
        <v>6</v>
      </c>
      <c r="M182" s="34" t="str">
        <f>LOOKUP(Observaciones[[#This Row],[Caso de Prueba]],CasoPrueba[Código CP],CasoPrueba[Código de REQ])</f>
        <v>INSPECCIÓN</v>
      </c>
    </row>
    <row r="183" spans="1:13" ht="30" hidden="1">
      <c r="A183" s="166" t="s">
        <v>550</v>
      </c>
      <c r="B183" s="34" t="s">
        <v>616</v>
      </c>
      <c r="C183" s="34" t="str">
        <f>VLOOKUP(Observaciones[[#This Row],[Caso de Prueba]],CasoPrueba[[Código CP]:[Descripción Caso de Prueba]],3,0)</f>
        <v>Proceso - Elaboración de Campaña Publicitaria de Imagen Institucional</v>
      </c>
      <c r="D183" s="34" t="str">
        <f>VLOOKUP(Observaciones[Caso de Prueba],CasoPrueba[[#All],[Código CP]:[Prioridad]],7,TRUE)</f>
        <v>Alta</v>
      </c>
      <c r="E183" s="34" t="s">
        <v>29</v>
      </c>
      <c r="F183" s="34" t="s">
        <v>49</v>
      </c>
      <c r="G183" s="73">
        <v>40828</v>
      </c>
      <c r="H183" s="73">
        <v>40831</v>
      </c>
      <c r="I183" s="94" t="s">
        <v>132</v>
      </c>
      <c r="J183" s="34" t="s">
        <v>640</v>
      </c>
      <c r="K183" s="34" t="s">
        <v>850</v>
      </c>
      <c r="L183" s="34">
        <f>IF((Observaciones[[#This Row],[Fecha Levantamiento]]-Observaciones[[#This Row],[Fecha Detección]])&gt;=0,Observaciones[[#This Row],[Fecha Levantamiento]]-Observaciones[[#This Row],[Fecha Detección]]+1,0)</f>
        <v>4</v>
      </c>
      <c r="M183" s="34" t="str">
        <f>LOOKUP(Observaciones[[#This Row],[Caso de Prueba]],CasoPrueba[Código CP],CasoPrueba[Código de REQ])</f>
        <v>INSPECCIÓN</v>
      </c>
    </row>
    <row r="184" spans="1:13" ht="64.5" hidden="1" customHeight="1">
      <c r="A184" s="166" t="s">
        <v>551</v>
      </c>
      <c r="B184" s="34" t="s">
        <v>617</v>
      </c>
      <c r="C184" s="34" t="str">
        <f>VLOOKUP(Observaciones[[#This Row],[Caso de Prueba]],CasoPrueba[[Código CP]:[Descripción Caso de Prueba]],3,0)</f>
        <v>Proceso - Emisión de Cartas</v>
      </c>
      <c r="D184" s="34" t="str">
        <f>VLOOKUP(Observaciones[Caso de Prueba],CasoPrueba[[#All],[Código CP]:[Prioridad]],7,TRUE)</f>
        <v>Alta</v>
      </c>
      <c r="E184" s="34" t="s">
        <v>29</v>
      </c>
      <c r="F184" s="34" t="s">
        <v>49</v>
      </c>
      <c r="G184" s="73">
        <v>40828</v>
      </c>
      <c r="H184" s="73">
        <v>40831</v>
      </c>
      <c r="I184" s="94" t="s">
        <v>132</v>
      </c>
      <c r="J184" s="34" t="s">
        <v>597</v>
      </c>
      <c r="K184" s="34" t="s">
        <v>830</v>
      </c>
      <c r="L184" s="34">
        <f>IF((Observaciones[[#This Row],[Fecha Levantamiento]]-Observaciones[[#This Row],[Fecha Detección]])&gt;=0,Observaciones[[#This Row],[Fecha Levantamiento]]-Observaciones[[#This Row],[Fecha Detección]]+1,0)</f>
        <v>4</v>
      </c>
      <c r="M184" s="34" t="str">
        <f>LOOKUP(Observaciones[[#This Row],[Caso de Prueba]],CasoPrueba[Código CP],CasoPrueba[Código de REQ])</f>
        <v>INSPECCIÓN</v>
      </c>
    </row>
    <row r="185" spans="1:13" ht="45" hidden="1">
      <c r="A185" s="166" t="s">
        <v>552</v>
      </c>
      <c r="B185" s="34" t="s">
        <v>617</v>
      </c>
      <c r="C185" s="34" t="str">
        <f>VLOOKUP(Observaciones[[#This Row],[Caso de Prueba]],CasoPrueba[[Código CP]:[Descripción Caso de Prueba]],3,0)</f>
        <v>Proceso - Emisión de Cartas</v>
      </c>
      <c r="D185" s="34" t="str">
        <f>VLOOKUP(Observaciones[Caso de Prueba],CasoPrueba[[#All],[Código CP]:[Prioridad]],7,TRUE)</f>
        <v>Alta</v>
      </c>
      <c r="E185" s="34" t="s">
        <v>162</v>
      </c>
      <c r="F185" s="34" t="s">
        <v>49</v>
      </c>
      <c r="G185" s="73">
        <v>40828</v>
      </c>
      <c r="H185" s="73">
        <v>40831</v>
      </c>
      <c r="I185" s="94" t="s">
        <v>132</v>
      </c>
      <c r="J185" s="34" t="s">
        <v>641</v>
      </c>
      <c r="K185" s="34" t="s">
        <v>851</v>
      </c>
      <c r="L185" s="34">
        <f>IF((Observaciones[[#This Row],[Fecha Levantamiento]]-Observaciones[[#This Row],[Fecha Detección]])&gt;=0,Observaciones[[#This Row],[Fecha Levantamiento]]-Observaciones[[#This Row],[Fecha Detección]]+1,0)</f>
        <v>4</v>
      </c>
      <c r="M185" s="34" t="str">
        <f>LOOKUP(Observaciones[[#This Row],[Caso de Prueba]],CasoPrueba[Código CP],CasoPrueba[Código de REQ])</f>
        <v>INSPECCIÓN</v>
      </c>
    </row>
    <row r="186" spans="1:13" ht="30" hidden="1">
      <c r="A186" s="166" t="s">
        <v>553</v>
      </c>
      <c r="B186" s="34" t="s">
        <v>617</v>
      </c>
      <c r="C186" s="34" t="str">
        <f>VLOOKUP(Observaciones[[#This Row],[Caso de Prueba]],CasoPrueba[[Código CP]:[Descripción Caso de Prueba]],3,0)</f>
        <v>Proceso - Emisión de Cartas</v>
      </c>
      <c r="D186" s="34" t="str">
        <f>VLOOKUP(Observaciones[Caso de Prueba],CasoPrueba[[#All],[Código CP]:[Prioridad]],7,TRUE)</f>
        <v>Alta</v>
      </c>
      <c r="E186" s="34" t="s">
        <v>29</v>
      </c>
      <c r="F186" s="34" t="s">
        <v>49</v>
      </c>
      <c r="G186" s="73">
        <v>40828</v>
      </c>
      <c r="H186" s="73">
        <v>40831</v>
      </c>
      <c r="I186" s="94" t="s">
        <v>132</v>
      </c>
      <c r="J186" s="34" t="s">
        <v>644</v>
      </c>
      <c r="K186" s="34" t="s">
        <v>852</v>
      </c>
      <c r="L186" s="34">
        <f>IF((Observaciones[[#This Row],[Fecha Levantamiento]]-Observaciones[[#This Row],[Fecha Detección]])&gt;=0,Observaciones[[#This Row],[Fecha Levantamiento]]-Observaciones[[#This Row],[Fecha Detección]]+1,0)</f>
        <v>4</v>
      </c>
      <c r="M186" s="34" t="str">
        <f>LOOKUP(Observaciones[[#This Row],[Caso de Prueba]],CasoPrueba[Código CP],CasoPrueba[Código de REQ])</f>
        <v>INSPECCIÓN</v>
      </c>
    </row>
    <row r="187" spans="1:13" ht="45" hidden="1">
      <c r="A187" s="166" t="s">
        <v>554</v>
      </c>
      <c r="B187" s="34" t="s">
        <v>617</v>
      </c>
      <c r="C187" s="34" t="str">
        <f>VLOOKUP(Observaciones[[#This Row],[Caso de Prueba]],CasoPrueba[[Código CP]:[Descripción Caso de Prueba]],3,0)</f>
        <v>Proceso - Emisión de Cartas</v>
      </c>
      <c r="D187" s="34" t="str">
        <f>VLOOKUP(Observaciones[Caso de Prueba],CasoPrueba[[#All],[Código CP]:[Prioridad]],7,TRUE)</f>
        <v>Alta</v>
      </c>
      <c r="E187" s="34" t="s">
        <v>29</v>
      </c>
      <c r="F187" s="34" t="s">
        <v>49</v>
      </c>
      <c r="G187" s="73">
        <v>40828</v>
      </c>
      <c r="H187" s="73">
        <v>40831</v>
      </c>
      <c r="I187" s="94" t="s">
        <v>132</v>
      </c>
      <c r="J187" s="34" t="s">
        <v>642</v>
      </c>
      <c r="K187" s="34" t="s">
        <v>853</v>
      </c>
      <c r="L187" s="34">
        <f>IF((Observaciones[[#This Row],[Fecha Levantamiento]]-Observaciones[[#This Row],[Fecha Detección]])&gt;=0,Observaciones[[#This Row],[Fecha Levantamiento]]-Observaciones[[#This Row],[Fecha Detección]]+1,0)</f>
        <v>4</v>
      </c>
      <c r="M187" s="34" t="str">
        <f>LOOKUP(Observaciones[[#This Row],[Caso de Prueba]],CasoPrueba[Código CP],CasoPrueba[Código de REQ])</f>
        <v>INSPECCIÓN</v>
      </c>
    </row>
    <row r="188" spans="1:13" ht="57" hidden="1" customHeight="1">
      <c r="A188" s="166" t="s">
        <v>555</v>
      </c>
      <c r="B188" s="34" t="s">
        <v>617</v>
      </c>
      <c r="C188" s="34" t="str">
        <f>VLOOKUP(Observaciones[[#This Row],[Caso de Prueba]],CasoPrueba[[Código CP]:[Descripción Caso de Prueba]],3,0)</f>
        <v>Proceso - Emisión de Cartas</v>
      </c>
      <c r="D188" s="34" t="str">
        <f>VLOOKUP(Observaciones[Caso de Prueba],CasoPrueba[[#All],[Código CP]:[Prioridad]],7,TRUE)</f>
        <v>Alta</v>
      </c>
      <c r="E188" s="34" t="s">
        <v>29</v>
      </c>
      <c r="F188" s="34" t="s">
        <v>49</v>
      </c>
      <c r="G188" s="73">
        <v>40828</v>
      </c>
      <c r="H188" s="73">
        <v>40831</v>
      </c>
      <c r="I188" s="94" t="s">
        <v>132</v>
      </c>
      <c r="J188" s="34" t="s">
        <v>643</v>
      </c>
      <c r="K188" s="34" t="s">
        <v>854</v>
      </c>
      <c r="L188" s="34">
        <f>IF((Observaciones[[#This Row],[Fecha Levantamiento]]-Observaciones[[#This Row],[Fecha Detección]])&gt;=0,Observaciones[[#This Row],[Fecha Levantamiento]]-Observaciones[[#This Row],[Fecha Detección]]+1,0)</f>
        <v>4</v>
      </c>
      <c r="M188" s="34" t="str">
        <f>LOOKUP(Observaciones[[#This Row],[Caso de Prueba]],CasoPrueba[Código CP],CasoPrueba[Código de REQ])</f>
        <v>INSPECCIÓN</v>
      </c>
    </row>
    <row r="189" spans="1:13" ht="30" hidden="1">
      <c r="A189" s="166" t="s">
        <v>556</v>
      </c>
      <c r="B189" s="34" t="s">
        <v>617</v>
      </c>
      <c r="C189" s="34" t="str">
        <f>VLOOKUP(Observaciones[[#This Row],[Caso de Prueba]],CasoPrueba[[Código CP]:[Descripción Caso de Prueba]],3,0)</f>
        <v>Proceso - Emisión de Cartas</v>
      </c>
      <c r="D189" s="34" t="str">
        <f>VLOOKUP(Observaciones[Caso de Prueba],CasoPrueba[[#All],[Código CP]:[Prioridad]],7,TRUE)</f>
        <v>Alta</v>
      </c>
      <c r="E189" s="34" t="s">
        <v>29</v>
      </c>
      <c r="F189" s="34" t="s">
        <v>49</v>
      </c>
      <c r="G189" s="73">
        <v>40828</v>
      </c>
      <c r="H189" s="73">
        <v>40831</v>
      </c>
      <c r="I189" s="94" t="s">
        <v>132</v>
      </c>
      <c r="J189" s="34" t="s">
        <v>645</v>
      </c>
      <c r="K189" s="34" t="s">
        <v>855</v>
      </c>
      <c r="L189" s="34">
        <f>IF((Observaciones[[#This Row],[Fecha Levantamiento]]-Observaciones[[#This Row],[Fecha Detección]])&gt;=0,Observaciones[[#This Row],[Fecha Levantamiento]]-Observaciones[[#This Row],[Fecha Detección]]+1,0)</f>
        <v>4</v>
      </c>
      <c r="M189" s="34" t="str">
        <f>LOOKUP(Observaciones[[#This Row],[Caso de Prueba]],CasoPrueba[Código CP],CasoPrueba[Código de REQ])</f>
        <v>INSPECCIÓN</v>
      </c>
    </row>
    <row r="190" spans="1:13" ht="45" hidden="1">
      <c r="A190" s="166" t="s">
        <v>557</v>
      </c>
      <c r="B190" s="34" t="s">
        <v>618</v>
      </c>
      <c r="C190" s="34" t="str">
        <f>VLOOKUP(Observaciones[[#This Row],[Caso de Prueba]],CasoPrueba[[Código CP]:[Descripción Caso de Prueba]],3,0)</f>
        <v>Proceso - Emisión y Declaración de Certificados de Donación</v>
      </c>
      <c r="D190" s="34" t="str">
        <f>VLOOKUP(Observaciones[Caso de Prueba],CasoPrueba[[#All],[Código CP]:[Prioridad]],7,TRUE)</f>
        <v>Alta</v>
      </c>
      <c r="E190" s="34" t="s">
        <v>29</v>
      </c>
      <c r="F190" s="34" t="s">
        <v>49</v>
      </c>
      <c r="G190" s="73">
        <v>40828</v>
      </c>
      <c r="H190" s="73">
        <v>40831</v>
      </c>
      <c r="I190" s="94" t="s">
        <v>132</v>
      </c>
      <c r="J190" s="34" t="s">
        <v>597</v>
      </c>
      <c r="K190" s="34" t="s">
        <v>830</v>
      </c>
      <c r="L190" s="34">
        <f>IF((Observaciones[[#This Row],[Fecha Levantamiento]]-Observaciones[[#This Row],[Fecha Detección]])&gt;=0,Observaciones[[#This Row],[Fecha Levantamiento]]-Observaciones[[#This Row],[Fecha Detección]]+1,0)</f>
        <v>4</v>
      </c>
      <c r="M190" s="34" t="str">
        <f>LOOKUP(Observaciones[[#This Row],[Caso de Prueba]],CasoPrueba[Código CP],CasoPrueba[Código de REQ])</f>
        <v>INSPECCIÓN</v>
      </c>
    </row>
    <row r="191" spans="1:13" ht="45" hidden="1">
      <c r="A191" s="166" t="s">
        <v>558</v>
      </c>
      <c r="B191" s="34" t="s">
        <v>618</v>
      </c>
      <c r="C191" s="34" t="str">
        <f>VLOOKUP(Observaciones[[#This Row],[Caso de Prueba]],CasoPrueba[[Código CP]:[Descripción Caso de Prueba]],3,0)</f>
        <v>Proceso - Emisión y Declaración de Certificados de Donación</v>
      </c>
      <c r="D191" s="34" t="str">
        <f>VLOOKUP(Observaciones[Caso de Prueba],CasoPrueba[[#All],[Código CP]:[Prioridad]],7,TRUE)</f>
        <v>Alta</v>
      </c>
      <c r="E191" s="34" t="s">
        <v>30</v>
      </c>
      <c r="F191" s="34" t="s">
        <v>49</v>
      </c>
      <c r="G191" s="73">
        <v>40828</v>
      </c>
      <c r="H191" s="73">
        <v>40831</v>
      </c>
      <c r="I191" s="94" t="s">
        <v>132</v>
      </c>
      <c r="J191" s="34" t="s">
        <v>646</v>
      </c>
      <c r="K191" s="34" t="s">
        <v>856</v>
      </c>
      <c r="L191" s="34">
        <f>IF((Observaciones[[#This Row],[Fecha Levantamiento]]-Observaciones[[#This Row],[Fecha Detección]])&gt;=0,Observaciones[[#This Row],[Fecha Levantamiento]]-Observaciones[[#This Row],[Fecha Detección]]+1,0)</f>
        <v>4</v>
      </c>
      <c r="M191" s="34" t="str">
        <f>LOOKUP(Observaciones[[#This Row],[Caso de Prueba]],CasoPrueba[Código CP],CasoPrueba[Código de REQ])</f>
        <v>INSPECCIÓN</v>
      </c>
    </row>
    <row r="192" spans="1:13" ht="45" hidden="1">
      <c r="A192" s="166" t="s">
        <v>559</v>
      </c>
      <c r="B192" s="34" t="s">
        <v>618</v>
      </c>
      <c r="C192" s="34" t="str">
        <f>VLOOKUP(Observaciones[[#This Row],[Caso de Prueba]],CasoPrueba[[Código CP]:[Descripción Caso de Prueba]],3,0)</f>
        <v>Proceso - Emisión y Declaración de Certificados de Donación</v>
      </c>
      <c r="D192" s="34" t="str">
        <f>VLOOKUP(Observaciones[Caso de Prueba],CasoPrueba[[#All],[Código CP]:[Prioridad]],7,TRUE)</f>
        <v>Alta</v>
      </c>
      <c r="E192" s="34" t="s">
        <v>29</v>
      </c>
      <c r="F192" s="34" t="s">
        <v>49</v>
      </c>
      <c r="G192" s="73">
        <v>40828</v>
      </c>
      <c r="H192" s="73">
        <v>40831</v>
      </c>
      <c r="I192" s="94" t="s">
        <v>132</v>
      </c>
      <c r="J192" s="34" t="s">
        <v>648</v>
      </c>
      <c r="K192" s="34" t="s">
        <v>468</v>
      </c>
      <c r="L192" s="34">
        <f>IF((Observaciones[[#This Row],[Fecha Levantamiento]]-Observaciones[[#This Row],[Fecha Detección]])&gt;=0,Observaciones[[#This Row],[Fecha Levantamiento]]-Observaciones[[#This Row],[Fecha Detección]]+1,0)</f>
        <v>4</v>
      </c>
      <c r="M192" s="34" t="str">
        <f>LOOKUP(Observaciones[[#This Row],[Caso de Prueba]],CasoPrueba[Código CP],CasoPrueba[Código de REQ])</f>
        <v>INSPECCIÓN</v>
      </c>
    </row>
    <row r="193" spans="1:13" ht="60" hidden="1">
      <c r="A193" s="166" t="s">
        <v>560</v>
      </c>
      <c r="B193" s="34" t="s">
        <v>618</v>
      </c>
      <c r="C193" s="34" t="str">
        <f>VLOOKUP(Observaciones[[#This Row],[Caso de Prueba]],CasoPrueba[[Código CP]:[Descripción Caso de Prueba]],3,0)</f>
        <v>Proceso - Emisión y Declaración de Certificados de Donación</v>
      </c>
      <c r="D193" s="34" t="str">
        <f>VLOOKUP(Observaciones[Caso de Prueba],CasoPrueba[[#All],[Código CP]:[Prioridad]],7,TRUE)</f>
        <v>Alta</v>
      </c>
      <c r="E193" s="34" t="s">
        <v>28</v>
      </c>
      <c r="F193" s="34" t="s">
        <v>49</v>
      </c>
      <c r="G193" s="73">
        <v>40828</v>
      </c>
      <c r="H193" s="73">
        <v>40831</v>
      </c>
      <c r="I193" s="94" t="s">
        <v>132</v>
      </c>
      <c r="J193" s="34" t="s">
        <v>649</v>
      </c>
      <c r="K193" s="34" t="s">
        <v>857</v>
      </c>
      <c r="L193" s="34">
        <f>IF((Observaciones[[#This Row],[Fecha Levantamiento]]-Observaciones[[#This Row],[Fecha Detección]])&gt;=0,Observaciones[[#This Row],[Fecha Levantamiento]]-Observaciones[[#This Row],[Fecha Detección]]+1,0)</f>
        <v>4</v>
      </c>
      <c r="M193" s="34" t="str">
        <f>LOOKUP(Observaciones[[#This Row],[Caso de Prueba]],CasoPrueba[Código CP],CasoPrueba[Código de REQ])</f>
        <v>INSPECCIÓN</v>
      </c>
    </row>
    <row r="194" spans="1:13" ht="45" hidden="1">
      <c r="A194" s="166" t="s">
        <v>561</v>
      </c>
      <c r="B194" s="34" t="s">
        <v>619</v>
      </c>
      <c r="C194" s="34" t="str">
        <f>VLOOKUP(Observaciones[[#This Row],[Caso de Prueba]],CasoPrueba[[Código CP]:[Descripción Caso de Prueba]],3,0)</f>
        <v>Proceso - Recepción de Donaciones</v>
      </c>
      <c r="D194" s="34" t="str">
        <f>VLOOKUP(Observaciones[Caso de Prueba],CasoPrueba[[#All],[Código CP]:[Prioridad]],7,TRUE)</f>
        <v>Alta</v>
      </c>
      <c r="E194" s="34" t="s">
        <v>29</v>
      </c>
      <c r="F194" s="34" t="s">
        <v>49</v>
      </c>
      <c r="G194" s="73">
        <v>40828</v>
      </c>
      <c r="H194" s="73">
        <v>40831</v>
      </c>
      <c r="I194" s="94" t="s">
        <v>132</v>
      </c>
      <c r="J194" s="34" t="s">
        <v>597</v>
      </c>
      <c r="K194" s="34" t="s">
        <v>830</v>
      </c>
      <c r="L194" s="34">
        <f>IF((Observaciones[[#This Row],[Fecha Levantamiento]]-Observaciones[[#This Row],[Fecha Detección]])&gt;=0,Observaciones[[#This Row],[Fecha Levantamiento]]-Observaciones[[#This Row],[Fecha Detección]]+1,0)</f>
        <v>4</v>
      </c>
      <c r="M194" s="34" t="str">
        <f>LOOKUP(Observaciones[[#This Row],[Caso de Prueba]],CasoPrueba[Código CP],CasoPrueba[Código de REQ])</f>
        <v>INSPECCIÓN</v>
      </c>
    </row>
    <row r="195" spans="1:13" ht="30" hidden="1">
      <c r="A195" s="166" t="s">
        <v>562</v>
      </c>
      <c r="B195" s="34" t="s">
        <v>619</v>
      </c>
      <c r="C195" s="34" t="str">
        <f>VLOOKUP(Observaciones[[#This Row],[Caso de Prueba]],CasoPrueba[[Código CP]:[Descripción Caso de Prueba]],3,0)</f>
        <v>Proceso - Recepción de Donaciones</v>
      </c>
      <c r="D195" s="34" t="str">
        <f>VLOOKUP(Observaciones[Caso de Prueba],CasoPrueba[[#All],[Código CP]:[Prioridad]],7,TRUE)</f>
        <v>Alta</v>
      </c>
      <c r="E195" s="34" t="s">
        <v>162</v>
      </c>
      <c r="F195" s="34" t="s">
        <v>49</v>
      </c>
      <c r="G195" s="73">
        <v>40828</v>
      </c>
      <c r="H195" s="73">
        <v>40831</v>
      </c>
      <c r="I195" s="94" t="s">
        <v>132</v>
      </c>
      <c r="J195" s="34" t="s">
        <v>647</v>
      </c>
      <c r="K195" s="34" t="s">
        <v>386</v>
      </c>
      <c r="L195" s="34">
        <f>IF((Observaciones[[#This Row],[Fecha Levantamiento]]-Observaciones[[#This Row],[Fecha Detección]])&gt;=0,Observaciones[[#This Row],[Fecha Levantamiento]]-Observaciones[[#This Row],[Fecha Detección]]+1,0)</f>
        <v>4</v>
      </c>
      <c r="M195" s="34" t="str">
        <f>LOOKUP(Observaciones[[#This Row],[Caso de Prueba]],CasoPrueba[Código CP],CasoPrueba[Código de REQ])</f>
        <v>INSPECCIÓN</v>
      </c>
    </row>
    <row r="196" spans="1:13" ht="60" hidden="1">
      <c r="A196" s="166" t="s">
        <v>563</v>
      </c>
      <c r="B196" s="34" t="s">
        <v>619</v>
      </c>
      <c r="C196" s="34" t="str">
        <f>VLOOKUP(Observaciones[[#This Row],[Caso de Prueba]],CasoPrueba[[Código CP]:[Descripción Caso de Prueba]],3,0)</f>
        <v>Proceso - Recepción de Donaciones</v>
      </c>
      <c r="D196" s="34" t="str">
        <f>VLOOKUP(Observaciones[Caso de Prueba],CasoPrueba[[#All],[Código CP]:[Prioridad]],7,TRUE)</f>
        <v>Alta</v>
      </c>
      <c r="E196" s="34" t="s">
        <v>28</v>
      </c>
      <c r="F196" s="34" t="s">
        <v>49</v>
      </c>
      <c r="G196" s="73">
        <v>40828</v>
      </c>
      <c r="H196" s="73">
        <v>40831</v>
      </c>
      <c r="I196" s="94" t="s">
        <v>132</v>
      </c>
      <c r="J196" s="34" t="s">
        <v>650</v>
      </c>
      <c r="K196" s="34" t="s">
        <v>857</v>
      </c>
      <c r="L196" s="34">
        <f>IF((Observaciones[[#This Row],[Fecha Levantamiento]]-Observaciones[[#This Row],[Fecha Detección]])&gt;=0,Observaciones[[#This Row],[Fecha Levantamiento]]-Observaciones[[#This Row],[Fecha Detección]]+1,0)</f>
        <v>4</v>
      </c>
      <c r="M196" s="34" t="str">
        <f>LOOKUP(Observaciones[[#This Row],[Caso de Prueba]],CasoPrueba[Código CP],CasoPrueba[Código de REQ])</f>
        <v>INSPECCIÓN</v>
      </c>
    </row>
    <row r="197" spans="1:13" ht="30" hidden="1">
      <c r="A197" s="166" t="s">
        <v>564</v>
      </c>
      <c r="B197" s="34" t="s">
        <v>619</v>
      </c>
      <c r="C197" s="34" t="str">
        <f>VLOOKUP(Observaciones[[#This Row],[Caso de Prueba]],CasoPrueba[[Código CP]:[Descripción Caso de Prueba]],3,0)</f>
        <v>Proceso - Recepción de Donaciones</v>
      </c>
      <c r="D197" s="34" t="str">
        <f>VLOOKUP(Observaciones[Caso de Prueba],CasoPrueba[[#All],[Código CP]:[Prioridad]],7,TRUE)</f>
        <v>Alta</v>
      </c>
      <c r="E197" s="34" t="s">
        <v>29</v>
      </c>
      <c r="F197" s="34" t="s">
        <v>49</v>
      </c>
      <c r="G197" s="73">
        <v>40828</v>
      </c>
      <c r="H197" s="73">
        <v>40831</v>
      </c>
      <c r="I197" s="94" t="s">
        <v>132</v>
      </c>
      <c r="J197" s="34" t="s">
        <v>651</v>
      </c>
      <c r="K197" s="34" t="s">
        <v>858</v>
      </c>
      <c r="L197" s="34">
        <f>IF((Observaciones[[#This Row],[Fecha Levantamiento]]-Observaciones[[#This Row],[Fecha Detección]])&gt;=0,Observaciones[[#This Row],[Fecha Levantamiento]]-Observaciones[[#This Row],[Fecha Detección]]+1,0)</f>
        <v>4</v>
      </c>
      <c r="M197" s="34" t="str">
        <f>LOOKUP(Observaciones[[#This Row],[Caso de Prueba]],CasoPrueba[Código CP],CasoPrueba[Código de REQ])</f>
        <v>INSPECCIÓN</v>
      </c>
    </row>
    <row r="198" spans="1:13" ht="90" hidden="1">
      <c r="A198" s="166" t="s">
        <v>565</v>
      </c>
      <c r="B198" s="34" t="s">
        <v>619</v>
      </c>
      <c r="C198" s="34" t="str">
        <f>VLOOKUP(Observaciones[[#This Row],[Caso de Prueba]],CasoPrueba[[Código CP]:[Descripción Caso de Prueba]],3,0)</f>
        <v>Proceso - Recepción de Donaciones</v>
      </c>
      <c r="D198" s="34" t="str">
        <f>VLOOKUP(Observaciones[Caso de Prueba],CasoPrueba[[#All],[Código CP]:[Prioridad]],7,TRUE)</f>
        <v>Alta</v>
      </c>
      <c r="E198" s="34" t="s">
        <v>29</v>
      </c>
      <c r="F198" s="34" t="s">
        <v>49</v>
      </c>
      <c r="G198" s="73">
        <v>40828</v>
      </c>
      <c r="H198" s="73">
        <v>40831</v>
      </c>
      <c r="I198" s="94" t="s">
        <v>132</v>
      </c>
      <c r="J198" s="34" t="s">
        <v>599</v>
      </c>
      <c r="K198" s="34" t="s">
        <v>817</v>
      </c>
      <c r="L198" s="34">
        <f>IF((Observaciones[[#This Row],[Fecha Levantamiento]]-Observaciones[[#This Row],[Fecha Detección]])&gt;=0,Observaciones[[#This Row],[Fecha Levantamiento]]-Observaciones[[#This Row],[Fecha Detección]]+1,0)</f>
        <v>4</v>
      </c>
      <c r="M198" s="34" t="str">
        <f>LOOKUP(Observaciones[[#This Row],[Caso de Prueba]],CasoPrueba[Código CP],CasoPrueba[Código de REQ])</f>
        <v>INSPECCIÓN</v>
      </c>
    </row>
    <row r="199" spans="1:13" ht="45" hidden="1">
      <c r="A199" s="166" t="s">
        <v>566</v>
      </c>
      <c r="B199" s="34" t="s">
        <v>619</v>
      </c>
      <c r="C199" s="34" t="str">
        <f>VLOOKUP(Observaciones[[#This Row],[Caso de Prueba]],CasoPrueba[[Código CP]:[Descripción Caso de Prueba]],3,0)</f>
        <v>Proceso - Recepción de Donaciones</v>
      </c>
      <c r="D199" s="34" t="str">
        <f>VLOOKUP(Observaciones[Caso de Prueba],CasoPrueba[[#All],[Código CP]:[Prioridad]],7,TRUE)</f>
        <v>Alta</v>
      </c>
      <c r="E199" s="34" t="s">
        <v>162</v>
      </c>
      <c r="F199" s="34" t="s">
        <v>49</v>
      </c>
      <c r="G199" s="73">
        <v>40828</v>
      </c>
      <c r="H199" s="73">
        <v>40831</v>
      </c>
      <c r="I199" s="94" t="s">
        <v>132</v>
      </c>
      <c r="J199" s="34" t="s">
        <v>652</v>
      </c>
      <c r="K199" s="34" t="s">
        <v>823</v>
      </c>
      <c r="L199" s="34">
        <f>IF((Observaciones[[#This Row],[Fecha Levantamiento]]-Observaciones[[#This Row],[Fecha Detección]])&gt;=0,Observaciones[[#This Row],[Fecha Levantamiento]]-Observaciones[[#This Row],[Fecha Detección]]+1,0)</f>
        <v>4</v>
      </c>
      <c r="M199" s="34" t="str">
        <f>LOOKUP(Observaciones[[#This Row],[Caso de Prueba]],CasoPrueba[Código CP],CasoPrueba[Código de REQ])</f>
        <v>INSPECCIÓN</v>
      </c>
    </row>
    <row r="200" spans="1:13" ht="45" hidden="1">
      <c r="A200" s="166" t="s">
        <v>567</v>
      </c>
      <c r="B200" s="34" t="s">
        <v>653</v>
      </c>
      <c r="C200" s="34" t="str">
        <f>VLOOKUP(Observaciones[[#This Row],[Caso de Prueba]],CasoPrueba[[Código CP]:[Descripción Caso de Prueba]],3,0)</f>
        <v>MacroProceso - Gestión de Abastecimiento</v>
      </c>
      <c r="D200" s="34" t="str">
        <f>VLOOKUP(Observaciones[Caso de Prueba],CasoPrueba[[#All],[Código CP]:[Prioridad]],7,TRUE)</f>
        <v>Alta</v>
      </c>
      <c r="E200" s="34" t="s">
        <v>162</v>
      </c>
      <c r="F200" s="34" t="s">
        <v>49</v>
      </c>
      <c r="G200" s="73">
        <v>40829</v>
      </c>
      <c r="H200" s="73">
        <v>40831</v>
      </c>
      <c r="I200" s="94" t="s">
        <v>132</v>
      </c>
      <c r="J200" s="34" t="s">
        <v>803</v>
      </c>
      <c r="K200" s="34" t="s">
        <v>859</v>
      </c>
      <c r="L200" s="34">
        <f>IF((Observaciones[[#This Row],[Fecha Levantamiento]]-Observaciones[[#This Row],[Fecha Detección]])&gt;=0,Observaciones[[#This Row],[Fecha Levantamiento]]-Observaciones[[#This Row],[Fecha Detección]]+1,0)</f>
        <v>3</v>
      </c>
      <c r="M200" s="34" t="str">
        <f>LOOKUP(Observaciones[[#This Row],[Caso de Prueba]],CasoPrueba[Código CP],CasoPrueba[Código de REQ])</f>
        <v>INSPECCIÓN</v>
      </c>
    </row>
    <row r="201" spans="1:13" ht="30" hidden="1">
      <c r="A201" s="166" t="s">
        <v>568</v>
      </c>
      <c r="B201" s="34" t="s">
        <v>653</v>
      </c>
      <c r="C201" s="34" t="str">
        <f>VLOOKUP(Observaciones[[#This Row],[Caso de Prueba]],CasoPrueba[[Código CP]:[Descripción Caso de Prueba]],3,0)</f>
        <v>MacroProceso - Gestión de Abastecimiento</v>
      </c>
      <c r="D201" s="34" t="str">
        <f>VLOOKUP(Observaciones[Caso de Prueba],CasoPrueba[[#All],[Código CP]:[Prioridad]],7,TRUE)</f>
        <v>Alta</v>
      </c>
      <c r="E201" s="34" t="s">
        <v>28</v>
      </c>
      <c r="F201" s="34" t="s">
        <v>49</v>
      </c>
      <c r="G201" s="73">
        <v>40829</v>
      </c>
      <c r="H201" s="73">
        <v>40831</v>
      </c>
      <c r="I201" s="94" t="s">
        <v>132</v>
      </c>
      <c r="J201" s="34" t="s">
        <v>584</v>
      </c>
      <c r="K201" s="34" t="s">
        <v>860</v>
      </c>
      <c r="L201" s="34">
        <f>IF((Observaciones[[#This Row],[Fecha Levantamiento]]-Observaciones[[#This Row],[Fecha Detección]])&gt;=0,Observaciones[[#This Row],[Fecha Levantamiento]]-Observaciones[[#This Row],[Fecha Detección]]+1,0)</f>
        <v>3</v>
      </c>
      <c r="M201" s="34" t="str">
        <f>LOOKUP(Observaciones[[#This Row],[Caso de Prueba]],CasoPrueba[Código CP],CasoPrueba[Código de REQ])</f>
        <v>INSPECCIÓN</v>
      </c>
    </row>
    <row r="202" spans="1:13" ht="45" hidden="1">
      <c r="A202" s="166" t="s">
        <v>569</v>
      </c>
      <c r="B202" s="34" t="s">
        <v>653</v>
      </c>
      <c r="C202" s="34" t="str">
        <f>VLOOKUP(Observaciones[[#This Row],[Caso de Prueba]],CasoPrueba[[Código CP]:[Descripción Caso de Prueba]],3,0)</f>
        <v>MacroProceso - Gestión de Abastecimiento</v>
      </c>
      <c r="D202" s="34" t="str">
        <f>VLOOKUP(Observaciones[Caso de Prueba],CasoPrueba[[#All],[Código CP]:[Prioridad]],7,TRUE)</f>
        <v>Alta</v>
      </c>
      <c r="E202" s="34" t="s">
        <v>29</v>
      </c>
      <c r="F202" s="34" t="s">
        <v>49</v>
      </c>
      <c r="G202" s="73">
        <v>40829</v>
      </c>
      <c r="H202" s="73">
        <v>40831</v>
      </c>
      <c r="I202" s="94" t="s">
        <v>132</v>
      </c>
      <c r="J202" s="34" t="s">
        <v>804</v>
      </c>
      <c r="K202" s="34" t="s">
        <v>861</v>
      </c>
      <c r="L202" s="34">
        <f>IF((Observaciones[[#This Row],[Fecha Levantamiento]]-Observaciones[[#This Row],[Fecha Detección]])&gt;=0,Observaciones[[#This Row],[Fecha Levantamiento]]-Observaciones[[#This Row],[Fecha Detección]]+1,0)</f>
        <v>3</v>
      </c>
      <c r="M202" s="34" t="str">
        <f>LOOKUP(Observaciones[[#This Row],[Caso de Prueba]],CasoPrueba[Código CP],CasoPrueba[Código de REQ])</f>
        <v>INSPECCIÓN</v>
      </c>
    </row>
    <row r="203" spans="1:13" ht="30" hidden="1">
      <c r="A203" s="166" t="s">
        <v>570</v>
      </c>
      <c r="B203" s="34" t="s">
        <v>653</v>
      </c>
      <c r="C203" s="34" t="str">
        <f>VLOOKUP(Observaciones[[#This Row],[Caso de Prueba]],CasoPrueba[[Código CP]:[Descripción Caso de Prueba]],3,0)</f>
        <v>MacroProceso - Gestión de Abastecimiento</v>
      </c>
      <c r="D203" s="34" t="str">
        <f>VLOOKUP(Observaciones[Caso de Prueba],CasoPrueba[[#All],[Código CP]:[Prioridad]],7,TRUE)</f>
        <v>Alta</v>
      </c>
      <c r="E203" s="34" t="s">
        <v>29</v>
      </c>
      <c r="F203" s="34" t="s">
        <v>49</v>
      </c>
      <c r="G203" s="73">
        <v>40829</v>
      </c>
      <c r="H203" s="73">
        <v>40831</v>
      </c>
      <c r="I203" s="94" t="s">
        <v>132</v>
      </c>
      <c r="J203" s="34" t="s">
        <v>805</v>
      </c>
      <c r="K203" s="34" t="s">
        <v>862</v>
      </c>
      <c r="L203" s="34">
        <f>IF((Observaciones[[#This Row],[Fecha Levantamiento]]-Observaciones[[#This Row],[Fecha Detección]])&gt;=0,Observaciones[[#This Row],[Fecha Levantamiento]]-Observaciones[[#This Row],[Fecha Detección]]+1,0)</f>
        <v>3</v>
      </c>
      <c r="M203" s="34" t="str">
        <f>LOOKUP(Observaciones[[#This Row],[Caso de Prueba]],CasoPrueba[Código CP],CasoPrueba[Código de REQ])</f>
        <v>INSPECCIÓN</v>
      </c>
    </row>
    <row r="204" spans="1:13" ht="30" hidden="1">
      <c r="A204" s="166" t="s">
        <v>571</v>
      </c>
      <c r="B204" s="34" t="s">
        <v>653</v>
      </c>
      <c r="C204" s="34" t="str">
        <f>VLOOKUP(Observaciones[[#This Row],[Caso de Prueba]],CasoPrueba[[Código CP]:[Descripción Caso de Prueba]],3,0)</f>
        <v>MacroProceso - Gestión de Abastecimiento</v>
      </c>
      <c r="D204" s="34" t="str">
        <f>VLOOKUP(Observaciones[Caso de Prueba],CasoPrueba[[#All],[Código CP]:[Prioridad]],7,TRUE)</f>
        <v>Alta</v>
      </c>
      <c r="E204" s="34" t="s">
        <v>30</v>
      </c>
      <c r="F204" s="34" t="s">
        <v>49</v>
      </c>
      <c r="G204" s="73">
        <v>40829</v>
      </c>
      <c r="H204" s="73">
        <v>40831</v>
      </c>
      <c r="I204" s="94" t="s">
        <v>132</v>
      </c>
      <c r="J204" s="34" t="s">
        <v>806</v>
      </c>
      <c r="K204" s="34" t="s">
        <v>863</v>
      </c>
      <c r="L204" s="34">
        <f>IF((Observaciones[[#This Row],[Fecha Levantamiento]]-Observaciones[[#This Row],[Fecha Detección]])&gt;=0,Observaciones[[#This Row],[Fecha Levantamiento]]-Observaciones[[#This Row],[Fecha Detección]]+1,0)</f>
        <v>3</v>
      </c>
      <c r="M204" s="34" t="str">
        <f>LOOKUP(Observaciones[[#This Row],[Caso de Prueba]],CasoPrueba[Código CP],CasoPrueba[Código de REQ])</f>
        <v>INSPECCIÓN</v>
      </c>
    </row>
    <row r="205" spans="1:13" ht="45" hidden="1">
      <c r="A205" s="166" t="s">
        <v>572</v>
      </c>
      <c r="B205" s="34" t="s">
        <v>653</v>
      </c>
      <c r="C205" s="34" t="str">
        <f>VLOOKUP(Observaciones[[#This Row],[Caso de Prueba]],CasoPrueba[[Código CP]:[Descripción Caso de Prueba]],3,0)</f>
        <v>MacroProceso - Gestión de Abastecimiento</v>
      </c>
      <c r="D205" s="34" t="str">
        <f>VLOOKUP(Observaciones[Caso de Prueba],CasoPrueba[[#All],[Código CP]:[Prioridad]],7,TRUE)</f>
        <v>Alta</v>
      </c>
      <c r="E205" s="34" t="s">
        <v>162</v>
      </c>
      <c r="F205" s="34" t="s">
        <v>49</v>
      </c>
      <c r="G205" s="73">
        <v>40829</v>
      </c>
      <c r="H205" s="73">
        <v>40831</v>
      </c>
      <c r="I205" s="94" t="s">
        <v>132</v>
      </c>
      <c r="J205" s="34" t="s">
        <v>807</v>
      </c>
      <c r="K205" s="34" t="s">
        <v>467</v>
      </c>
      <c r="L205" s="34">
        <f>IF((Observaciones[[#This Row],[Fecha Levantamiento]]-Observaciones[[#This Row],[Fecha Detección]])&gt;=0,Observaciones[[#This Row],[Fecha Levantamiento]]-Observaciones[[#This Row],[Fecha Detección]]+1,0)</f>
        <v>3</v>
      </c>
      <c r="M205" s="34" t="str">
        <f>LOOKUP(Observaciones[[#This Row],[Caso de Prueba]],CasoPrueba[Código CP],CasoPrueba[Código de REQ])</f>
        <v>INSPECCIÓN</v>
      </c>
    </row>
    <row r="206" spans="1:13" ht="45" hidden="1">
      <c r="A206" s="166" t="s">
        <v>573</v>
      </c>
      <c r="B206" s="34" t="s">
        <v>653</v>
      </c>
      <c r="C206" s="34" t="str">
        <f>VLOOKUP(Observaciones[[#This Row],[Caso de Prueba]],CasoPrueba[[Código CP]:[Descripción Caso de Prueba]],3,0)</f>
        <v>MacroProceso - Gestión de Abastecimiento</v>
      </c>
      <c r="D206" s="34" t="str">
        <f>VLOOKUP(Observaciones[Caso de Prueba],CasoPrueba[[#All],[Código CP]:[Prioridad]],7,TRUE)</f>
        <v>Alta</v>
      </c>
      <c r="E206" s="34" t="s">
        <v>29</v>
      </c>
      <c r="F206" s="34" t="s">
        <v>49</v>
      </c>
      <c r="G206" s="73">
        <v>40829</v>
      </c>
      <c r="H206" s="73">
        <v>40831</v>
      </c>
      <c r="I206" s="94" t="s">
        <v>132</v>
      </c>
      <c r="J206" s="34" t="s">
        <v>879</v>
      </c>
      <c r="K206" s="34" t="s">
        <v>864</v>
      </c>
      <c r="L206" s="34">
        <f>IF((Observaciones[[#This Row],[Fecha Levantamiento]]-Observaciones[[#This Row],[Fecha Detección]])&gt;=0,Observaciones[[#This Row],[Fecha Levantamiento]]-Observaciones[[#This Row],[Fecha Detección]]+1,0)</f>
        <v>3</v>
      </c>
      <c r="M206" s="34" t="str">
        <f>LOOKUP(Observaciones[[#This Row],[Caso de Prueba]],CasoPrueba[Código CP],CasoPrueba[Código de REQ])</f>
        <v>INSPECCIÓN</v>
      </c>
    </row>
    <row r="207" spans="1:13" ht="30" hidden="1">
      <c r="A207" s="166" t="s">
        <v>574</v>
      </c>
      <c r="B207" s="34" t="s">
        <v>653</v>
      </c>
      <c r="C207" s="34" t="str">
        <f>VLOOKUP(Observaciones[[#This Row],[Caso de Prueba]],CasoPrueba[[Código CP]:[Descripción Caso de Prueba]],3,0)</f>
        <v>MacroProceso - Gestión de Abastecimiento</v>
      </c>
      <c r="D207" s="34" t="str">
        <f>VLOOKUP(Observaciones[Caso de Prueba],CasoPrueba[[#All],[Código CP]:[Prioridad]],7,TRUE)</f>
        <v>Alta</v>
      </c>
      <c r="E207" s="34" t="s">
        <v>29</v>
      </c>
      <c r="F207" s="34" t="s">
        <v>49</v>
      </c>
      <c r="G207" s="73">
        <v>40829</v>
      </c>
      <c r="H207" s="73">
        <v>40831</v>
      </c>
      <c r="I207" s="94" t="s">
        <v>132</v>
      </c>
      <c r="J207" s="34" t="s">
        <v>808</v>
      </c>
      <c r="K207" s="34" t="s">
        <v>865</v>
      </c>
      <c r="L207" s="34">
        <f>IF((Observaciones[[#This Row],[Fecha Levantamiento]]-Observaciones[[#This Row],[Fecha Detección]])&gt;=0,Observaciones[[#This Row],[Fecha Levantamiento]]-Observaciones[[#This Row],[Fecha Detección]]+1,0)</f>
        <v>3</v>
      </c>
      <c r="M207" s="34" t="str">
        <f>LOOKUP(Observaciones[[#This Row],[Caso de Prueba]],CasoPrueba[Código CP],CasoPrueba[Código de REQ])</f>
        <v>INSPECCIÓN</v>
      </c>
    </row>
    <row r="208" spans="1:13" ht="30" hidden="1">
      <c r="A208" s="166" t="s">
        <v>575</v>
      </c>
      <c r="B208" s="34" t="s">
        <v>653</v>
      </c>
      <c r="C208" s="34" t="str">
        <f>VLOOKUP(Observaciones[[#This Row],[Caso de Prueba]],CasoPrueba[[Código CP]:[Descripción Caso de Prueba]],3,0)</f>
        <v>MacroProceso - Gestión de Abastecimiento</v>
      </c>
      <c r="D208" s="34" t="str">
        <f>VLOOKUP(Observaciones[Caso de Prueba],CasoPrueba[[#All],[Código CP]:[Prioridad]],7,TRUE)</f>
        <v>Alta</v>
      </c>
      <c r="E208" s="34" t="s">
        <v>162</v>
      </c>
      <c r="F208" s="34" t="s">
        <v>49</v>
      </c>
      <c r="G208" s="73">
        <v>40829</v>
      </c>
      <c r="H208" s="73">
        <v>40831</v>
      </c>
      <c r="I208" s="94" t="s">
        <v>132</v>
      </c>
      <c r="J208" s="34" t="s">
        <v>809</v>
      </c>
      <c r="K208" s="34" t="s">
        <v>467</v>
      </c>
      <c r="L208" s="34">
        <f>IF((Observaciones[[#This Row],[Fecha Levantamiento]]-Observaciones[[#This Row],[Fecha Detección]])&gt;=0,Observaciones[[#This Row],[Fecha Levantamiento]]-Observaciones[[#This Row],[Fecha Detección]]+1,0)</f>
        <v>3</v>
      </c>
      <c r="M208" s="34" t="str">
        <f>LOOKUP(Observaciones[[#This Row],[Caso de Prueba]],CasoPrueba[Código CP],CasoPrueba[Código de REQ])</f>
        <v>INSPECCIÓN</v>
      </c>
    </row>
    <row r="209" spans="1:13" ht="60" hidden="1">
      <c r="A209" s="166" t="s">
        <v>576</v>
      </c>
      <c r="B209" s="34" t="s">
        <v>653</v>
      </c>
      <c r="C209" s="34" t="str">
        <f>VLOOKUP(Observaciones[[#This Row],[Caso de Prueba]],CasoPrueba[[Código CP]:[Descripción Caso de Prueba]],3,0)</f>
        <v>MacroProceso - Gestión de Abastecimiento</v>
      </c>
      <c r="D209" s="34" t="str">
        <f>VLOOKUP(Observaciones[Caso de Prueba],CasoPrueba[[#All],[Código CP]:[Prioridad]],7,TRUE)</f>
        <v>Alta</v>
      </c>
      <c r="E209" s="34" t="s">
        <v>30</v>
      </c>
      <c r="F209" s="34" t="s">
        <v>49</v>
      </c>
      <c r="G209" s="73">
        <v>40829</v>
      </c>
      <c r="H209" s="73">
        <v>40831</v>
      </c>
      <c r="I209" s="94" t="s">
        <v>132</v>
      </c>
      <c r="J209" s="34" t="s">
        <v>880</v>
      </c>
      <c r="K209" s="34" t="s">
        <v>866</v>
      </c>
      <c r="L209" s="34">
        <f>IF((Observaciones[[#This Row],[Fecha Levantamiento]]-Observaciones[[#This Row],[Fecha Detección]])&gt;=0,Observaciones[[#This Row],[Fecha Levantamiento]]-Observaciones[[#This Row],[Fecha Detección]]+1,0)</f>
        <v>3</v>
      </c>
      <c r="M209" s="34" t="str">
        <f>LOOKUP(Observaciones[[#This Row],[Caso de Prueba]],CasoPrueba[Código CP],CasoPrueba[Código de REQ])</f>
        <v>INSPECCIÓN</v>
      </c>
    </row>
    <row r="210" spans="1:13" ht="30" hidden="1">
      <c r="A210" s="166" t="s">
        <v>577</v>
      </c>
      <c r="B210" s="34" t="s">
        <v>653</v>
      </c>
      <c r="C210" s="34" t="str">
        <f>VLOOKUP(Observaciones[[#This Row],[Caso de Prueba]],CasoPrueba[[Código CP]:[Descripción Caso de Prueba]],3,0)</f>
        <v>MacroProceso - Gestión de Abastecimiento</v>
      </c>
      <c r="D210" s="34" t="str">
        <f>VLOOKUP(Observaciones[Caso de Prueba],CasoPrueba[[#All],[Código CP]:[Prioridad]],7,TRUE)</f>
        <v>Alta</v>
      </c>
      <c r="E210" s="34" t="s">
        <v>30</v>
      </c>
      <c r="F210" s="34" t="s">
        <v>49</v>
      </c>
      <c r="G210" s="73">
        <v>40829</v>
      </c>
      <c r="H210" s="73">
        <v>40831</v>
      </c>
      <c r="I210" s="94" t="s">
        <v>132</v>
      </c>
      <c r="J210" s="34" t="s">
        <v>810</v>
      </c>
      <c r="K210" s="34" t="s">
        <v>867</v>
      </c>
      <c r="L210" s="34">
        <f>IF((Observaciones[[#This Row],[Fecha Levantamiento]]-Observaciones[[#This Row],[Fecha Detección]])&gt;=0,Observaciones[[#This Row],[Fecha Levantamiento]]-Observaciones[[#This Row],[Fecha Detección]]+1,0)</f>
        <v>3</v>
      </c>
      <c r="M210" s="34" t="str">
        <f>LOOKUP(Observaciones[[#This Row],[Caso de Prueba]],CasoPrueba[Código CP],CasoPrueba[Código de REQ])</f>
        <v>INSPECCIÓN</v>
      </c>
    </row>
    <row r="211" spans="1:13" ht="30" hidden="1">
      <c r="A211" s="166" t="s">
        <v>578</v>
      </c>
      <c r="B211" s="34" t="s">
        <v>653</v>
      </c>
      <c r="C211" s="34" t="str">
        <f>VLOOKUP(Observaciones[[#This Row],[Caso de Prueba]],CasoPrueba[[Código CP]:[Descripción Caso de Prueba]],3,0)</f>
        <v>MacroProceso - Gestión de Abastecimiento</v>
      </c>
      <c r="D211" s="34" t="str">
        <f>VLOOKUP(Observaciones[Caso de Prueba],CasoPrueba[[#All],[Código CP]:[Prioridad]],7,TRUE)</f>
        <v>Alta</v>
      </c>
      <c r="E211" s="34" t="s">
        <v>162</v>
      </c>
      <c r="F211" s="34" t="s">
        <v>49</v>
      </c>
      <c r="G211" s="73">
        <v>40829</v>
      </c>
      <c r="H211" s="73">
        <v>40831</v>
      </c>
      <c r="I211" s="94" t="s">
        <v>132</v>
      </c>
      <c r="J211" s="34" t="s">
        <v>811</v>
      </c>
      <c r="K211" s="34" t="s">
        <v>467</v>
      </c>
      <c r="L211" s="34">
        <f>IF((Observaciones[[#This Row],[Fecha Levantamiento]]-Observaciones[[#This Row],[Fecha Detección]])&gt;=0,Observaciones[[#This Row],[Fecha Levantamiento]]-Observaciones[[#This Row],[Fecha Detección]]+1,0)</f>
        <v>3</v>
      </c>
      <c r="M211" s="34" t="str">
        <f>LOOKUP(Observaciones[[#This Row],[Caso de Prueba]],CasoPrueba[Código CP],CasoPrueba[Código de REQ])</f>
        <v>INSPECCIÓN</v>
      </c>
    </row>
    <row r="212" spans="1:13" ht="45" hidden="1">
      <c r="A212" s="166" t="s">
        <v>579</v>
      </c>
      <c r="B212" s="34" t="s">
        <v>654</v>
      </c>
      <c r="C212" s="34" t="str">
        <f>VLOOKUP(Observaciones[[#This Row],[Caso de Prueba]],CasoPrueba[[Código CP]:[Descripción Caso de Prueba]],3,0)</f>
        <v>Proceso - Inventariado de Talleres de Educación Técnica</v>
      </c>
      <c r="D212" s="34" t="str">
        <f>VLOOKUP(Observaciones[Caso de Prueba],CasoPrueba[[#All],[Código CP]:[Prioridad]],7,TRUE)</f>
        <v>Alta</v>
      </c>
      <c r="E212" s="34" t="s">
        <v>29</v>
      </c>
      <c r="F212" s="34" t="s">
        <v>49</v>
      </c>
      <c r="G212" s="73">
        <v>40830</v>
      </c>
      <c r="H212" s="73">
        <v>40831</v>
      </c>
      <c r="I212" s="94" t="s">
        <v>132</v>
      </c>
      <c r="J212" s="34" t="s">
        <v>597</v>
      </c>
      <c r="K212" s="34" t="s">
        <v>830</v>
      </c>
      <c r="L212" s="34">
        <f>IF((Observaciones[[#This Row],[Fecha Levantamiento]]-Observaciones[[#This Row],[Fecha Detección]])&gt;=0,Observaciones[[#This Row],[Fecha Levantamiento]]-Observaciones[[#This Row],[Fecha Detección]]+1,0)</f>
        <v>2</v>
      </c>
      <c r="M212" s="34" t="str">
        <f>LOOKUP(Observaciones[[#This Row],[Caso de Prueba]],CasoPrueba[Código CP],CasoPrueba[Código de REQ])</f>
        <v>INSPECCIÓN</v>
      </c>
    </row>
    <row r="213" spans="1:13" ht="30" hidden="1">
      <c r="A213" s="166" t="s">
        <v>580</v>
      </c>
      <c r="B213" s="34" t="s">
        <v>654</v>
      </c>
      <c r="C213" s="34" t="str">
        <f>VLOOKUP(Observaciones[[#This Row],[Caso de Prueba]],CasoPrueba[[Código CP]:[Descripción Caso de Prueba]],3,0)</f>
        <v>Proceso - Inventariado de Talleres de Educación Técnica</v>
      </c>
      <c r="D213" s="34" t="str">
        <f>VLOOKUP(Observaciones[Caso de Prueba],CasoPrueba[[#All],[Código CP]:[Prioridad]],7,TRUE)</f>
        <v>Alta</v>
      </c>
      <c r="E213" s="34" t="s">
        <v>28</v>
      </c>
      <c r="F213" s="34" t="s">
        <v>49</v>
      </c>
      <c r="G213" s="73">
        <v>40830</v>
      </c>
      <c r="H213" s="73">
        <v>40831</v>
      </c>
      <c r="I213" s="94" t="s">
        <v>132</v>
      </c>
      <c r="J213" s="34" t="s">
        <v>584</v>
      </c>
      <c r="K213" s="34" t="s">
        <v>832</v>
      </c>
      <c r="L213" s="34">
        <f>IF((Observaciones[[#This Row],[Fecha Levantamiento]]-Observaciones[[#This Row],[Fecha Detección]])&gt;=0,Observaciones[[#This Row],[Fecha Levantamiento]]-Observaciones[[#This Row],[Fecha Detección]]+1,0)</f>
        <v>2</v>
      </c>
      <c r="M213" s="34" t="str">
        <f>LOOKUP(Observaciones[[#This Row],[Caso de Prueba]],CasoPrueba[Código CP],CasoPrueba[Código de REQ])</f>
        <v>INSPECCIÓN</v>
      </c>
    </row>
    <row r="214" spans="1:13" ht="45" hidden="1">
      <c r="A214" s="166" t="s">
        <v>581</v>
      </c>
      <c r="B214" s="34" t="s">
        <v>654</v>
      </c>
      <c r="C214" s="34" t="str">
        <f>VLOOKUP(Observaciones[[#This Row],[Caso de Prueba]],CasoPrueba[[Código CP]:[Descripción Caso de Prueba]],3,0)</f>
        <v>Proceso - Inventariado de Talleres de Educación Técnica</v>
      </c>
      <c r="D214" s="34" t="str">
        <f>VLOOKUP(Observaciones[Caso de Prueba],CasoPrueba[[#All],[Código CP]:[Prioridad]],7,TRUE)</f>
        <v>Alta</v>
      </c>
      <c r="E214" s="34" t="s">
        <v>29</v>
      </c>
      <c r="F214" s="34" t="s">
        <v>49</v>
      </c>
      <c r="G214" s="73">
        <v>40830</v>
      </c>
      <c r="H214" s="73">
        <v>40831</v>
      </c>
      <c r="I214" s="94" t="s">
        <v>132</v>
      </c>
      <c r="J214" s="34" t="s">
        <v>812</v>
      </c>
      <c r="K214" s="34" t="s">
        <v>868</v>
      </c>
      <c r="L214" s="34">
        <f>IF((Observaciones[[#This Row],[Fecha Levantamiento]]-Observaciones[[#This Row],[Fecha Detección]])&gt;=0,Observaciones[[#This Row],[Fecha Levantamiento]]-Observaciones[[#This Row],[Fecha Detección]]+1,0)</f>
        <v>2</v>
      </c>
      <c r="M214" s="34" t="str">
        <f>LOOKUP(Observaciones[[#This Row],[Caso de Prueba]],CasoPrueba[Código CP],CasoPrueba[Código de REQ])</f>
        <v>INSPECCIÓN</v>
      </c>
    </row>
    <row r="215" spans="1:13" ht="30" hidden="1">
      <c r="A215" s="166" t="s">
        <v>582</v>
      </c>
      <c r="B215" s="34" t="s">
        <v>654</v>
      </c>
      <c r="C215" s="34" t="str">
        <f>VLOOKUP(Observaciones[[#This Row],[Caso de Prueba]],CasoPrueba[[Código CP]:[Descripción Caso de Prueba]],3,0)</f>
        <v>Proceso - Inventariado de Talleres de Educación Técnica</v>
      </c>
      <c r="D215" s="34" t="str">
        <f>VLOOKUP(Observaciones[Caso de Prueba],CasoPrueba[[#All],[Código CP]:[Prioridad]],7,TRUE)</f>
        <v>Alta</v>
      </c>
      <c r="E215" s="34" t="s">
        <v>29</v>
      </c>
      <c r="F215" s="34" t="s">
        <v>49</v>
      </c>
      <c r="G215" s="73">
        <v>40830</v>
      </c>
      <c r="H215" s="73">
        <v>40831</v>
      </c>
      <c r="I215" s="94" t="s">
        <v>132</v>
      </c>
      <c r="J215" s="34" t="s">
        <v>813</v>
      </c>
      <c r="K215" s="34" t="s">
        <v>869</v>
      </c>
      <c r="L215" s="34">
        <f>IF((Observaciones[[#This Row],[Fecha Levantamiento]]-Observaciones[[#This Row],[Fecha Detección]])&gt;=0,Observaciones[[#This Row],[Fecha Levantamiento]]-Observaciones[[#This Row],[Fecha Detección]]+1,0)</f>
        <v>2</v>
      </c>
      <c r="M215" s="34" t="str">
        <f>LOOKUP(Observaciones[[#This Row],[Caso de Prueba]],CasoPrueba[Código CP],CasoPrueba[Código de REQ])</f>
        <v>INSPECCIÓN</v>
      </c>
    </row>
    <row r="216" spans="1:13" ht="45" hidden="1">
      <c r="A216" s="166" t="s">
        <v>657</v>
      </c>
      <c r="B216" s="34" t="s">
        <v>654</v>
      </c>
      <c r="C216" s="34" t="str">
        <f>VLOOKUP(Observaciones[[#This Row],[Caso de Prueba]],CasoPrueba[[Código CP]:[Descripción Caso de Prueba]],3,0)</f>
        <v>Proceso - Inventariado de Talleres de Educación Técnica</v>
      </c>
      <c r="D216" s="34" t="str">
        <f>VLOOKUP(Observaciones[Caso de Prueba],CasoPrueba[[#All],[Código CP]:[Prioridad]],7,TRUE)</f>
        <v>Alta</v>
      </c>
      <c r="E216" s="34" t="s">
        <v>162</v>
      </c>
      <c r="F216" s="34" t="s">
        <v>49</v>
      </c>
      <c r="G216" s="73">
        <v>40830</v>
      </c>
      <c r="H216" s="73">
        <v>40831</v>
      </c>
      <c r="I216" s="94" t="s">
        <v>132</v>
      </c>
      <c r="J216" s="34" t="s">
        <v>814</v>
      </c>
      <c r="K216" s="34" t="s">
        <v>199</v>
      </c>
      <c r="L216" s="34">
        <f>IF((Observaciones[[#This Row],[Fecha Levantamiento]]-Observaciones[[#This Row],[Fecha Detección]])&gt;=0,Observaciones[[#This Row],[Fecha Levantamiento]]-Observaciones[[#This Row],[Fecha Detección]]+1,0)</f>
        <v>2</v>
      </c>
      <c r="M216" s="34" t="str">
        <f>LOOKUP(Observaciones[[#This Row],[Caso de Prueba]],CasoPrueba[Código CP],CasoPrueba[Código de REQ])</f>
        <v>INSPECCIÓN</v>
      </c>
    </row>
    <row r="217" spans="1:13" ht="30" hidden="1">
      <c r="A217" s="166" t="s">
        <v>658</v>
      </c>
      <c r="B217" s="34" t="s">
        <v>654</v>
      </c>
      <c r="C217" s="34" t="str">
        <f>VLOOKUP(Observaciones[[#This Row],[Caso de Prueba]],CasoPrueba[[Código CP]:[Descripción Caso de Prueba]],3,0)</f>
        <v>Proceso - Inventariado de Talleres de Educación Técnica</v>
      </c>
      <c r="D217" s="34" t="str">
        <f>VLOOKUP(Observaciones[Caso de Prueba],CasoPrueba[[#All],[Código CP]:[Prioridad]],7,TRUE)</f>
        <v>Alta</v>
      </c>
      <c r="E217" s="34" t="s">
        <v>162</v>
      </c>
      <c r="F217" s="34" t="s">
        <v>49</v>
      </c>
      <c r="G217" s="73">
        <v>40830</v>
      </c>
      <c r="H217" s="73">
        <v>40831</v>
      </c>
      <c r="I217" s="94" t="s">
        <v>132</v>
      </c>
      <c r="J217" s="34" t="s">
        <v>815</v>
      </c>
      <c r="K217" s="34" t="s">
        <v>196</v>
      </c>
      <c r="L217" s="34">
        <f>IF((Observaciones[[#This Row],[Fecha Levantamiento]]-Observaciones[[#This Row],[Fecha Detección]])&gt;=0,Observaciones[[#This Row],[Fecha Levantamiento]]-Observaciones[[#This Row],[Fecha Detección]]+1,0)</f>
        <v>2</v>
      </c>
      <c r="M217" s="34" t="str">
        <f>LOOKUP(Observaciones[[#This Row],[Caso de Prueba]],CasoPrueba[Código CP],CasoPrueba[Código de REQ])</f>
        <v>INSPECCIÓN</v>
      </c>
    </row>
    <row r="218" spans="1:13" ht="90" hidden="1">
      <c r="A218" s="166" t="s">
        <v>659</v>
      </c>
      <c r="B218" s="34" t="s">
        <v>487</v>
      </c>
      <c r="C218" s="34" t="str">
        <f>VLOOKUP(Observaciones[[#This Row],[Caso de Prueba]],CasoPrueba[[Código CP]:[Descripción Caso de Prueba]],3,0)</f>
        <v>MP - Planificación</v>
      </c>
      <c r="D218" s="34" t="str">
        <f>VLOOKUP(Observaciones[Caso de Prueba],CasoPrueba[[#All],[Código CP]:[Prioridad]],7,TRUE)</f>
        <v>Alta</v>
      </c>
      <c r="E218" s="34" t="s">
        <v>28</v>
      </c>
      <c r="F218" s="34" t="s">
        <v>49</v>
      </c>
      <c r="G218" s="73">
        <v>40835</v>
      </c>
      <c r="H218" s="73">
        <v>40843</v>
      </c>
      <c r="I218" s="94" t="s">
        <v>132</v>
      </c>
      <c r="J218" s="34" t="s">
        <v>870</v>
      </c>
      <c r="K218" s="34" t="s">
        <v>954</v>
      </c>
      <c r="L218" s="34">
        <f>IF((Observaciones[[#This Row],[Fecha Levantamiento]]-Observaciones[[#This Row],[Fecha Detección]])&gt;=0,Observaciones[[#This Row],[Fecha Levantamiento]]-Observaciones[[#This Row],[Fecha Detección]]+1,0)</f>
        <v>9</v>
      </c>
      <c r="M218" s="34" t="str">
        <f>LOOKUP(Observaciones[[#This Row],[Caso de Prueba]],CasoPrueba[Código CP],CasoPrueba[Código de REQ])</f>
        <v>INSPECCIÓN</v>
      </c>
    </row>
    <row r="219" spans="1:13" ht="66" hidden="1" customHeight="1">
      <c r="A219" s="166" t="s">
        <v>660</v>
      </c>
      <c r="B219" s="34" t="s">
        <v>488</v>
      </c>
      <c r="C219" s="34" t="str">
        <f>VLOOKUP(Observaciones[[#This Row],[Caso de Prueba]],CasoPrueba[[Código CP]:[Descripción Caso de Prueba]],3,0)</f>
        <v>PROCESO - Elaboración del Plan Operativo Institucional</v>
      </c>
      <c r="D219" s="34" t="str">
        <f>VLOOKUP(Observaciones[Caso de Prueba],CasoPrueba[[#All],[Código CP]:[Prioridad]],7,TRUE)</f>
        <v>Alta</v>
      </c>
      <c r="E219" s="34" t="s">
        <v>28</v>
      </c>
      <c r="F219" s="34" t="s">
        <v>49</v>
      </c>
      <c r="G219" s="73">
        <v>40835</v>
      </c>
      <c r="H219" s="73">
        <v>40843</v>
      </c>
      <c r="I219" s="94" t="s">
        <v>132</v>
      </c>
      <c r="J219" s="34" t="s">
        <v>597</v>
      </c>
      <c r="K219" s="34" t="s">
        <v>955</v>
      </c>
      <c r="L219" s="34">
        <f>IF((Observaciones[[#This Row],[Fecha Levantamiento]]-Observaciones[[#This Row],[Fecha Detección]])&gt;=0,Observaciones[[#This Row],[Fecha Levantamiento]]-Observaciones[[#This Row],[Fecha Detección]]+1,0)</f>
        <v>9</v>
      </c>
      <c r="M219" s="34" t="str">
        <f>LOOKUP(Observaciones[[#This Row],[Caso de Prueba]],CasoPrueba[Código CP],CasoPrueba[Código de REQ])</f>
        <v>INSPECCIÓN</v>
      </c>
    </row>
    <row r="220" spans="1:13" ht="45" hidden="1">
      <c r="A220" s="166" t="s">
        <v>661</v>
      </c>
      <c r="B220" s="34" t="s">
        <v>488</v>
      </c>
      <c r="C220" s="34" t="str">
        <f>VLOOKUP(Observaciones[[#This Row],[Caso de Prueba]],CasoPrueba[[Código CP]:[Descripción Caso de Prueba]],3,0)</f>
        <v>PROCESO - Elaboración del Plan Operativo Institucional</v>
      </c>
      <c r="D220" s="34" t="str">
        <f>VLOOKUP(Observaciones[Caso de Prueba],CasoPrueba[[#All],[Código CP]:[Prioridad]],7,TRUE)</f>
        <v>Alta</v>
      </c>
      <c r="E220" s="34" t="s">
        <v>28</v>
      </c>
      <c r="F220" s="34" t="s">
        <v>49</v>
      </c>
      <c r="G220" s="73">
        <v>40835</v>
      </c>
      <c r="H220" s="73">
        <v>40843</v>
      </c>
      <c r="I220" s="94" t="s">
        <v>132</v>
      </c>
      <c r="J220" s="34" t="s">
        <v>871</v>
      </c>
      <c r="K220" s="34" t="s">
        <v>954</v>
      </c>
      <c r="L220" s="34">
        <f>IF((Observaciones[[#This Row],[Fecha Levantamiento]]-Observaciones[[#This Row],[Fecha Detección]])&gt;=0,Observaciones[[#This Row],[Fecha Levantamiento]]-Observaciones[[#This Row],[Fecha Detección]]+1,0)</f>
        <v>9</v>
      </c>
      <c r="M220" s="34" t="str">
        <f>LOOKUP(Observaciones[[#This Row],[Caso de Prueba]],CasoPrueba[Código CP],CasoPrueba[Código de REQ])</f>
        <v>INSPECCIÓN</v>
      </c>
    </row>
    <row r="221" spans="1:13" ht="45" hidden="1">
      <c r="A221" s="166" t="s">
        <v>662</v>
      </c>
      <c r="B221" s="34" t="s">
        <v>489</v>
      </c>
      <c r="C221" s="34" t="str">
        <f>VLOOKUP(Observaciones[[#This Row],[Caso de Prueba]],CasoPrueba[[Código CP]:[Descripción Caso de Prueba]],3,0)</f>
        <v>PROCESO - Planificación del Departamento de Proyectos</v>
      </c>
      <c r="D221" s="34" t="str">
        <f>VLOOKUP(Observaciones[Caso de Prueba],CasoPrueba[[#All],[Código CP]:[Prioridad]],7,TRUE)</f>
        <v>Alta</v>
      </c>
      <c r="E221" s="34" t="s">
        <v>28</v>
      </c>
      <c r="F221" s="34" t="s">
        <v>49</v>
      </c>
      <c r="G221" s="73">
        <v>40835</v>
      </c>
      <c r="H221" s="73">
        <v>40843</v>
      </c>
      <c r="I221" s="94" t="s">
        <v>132</v>
      </c>
      <c r="J221" s="34" t="s">
        <v>597</v>
      </c>
      <c r="K221" s="34" t="s">
        <v>956</v>
      </c>
      <c r="L221" s="34">
        <f>IF((Observaciones[[#This Row],[Fecha Levantamiento]]-Observaciones[[#This Row],[Fecha Detección]])&gt;=0,Observaciones[[#This Row],[Fecha Levantamiento]]-Observaciones[[#This Row],[Fecha Detección]]+1,0)</f>
        <v>9</v>
      </c>
      <c r="M221" s="34" t="str">
        <f>LOOKUP(Observaciones[[#This Row],[Caso de Prueba]],CasoPrueba[Código CP],CasoPrueba[Código de REQ])</f>
        <v>INSPECCIÓN</v>
      </c>
    </row>
    <row r="222" spans="1:13" ht="45" hidden="1">
      <c r="A222" s="166" t="s">
        <v>663</v>
      </c>
      <c r="B222" s="34" t="s">
        <v>489</v>
      </c>
      <c r="C222" s="34" t="str">
        <f>VLOOKUP(Observaciones[[#This Row],[Caso de Prueba]],CasoPrueba[[Código CP]:[Descripción Caso de Prueba]],3,0)</f>
        <v>PROCESO - Planificación del Departamento de Proyectos</v>
      </c>
      <c r="D222" s="34" t="str">
        <f>VLOOKUP(Observaciones[Caso de Prueba],CasoPrueba[[#All],[Código CP]:[Prioridad]],7,TRUE)</f>
        <v>Alta</v>
      </c>
      <c r="E222" s="34" t="s">
        <v>28</v>
      </c>
      <c r="F222" s="34" t="s">
        <v>49</v>
      </c>
      <c r="G222" s="73">
        <v>40835</v>
      </c>
      <c r="H222" s="73">
        <v>40843</v>
      </c>
      <c r="I222" s="94" t="s">
        <v>132</v>
      </c>
      <c r="J222" s="34" t="s">
        <v>871</v>
      </c>
      <c r="K222" s="34" t="s">
        <v>954</v>
      </c>
      <c r="L222" s="34">
        <f>IF((Observaciones[[#This Row],[Fecha Levantamiento]]-Observaciones[[#This Row],[Fecha Detección]])&gt;=0,Observaciones[[#This Row],[Fecha Levantamiento]]-Observaciones[[#This Row],[Fecha Detección]]+1,0)</f>
        <v>9</v>
      </c>
      <c r="M222" s="34" t="str">
        <f>LOOKUP(Observaciones[[#This Row],[Caso de Prueba]],CasoPrueba[Código CP],CasoPrueba[Código de REQ])</f>
        <v>INSPECCIÓN</v>
      </c>
    </row>
    <row r="223" spans="1:13" ht="45" hidden="1">
      <c r="A223" s="166" t="s">
        <v>664</v>
      </c>
      <c r="B223" s="34" t="s">
        <v>614</v>
      </c>
      <c r="C223" s="34" t="str">
        <f>VLOOKUP(Observaciones[[#This Row],[Caso de Prueba]],CasoPrueba[[Código CP]:[Descripción Caso de Prueba]],3,0)</f>
        <v>MP - Gestión de Imagen Institucional y Donaciones</v>
      </c>
      <c r="D223" s="34" t="str">
        <f>VLOOKUP(Observaciones[Caso de Prueba],CasoPrueba[[#All],[Código CP]:[Prioridad]],7,TRUE)</f>
        <v>Alta</v>
      </c>
      <c r="E223" s="34" t="s">
        <v>28</v>
      </c>
      <c r="F223" s="34" t="s">
        <v>49</v>
      </c>
      <c r="G223" s="73">
        <v>40835</v>
      </c>
      <c r="H223" s="73">
        <v>40843</v>
      </c>
      <c r="I223" s="94" t="s">
        <v>132</v>
      </c>
      <c r="J223" s="34" t="s">
        <v>871</v>
      </c>
      <c r="K223" s="34" t="s">
        <v>985</v>
      </c>
      <c r="L223" s="34">
        <f>IF((Observaciones[[#This Row],[Fecha Levantamiento]]-Observaciones[[#This Row],[Fecha Detección]])&gt;=0,Observaciones[[#This Row],[Fecha Levantamiento]]-Observaciones[[#This Row],[Fecha Detección]]+1,0)</f>
        <v>9</v>
      </c>
      <c r="M223" s="34" t="str">
        <f>LOOKUP(Observaciones[[#This Row],[Caso de Prueba]],CasoPrueba[Código CP],CasoPrueba[Código de REQ])</f>
        <v>INSPECCIÓN</v>
      </c>
    </row>
    <row r="224" spans="1:13" ht="45" hidden="1">
      <c r="A224" s="166" t="s">
        <v>665</v>
      </c>
      <c r="B224" s="34" t="s">
        <v>616</v>
      </c>
      <c r="C224" s="34" t="str">
        <f>VLOOKUP(Observaciones[[#This Row],[Caso de Prueba]],CasoPrueba[[Código CP]:[Descripción Caso de Prueba]],3,0)</f>
        <v>Proceso - Elaboración de Campaña Publicitaria de Imagen Institucional</v>
      </c>
      <c r="D224" s="34" t="str">
        <f>VLOOKUP(Observaciones[Caso de Prueba],CasoPrueba[[#All],[Código CP]:[Prioridad]],7,TRUE)</f>
        <v>Alta</v>
      </c>
      <c r="E224" s="34" t="s">
        <v>28</v>
      </c>
      <c r="F224" s="34" t="s">
        <v>49</v>
      </c>
      <c r="G224" s="73">
        <v>40835</v>
      </c>
      <c r="H224" s="73">
        <v>40843</v>
      </c>
      <c r="I224" s="94" t="s">
        <v>132</v>
      </c>
      <c r="J224" s="34" t="s">
        <v>871</v>
      </c>
      <c r="K224" s="34" t="s">
        <v>985</v>
      </c>
      <c r="L224" s="34">
        <f>IF((Observaciones[[#This Row],[Fecha Levantamiento]]-Observaciones[[#This Row],[Fecha Detección]])&gt;=0,Observaciones[[#This Row],[Fecha Levantamiento]]-Observaciones[[#This Row],[Fecha Detección]]+1,0)</f>
        <v>9</v>
      </c>
      <c r="M224" s="34" t="str">
        <f>LOOKUP(Observaciones[[#This Row],[Caso de Prueba]],CasoPrueba[Código CP],CasoPrueba[Código de REQ])</f>
        <v>INSPECCIÓN</v>
      </c>
    </row>
    <row r="225" spans="1:13" ht="88.5" hidden="1" customHeight="1">
      <c r="A225" s="166" t="s">
        <v>666</v>
      </c>
      <c r="B225" s="34" t="s">
        <v>616</v>
      </c>
      <c r="C225" s="34" t="str">
        <f>VLOOKUP(Observaciones[[#This Row],[Caso de Prueba]],CasoPrueba[[Código CP]:[Descripción Caso de Prueba]],3,0)</f>
        <v>Proceso - Elaboración de Campaña Publicitaria de Imagen Institucional</v>
      </c>
      <c r="D225" s="34" t="str">
        <f>VLOOKUP(Observaciones[Caso de Prueba],CasoPrueba[[#All],[Código CP]:[Prioridad]],7,TRUE)</f>
        <v>Alta</v>
      </c>
      <c r="E225" s="34" t="s">
        <v>28</v>
      </c>
      <c r="F225" s="34" t="s">
        <v>49</v>
      </c>
      <c r="G225" s="73">
        <v>40835</v>
      </c>
      <c r="H225" s="73">
        <v>40843</v>
      </c>
      <c r="I225" s="94" t="s">
        <v>132</v>
      </c>
      <c r="J225" s="34" t="s">
        <v>872</v>
      </c>
      <c r="K225" s="34" t="str">
        <f>VLOOKUP(Observaciones[[#This Row],[Cod. Obs.]],[1]Observaciones!$A$223:$J$238,10,0)</f>
        <v>Se cambió de evento.</v>
      </c>
      <c r="L225" s="34">
        <f>IF((Observaciones[[#This Row],[Fecha Levantamiento]]-Observaciones[[#This Row],[Fecha Detección]])&gt;=0,Observaciones[[#This Row],[Fecha Levantamiento]]-Observaciones[[#This Row],[Fecha Detección]]+1,0)</f>
        <v>9</v>
      </c>
      <c r="M225" s="34" t="str">
        <f>LOOKUP(Observaciones[[#This Row],[Caso de Prueba]],CasoPrueba[Código CP],CasoPrueba[Código de REQ])</f>
        <v>INSPECCIÓN</v>
      </c>
    </row>
    <row r="226" spans="1:13" ht="90" hidden="1">
      <c r="A226" s="166" t="s">
        <v>667</v>
      </c>
      <c r="B226" s="34" t="s">
        <v>616</v>
      </c>
      <c r="C226" s="34" t="str">
        <f>VLOOKUP(Observaciones[[#This Row],[Caso de Prueba]],CasoPrueba[[Código CP]:[Descripción Caso de Prueba]],3,0)</f>
        <v>Proceso - Elaboración de Campaña Publicitaria de Imagen Institucional</v>
      </c>
      <c r="D226" s="34" t="str">
        <f>VLOOKUP(Observaciones[Caso de Prueba],CasoPrueba[[#All],[Código CP]:[Prioridad]],7,TRUE)</f>
        <v>Alta</v>
      </c>
      <c r="E226" s="34" t="s">
        <v>29</v>
      </c>
      <c r="F226" s="34" t="s">
        <v>49</v>
      </c>
      <c r="G226" s="73">
        <v>40835</v>
      </c>
      <c r="H226" s="73">
        <v>40843</v>
      </c>
      <c r="I226" s="94" t="s">
        <v>132</v>
      </c>
      <c r="J226" s="34" t="s">
        <v>599</v>
      </c>
      <c r="K226" s="34" t="str">
        <f>VLOOKUP(Observaciones[[#This Row],[Cod. Obs.]],[1]Observaciones!$A$223:$J$238,10,0)</f>
        <v>Se corrigió la enumeración.</v>
      </c>
      <c r="L226" s="34">
        <f>IF((Observaciones[[#This Row],[Fecha Levantamiento]]-Observaciones[[#This Row],[Fecha Detección]])&gt;=0,Observaciones[[#This Row],[Fecha Levantamiento]]-Observaciones[[#This Row],[Fecha Detección]]+1,0)</f>
        <v>9</v>
      </c>
      <c r="M226" s="34" t="str">
        <f>LOOKUP(Observaciones[[#This Row],[Caso de Prueba]],CasoPrueba[Código CP],CasoPrueba[Código de REQ])</f>
        <v>INSPECCIÓN</v>
      </c>
    </row>
    <row r="227" spans="1:13" ht="45" hidden="1">
      <c r="A227" s="166" t="s">
        <v>668</v>
      </c>
      <c r="B227" s="34" t="s">
        <v>617</v>
      </c>
      <c r="C227" s="34" t="str">
        <f>VLOOKUP(Observaciones[[#This Row],[Caso de Prueba]],CasoPrueba[[Código CP]:[Descripción Caso de Prueba]],3,0)</f>
        <v>Proceso - Emisión de Cartas</v>
      </c>
      <c r="D227" s="34" t="str">
        <f>VLOOKUP(Observaciones[Caso de Prueba],CasoPrueba[[#All],[Código CP]:[Prioridad]],7,TRUE)</f>
        <v>Alta</v>
      </c>
      <c r="E227" s="34" t="s">
        <v>28</v>
      </c>
      <c r="F227" s="34" t="s">
        <v>49</v>
      </c>
      <c r="G227" s="73">
        <v>40835</v>
      </c>
      <c r="H227" s="73">
        <v>40843</v>
      </c>
      <c r="I227" s="94" t="s">
        <v>132</v>
      </c>
      <c r="J227" s="34" t="s">
        <v>597</v>
      </c>
      <c r="K227" s="34" t="s">
        <v>963</v>
      </c>
      <c r="L227" s="34">
        <f>IF((Observaciones[[#This Row],[Fecha Levantamiento]]-Observaciones[[#This Row],[Fecha Detección]])&gt;=0,Observaciones[[#This Row],[Fecha Levantamiento]]-Observaciones[[#This Row],[Fecha Detección]]+1,0)</f>
        <v>9</v>
      </c>
      <c r="M227" s="34" t="str">
        <f>LOOKUP(Observaciones[[#This Row],[Caso de Prueba]],CasoPrueba[Código CP],CasoPrueba[Código de REQ])</f>
        <v>INSPECCIÓN</v>
      </c>
    </row>
    <row r="228" spans="1:13" ht="45" hidden="1">
      <c r="A228" s="166" t="s">
        <v>669</v>
      </c>
      <c r="B228" s="34" t="s">
        <v>618</v>
      </c>
      <c r="C228" s="34" t="str">
        <f>VLOOKUP(Observaciones[[#This Row],[Caso de Prueba]],CasoPrueba[[Código CP]:[Descripción Caso de Prueba]],3,0)</f>
        <v>Proceso - Emisión y Declaración de Certificados de Donación</v>
      </c>
      <c r="D228" s="34" t="str">
        <f>VLOOKUP(Observaciones[Caso de Prueba],CasoPrueba[[#All],[Código CP]:[Prioridad]],7,TRUE)</f>
        <v>Alta</v>
      </c>
      <c r="E228" s="34" t="s">
        <v>28</v>
      </c>
      <c r="F228" s="34" t="s">
        <v>49</v>
      </c>
      <c r="G228" s="73">
        <v>40835</v>
      </c>
      <c r="H228" s="73">
        <v>40843</v>
      </c>
      <c r="I228" s="94" t="s">
        <v>132</v>
      </c>
      <c r="J228" s="34" t="s">
        <v>597</v>
      </c>
      <c r="K228" s="34" t="s">
        <v>964</v>
      </c>
      <c r="L228" s="34">
        <f>IF((Observaciones[[#This Row],[Fecha Levantamiento]]-Observaciones[[#This Row],[Fecha Detección]])&gt;=0,Observaciones[[#This Row],[Fecha Levantamiento]]-Observaciones[[#This Row],[Fecha Detección]]+1,0)</f>
        <v>9</v>
      </c>
      <c r="M228" s="34" t="str">
        <f>LOOKUP(Observaciones[[#This Row],[Caso de Prueba]],CasoPrueba[Código CP],CasoPrueba[Código de REQ])</f>
        <v>INSPECCIÓN</v>
      </c>
    </row>
    <row r="229" spans="1:13" ht="45" hidden="1">
      <c r="A229" s="166" t="s">
        <v>670</v>
      </c>
      <c r="B229" s="34" t="s">
        <v>619</v>
      </c>
      <c r="C229" s="34" t="str">
        <f>VLOOKUP(Observaciones[[#This Row],[Caso de Prueba]],CasoPrueba[[Código CP]:[Descripción Caso de Prueba]],3,0)</f>
        <v>Proceso - Recepción de Donaciones</v>
      </c>
      <c r="D229" s="34" t="str">
        <f>VLOOKUP(Observaciones[Caso de Prueba],CasoPrueba[[#All],[Código CP]:[Prioridad]],7,TRUE)</f>
        <v>Alta</v>
      </c>
      <c r="E229" s="34" t="s">
        <v>28</v>
      </c>
      <c r="F229" s="34" t="s">
        <v>49</v>
      </c>
      <c r="G229" s="73">
        <v>40835</v>
      </c>
      <c r="H229" s="73">
        <v>40843</v>
      </c>
      <c r="I229" s="94" t="s">
        <v>132</v>
      </c>
      <c r="J229" s="34" t="s">
        <v>597</v>
      </c>
      <c r="K229" s="34" t="s">
        <v>962</v>
      </c>
      <c r="L229" s="34">
        <f>IF((Observaciones[[#This Row],[Fecha Levantamiento]]-Observaciones[[#This Row],[Fecha Detección]])&gt;=0,Observaciones[[#This Row],[Fecha Levantamiento]]-Observaciones[[#This Row],[Fecha Detección]]+1,0)</f>
        <v>9</v>
      </c>
      <c r="M229" s="34" t="str">
        <f>LOOKUP(Observaciones[[#This Row],[Caso de Prueba]],CasoPrueba[Código CP],CasoPrueba[Código de REQ])</f>
        <v>INSPECCIÓN</v>
      </c>
    </row>
    <row r="230" spans="1:13" ht="30" hidden="1">
      <c r="A230" s="166" t="s">
        <v>671</v>
      </c>
      <c r="B230" s="34" t="s">
        <v>619</v>
      </c>
      <c r="C230" s="34" t="str">
        <f>VLOOKUP(Observaciones[[#This Row],[Caso de Prueba]],CasoPrueba[[Código CP]:[Descripción Caso de Prueba]],3,0)</f>
        <v>Proceso - Recepción de Donaciones</v>
      </c>
      <c r="D230" s="34" t="str">
        <f>VLOOKUP(Observaciones[Caso de Prueba],CasoPrueba[[#All],[Código CP]:[Prioridad]],7,TRUE)</f>
        <v>Alta</v>
      </c>
      <c r="E230" s="34" t="s">
        <v>29</v>
      </c>
      <c r="F230" s="34" t="s">
        <v>49</v>
      </c>
      <c r="G230" s="73">
        <v>40835</v>
      </c>
      <c r="H230" s="73">
        <v>40843</v>
      </c>
      <c r="I230" s="94" t="s">
        <v>132</v>
      </c>
      <c r="J230" s="34" t="s">
        <v>873</v>
      </c>
      <c r="K230" s="34" t="s">
        <v>957</v>
      </c>
      <c r="L230" s="34">
        <f>IF((Observaciones[[#This Row],[Fecha Levantamiento]]-Observaciones[[#This Row],[Fecha Detección]])&gt;=0,Observaciones[[#This Row],[Fecha Levantamiento]]-Observaciones[[#This Row],[Fecha Detección]]+1,0)</f>
        <v>9</v>
      </c>
      <c r="M230" s="34" t="str">
        <f>LOOKUP(Observaciones[[#This Row],[Caso de Prueba]],CasoPrueba[Código CP],CasoPrueba[Código de REQ])</f>
        <v>INSPECCIÓN</v>
      </c>
    </row>
    <row r="231" spans="1:13" ht="60" hidden="1">
      <c r="A231" s="166" t="s">
        <v>672</v>
      </c>
      <c r="B231" s="34" t="s">
        <v>619</v>
      </c>
      <c r="C231" s="34" t="str">
        <f>VLOOKUP(Observaciones[[#This Row],[Caso de Prueba]],CasoPrueba[[Código CP]:[Descripción Caso de Prueba]],3,0)</f>
        <v>Proceso - Recepción de Donaciones</v>
      </c>
      <c r="D231" s="34" t="str">
        <f>VLOOKUP(Observaciones[Caso de Prueba],CasoPrueba[[#All],[Código CP]:[Prioridad]],7,TRUE)</f>
        <v>Alta</v>
      </c>
      <c r="E231" s="34" t="s">
        <v>29</v>
      </c>
      <c r="F231" s="34" t="s">
        <v>49</v>
      </c>
      <c r="G231" s="73">
        <v>40835</v>
      </c>
      <c r="H231" s="73">
        <v>40843</v>
      </c>
      <c r="I231" s="94" t="s">
        <v>132</v>
      </c>
      <c r="J231" s="34" t="s">
        <v>874</v>
      </c>
      <c r="K231" s="34" t="s">
        <v>958</v>
      </c>
      <c r="L231" s="34">
        <f>IF((Observaciones[[#This Row],[Fecha Levantamiento]]-Observaciones[[#This Row],[Fecha Detección]])&gt;=0,Observaciones[[#This Row],[Fecha Levantamiento]]-Observaciones[[#This Row],[Fecha Detección]]+1,0)</f>
        <v>9</v>
      </c>
      <c r="M231" s="34" t="str">
        <f>LOOKUP(Observaciones[[#This Row],[Caso de Prueba]],CasoPrueba[Código CP],CasoPrueba[Código de REQ])</f>
        <v>INSPECCIÓN</v>
      </c>
    </row>
    <row r="232" spans="1:13" ht="30" hidden="1">
      <c r="A232" s="166" t="s">
        <v>673</v>
      </c>
      <c r="B232" s="34" t="s">
        <v>619</v>
      </c>
      <c r="C232" s="34" t="str">
        <f>VLOOKUP(Observaciones[[#This Row],[Caso de Prueba]],CasoPrueba[[Código CP]:[Descripción Caso de Prueba]],3,0)</f>
        <v>Proceso - Recepción de Donaciones</v>
      </c>
      <c r="D232" s="34" t="str">
        <f>VLOOKUP(Observaciones[Caso de Prueba],CasoPrueba[[#All],[Código CP]:[Prioridad]],7,TRUE)</f>
        <v>Alta</v>
      </c>
      <c r="E232" s="34" t="s">
        <v>29</v>
      </c>
      <c r="F232" s="34" t="s">
        <v>49</v>
      </c>
      <c r="G232" s="73">
        <v>40835</v>
      </c>
      <c r="H232" s="73">
        <v>40843</v>
      </c>
      <c r="I232" s="94" t="s">
        <v>132</v>
      </c>
      <c r="J232" s="34" t="s">
        <v>875</v>
      </c>
      <c r="K232" s="34" t="s">
        <v>397</v>
      </c>
      <c r="L232" s="34">
        <f>IF((Observaciones[[#This Row],[Fecha Levantamiento]]-Observaciones[[#This Row],[Fecha Detección]])&gt;=0,Observaciones[[#This Row],[Fecha Levantamiento]]-Observaciones[[#This Row],[Fecha Detección]]+1,0)</f>
        <v>9</v>
      </c>
      <c r="M232" s="34" t="str">
        <f>LOOKUP(Observaciones[[#This Row],[Caso de Prueba]],CasoPrueba[Código CP],CasoPrueba[Código de REQ])</f>
        <v>INSPECCIÓN</v>
      </c>
    </row>
    <row r="233" spans="1:13" ht="30" hidden="1">
      <c r="A233" s="166" t="s">
        <v>674</v>
      </c>
      <c r="B233" s="34" t="s">
        <v>619</v>
      </c>
      <c r="C233" s="34" t="str">
        <f>VLOOKUP(Observaciones[[#This Row],[Caso de Prueba]],CasoPrueba[[Código CP]:[Descripción Caso de Prueba]],3,0)</f>
        <v>Proceso - Recepción de Donaciones</v>
      </c>
      <c r="D233" s="34" t="str">
        <f>VLOOKUP(Observaciones[Caso de Prueba],CasoPrueba[[#All],[Código CP]:[Prioridad]],7,TRUE)</f>
        <v>Alta</v>
      </c>
      <c r="E233" s="34" t="s">
        <v>29</v>
      </c>
      <c r="F233" s="34" t="s">
        <v>49</v>
      </c>
      <c r="G233" s="73">
        <v>40835</v>
      </c>
      <c r="H233" s="73">
        <v>40843</v>
      </c>
      <c r="I233" s="94" t="s">
        <v>132</v>
      </c>
      <c r="J233" s="34" t="s">
        <v>876</v>
      </c>
      <c r="K233" s="34" t="s">
        <v>959</v>
      </c>
      <c r="L233" s="34">
        <f>IF((Observaciones[[#This Row],[Fecha Levantamiento]]-Observaciones[[#This Row],[Fecha Detección]])&gt;=0,Observaciones[[#This Row],[Fecha Levantamiento]]-Observaciones[[#This Row],[Fecha Detección]]+1,0)</f>
        <v>9</v>
      </c>
      <c r="M233" s="34" t="str">
        <f>LOOKUP(Observaciones[[#This Row],[Caso de Prueba]],CasoPrueba[Código CP],CasoPrueba[Código de REQ])</f>
        <v>INSPECCIÓN</v>
      </c>
    </row>
    <row r="234" spans="1:13" ht="30.75" hidden="1" customHeight="1">
      <c r="A234" s="166" t="s">
        <v>675</v>
      </c>
      <c r="B234" s="34" t="s">
        <v>619</v>
      </c>
      <c r="C234" s="34" t="str">
        <f>VLOOKUP(Observaciones[[#This Row],[Caso de Prueba]],CasoPrueba[[Código CP]:[Descripción Caso de Prueba]],3,0)</f>
        <v>Proceso - Recepción de Donaciones</v>
      </c>
      <c r="D234" s="34" t="str">
        <f>VLOOKUP(Observaciones[Caso de Prueba],CasoPrueba[[#All],[Código CP]:[Prioridad]],7,TRUE)</f>
        <v>Alta</v>
      </c>
      <c r="E234" s="34" t="s">
        <v>29</v>
      </c>
      <c r="F234" s="34" t="s">
        <v>49</v>
      </c>
      <c r="G234" s="73">
        <v>40835</v>
      </c>
      <c r="H234" s="73">
        <v>40843</v>
      </c>
      <c r="I234" s="94" t="s">
        <v>132</v>
      </c>
      <c r="J234" s="34" t="s">
        <v>877</v>
      </c>
      <c r="K234" s="34" t="s">
        <v>960</v>
      </c>
      <c r="L234" s="34">
        <f>IF((Observaciones[[#This Row],[Fecha Levantamiento]]-Observaciones[[#This Row],[Fecha Detección]])&gt;=0,Observaciones[[#This Row],[Fecha Levantamiento]]-Observaciones[[#This Row],[Fecha Detección]]+1,0)</f>
        <v>9</v>
      </c>
      <c r="M234" s="34" t="str">
        <f>LOOKUP(Observaciones[[#This Row],[Caso de Prueba]],CasoPrueba[Código CP],CasoPrueba[Código de REQ])</f>
        <v>INSPECCIÓN</v>
      </c>
    </row>
    <row r="235" spans="1:13" ht="90" hidden="1">
      <c r="A235" s="166" t="s">
        <v>676</v>
      </c>
      <c r="B235" s="34" t="s">
        <v>619</v>
      </c>
      <c r="C235" s="34" t="str">
        <f>VLOOKUP(Observaciones[[#This Row],[Caso de Prueba]],CasoPrueba[[Código CP]:[Descripción Caso de Prueba]],3,0)</f>
        <v>Proceso - Recepción de Donaciones</v>
      </c>
      <c r="D235" s="34" t="str">
        <f>VLOOKUP(Observaciones[Caso de Prueba],CasoPrueba[[#All],[Código CP]:[Prioridad]],7,TRUE)</f>
        <v>Alta</v>
      </c>
      <c r="E235" s="34" t="s">
        <v>29</v>
      </c>
      <c r="F235" s="34" t="s">
        <v>49</v>
      </c>
      <c r="G235" s="73">
        <v>40835</v>
      </c>
      <c r="H235" s="73">
        <v>40843</v>
      </c>
      <c r="I235" s="94" t="s">
        <v>132</v>
      </c>
      <c r="J235" s="34" t="s">
        <v>878</v>
      </c>
      <c r="K235" s="34" t="s">
        <v>961</v>
      </c>
      <c r="L235" s="34">
        <f>IF((Observaciones[[#This Row],[Fecha Levantamiento]]-Observaciones[[#This Row],[Fecha Detección]])&gt;=0,Observaciones[[#This Row],[Fecha Levantamiento]]-Observaciones[[#This Row],[Fecha Detección]]+1,0)</f>
        <v>9</v>
      </c>
      <c r="M235" s="34" t="str">
        <f>LOOKUP(Observaciones[[#This Row],[Caso de Prueba]],CasoPrueba[Código CP],CasoPrueba[Código de REQ])</f>
        <v>INSPECCIÓN</v>
      </c>
    </row>
    <row r="236" spans="1:13" ht="45" hidden="1">
      <c r="A236" s="166" t="s">
        <v>677</v>
      </c>
      <c r="B236" s="34" t="s">
        <v>653</v>
      </c>
      <c r="C236" s="34" t="str">
        <f>VLOOKUP(Observaciones[[#This Row],[Caso de Prueba]],CasoPrueba[[Código CP]:[Descripción Caso de Prueba]],3,0)</f>
        <v>MacroProceso - Gestión de Abastecimiento</v>
      </c>
      <c r="D236" s="34" t="str">
        <f>VLOOKUP(Observaciones[Caso de Prueba],CasoPrueba[[#All],[Código CP]:[Prioridad]],7,TRUE)</f>
        <v>Alta</v>
      </c>
      <c r="E236" s="34" t="s">
        <v>28</v>
      </c>
      <c r="F236" s="34" t="s">
        <v>49</v>
      </c>
      <c r="G236" s="73">
        <v>40835</v>
      </c>
      <c r="H236" s="73">
        <v>40843</v>
      </c>
      <c r="I236" s="94" t="s">
        <v>132</v>
      </c>
      <c r="J236" s="34" t="s">
        <v>871</v>
      </c>
      <c r="K236" s="34" t="s">
        <v>985</v>
      </c>
      <c r="L236" s="34">
        <f>IF((Observaciones[[#This Row],[Fecha Levantamiento]]-Observaciones[[#This Row],[Fecha Detección]])&gt;=0,Observaciones[[#This Row],[Fecha Levantamiento]]-Observaciones[[#This Row],[Fecha Detección]]+1,0)</f>
        <v>9</v>
      </c>
      <c r="M236" s="34" t="str">
        <f>LOOKUP(Observaciones[[#This Row],[Caso de Prueba]],CasoPrueba[Código CP],CasoPrueba[Código de REQ])</f>
        <v>INSPECCIÓN</v>
      </c>
    </row>
    <row r="237" spans="1:13" ht="45" hidden="1">
      <c r="A237" s="166" t="s">
        <v>678</v>
      </c>
      <c r="B237" s="34" t="s">
        <v>654</v>
      </c>
      <c r="C237" s="34" t="str">
        <f>VLOOKUP(Observaciones[[#This Row],[Caso de Prueba]],CasoPrueba[[Código CP]:[Descripción Caso de Prueba]],3,0)</f>
        <v>Proceso - Inventariado de Talleres de Educación Técnica</v>
      </c>
      <c r="D237" s="34" t="str">
        <f>VLOOKUP(Observaciones[Caso de Prueba],CasoPrueba[[#All],[Código CP]:[Prioridad]],7,TRUE)</f>
        <v>Alta</v>
      </c>
      <c r="E237" s="34" t="s">
        <v>28</v>
      </c>
      <c r="F237" s="34" t="s">
        <v>49</v>
      </c>
      <c r="G237" s="73">
        <v>40835</v>
      </c>
      <c r="H237" s="73">
        <v>40843</v>
      </c>
      <c r="I237" s="94" t="s">
        <v>132</v>
      </c>
      <c r="J237" s="34" t="s">
        <v>597</v>
      </c>
      <c r="K237" s="34" t="s">
        <v>985</v>
      </c>
      <c r="L237" s="34">
        <f>IF((Observaciones[[#This Row],[Fecha Levantamiento]]-Observaciones[[#This Row],[Fecha Detección]])&gt;=0,Observaciones[[#This Row],[Fecha Levantamiento]]-Observaciones[[#This Row],[Fecha Detección]]+1,0)</f>
        <v>9</v>
      </c>
      <c r="M237" s="34" t="str">
        <f>LOOKUP(Observaciones[[#This Row],[Caso de Prueba]],CasoPrueba[Código CP],CasoPrueba[Código de REQ])</f>
        <v>INSPECCIÓN</v>
      </c>
    </row>
    <row r="238" spans="1:13" ht="45" hidden="1">
      <c r="A238" s="166" t="s">
        <v>679</v>
      </c>
      <c r="B238" s="34" t="s">
        <v>654</v>
      </c>
      <c r="C238" s="34" t="str">
        <f>VLOOKUP(Observaciones[[#This Row],[Caso de Prueba]],CasoPrueba[[Código CP]:[Descripción Caso de Prueba]],3,0)</f>
        <v>Proceso - Inventariado de Talleres de Educación Técnica</v>
      </c>
      <c r="D238" s="34" t="str">
        <f>VLOOKUP(Observaciones[Caso de Prueba],CasoPrueba[[#All],[Código CP]:[Prioridad]],7,TRUE)</f>
        <v>Alta</v>
      </c>
      <c r="E238" s="34" t="s">
        <v>28</v>
      </c>
      <c r="F238" s="34" t="s">
        <v>49</v>
      </c>
      <c r="G238" s="73">
        <v>40835</v>
      </c>
      <c r="H238" s="73">
        <v>40843</v>
      </c>
      <c r="I238" s="94" t="s">
        <v>132</v>
      </c>
      <c r="J238" s="34" t="s">
        <v>871</v>
      </c>
      <c r="K238" s="34" t="s">
        <v>985</v>
      </c>
      <c r="L238" s="34">
        <f>IF((Observaciones[[#This Row],[Fecha Levantamiento]]-Observaciones[[#This Row],[Fecha Detección]])&gt;=0,Observaciones[[#This Row],[Fecha Levantamiento]]-Observaciones[[#This Row],[Fecha Detección]]+1,0)</f>
        <v>9</v>
      </c>
      <c r="M238" s="34" t="str">
        <f>LOOKUP(Observaciones[[#This Row],[Caso de Prueba]],CasoPrueba[Código CP],CasoPrueba[Código de REQ])</f>
        <v>INSPECCIÓN</v>
      </c>
    </row>
    <row r="239" spans="1:13" ht="60" hidden="1">
      <c r="A239" s="166" t="s">
        <v>680</v>
      </c>
      <c r="B239" s="34" t="s">
        <v>886</v>
      </c>
      <c r="C239" s="34" t="str">
        <f>VLOOKUP(Observaciones[[#This Row],[Caso de Prueba]],CasoPrueba[[Código CP]:[Descripción Caso de Prueba]],3,0)</f>
        <v>MP - Gestión de Proyectos</v>
      </c>
      <c r="D239" s="34" t="str">
        <f>VLOOKUP(Observaciones[Caso de Prueba],CasoPrueba[[#All],[Código CP]:[Prioridad]],7,TRUE)</f>
        <v>Alta</v>
      </c>
      <c r="E239" s="34" t="s">
        <v>162</v>
      </c>
      <c r="F239" s="34" t="s">
        <v>49</v>
      </c>
      <c r="G239" s="73">
        <v>40838</v>
      </c>
      <c r="H239" s="73">
        <v>40843</v>
      </c>
      <c r="I239" s="94" t="s">
        <v>132</v>
      </c>
      <c r="J239" s="34" t="s">
        <v>906</v>
      </c>
      <c r="K239" s="34" t="s">
        <v>965</v>
      </c>
      <c r="L239" s="34">
        <f>IF((Observaciones[[#This Row],[Fecha Levantamiento]]-Observaciones[[#This Row],[Fecha Detección]])&gt;=0,Observaciones[[#This Row],[Fecha Levantamiento]]-Observaciones[[#This Row],[Fecha Detección]]+1,0)</f>
        <v>6</v>
      </c>
      <c r="M239" s="34" t="str">
        <f>LOOKUP(Observaciones[[#This Row],[Caso de Prueba]],CasoPrueba[Código CP],CasoPrueba[Código de REQ])</f>
        <v>INSPECCIÓN</v>
      </c>
    </row>
    <row r="240" spans="1:13" ht="46.5" hidden="1" customHeight="1">
      <c r="A240" s="166" t="s">
        <v>681</v>
      </c>
      <c r="B240" s="34" t="s">
        <v>886</v>
      </c>
      <c r="C240" s="34" t="str">
        <f>VLOOKUP(Observaciones[[#This Row],[Caso de Prueba]],CasoPrueba[[Código CP]:[Descripción Caso de Prueba]],3,0)</f>
        <v>MP - Gestión de Proyectos</v>
      </c>
      <c r="D240" s="34" t="str">
        <f>VLOOKUP(Observaciones[Caso de Prueba],CasoPrueba[[#All],[Código CP]:[Prioridad]],7,TRUE)</f>
        <v>Alta</v>
      </c>
      <c r="E240" s="34" t="s">
        <v>162</v>
      </c>
      <c r="F240" s="34" t="s">
        <v>49</v>
      </c>
      <c r="G240" s="73">
        <v>40838</v>
      </c>
      <c r="H240" s="73">
        <v>40843</v>
      </c>
      <c r="I240" s="94" t="s">
        <v>132</v>
      </c>
      <c r="J240" s="34" t="s">
        <v>907</v>
      </c>
      <c r="K240" s="34" t="s">
        <v>966</v>
      </c>
      <c r="L240" s="34">
        <f>IF((Observaciones[[#This Row],[Fecha Levantamiento]]-Observaciones[[#This Row],[Fecha Detección]])&gt;=0,Observaciones[[#This Row],[Fecha Levantamiento]]-Observaciones[[#This Row],[Fecha Detección]]+1,0)</f>
        <v>6</v>
      </c>
      <c r="M240" s="34" t="str">
        <f>LOOKUP(Observaciones[[#This Row],[Caso de Prueba]],CasoPrueba[Código CP],CasoPrueba[Código de REQ])</f>
        <v>INSPECCIÓN</v>
      </c>
    </row>
    <row r="241" spans="1:13" ht="45" hidden="1">
      <c r="A241" s="166" t="s">
        <v>682</v>
      </c>
      <c r="B241" s="34" t="s">
        <v>886</v>
      </c>
      <c r="C241" s="34" t="str">
        <f>VLOOKUP(Observaciones[[#This Row],[Caso de Prueba]],CasoPrueba[[Código CP]:[Descripción Caso de Prueba]],3,0)</f>
        <v>MP - Gestión de Proyectos</v>
      </c>
      <c r="D241" s="34" t="str">
        <f>VLOOKUP(Observaciones[Caso de Prueba],CasoPrueba[[#All],[Código CP]:[Prioridad]],7,TRUE)</f>
        <v>Alta</v>
      </c>
      <c r="E241" s="34" t="s">
        <v>162</v>
      </c>
      <c r="F241" s="34" t="s">
        <v>49</v>
      </c>
      <c r="G241" s="73">
        <v>40838</v>
      </c>
      <c r="H241" s="73">
        <v>40843</v>
      </c>
      <c r="I241" s="94" t="s">
        <v>132</v>
      </c>
      <c r="J241" s="34" t="s">
        <v>908</v>
      </c>
      <c r="K241" s="34" t="s">
        <v>967</v>
      </c>
      <c r="L241" s="34">
        <f>IF((Observaciones[[#This Row],[Fecha Levantamiento]]-Observaciones[[#This Row],[Fecha Detección]])&gt;=0,Observaciones[[#This Row],[Fecha Levantamiento]]-Observaciones[[#This Row],[Fecha Detección]]+1,0)</f>
        <v>6</v>
      </c>
      <c r="M241" s="34" t="str">
        <f>LOOKUP(Observaciones[[#This Row],[Caso de Prueba]],CasoPrueba[Código CP],CasoPrueba[Código de REQ])</f>
        <v>INSPECCIÓN</v>
      </c>
    </row>
    <row r="242" spans="1:13" ht="105" hidden="1">
      <c r="A242" s="166" t="s">
        <v>683</v>
      </c>
      <c r="B242" s="34" t="s">
        <v>886</v>
      </c>
      <c r="C242" s="34" t="str">
        <f>VLOOKUP(Observaciones[[#This Row],[Caso de Prueba]],CasoPrueba[[Código CP]:[Descripción Caso de Prueba]],3,0)</f>
        <v>MP - Gestión de Proyectos</v>
      </c>
      <c r="D242" s="34" t="str">
        <f>VLOOKUP(Observaciones[Caso de Prueba],CasoPrueba[[#All],[Código CP]:[Prioridad]],7,TRUE)</f>
        <v>Alta</v>
      </c>
      <c r="E242" s="34" t="s">
        <v>162</v>
      </c>
      <c r="F242" s="34" t="s">
        <v>49</v>
      </c>
      <c r="G242" s="73">
        <v>40838</v>
      </c>
      <c r="H242" s="73">
        <v>40843</v>
      </c>
      <c r="I242" s="94" t="s">
        <v>132</v>
      </c>
      <c r="J242" s="34" t="s">
        <v>916</v>
      </c>
      <c r="K242" s="34" t="s">
        <v>968</v>
      </c>
      <c r="L242" s="34">
        <f>IF((Observaciones[[#This Row],[Fecha Levantamiento]]-Observaciones[[#This Row],[Fecha Detección]])&gt;=0,Observaciones[[#This Row],[Fecha Levantamiento]]-Observaciones[[#This Row],[Fecha Detección]]+1,0)</f>
        <v>6</v>
      </c>
      <c r="M242" s="34" t="str">
        <f>LOOKUP(Observaciones[[#This Row],[Caso de Prueba]],CasoPrueba[Código CP],CasoPrueba[Código de REQ])</f>
        <v>INSPECCIÓN</v>
      </c>
    </row>
    <row r="243" spans="1:13" ht="45" hidden="1">
      <c r="A243" s="166" t="s">
        <v>684</v>
      </c>
      <c r="B243" s="34" t="s">
        <v>886</v>
      </c>
      <c r="C243" s="34" t="str">
        <f>VLOOKUP(Observaciones[[#This Row],[Caso de Prueba]],CasoPrueba[[Código CP]:[Descripción Caso de Prueba]],3,0)</f>
        <v>MP - Gestión de Proyectos</v>
      </c>
      <c r="D243" s="34" t="str">
        <f>VLOOKUP(Observaciones[Caso de Prueba],CasoPrueba[[#All],[Código CP]:[Prioridad]],7,TRUE)</f>
        <v>Alta</v>
      </c>
      <c r="E243" s="34" t="s">
        <v>28</v>
      </c>
      <c r="F243" s="34" t="s">
        <v>49</v>
      </c>
      <c r="G243" s="73">
        <v>40838</v>
      </c>
      <c r="H243" s="73">
        <v>40843</v>
      </c>
      <c r="I243" s="94" t="s">
        <v>132</v>
      </c>
      <c r="J243" s="34" t="s">
        <v>597</v>
      </c>
      <c r="K243" s="34" t="s">
        <v>969</v>
      </c>
      <c r="L243" s="34">
        <f>IF((Observaciones[[#This Row],[Fecha Levantamiento]]-Observaciones[[#This Row],[Fecha Detección]])&gt;=0,Observaciones[[#This Row],[Fecha Levantamiento]]-Observaciones[[#This Row],[Fecha Detección]]+1,0)</f>
        <v>6</v>
      </c>
      <c r="M243" s="34" t="str">
        <f>LOOKUP(Observaciones[[#This Row],[Caso de Prueba]],CasoPrueba[Código CP],CasoPrueba[Código de REQ])</f>
        <v>INSPECCIÓN</v>
      </c>
    </row>
    <row r="244" spans="1:13" ht="90" hidden="1">
      <c r="A244" s="166" t="s">
        <v>685</v>
      </c>
      <c r="B244" s="34" t="s">
        <v>886</v>
      </c>
      <c r="C244" s="34" t="str">
        <f>VLOOKUP(Observaciones[[#This Row],[Caso de Prueba]],CasoPrueba[[Código CP]:[Descripción Caso de Prueba]],3,0)</f>
        <v>MP - Gestión de Proyectos</v>
      </c>
      <c r="D244" s="34" t="str">
        <f>VLOOKUP(Observaciones[Caso de Prueba],CasoPrueba[[#All],[Código CP]:[Prioridad]],7,TRUE)</f>
        <v>Alta</v>
      </c>
      <c r="E244" s="34" t="s">
        <v>29</v>
      </c>
      <c r="F244" s="34" t="s">
        <v>49</v>
      </c>
      <c r="G244" s="73">
        <v>40838</v>
      </c>
      <c r="H244" s="73">
        <v>40843</v>
      </c>
      <c r="I244" s="94" t="s">
        <v>132</v>
      </c>
      <c r="J244" s="34" t="s">
        <v>599</v>
      </c>
      <c r="K244" s="34" t="s">
        <v>817</v>
      </c>
      <c r="L244" s="34">
        <f>IF((Observaciones[[#This Row],[Fecha Levantamiento]]-Observaciones[[#This Row],[Fecha Detección]])&gt;=0,Observaciones[[#This Row],[Fecha Levantamiento]]-Observaciones[[#This Row],[Fecha Detección]]+1,0)</f>
        <v>6</v>
      </c>
      <c r="M244" s="34" t="str">
        <f>LOOKUP(Observaciones[[#This Row],[Caso de Prueba]],CasoPrueba[Código CP],CasoPrueba[Código de REQ])</f>
        <v>INSPECCIÓN</v>
      </c>
    </row>
    <row r="245" spans="1:13" ht="60" hidden="1">
      <c r="A245" s="166" t="s">
        <v>686</v>
      </c>
      <c r="B245" s="34" t="s">
        <v>886</v>
      </c>
      <c r="C245" s="34" t="str">
        <f>VLOOKUP(Observaciones[[#This Row],[Caso de Prueba]],CasoPrueba[[Código CP]:[Descripción Caso de Prueba]],3,0)</f>
        <v>MP - Gestión de Proyectos</v>
      </c>
      <c r="D245" s="34" t="str">
        <f>VLOOKUP(Observaciones[Caso de Prueba],CasoPrueba[[#All],[Código CP]:[Prioridad]],7,TRUE)</f>
        <v>Alta</v>
      </c>
      <c r="E245" s="34" t="s">
        <v>162</v>
      </c>
      <c r="F245" s="34" t="s">
        <v>49</v>
      </c>
      <c r="G245" s="73">
        <v>40838</v>
      </c>
      <c r="H245" s="73">
        <v>40843</v>
      </c>
      <c r="I245" s="94" t="s">
        <v>132</v>
      </c>
      <c r="J245" s="34" t="s">
        <v>909</v>
      </c>
      <c r="K245" s="34" t="s">
        <v>970</v>
      </c>
      <c r="L245" s="34">
        <f>IF((Observaciones[[#This Row],[Fecha Levantamiento]]-Observaciones[[#This Row],[Fecha Detección]])&gt;=0,Observaciones[[#This Row],[Fecha Levantamiento]]-Observaciones[[#This Row],[Fecha Detección]]+1,0)</f>
        <v>6</v>
      </c>
      <c r="M245" s="34" t="str">
        <f>LOOKUP(Observaciones[[#This Row],[Caso de Prueba]],CasoPrueba[Código CP],CasoPrueba[Código de REQ])</f>
        <v>INSPECCIÓN</v>
      </c>
    </row>
    <row r="246" spans="1:13" ht="75" hidden="1">
      <c r="A246" s="166" t="s">
        <v>687</v>
      </c>
      <c r="B246" s="34" t="s">
        <v>886</v>
      </c>
      <c r="C246" s="34" t="str">
        <f>VLOOKUP(Observaciones[[#This Row],[Caso de Prueba]],CasoPrueba[[Código CP]:[Descripción Caso de Prueba]],3,0)</f>
        <v>MP - Gestión de Proyectos</v>
      </c>
      <c r="D246" s="34" t="str">
        <f>VLOOKUP(Observaciones[Caso de Prueba],CasoPrueba[[#All],[Código CP]:[Prioridad]],7,TRUE)</f>
        <v>Alta</v>
      </c>
      <c r="E246" s="34" t="s">
        <v>29</v>
      </c>
      <c r="F246" s="34" t="s">
        <v>49</v>
      </c>
      <c r="G246" s="73">
        <v>40838</v>
      </c>
      <c r="H246" s="73">
        <v>40843</v>
      </c>
      <c r="I246" s="94" t="s">
        <v>132</v>
      </c>
      <c r="J246" s="34" t="s">
        <v>910</v>
      </c>
      <c r="K246" s="34" t="s">
        <v>971</v>
      </c>
      <c r="L246" s="34">
        <f>IF((Observaciones[[#This Row],[Fecha Levantamiento]]-Observaciones[[#This Row],[Fecha Detección]])&gt;=0,Observaciones[[#This Row],[Fecha Levantamiento]]-Observaciones[[#This Row],[Fecha Detección]]+1,0)</f>
        <v>6</v>
      </c>
      <c r="M246" s="34" t="str">
        <f>LOOKUP(Observaciones[[#This Row],[Caso de Prueba]],CasoPrueba[Código CP],CasoPrueba[Código de REQ])</f>
        <v>INSPECCIÓN</v>
      </c>
    </row>
    <row r="247" spans="1:13" ht="45" hidden="1">
      <c r="A247" s="166" t="s">
        <v>688</v>
      </c>
      <c r="B247" s="34" t="s">
        <v>886</v>
      </c>
      <c r="C247" s="34" t="str">
        <f>VLOOKUP(Observaciones[[#This Row],[Caso de Prueba]],CasoPrueba[[Código CP]:[Descripción Caso de Prueba]],3,0)</f>
        <v>MP - Gestión de Proyectos</v>
      </c>
      <c r="D247" s="34" t="str">
        <f>VLOOKUP(Observaciones[Caso de Prueba],CasoPrueba[[#All],[Código CP]:[Prioridad]],7,TRUE)</f>
        <v>Alta</v>
      </c>
      <c r="E247" s="34" t="s">
        <v>162</v>
      </c>
      <c r="F247" s="34" t="s">
        <v>49</v>
      </c>
      <c r="G247" s="73">
        <v>40838</v>
      </c>
      <c r="H247" s="73">
        <v>40843</v>
      </c>
      <c r="I247" s="94" t="s">
        <v>132</v>
      </c>
      <c r="J247" s="34" t="s">
        <v>911</v>
      </c>
      <c r="K247" s="34" t="s">
        <v>967</v>
      </c>
      <c r="L247" s="34">
        <f>IF((Observaciones[[#This Row],[Fecha Levantamiento]]-Observaciones[[#This Row],[Fecha Detección]])&gt;=0,Observaciones[[#This Row],[Fecha Levantamiento]]-Observaciones[[#This Row],[Fecha Detección]]+1,0)</f>
        <v>6</v>
      </c>
      <c r="M247" s="34" t="str">
        <f>LOOKUP(Observaciones[[#This Row],[Caso de Prueba]],CasoPrueba[Código CP],CasoPrueba[Código de REQ])</f>
        <v>INSPECCIÓN</v>
      </c>
    </row>
    <row r="248" spans="1:13" ht="30" hidden="1">
      <c r="A248" s="166" t="s">
        <v>689</v>
      </c>
      <c r="B248" s="34" t="s">
        <v>886</v>
      </c>
      <c r="C248" s="34" t="str">
        <f>VLOOKUP(Observaciones[[#This Row],[Caso de Prueba]],CasoPrueba[[Código CP]:[Descripción Caso de Prueba]],3,0)</f>
        <v>MP - Gestión de Proyectos</v>
      </c>
      <c r="D248" s="34" t="str">
        <f>VLOOKUP(Observaciones[Caso de Prueba],CasoPrueba[[#All],[Código CP]:[Prioridad]],7,TRUE)</f>
        <v>Alta</v>
      </c>
      <c r="E248" s="34" t="s">
        <v>29</v>
      </c>
      <c r="F248" s="34" t="s">
        <v>49</v>
      </c>
      <c r="G248" s="73">
        <v>40838</v>
      </c>
      <c r="H248" s="73">
        <v>40843</v>
      </c>
      <c r="I248" s="94" t="s">
        <v>132</v>
      </c>
      <c r="J248" s="34" t="s">
        <v>912</v>
      </c>
      <c r="K248" s="34" t="s">
        <v>835</v>
      </c>
      <c r="L248" s="34">
        <f>IF((Observaciones[[#This Row],[Fecha Levantamiento]]-Observaciones[[#This Row],[Fecha Detección]])&gt;=0,Observaciones[[#This Row],[Fecha Levantamiento]]-Observaciones[[#This Row],[Fecha Detección]]+1,0)</f>
        <v>6</v>
      </c>
      <c r="M248" s="34" t="str">
        <f>LOOKUP(Observaciones[[#This Row],[Caso de Prueba]],CasoPrueba[Código CP],CasoPrueba[Código de REQ])</f>
        <v>INSPECCIÓN</v>
      </c>
    </row>
    <row r="249" spans="1:13" ht="75.75" hidden="1" customHeight="1">
      <c r="A249" s="166" t="s">
        <v>690</v>
      </c>
      <c r="B249" s="34" t="s">
        <v>886</v>
      </c>
      <c r="C249" s="34" t="str">
        <f>VLOOKUP(Observaciones[[#This Row],[Caso de Prueba]],CasoPrueba[[Código CP]:[Descripción Caso de Prueba]],3,0)</f>
        <v>MP - Gestión de Proyectos</v>
      </c>
      <c r="D249" s="34" t="str">
        <f>VLOOKUP(Observaciones[Caso de Prueba],CasoPrueba[[#All],[Código CP]:[Prioridad]],7,TRUE)</f>
        <v>Alta</v>
      </c>
      <c r="E249" s="34" t="s">
        <v>29</v>
      </c>
      <c r="F249" s="34" t="s">
        <v>49</v>
      </c>
      <c r="G249" s="73">
        <v>40838</v>
      </c>
      <c r="H249" s="73">
        <v>40843</v>
      </c>
      <c r="I249" s="94" t="s">
        <v>132</v>
      </c>
      <c r="J249" s="34" t="s">
        <v>1034</v>
      </c>
      <c r="K249" s="34" t="s">
        <v>972</v>
      </c>
      <c r="L249" s="34">
        <f>IF((Observaciones[[#This Row],[Fecha Levantamiento]]-Observaciones[[#This Row],[Fecha Detección]])&gt;=0,Observaciones[[#This Row],[Fecha Levantamiento]]-Observaciones[[#This Row],[Fecha Detección]]+1,0)</f>
        <v>6</v>
      </c>
      <c r="M249" s="34" t="str">
        <f>LOOKUP(Observaciones[[#This Row],[Caso de Prueba]],CasoPrueba[Código CP],CasoPrueba[Código de REQ])</f>
        <v>INSPECCIÓN</v>
      </c>
    </row>
    <row r="250" spans="1:13" ht="75" hidden="1">
      <c r="A250" s="166" t="s">
        <v>691</v>
      </c>
      <c r="B250" s="34" t="s">
        <v>886</v>
      </c>
      <c r="C250" s="34" t="str">
        <f>VLOOKUP(Observaciones[[#This Row],[Caso de Prueba]],CasoPrueba[[Código CP]:[Descripción Caso de Prueba]],3,0)</f>
        <v>MP - Gestión de Proyectos</v>
      </c>
      <c r="D250" s="34" t="str">
        <f>VLOOKUP(Observaciones[Caso de Prueba],CasoPrueba[[#All],[Código CP]:[Prioridad]],7,TRUE)</f>
        <v>Alta</v>
      </c>
      <c r="E250" s="34" t="s">
        <v>162</v>
      </c>
      <c r="F250" s="34" t="s">
        <v>49</v>
      </c>
      <c r="G250" s="73">
        <v>40838</v>
      </c>
      <c r="H250" s="73">
        <v>40843</v>
      </c>
      <c r="I250" s="94" t="s">
        <v>132</v>
      </c>
      <c r="J250" s="34" t="s">
        <v>913</v>
      </c>
      <c r="K250" s="34" t="s">
        <v>967</v>
      </c>
      <c r="L250" s="34">
        <f>IF((Observaciones[[#This Row],[Fecha Levantamiento]]-Observaciones[[#This Row],[Fecha Detección]])&gt;=0,Observaciones[[#This Row],[Fecha Levantamiento]]-Observaciones[[#This Row],[Fecha Detección]]+1,0)</f>
        <v>6</v>
      </c>
      <c r="M250" s="34" t="str">
        <f>LOOKUP(Observaciones[[#This Row],[Caso de Prueba]],CasoPrueba[Código CP],CasoPrueba[Código de REQ])</f>
        <v>INSPECCIÓN</v>
      </c>
    </row>
    <row r="251" spans="1:13" ht="30" hidden="1">
      <c r="A251" s="166" t="s">
        <v>692</v>
      </c>
      <c r="B251" s="34" t="s">
        <v>886</v>
      </c>
      <c r="C251" s="34" t="str">
        <f>VLOOKUP(Observaciones[[#This Row],[Caso de Prueba]],CasoPrueba[[Código CP]:[Descripción Caso de Prueba]],3,0)</f>
        <v>MP - Gestión de Proyectos</v>
      </c>
      <c r="D251" s="34" t="str">
        <f>VLOOKUP(Observaciones[Caso de Prueba],CasoPrueba[[#All],[Código CP]:[Prioridad]],7,TRUE)</f>
        <v>Alta</v>
      </c>
      <c r="E251" s="34" t="s">
        <v>162</v>
      </c>
      <c r="F251" s="34" t="s">
        <v>49</v>
      </c>
      <c r="G251" s="73">
        <v>40838</v>
      </c>
      <c r="H251" s="73">
        <v>40843</v>
      </c>
      <c r="I251" s="94" t="s">
        <v>132</v>
      </c>
      <c r="J251" s="34" t="s">
        <v>914</v>
      </c>
      <c r="K251" s="34" t="s">
        <v>967</v>
      </c>
      <c r="L251" s="34">
        <f>IF((Observaciones[[#This Row],[Fecha Levantamiento]]-Observaciones[[#This Row],[Fecha Detección]])&gt;=0,Observaciones[[#This Row],[Fecha Levantamiento]]-Observaciones[[#This Row],[Fecha Detección]]+1,0)</f>
        <v>6</v>
      </c>
      <c r="M251" s="34" t="str">
        <f>LOOKUP(Observaciones[[#This Row],[Caso de Prueba]],CasoPrueba[Código CP],CasoPrueba[Código de REQ])</f>
        <v>INSPECCIÓN</v>
      </c>
    </row>
    <row r="252" spans="1:13" ht="45" hidden="1">
      <c r="A252" s="166" t="s">
        <v>693</v>
      </c>
      <c r="B252" s="34" t="s">
        <v>886</v>
      </c>
      <c r="C252" s="34" t="str">
        <f>VLOOKUP(Observaciones[[#This Row],[Caso de Prueba]],CasoPrueba[[Código CP]:[Descripción Caso de Prueba]],3,0)</f>
        <v>MP - Gestión de Proyectos</v>
      </c>
      <c r="D252" s="34" t="str">
        <f>VLOOKUP(Observaciones[Caso de Prueba],CasoPrueba[[#All],[Código CP]:[Prioridad]],7,TRUE)</f>
        <v>Alta</v>
      </c>
      <c r="E252" s="34" t="s">
        <v>29</v>
      </c>
      <c r="F252" s="34" t="s">
        <v>49</v>
      </c>
      <c r="G252" s="73">
        <v>40838</v>
      </c>
      <c r="H252" s="73">
        <v>40843</v>
      </c>
      <c r="I252" s="94" t="s">
        <v>132</v>
      </c>
      <c r="J252" s="34" t="s">
        <v>915</v>
      </c>
      <c r="K252" s="34" t="s">
        <v>973</v>
      </c>
      <c r="L252" s="34">
        <f>IF((Observaciones[[#This Row],[Fecha Levantamiento]]-Observaciones[[#This Row],[Fecha Detección]])&gt;=0,Observaciones[[#This Row],[Fecha Levantamiento]]-Observaciones[[#This Row],[Fecha Detección]]+1,0)</f>
        <v>6</v>
      </c>
      <c r="M252" s="34" t="str">
        <f>LOOKUP(Observaciones[[#This Row],[Caso de Prueba]],CasoPrueba[Código CP],CasoPrueba[Código de REQ])</f>
        <v>INSPECCIÓN</v>
      </c>
    </row>
    <row r="253" spans="1:13" ht="45" hidden="1">
      <c r="A253" s="166" t="s">
        <v>694</v>
      </c>
      <c r="B253" s="34" t="s">
        <v>887</v>
      </c>
      <c r="C253" s="34" t="str">
        <f>VLOOKUP(Observaciones[[#This Row],[Caso de Prueba]],CasoPrueba[[Código CP]:[Descripción Caso de Prueba]],3,0)</f>
        <v>PROCESO - Ejecución de Proyectos del Departamento de Proyectos</v>
      </c>
      <c r="D253" s="34" t="str">
        <f>VLOOKUP(Observaciones[Caso de Prueba],CasoPrueba[[#All],[Código CP]:[Prioridad]],7,TRUE)</f>
        <v>Alta</v>
      </c>
      <c r="E253" s="34" t="s">
        <v>28</v>
      </c>
      <c r="F253" s="34" t="s">
        <v>49</v>
      </c>
      <c r="G253" s="73">
        <v>40838</v>
      </c>
      <c r="H253" s="73">
        <v>40843</v>
      </c>
      <c r="I253" s="94" t="s">
        <v>132</v>
      </c>
      <c r="J253" s="34" t="s">
        <v>597</v>
      </c>
      <c r="K253" s="34" t="s">
        <v>974</v>
      </c>
      <c r="L253" s="34">
        <f>IF((Observaciones[[#This Row],[Fecha Levantamiento]]-Observaciones[[#This Row],[Fecha Detección]])&gt;=0,Observaciones[[#This Row],[Fecha Levantamiento]]-Observaciones[[#This Row],[Fecha Detección]]+1,0)</f>
        <v>6</v>
      </c>
      <c r="M253" s="34" t="str">
        <f>LOOKUP(Observaciones[[#This Row],[Caso de Prueba]],CasoPrueba[Código CP],CasoPrueba[Código de REQ])</f>
        <v>INSPECCIÓN</v>
      </c>
    </row>
    <row r="254" spans="1:13" ht="60" hidden="1">
      <c r="A254" s="166" t="s">
        <v>695</v>
      </c>
      <c r="B254" s="34" t="s">
        <v>887</v>
      </c>
      <c r="C254" s="34" t="str">
        <f>VLOOKUP(Observaciones[[#This Row],[Caso de Prueba]],CasoPrueba[[Código CP]:[Descripción Caso de Prueba]],3,0)</f>
        <v>PROCESO - Ejecución de Proyectos del Departamento de Proyectos</v>
      </c>
      <c r="D254" s="34" t="str">
        <f>VLOOKUP(Observaciones[Caso de Prueba],CasoPrueba[[#All],[Código CP]:[Prioridad]],7,TRUE)</f>
        <v>Alta</v>
      </c>
      <c r="E254" s="34" t="s">
        <v>162</v>
      </c>
      <c r="F254" s="34" t="s">
        <v>49</v>
      </c>
      <c r="G254" s="73">
        <v>40838</v>
      </c>
      <c r="H254" s="73">
        <v>40843</v>
      </c>
      <c r="I254" s="94" t="s">
        <v>132</v>
      </c>
      <c r="J254" s="34" t="s">
        <v>917</v>
      </c>
      <c r="K254" s="34" t="s">
        <v>234</v>
      </c>
      <c r="L254" s="34">
        <f>IF((Observaciones[[#This Row],[Fecha Levantamiento]]-Observaciones[[#This Row],[Fecha Detección]])&gt;=0,Observaciones[[#This Row],[Fecha Levantamiento]]-Observaciones[[#This Row],[Fecha Detección]]+1,0)</f>
        <v>6</v>
      </c>
      <c r="M254" s="34" t="str">
        <f>LOOKUP(Observaciones[[#This Row],[Caso de Prueba]],CasoPrueba[Código CP],CasoPrueba[Código de REQ])</f>
        <v>INSPECCIÓN</v>
      </c>
    </row>
    <row r="255" spans="1:13" ht="30" hidden="1">
      <c r="A255" s="166" t="s">
        <v>696</v>
      </c>
      <c r="B255" s="34" t="s">
        <v>887</v>
      </c>
      <c r="C255" s="34" t="str">
        <f>VLOOKUP(Observaciones[[#This Row],[Caso de Prueba]],CasoPrueba[[Código CP]:[Descripción Caso de Prueba]],3,0)</f>
        <v>PROCESO - Ejecución de Proyectos del Departamento de Proyectos</v>
      </c>
      <c r="D255" s="34" t="str">
        <f>VLOOKUP(Observaciones[Caso de Prueba],CasoPrueba[[#All],[Código CP]:[Prioridad]],7,TRUE)</f>
        <v>Alta</v>
      </c>
      <c r="E255" s="34" t="s">
        <v>162</v>
      </c>
      <c r="F255" s="34" t="s">
        <v>49</v>
      </c>
      <c r="G255" s="73">
        <v>40838</v>
      </c>
      <c r="H255" s="73">
        <v>40843</v>
      </c>
      <c r="I255" s="94" t="s">
        <v>132</v>
      </c>
      <c r="J255" s="34" t="s">
        <v>918</v>
      </c>
      <c r="K255" s="34" t="s">
        <v>975</v>
      </c>
      <c r="L255" s="34">
        <f>IF((Observaciones[[#This Row],[Fecha Levantamiento]]-Observaciones[[#This Row],[Fecha Detección]])&gt;=0,Observaciones[[#This Row],[Fecha Levantamiento]]-Observaciones[[#This Row],[Fecha Detección]]+1,0)</f>
        <v>6</v>
      </c>
      <c r="M255" s="34" t="str">
        <f>LOOKUP(Observaciones[[#This Row],[Caso de Prueba]],CasoPrueba[Código CP],CasoPrueba[Código de REQ])</f>
        <v>INSPECCIÓN</v>
      </c>
    </row>
    <row r="256" spans="1:13" ht="90" hidden="1">
      <c r="A256" s="166" t="s">
        <v>697</v>
      </c>
      <c r="B256" s="34" t="s">
        <v>887</v>
      </c>
      <c r="C256" s="34" t="str">
        <f>VLOOKUP(Observaciones[[#This Row],[Caso de Prueba]],CasoPrueba[[Código CP]:[Descripción Caso de Prueba]],3,0)</f>
        <v>PROCESO - Ejecución de Proyectos del Departamento de Proyectos</v>
      </c>
      <c r="D256" s="34" t="str">
        <f>VLOOKUP(Observaciones[Caso de Prueba],CasoPrueba[[#All],[Código CP]:[Prioridad]],7,TRUE)</f>
        <v>Alta</v>
      </c>
      <c r="E256" s="34" t="s">
        <v>29</v>
      </c>
      <c r="F256" s="34" t="s">
        <v>49</v>
      </c>
      <c r="G256" s="73">
        <v>40838</v>
      </c>
      <c r="H256" s="73">
        <v>40843</v>
      </c>
      <c r="I256" s="94" t="s">
        <v>132</v>
      </c>
      <c r="J256" s="34" t="s">
        <v>599</v>
      </c>
      <c r="K256" s="34" t="s">
        <v>980</v>
      </c>
      <c r="L256" s="34">
        <f>IF((Observaciones[[#This Row],[Fecha Levantamiento]]-Observaciones[[#This Row],[Fecha Detección]])&gt;=0,Observaciones[[#This Row],[Fecha Levantamiento]]-Observaciones[[#This Row],[Fecha Detección]]+1,0)</f>
        <v>6</v>
      </c>
      <c r="M256" s="34" t="str">
        <f>LOOKUP(Observaciones[[#This Row],[Caso de Prueba]],CasoPrueba[Código CP],CasoPrueba[Código de REQ])</f>
        <v>INSPECCIÓN</v>
      </c>
    </row>
    <row r="257" spans="1:13" ht="45" hidden="1">
      <c r="A257" s="166" t="s">
        <v>698</v>
      </c>
      <c r="B257" s="34" t="s">
        <v>887</v>
      </c>
      <c r="C257" s="34" t="str">
        <f>VLOOKUP(Observaciones[[#This Row],[Caso de Prueba]],CasoPrueba[[Código CP]:[Descripción Caso de Prueba]],3,0)</f>
        <v>PROCESO - Ejecución de Proyectos del Departamento de Proyectos</v>
      </c>
      <c r="D257" s="34" t="str">
        <f>VLOOKUP(Observaciones[Caso de Prueba],CasoPrueba[[#All],[Código CP]:[Prioridad]],7,TRUE)</f>
        <v>Alta</v>
      </c>
      <c r="E257" s="34" t="s">
        <v>28</v>
      </c>
      <c r="F257" s="34" t="s">
        <v>49</v>
      </c>
      <c r="G257" s="73">
        <v>40838</v>
      </c>
      <c r="H257" s="73">
        <v>40843</v>
      </c>
      <c r="I257" s="94" t="s">
        <v>132</v>
      </c>
      <c r="J257" s="34" t="s">
        <v>871</v>
      </c>
      <c r="K257" s="34" t="s">
        <v>976</v>
      </c>
      <c r="L257" s="34">
        <f>IF((Observaciones[[#This Row],[Fecha Levantamiento]]-Observaciones[[#This Row],[Fecha Detección]])&gt;=0,Observaciones[[#This Row],[Fecha Levantamiento]]-Observaciones[[#This Row],[Fecha Detección]]+1,0)</f>
        <v>6</v>
      </c>
      <c r="M257" s="34" t="str">
        <f>LOOKUP(Observaciones[[#This Row],[Caso de Prueba]],CasoPrueba[Código CP],CasoPrueba[Código de REQ])</f>
        <v>INSPECCIÓN</v>
      </c>
    </row>
    <row r="258" spans="1:13" ht="90.75" hidden="1" customHeight="1">
      <c r="A258" s="166" t="s">
        <v>699</v>
      </c>
      <c r="B258" s="34" t="s">
        <v>887</v>
      </c>
      <c r="C258" s="34" t="str">
        <f>VLOOKUP(Observaciones[[#This Row],[Caso de Prueba]],CasoPrueba[[Código CP]:[Descripción Caso de Prueba]],3,0)</f>
        <v>PROCESO - Ejecución de Proyectos del Departamento de Proyectos</v>
      </c>
      <c r="D258" s="34" t="str">
        <f>VLOOKUP(Observaciones[Caso de Prueba],CasoPrueba[[#All],[Código CP]:[Prioridad]],7,TRUE)</f>
        <v>Alta</v>
      </c>
      <c r="E258" s="34" t="s">
        <v>28</v>
      </c>
      <c r="F258" s="34" t="s">
        <v>49</v>
      </c>
      <c r="G258" s="73">
        <v>40838</v>
      </c>
      <c r="H258" s="73">
        <v>40843</v>
      </c>
      <c r="I258" s="94" t="s">
        <v>132</v>
      </c>
      <c r="J258" s="34" t="s">
        <v>919</v>
      </c>
      <c r="K258" s="34" t="s">
        <v>981</v>
      </c>
      <c r="L258" s="34">
        <f>IF((Observaciones[[#This Row],[Fecha Levantamiento]]-Observaciones[[#This Row],[Fecha Detección]])&gt;=0,Observaciones[[#This Row],[Fecha Levantamiento]]-Observaciones[[#This Row],[Fecha Detección]]+1,0)</f>
        <v>6</v>
      </c>
      <c r="M258" s="34" t="str">
        <f>LOOKUP(Observaciones[[#This Row],[Caso de Prueba]],CasoPrueba[Código CP],CasoPrueba[Código de REQ])</f>
        <v>INSPECCIÓN</v>
      </c>
    </row>
    <row r="259" spans="1:13" ht="30" hidden="1">
      <c r="A259" s="166" t="s">
        <v>700</v>
      </c>
      <c r="B259" s="34" t="s">
        <v>887</v>
      </c>
      <c r="C259" s="34" t="str">
        <f>VLOOKUP(Observaciones[[#This Row],[Caso de Prueba]],CasoPrueba[[Código CP]:[Descripción Caso de Prueba]],3,0)</f>
        <v>PROCESO - Ejecución de Proyectos del Departamento de Proyectos</v>
      </c>
      <c r="D259" s="34" t="str">
        <f>VLOOKUP(Observaciones[Caso de Prueba],CasoPrueba[[#All],[Código CP]:[Prioridad]],7,TRUE)</f>
        <v>Alta</v>
      </c>
      <c r="E259" s="34" t="s">
        <v>29</v>
      </c>
      <c r="F259" s="34" t="s">
        <v>49</v>
      </c>
      <c r="G259" s="73">
        <v>40838</v>
      </c>
      <c r="H259" s="73">
        <v>40843</v>
      </c>
      <c r="I259" s="94" t="s">
        <v>132</v>
      </c>
      <c r="J259" s="34" t="s">
        <v>920</v>
      </c>
      <c r="K259" s="34" t="s">
        <v>977</v>
      </c>
      <c r="L259" s="34">
        <f>IF((Observaciones[[#This Row],[Fecha Levantamiento]]-Observaciones[[#This Row],[Fecha Detección]])&gt;=0,Observaciones[[#This Row],[Fecha Levantamiento]]-Observaciones[[#This Row],[Fecha Detección]]+1,0)</f>
        <v>6</v>
      </c>
      <c r="M259" s="34" t="str">
        <f>LOOKUP(Observaciones[[#This Row],[Caso de Prueba]],CasoPrueba[Código CP],CasoPrueba[Código de REQ])</f>
        <v>INSPECCIÓN</v>
      </c>
    </row>
    <row r="260" spans="1:13" ht="45" hidden="1">
      <c r="A260" s="166" t="s">
        <v>701</v>
      </c>
      <c r="B260" s="34" t="s">
        <v>887</v>
      </c>
      <c r="C260" s="34" t="str">
        <f>VLOOKUP(Observaciones[[#This Row],[Caso de Prueba]],CasoPrueba[[Código CP]:[Descripción Caso de Prueba]],3,0)</f>
        <v>PROCESO - Ejecución de Proyectos del Departamento de Proyectos</v>
      </c>
      <c r="D260" s="34" t="str">
        <f>VLOOKUP(Observaciones[Caso de Prueba],CasoPrueba[[#All],[Código CP]:[Prioridad]],7,TRUE)</f>
        <v>Alta</v>
      </c>
      <c r="E260" s="34" t="s">
        <v>29</v>
      </c>
      <c r="F260" s="34" t="s">
        <v>49</v>
      </c>
      <c r="G260" s="73">
        <v>40838</v>
      </c>
      <c r="H260" s="73">
        <v>40843</v>
      </c>
      <c r="I260" s="94" t="s">
        <v>132</v>
      </c>
      <c r="J260" s="34" t="s">
        <v>921</v>
      </c>
      <c r="K260" s="34" t="s">
        <v>823</v>
      </c>
      <c r="L260" s="34">
        <f>IF((Observaciones[[#This Row],[Fecha Levantamiento]]-Observaciones[[#This Row],[Fecha Detección]])&gt;=0,Observaciones[[#This Row],[Fecha Levantamiento]]-Observaciones[[#This Row],[Fecha Detección]]+1,0)</f>
        <v>6</v>
      </c>
      <c r="M260" s="34" t="str">
        <f>LOOKUP(Observaciones[[#This Row],[Caso de Prueba]],CasoPrueba[Código CP],CasoPrueba[Código de REQ])</f>
        <v>INSPECCIÓN</v>
      </c>
    </row>
    <row r="261" spans="1:13" ht="41.25" hidden="1" customHeight="1">
      <c r="A261" s="166" t="s">
        <v>702</v>
      </c>
      <c r="B261" s="34" t="s">
        <v>887</v>
      </c>
      <c r="C261" s="34" t="str">
        <f>VLOOKUP(Observaciones[[#This Row],[Caso de Prueba]],CasoPrueba[[Código CP]:[Descripción Caso de Prueba]],3,0)</f>
        <v>PROCESO - Ejecución de Proyectos del Departamento de Proyectos</v>
      </c>
      <c r="D261" s="34" t="str">
        <f>VLOOKUP(Observaciones[Caso de Prueba],CasoPrueba[[#All],[Código CP]:[Prioridad]],7,TRUE)</f>
        <v>Alta</v>
      </c>
      <c r="E261" s="34" t="s">
        <v>162</v>
      </c>
      <c r="F261" s="34" t="s">
        <v>49</v>
      </c>
      <c r="G261" s="73">
        <v>40838</v>
      </c>
      <c r="H261" s="73">
        <v>40843</v>
      </c>
      <c r="I261" s="94" t="s">
        <v>132</v>
      </c>
      <c r="J261" s="34" t="s">
        <v>922</v>
      </c>
      <c r="K261" s="34" t="s">
        <v>823</v>
      </c>
      <c r="L261" s="34">
        <f>IF((Observaciones[[#This Row],[Fecha Levantamiento]]-Observaciones[[#This Row],[Fecha Detección]])&gt;=0,Observaciones[[#This Row],[Fecha Levantamiento]]-Observaciones[[#This Row],[Fecha Detección]]+1,0)</f>
        <v>6</v>
      </c>
      <c r="M261" s="34" t="str">
        <f>LOOKUP(Observaciones[[#This Row],[Caso de Prueba]],CasoPrueba[Código CP],CasoPrueba[Código de REQ])</f>
        <v>INSPECCIÓN</v>
      </c>
    </row>
    <row r="262" spans="1:13" ht="30" hidden="1">
      <c r="A262" s="166" t="s">
        <v>703</v>
      </c>
      <c r="B262" s="34" t="s">
        <v>887</v>
      </c>
      <c r="C262" s="34" t="str">
        <f>VLOOKUP(Observaciones[[#This Row],[Caso de Prueba]],CasoPrueba[[Código CP]:[Descripción Caso de Prueba]],3,0)</f>
        <v>PROCESO - Ejecución de Proyectos del Departamento de Proyectos</v>
      </c>
      <c r="D262" s="34" t="str">
        <f>VLOOKUP(Observaciones[Caso de Prueba],CasoPrueba[[#All],[Código CP]:[Prioridad]],7,TRUE)</f>
        <v>Alta</v>
      </c>
      <c r="E262" s="34" t="s">
        <v>29</v>
      </c>
      <c r="F262" s="34" t="s">
        <v>49</v>
      </c>
      <c r="G262" s="73">
        <v>40838</v>
      </c>
      <c r="H262" s="73">
        <v>40843</v>
      </c>
      <c r="I262" s="94" t="s">
        <v>132</v>
      </c>
      <c r="J262" s="34" t="s">
        <v>924</v>
      </c>
      <c r="K262" s="34" t="s">
        <v>978</v>
      </c>
      <c r="L262" s="34">
        <f>IF((Observaciones[[#This Row],[Fecha Levantamiento]]-Observaciones[[#This Row],[Fecha Detección]])&gt;=0,Observaciones[[#This Row],[Fecha Levantamiento]]-Observaciones[[#This Row],[Fecha Detección]]+1,0)</f>
        <v>6</v>
      </c>
      <c r="M262" s="34" t="str">
        <f>LOOKUP(Observaciones[[#This Row],[Caso de Prueba]],CasoPrueba[Código CP],CasoPrueba[Código de REQ])</f>
        <v>INSPECCIÓN</v>
      </c>
    </row>
    <row r="263" spans="1:13" ht="30" hidden="1">
      <c r="A263" s="166" t="s">
        <v>704</v>
      </c>
      <c r="B263" s="34" t="s">
        <v>887</v>
      </c>
      <c r="C263" s="34" t="str">
        <f>VLOOKUP(Observaciones[[#This Row],[Caso de Prueba]],CasoPrueba[[Código CP]:[Descripción Caso de Prueba]],3,0)</f>
        <v>PROCESO - Ejecución de Proyectos del Departamento de Proyectos</v>
      </c>
      <c r="D263" s="34" t="str">
        <f>VLOOKUP(Observaciones[Caso de Prueba],CasoPrueba[[#All],[Código CP]:[Prioridad]],7,TRUE)</f>
        <v>Alta</v>
      </c>
      <c r="E263" s="34" t="s">
        <v>29</v>
      </c>
      <c r="F263" s="34" t="s">
        <v>49</v>
      </c>
      <c r="G263" s="73">
        <v>40838</v>
      </c>
      <c r="H263" s="73">
        <v>40843</v>
      </c>
      <c r="I263" s="94" t="s">
        <v>132</v>
      </c>
      <c r="J263" s="34" t="s">
        <v>923</v>
      </c>
      <c r="K263" s="34" t="s">
        <v>979</v>
      </c>
      <c r="L263" s="34">
        <f>IF((Observaciones[[#This Row],[Fecha Levantamiento]]-Observaciones[[#This Row],[Fecha Detección]])&gt;=0,Observaciones[[#This Row],[Fecha Levantamiento]]-Observaciones[[#This Row],[Fecha Detección]]+1,0)</f>
        <v>6</v>
      </c>
      <c r="M263" s="34" t="str">
        <f>LOOKUP(Observaciones[[#This Row],[Caso de Prueba]],CasoPrueba[Código CP],CasoPrueba[Código de REQ])</f>
        <v>INSPECCIÓN</v>
      </c>
    </row>
    <row r="264" spans="1:13" ht="45" hidden="1">
      <c r="A264" s="166" t="s">
        <v>705</v>
      </c>
      <c r="B264" s="34" t="s">
        <v>888</v>
      </c>
      <c r="C264" s="34" t="str">
        <f>VLOOKUP(Observaciones[[#This Row],[Caso de Prueba]],CasoPrueba[[Código CP]:[Descripción Caso de Prueba]],3,0)</f>
        <v>MP - Gestión de Aseguramiento de la Calidad Educativa</v>
      </c>
      <c r="D264" s="34" t="str">
        <f>VLOOKUP(Observaciones[Caso de Prueba],CasoPrueba[[#All],[Código CP]:[Prioridad]],7,TRUE)</f>
        <v>Alta</v>
      </c>
      <c r="E264" s="34" t="s">
        <v>162</v>
      </c>
      <c r="F264" s="34" t="s">
        <v>49</v>
      </c>
      <c r="G264" s="73">
        <v>40838</v>
      </c>
      <c r="H264" s="73">
        <v>40843</v>
      </c>
      <c r="I264" s="94" t="s">
        <v>132</v>
      </c>
      <c r="J264" s="34" t="s">
        <v>925</v>
      </c>
      <c r="K264" s="34" t="s">
        <v>986</v>
      </c>
      <c r="L264" s="34">
        <f>IF((Observaciones[[#This Row],[Fecha Levantamiento]]-Observaciones[[#This Row],[Fecha Detección]])&gt;=0,Observaciones[[#This Row],[Fecha Levantamiento]]-Observaciones[[#This Row],[Fecha Detección]]+1,0)</f>
        <v>6</v>
      </c>
      <c r="M264" s="34" t="str">
        <f>LOOKUP(Observaciones[[#This Row],[Caso de Prueba]],CasoPrueba[Código CP],CasoPrueba[Código de REQ])</f>
        <v>INSPECCIÓN</v>
      </c>
    </row>
    <row r="265" spans="1:13" ht="45" hidden="1">
      <c r="A265" s="166" t="s">
        <v>706</v>
      </c>
      <c r="B265" s="34" t="s">
        <v>888</v>
      </c>
      <c r="C265" s="34" t="str">
        <f>VLOOKUP(Observaciones[[#This Row],[Caso de Prueba]],CasoPrueba[[Código CP]:[Descripción Caso de Prueba]],3,0)</f>
        <v>MP - Gestión de Aseguramiento de la Calidad Educativa</v>
      </c>
      <c r="D265" s="34" t="str">
        <f>VLOOKUP(Observaciones[Caso de Prueba],CasoPrueba[[#All],[Código CP]:[Prioridad]],7,TRUE)</f>
        <v>Alta</v>
      </c>
      <c r="E265" s="34" t="s">
        <v>162</v>
      </c>
      <c r="F265" s="34" t="s">
        <v>49</v>
      </c>
      <c r="G265" s="73">
        <v>40838</v>
      </c>
      <c r="H265" s="73">
        <v>40843</v>
      </c>
      <c r="I265" s="94" t="s">
        <v>132</v>
      </c>
      <c r="J265" s="34" t="s">
        <v>930</v>
      </c>
      <c r="K265" s="34" t="s">
        <v>199</v>
      </c>
      <c r="L265" s="34">
        <f>IF((Observaciones[[#This Row],[Fecha Levantamiento]]-Observaciones[[#This Row],[Fecha Detección]])&gt;=0,Observaciones[[#This Row],[Fecha Levantamiento]]-Observaciones[[#This Row],[Fecha Detección]]+1,0)</f>
        <v>6</v>
      </c>
      <c r="M265" s="34" t="str">
        <f>LOOKUP(Observaciones[[#This Row],[Caso de Prueba]],CasoPrueba[Código CP],CasoPrueba[Código de REQ])</f>
        <v>INSPECCIÓN</v>
      </c>
    </row>
    <row r="266" spans="1:13" ht="45" hidden="1">
      <c r="A266" s="166" t="s">
        <v>707</v>
      </c>
      <c r="B266" s="34" t="s">
        <v>888</v>
      </c>
      <c r="C266" s="34" t="str">
        <f>VLOOKUP(Observaciones[[#This Row],[Caso de Prueba]],CasoPrueba[[Código CP]:[Descripción Caso de Prueba]],3,0)</f>
        <v>MP - Gestión de Aseguramiento de la Calidad Educativa</v>
      </c>
      <c r="D266" s="34" t="str">
        <f>VLOOKUP(Observaciones[Caso de Prueba],CasoPrueba[[#All],[Código CP]:[Prioridad]],7,TRUE)</f>
        <v>Alta</v>
      </c>
      <c r="E266" s="34" t="s">
        <v>30</v>
      </c>
      <c r="F266" s="34" t="s">
        <v>49</v>
      </c>
      <c r="G266" s="73">
        <v>40838</v>
      </c>
      <c r="H266" s="73">
        <v>40843</v>
      </c>
      <c r="I266" s="94" t="s">
        <v>132</v>
      </c>
      <c r="J266" s="34" t="s">
        <v>931</v>
      </c>
      <c r="K266" s="34" t="s">
        <v>989</v>
      </c>
      <c r="L266" s="34">
        <f>IF((Observaciones[[#This Row],[Fecha Levantamiento]]-Observaciones[[#This Row],[Fecha Detección]])&gt;=0,Observaciones[[#This Row],[Fecha Levantamiento]]-Observaciones[[#This Row],[Fecha Detección]]+1,0)</f>
        <v>6</v>
      </c>
      <c r="M266" s="34" t="str">
        <f>LOOKUP(Observaciones[[#This Row],[Caso de Prueba]],CasoPrueba[Código CP],CasoPrueba[Código de REQ])</f>
        <v>INSPECCIÓN</v>
      </c>
    </row>
    <row r="267" spans="1:13" ht="45" hidden="1">
      <c r="A267" s="166" t="s">
        <v>708</v>
      </c>
      <c r="B267" s="34" t="s">
        <v>888</v>
      </c>
      <c r="C267" s="34" t="str">
        <f>VLOOKUP(Observaciones[[#This Row],[Caso de Prueba]],CasoPrueba[[Código CP]:[Descripción Caso de Prueba]],3,0)</f>
        <v>MP - Gestión de Aseguramiento de la Calidad Educativa</v>
      </c>
      <c r="D267" s="34" t="str">
        <f>VLOOKUP(Observaciones[Caso de Prueba],CasoPrueba[[#All],[Código CP]:[Prioridad]],7,TRUE)</f>
        <v>Alta</v>
      </c>
      <c r="E267" s="34" t="s">
        <v>162</v>
      </c>
      <c r="F267" s="34" t="s">
        <v>49</v>
      </c>
      <c r="G267" s="73">
        <v>40838</v>
      </c>
      <c r="H267" s="73">
        <v>40843</v>
      </c>
      <c r="I267" s="94" t="s">
        <v>132</v>
      </c>
      <c r="J267" s="34" t="s">
        <v>926</v>
      </c>
      <c r="K267" s="34" t="s">
        <v>987</v>
      </c>
      <c r="L267" s="34">
        <f>IF((Observaciones[[#This Row],[Fecha Levantamiento]]-Observaciones[[#This Row],[Fecha Detección]])&gt;=0,Observaciones[[#This Row],[Fecha Levantamiento]]-Observaciones[[#This Row],[Fecha Detección]]+1,0)</f>
        <v>6</v>
      </c>
      <c r="M267" s="34" t="str">
        <f>LOOKUP(Observaciones[[#This Row],[Caso de Prueba]],CasoPrueba[Código CP],CasoPrueba[Código de REQ])</f>
        <v>INSPECCIÓN</v>
      </c>
    </row>
    <row r="268" spans="1:13" ht="90" hidden="1">
      <c r="A268" s="166" t="s">
        <v>709</v>
      </c>
      <c r="B268" s="34" t="s">
        <v>888</v>
      </c>
      <c r="C268" s="34" t="str">
        <f>VLOOKUP(Observaciones[[#This Row],[Caso de Prueba]],CasoPrueba[[Código CP]:[Descripción Caso de Prueba]],3,0)</f>
        <v>MP - Gestión de Aseguramiento de la Calidad Educativa</v>
      </c>
      <c r="D268" s="34" t="str">
        <f>VLOOKUP(Observaciones[Caso de Prueba],CasoPrueba[[#All],[Código CP]:[Prioridad]],7,TRUE)</f>
        <v>Alta</v>
      </c>
      <c r="E268" s="34" t="s">
        <v>29</v>
      </c>
      <c r="F268" s="34" t="s">
        <v>49</v>
      </c>
      <c r="G268" s="73">
        <v>40838</v>
      </c>
      <c r="H268" s="73">
        <v>40843</v>
      </c>
      <c r="I268" s="94" t="s">
        <v>132</v>
      </c>
      <c r="J268" s="34" t="s">
        <v>599</v>
      </c>
      <c r="K268" s="34" t="s">
        <v>840</v>
      </c>
      <c r="L268" s="34">
        <f>IF((Observaciones[[#This Row],[Fecha Levantamiento]]-Observaciones[[#This Row],[Fecha Detección]])&gt;=0,Observaciones[[#This Row],[Fecha Levantamiento]]-Observaciones[[#This Row],[Fecha Detección]]+1,0)</f>
        <v>6</v>
      </c>
      <c r="M268" s="34" t="str">
        <f>LOOKUP(Observaciones[[#This Row],[Caso de Prueba]],CasoPrueba[Código CP],CasoPrueba[Código de REQ])</f>
        <v>INSPECCIÓN</v>
      </c>
    </row>
    <row r="269" spans="1:13" ht="45" hidden="1">
      <c r="A269" s="166" t="s">
        <v>710</v>
      </c>
      <c r="B269" s="34" t="s">
        <v>888</v>
      </c>
      <c r="C269" s="34" t="str">
        <f>VLOOKUP(Observaciones[[#This Row],[Caso de Prueba]],CasoPrueba[[Código CP]:[Descripción Caso de Prueba]],3,0)</f>
        <v>MP - Gestión de Aseguramiento de la Calidad Educativa</v>
      </c>
      <c r="D269" s="34" t="str">
        <f>VLOOKUP(Observaciones[Caso de Prueba],CasoPrueba[[#All],[Código CP]:[Prioridad]],7,TRUE)</f>
        <v>Alta</v>
      </c>
      <c r="E269" s="34" t="s">
        <v>28</v>
      </c>
      <c r="F269" s="34" t="s">
        <v>49</v>
      </c>
      <c r="G269" s="73">
        <v>40838</v>
      </c>
      <c r="H269" s="73">
        <v>40843</v>
      </c>
      <c r="I269" s="94" t="s">
        <v>132</v>
      </c>
      <c r="J269" s="34" t="s">
        <v>871</v>
      </c>
      <c r="K269" s="34" t="s">
        <v>985</v>
      </c>
      <c r="L269" s="34">
        <f>IF((Observaciones[[#This Row],[Fecha Levantamiento]]-Observaciones[[#This Row],[Fecha Detección]])&gt;=0,Observaciones[[#This Row],[Fecha Levantamiento]]-Observaciones[[#This Row],[Fecha Detección]]+1,0)</f>
        <v>6</v>
      </c>
      <c r="M269" s="34" t="str">
        <f>LOOKUP(Observaciones[[#This Row],[Caso de Prueba]],CasoPrueba[Código CP],CasoPrueba[Código de REQ])</f>
        <v>INSPECCIÓN</v>
      </c>
    </row>
    <row r="270" spans="1:13" ht="45" hidden="1">
      <c r="A270" s="166" t="s">
        <v>711</v>
      </c>
      <c r="B270" s="34" t="s">
        <v>888</v>
      </c>
      <c r="C270" s="34" t="str">
        <f>VLOOKUP(Observaciones[[#This Row],[Caso de Prueba]],CasoPrueba[[Código CP]:[Descripción Caso de Prueba]],3,0)</f>
        <v>MP - Gestión de Aseguramiento de la Calidad Educativa</v>
      </c>
      <c r="D270" s="34" t="str">
        <f>VLOOKUP(Observaciones[Caso de Prueba],CasoPrueba[[#All],[Código CP]:[Prioridad]],7,TRUE)</f>
        <v>Alta</v>
      </c>
      <c r="E270" s="34" t="s">
        <v>28</v>
      </c>
      <c r="F270" s="34" t="s">
        <v>49</v>
      </c>
      <c r="G270" s="73">
        <v>40838</v>
      </c>
      <c r="H270" s="73">
        <v>40843</v>
      </c>
      <c r="I270" s="94" t="s">
        <v>132</v>
      </c>
      <c r="J270" s="34" t="s">
        <v>927</v>
      </c>
      <c r="K270" s="34" t="s">
        <v>994</v>
      </c>
      <c r="L270" s="34">
        <f>IF((Observaciones[[#This Row],[Fecha Levantamiento]]-Observaciones[[#This Row],[Fecha Detección]])&gt;=0,Observaciones[[#This Row],[Fecha Levantamiento]]-Observaciones[[#This Row],[Fecha Detección]]+1,0)</f>
        <v>6</v>
      </c>
      <c r="M270" s="34" t="str">
        <f>LOOKUP(Observaciones[[#This Row],[Caso de Prueba]],CasoPrueba[Código CP],CasoPrueba[Código de REQ])</f>
        <v>INSPECCIÓN</v>
      </c>
    </row>
    <row r="271" spans="1:13" ht="30" hidden="1">
      <c r="A271" s="166" t="s">
        <v>712</v>
      </c>
      <c r="B271" s="34" t="s">
        <v>888</v>
      </c>
      <c r="C271" s="34" t="str">
        <f>VLOOKUP(Observaciones[[#This Row],[Caso de Prueba]],CasoPrueba[[Código CP]:[Descripción Caso de Prueba]],3,0)</f>
        <v>MP - Gestión de Aseguramiento de la Calidad Educativa</v>
      </c>
      <c r="D271" s="34" t="str">
        <f>VLOOKUP(Observaciones[Caso de Prueba],CasoPrueba[[#All],[Código CP]:[Prioridad]],7,TRUE)</f>
        <v>Alta</v>
      </c>
      <c r="E271" s="34" t="s">
        <v>29</v>
      </c>
      <c r="F271" s="34" t="s">
        <v>49</v>
      </c>
      <c r="G271" s="73">
        <v>40838</v>
      </c>
      <c r="H271" s="73">
        <v>40843</v>
      </c>
      <c r="I271" s="94" t="s">
        <v>132</v>
      </c>
      <c r="J271" s="34" t="s">
        <v>928</v>
      </c>
      <c r="K271" s="34" t="s">
        <v>991</v>
      </c>
      <c r="L271" s="34">
        <f>IF((Observaciones[[#This Row],[Fecha Levantamiento]]-Observaciones[[#This Row],[Fecha Detección]])&gt;=0,Observaciones[[#This Row],[Fecha Levantamiento]]-Observaciones[[#This Row],[Fecha Detección]]+1,0)</f>
        <v>6</v>
      </c>
      <c r="M271" s="34" t="str">
        <f>LOOKUP(Observaciones[[#This Row],[Caso de Prueba]],CasoPrueba[Código CP],CasoPrueba[Código de REQ])</f>
        <v>INSPECCIÓN</v>
      </c>
    </row>
    <row r="272" spans="1:13" ht="45" hidden="1">
      <c r="A272" s="166" t="s">
        <v>713</v>
      </c>
      <c r="B272" s="34" t="s">
        <v>888</v>
      </c>
      <c r="C272" s="34" t="str">
        <f>VLOOKUP(Observaciones[[#This Row],[Caso de Prueba]],CasoPrueba[[Código CP]:[Descripción Caso de Prueba]],3,0)</f>
        <v>MP - Gestión de Aseguramiento de la Calidad Educativa</v>
      </c>
      <c r="D272" s="34" t="str">
        <f>VLOOKUP(Observaciones[Caso de Prueba],CasoPrueba[[#All],[Código CP]:[Prioridad]],7,TRUE)</f>
        <v>Alta</v>
      </c>
      <c r="E272" s="34" t="s">
        <v>29</v>
      </c>
      <c r="F272" s="34" t="s">
        <v>49</v>
      </c>
      <c r="G272" s="73">
        <v>40838</v>
      </c>
      <c r="H272" s="73">
        <v>40843</v>
      </c>
      <c r="I272" s="94" t="s">
        <v>132</v>
      </c>
      <c r="J272" s="34" t="s">
        <v>929</v>
      </c>
      <c r="K272" s="34" t="s">
        <v>992</v>
      </c>
      <c r="L272" s="34">
        <f>IF((Observaciones[[#This Row],[Fecha Levantamiento]]-Observaciones[[#This Row],[Fecha Detección]])&gt;=0,Observaciones[[#This Row],[Fecha Levantamiento]]-Observaciones[[#This Row],[Fecha Detección]]+1,0)</f>
        <v>6</v>
      </c>
      <c r="M272" s="34" t="str">
        <f>LOOKUP(Observaciones[[#This Row],[Caso de Prueba]],CasoPrueba[Código CP],CasoPrueba[Código de REQ])</f>
        <v>INSPECCIÓN</v>
      </c>
    </row>
    <row r="273" spans="1:13" ht="30" hidden="1">
      <c r="A273" s="166" t="s">
        <v>714</v>
      </c>
      <c r="B273" s="34" t="s">
        <v>888</v>
      </c>
      <c r="C273" s="34" t="str">
        <f>VLOOKUP(Observaciones[[#This Row],[Caso de Prueba]],CasoPrueba[[Código CP]:[Descripción Caso de Prueba]],3,0)</f>
        <v>MP - Gestión de Aseguramiento de la Calidad Educativa</v>
      </c>
      <c r="D273" s="34" t="str">
        <f>VLOOKUP(Observaciones[Caso de Prueba],CasoPrueba[[#All],[Código CP]:[Prioridad]],7,TRUE)</f>
        <v>Alta</v>
      </c>
      <c r="E273" s="34" t="s">
        <v>30</v>
      </c>
      <c r="F273" s="34" t="s">
        <v>49</v>
      </c>
      <c r="G273" s="73">
        <v>40838</v>
      </c>
      <c r="H273" s="73">
        <v>40843</v>
      </c>
      <c r="I273" s="94" t="s">
        <v>132</v>
      </c>
      <c r="J273" s="34" t="s">
        <v>932</v>
      </c>
      <c r="K273" s="34" t="s">
        <v>990</v>
      </c>
      <c r="L273" s="34">
        <f>IF((Observaciones[[#This Row],[Fecha Levantamiento]]-Observaciones[[#This Row],[Fecha Detección]])&gt;=0,Observaciones[[#This Row],[Fecha Levantamiento]]-Observaciones[[#This Row],[Fecha Detección]]+1,0)</f>
        <v>6</v>
      </c>
      <c r="M273" s="34" t="str">
        <f>LOOKUP(Observaciones[[#This Row],[Caso de Prueba]],CasoPrueba[Código CP],CasoPrueba[Código de REQ])</f>
        <v>INSPECCIÓN</v>
      </c>
    </row>
    <row r="274" spans="1:13" ht="30" hidden="1">
      <c r="A274" s="166" t="s">
        <v>715</v>
      </c>
      <c r="B274" s="34" t="s">
        <v>888</v>
      </c>
      <c r="C274" s="34" t="str">
        <f>VLOOKUP(Observaciones[[#This Row],[Caso de Prueba]],CasoPrueba[[Código CP]:[Descripción Caso de Prueba]],3,0)</f>
        <v>MP - Gestión de Aseguramiento de la Calidad Educativa</v>
      </c>
      <c r="D274" s="34" t="str">
        <f>VLOOKUP(Observaciones[Caso de Prueba],CasoPrueba[[#All],[Código CP]:[Prioridad]],7,TRUE)</f>
        <v>Alta</v>
      </c>
      <c r="E274" s="34" t="s">
        <v>29</v>
      </c>
      <c r="F274" s="34" t="s">
        <v>49</v>
      </c>
      <c r="G274" s="73">
        <v>40838</v>
      </c>
      <c r="H274" s="73">
        <v>40843</v>
      </c>
      <c r="I274" s="94" t="s">
        <v>132</v>
      </c>
      <c r="J274" s="34" t="s">
        <v>933</v>
      </c>
      <c r="K274" s="34" t="s">
        <v>993</v>
      </c>
      <c r="L274" s="34">
        <f>IF((Observaciones[[#This Row],[Fecha Levantamiento]]-Observaciones[[#This Row],[Fecha Detección]])&gt;=0,Observaciones[[#This Row],[Fecha Levantamiento]]-Observaciones[[#This Row],[Fecha Detección]]+1,0)</f>
        <v>6</v>
      </c>
      <c r="M274" s="34" t="str">
        <f>LOOKUP(Observaciones[[#This Row],[Caso de Prueba]],CasoPrueba[Código CP],CasoPrueba[Código de REQ])</f>
        <v>INSPECCIÓN</v>
      </c>
    </row>
    <row r="275" spans="1:13" ht="30" hidden="1">
      <c r="A275" s="166" t="s">
        <v>716</v>
      </c>
      <c r="B275" s="34" t="s">
        <v>888</v>
      </c>
      <c r="C275" s="34" t="str">
        <f>VLOOKUP(Observaciones[[#This Row],[Caso de Prueba]],CasoPrueba[[Código CP]:[Descripción Caso de Prueba]],3,0)</f>
        <v>MP - Gestión de Aseguramiento de la Calidad Educativa</v>
      </c>
      <c r="D275" s="34" t="str">
        <f>VLOOKUP(Observaciones[Caso de Prueba],CasoPrueba[[#All],[Código CP]:[Prioridad]],7,TRUE)</f>
        <v>Alta</v>
      </c>
      <c r="E275" s="34" t="s">
        <v>30</v>
      </c>
      <c r="F275" s="34" t="s">
        <v>49</v>
      </c>
      <c r="G275" s="73">
        <v>40838</v>
      </c>
      <c r="H275" s="73">
        <v>40843</v>
      </c>
      <c r="I275" s="94" t="s">
        <v>132</v>
      </c>
      <c r="J275" s="34" t="s">
        <v>934</v>
      </c>
      <c r="K275" s="34" t="s">
        <v>990</v>
      </c>
      <c r="L275" s="34">
        <f>IF((Observaciones[[#This Row],[Fecha Levantamiento]]-Observaciones[[#This Row],[Fecha Detección]])&gt;=0,Observaciones[[#This Row],[Fecha Levantamiento]]-Observaciones[[#This Row],[Fecha Detección]]+1,0)</f>
        <v>6</v>
      </c>
      <c r="M275" s="34" t="str">
        <f>LOOKUP(Observaciones[[#This Row],[Caso de Prueba]],CasoPrueba[Código CP],CasoPrueba[Código de REQ])</f>
        <v>INSPECCIÓN</v>
      </c>
    </row>
    <row r="276" spans="1:13" ht="45" hidden="1">
      <c r="A276" s="166" t="s">
        <v>717</v>
      </c>
      <c r="B276" s="34" t="s">
        <v>888</v>
      </c>
      <c r="C276" s="34" t="str">
        <f>VLOOKUP(Observaciones[[#This Row],[Caso de Prueba]],CasoPrueba[[Código CP]:[Descripción Caso de Prueba]],3,0)</f>
        <v>MP - Gestión de Aseguramiento de la Calidad Educativa</v>
      </c>
      <c r="D276" s="34" t="str">
        <f>VLOOKUP(Observaciones[Caso de Prueba],CasoPrueba[[#All],[Código CP]:[Prioridad]],7,TRUE)</f>
        <v>Alta</v>
      </c>
      <c r="E276" s="34" t="s">
        <v>162</v>
      </c>
      <c r="F276" s="34" t="s">
        <v>49</v>
      </c>
      <c r="G276" s="73">
        <v>40838</v>
      </c>
      <c r="H276" s="73">
        <v>40843</v>
      </c>
      <c r="I276" s="94" t="s">
        <v>132</v>
      </c>
      <c r="J276" s="34" t="s">
        <v>935</v>
      </c>
      <c r="K276" s="34" t="s">
        <v>988</v>
      </c>
      <c r="L276" s="34">
        <f>IF((Observaciones[[#This Row],[Fecha Levantamiento]]-Observaciones[[#This Row],[Fecha Detección]])&gt;=0,Observaciones[[#This Row],[Fecha Levantamiento]]-Observaciones[[#This Row],[Fecha Detección]]+1,0)</f>
        <v>6</v>
      </c>
      <c r="M276" s="34" t="str">
        <f>LOOKUP(Observaciones[[#This Row],[Caso de Prueba]],CasoPrueba[Código CP],CasoPrueba[Código de REQ])</f>
        <v>INSPECCIÓN</v>
      </c>
    </row>
    <row r="277" spans="1:13" ht="45" hidden="1">
      <c r="A277" s="166" t="s">
        <v>718</v>
      </c>
      <c r="B277" s="34" t="s">
        <v>889</v>
      </c>
      <c r="C277" s="34" t="str">
        <f>VLOOKUP(Observaciones[[#This Row],[Caso de Prueba]],CasoPrueba[[Código CP]:[Descripción Caso de Prueba]],3,0)</f>
        <v>PROCESO Capacitaciones de Educación Técnica</v>
      </c>
      <c r="D277" s="34" t="str">
        <f>VLOOKUP(Observaciones[Caso de Prueba],CasoPrueba[[#All],[Código CP]:[Prioridad]],7,TRUE)</f>
        <v>Alta</v>
      </c>
      <c r="E277" s="34" t="s">
        <v>28</v>
      </c>
      <c r="F277" s="34" t="s">
        <v>49</v>
      </c>
      <c r="G277" s="73">
        <v>40838</v>
      </c>
      <c r="H277" s="73">
        <v>40843</v>
      </c>
      <c r="I277" s="94" t="s">
        <v>132</v>
      </c>
      <c r="J277" s="34" t="s">
        <v>597</v>
      </c>
      <c r="K277" s="34" t="s">
        <v>985</v>
      </c>
      <c r="L277" s="34">
        <f>IF((Observaciones[[#This Row],[Fecha Levantamiento]]-Observaciones[[#This Row],[Fecha Detección]])&gt;=0,Observaciones[[#This Row],[Fecha Levantamiento]]-Observaciones[[#This Row],[Fecha Detección]]+1,0)</f>
        <v>6</v>
      </c>
      <c r="M277" s="34" t="str">
        <f>LOOKUP(Observaciones[[#This Row],[Caso de Prueba]],CasoPrueba[Código CP],CasoPrueba[Código de REQ])</f>
        <v>INSPECCIÓN</v>
      </c>
    </row>
    <row r="278" spans="1:13" ht="45" hidden="1">
      <c r="A278" s="166" t="s">
        <v>719</v>
      </c>
      <c r="B278" s="34" t="s">
        <v>889</v>
      </c>
      <c r="C278" s="34" t="str">
        <f>VLOOKUP(Observaciones[[#This Row],[Caso de Prueba]],CasoPrueba[[Código CP]:[Descripción Caso de Prueba]],3,0)</f>
        <v>PROCESO Capacitaciones de Educación Técnica</v>
      </c>
      <c r="D278" s="34" t="str">
        <f>VLOOKUP(Observaciones[Caso de Prueba],CasoPrueba[[#All],[Código CP]:[Prioridad]],7,TRUE)</f>
        <v>Alta</v>
      </c>
      <c r="E278" s="34" t="s">
        <v>162</v>
      </c>
      <c r="F278" s="34" t="s">
        <v>49</v>
      </c>
      <c r="G278" s="73">
        <v>40838</v>
      </c>
      <c r="H278" s="73">
        <v>40843</v>
      </c>
      <c r="I278" s="94" t="s">
        <v>132</v>
      </c>
      <c r="J278" s="34" t="s">
        <v>925</v>
      </c>
      <c r="K278" s="34" t="s">
        <v>986</v>
      </c>
      <c r="L278" s="34">
        <f>IF((Observaciones[[#This Row],[Fecha Levantamiento]]-Observaciones[[#This Row],[Fecha Detección]])&gt;=0,Observaciones[[#This Row],[Fecha Levantamiento]]-Observaciones[[#This Row],[Fecha Detección]]+1,0)</f>
        <v>6</v>
      </c>
      <c r="M278" s="34" t="str">
        <f>LOOKUP(Observaciones[[#This Row],[Caso de Prueba]],CasoPrueba[Código CP],CasoPrueba[Código de REQ])</f>
        <v>INSPECCIÓN</v>
      </c>
    </row>
    <row r="279" spans="1:13" ht="90" hidden="1">
      <c r="A279" s="166" t="s">
        <v>720</v>
      </c>
      <c r="B279" s="34" t="s">
        <v>889</v>
      </c>
      <c r="C279" s="34" t="str">
        <f>VLOOKUP(Observaciones[[#This Row],[Caso de Prueba]],CasoPrueba[[Código CP]:[Descripción Caso de Prueba]],3,0)</f>
        <v>PROCESO Capacitaciones de Educación Técnica</v>
      </c>
      <c r="D279" s="34" t="str">
        <f>VLOOKUP(Observaciones[Caso de Prueba],CasoPrueba[[#All],[Código CP]:[Prioridad]],7,TRUE)</f>
        <v>Alta</v>
      </c>
      <c r="E279" s="34" t="s">
        <v>29</v>
      </c>
      <c r="F279" s="34" t="s">
        <v>49</v>
      </c>
      <c r="G279" s="73">
        <v>40838</v>
      </c>
      <c r="H279" s="73">
        <v>40843</v>
      </c>
      <c r="I279" s="94" t="s">
        <v>132</v>
      </c>
      <c r="J279" s="34" t="s">
        <v>599</v>
      </c>
      <c r="K279" s="34" t="s">
        <v>995</v>
      </c>
      <c r="L279" s="34">
        <f>IF((Observaciones[[#This Row],[Fecha Levantamiento]]-Observaciones[[#This Row],[Fecha Detección]])&gt;=0,Observaciones[[#This Row],[Fecha Levantamiento]]-Observaciones[[#This Row],[Fecha Detección]]+1,0)</f>
        <v>6</v>
      </c>
      <c r="M279" s="34" t="str">
        <f>LOOKUP(Observaciones[[#This Row],[Caso de Prueba]],CasoPrueba[Código CP],CasoPrueba[Código de REQ])</f>
        <v>INSPECCIÓN</v>
      </c>
    </row>
    <row r="280" spans="1:13" ht="45" hidden="1">
      <c r="A280" s="166" t="s">
        <v>721</v>
      </c>
      <c r="B280" s="34" t="s">
        <v>889</v>
      </c>
      <c r="C280" s="34" t="str">
        <f>VLOOKUP(Observaciones[[#This Row],[Caso de Prueba]],CasoPrueba[[Código CP]:[Descripción Caso de Prueba]],3,0)</f>
        <v>PROCESO Capacitaciones de Educación Técnica</v>
      </c>
      <c r="D280" s="34" t="str">
        <f>VLOOKUP(Observaciones[Caso de Prueba],CasoPrueba[[#All],[Código CP]:[Prioridad]],7,TRUE)</f>
        <v>Alta</v>
      </c>
      <c r="E280" s="34" t="s">
        <v>28</v>
      </c>
      <c r="F280" s="34" t="s">
        <v>49</v>
      </c>
      <c r="G280" s="73">
        <v>40838</v>
      </c>
      <c r="H280" s="73">
        <v>40843</v>
      </c>
      <c r="I280" s="94" t="s">
        <v>132</v>
      </c>
      <c r="J280" s="34" t="s">
        <v>871</v>
      </c>
      <c r="K280" s="34" t="s">
        <v>997</v>
      </c>
      <c r="L280" s="34">
        <f>IF((Observaciones[[#This Row],[Fecha Levantamiento]]-Observaciones[[#This Row],[Fecha Detección]])&gt;=0,Observaciones[[#This Row],[Fecha Levantamiento]]-Observaciones[[#This Row],[Fecha Detección]]+1,0)</f>
        <v>6</v>
      </c>
      <c r="M280" s="34" t="str">
        <f>LOOKUP(Observaciones[[#This Row],[Caso de Prueba]],CasoPrueba[Código CP],CasoPrueba[Código de REQ])</f>
        <v>INSPECCIÓN</v>
      </c>
    </row>
    <row r="281" spans="1:13" ht="30" hidden="1">
      <c r="A281" s="166" t="s">
        <v>722</v>
      </c>
      <c r="B281" s="34" t="s">
        <v>889</v>
      </c>
      <c r="C281" s="34" t="str">
        <f>VLOOKUP(Observaciones[[#This Row],[Caso de Prueba]],CasoPrueba[[Código CP]:[Descripción Caso de Prueba]],3,0)</f>
        <v>PROCESO Capacitaciones de Educación Técnica</v>
      </c>
      <c r="D281" s="34" t="str">
        <f>VLOOKUP(Observaciones[Caso de Prueba],CasoPrueba[[#All],[Código CP]:[Prioridad]],7,TRUE)</f>
        <v>Alta</v>
      </c>
      <c r="E281" s="34" t="s">
        <v>162</v>
      </c>
      <c r="F281" s="34" t="s">
        <v>49</v>
      </c>
      <c r="G281" s="73">
        <v>40840</v>
      </c>
      <c r="H281" s="73">
        <v>40843</v>
      </c>
      <c r="I281" s="94" t="s">
        <v>132</v>
      </c>
      <c r="J281" s="34" t="s">
        <v>936</v>
      </c>
      <c r="K281" s="34" t="s">
        <v>283</v>
      </c>
      <c r="L281" s="34">
        <f>IF((Observaciones[[#This Row],[Fecha Levantamiento]]-Observaciones[[#This Row],[Fecha Detección]])&gt;=0,Observaciones[[#This Row],[Fecha Levantamiento]]-Observaciones[[#This Row],[Fecha Detección]]+1,0)</f>
        <v>4</v>
      </c>
      <c r="M281" s="34" t="str">
        <f>LOOKUP(Observaciones[[#This Row],[Caso de Prueba]],CasoPrueba[Código CP],CasoPrueba[Código de REQ])</f>
        <v>INSPECCIÓN</v>
      </c>
    </row>
    <row r="282" spans="1:13" ht="45" hidden="1">
      <c r="A282" s="166" t="s">
        <v>723</v>
      </c>
      <c r="B282" s="34" t="s">
        <v>889</v>
      </c>
      <c r="C282" s="34" t="str">
        <f>VLOOKUP(Observaciones[[#This Row],[Caso de Prueba]],CasoPrueba[[Código CP]:[Descripción Caso de Prueba]],3,0)</f>
        <v>PROCESO Capacitaciones de Educación Técnica</v>
      </c>
      <c r="D282" s="34" t="str">
        <f>VLOOKUP(Observaciones[Caso de Prueba],CasoPrueba[[#All],[Código CP]:[Prioridad]],7,TRUE)</f>
        <v>Alta</v>
      </c>
      <c r="E282" s="34" t="s">
        <v>29</v>
      </c>
      <c r="F282" s="34" t="s">
        <v>49</v>
      </c>
      <c r="G282" s="73">
        <v>40840</v>
      </c>
      <c r="H282" s="73">
        <v>40843</v>
      </c>
      <c r="I282" s="94" t="s">
        <v>132</v>
      </c>
      <c r="J282" s="34" t="s">
        <v>937</v>
      </c>
      <c r="K282" s="34" t="s">
        <v>996</v>
      </c>
      <c r="L282" s="34">
        <f>IF((Observaciones[[#This Row],[Fecha Levantamiento]]-Observaciones[[#This Row],[Fecha Detección]])&gt;=0,Observaciones[[#This Row],[Fecha Levantamiento]]-Observaciones[[#This Row],[Fecha Detección]]+1,0)</f>
        <v>4</v>
      </c>
      <c r="M282" s="34" t="str">
        <f>LOOKUP(Observaciones[[#This Row],[Caso de Prueba]],CasoPrueba[Código CP],CasoPrueba[Código de REQ])</f>
        <v>INSPECCIÓN</v>
      </c>
    </row>
    <row r="283" spans="1:13" ht="45" hidden="1">
      <c r="A283" s="166" t="s">
        <v>724</v>
      </c>
      <c r="B283" s="34" t="s">
        <v>890</v>
      </c>
      <c r="C283" s="34" t="str">
        <f>VLOOKUP(Observaciones[[#This Row],[Caso de Prueba]],CasoPrueba[[Código CP]:[Descripción Caso de Prueba]],3,0)</f>
        <v>PROCESO Capacitaciones del Departamento de Formación</v>
      </c>
      <c r="D283" s="34" t="str">
        <f>VLOOKUP(Observaciones[Caso de Prueba],CasoPrueba[[#All],[Código CP]:[Prioridad]],7,TRUE)</f>
        <v>Alta</v>
      </c>
      <c r="E283" s="34" t="s">
        <v>28</v>
      </c>
      <c r="F283" s="34" t="s">
        <v>49</v>
      </c>
      <c r="G283" s="73">
        <v>40840</v>
      </c>
      <c r="H283" s="73">
        <v>40843</v>
      </c>
      <c r="I283" s="94" t="s">
        <v>132</v>
      </c>
      <c r="J283" s="34" t="s">
        <v>597</v>
      </c>
      <c r="K283" s="34" t="s">
        <v>1001</v>
      </c>
      <c r="L283" s="34">
        <f>IF((Observaciones[[#This Row],[Fecha Levantamiento]]-Observaciones[[#This Row],[Fecha Detección]])&gt;=0,Observaciones[[#This Row],[Fecha Levantamiento]]-Observaciones[[#This Row],[Fecha Detección]]+1,0)</f>
        <v>4</v>
      </c>
      <c r="M283" s="34" t="str">
        <f>LOOKUP(Observaciones[[#This Row],[Caso de Prueba]],CasoPrueba[Código CP],CasoPrueba[Código de REQ])</f>
        <v>INSPECCIÓN</v>
      </c>
    </row>
    <row r="284" spans="1:13" ht="45" hidden="1">
      <c r="A284" s="166" t="s">
        <v>725</v>
      </c>
      <c r="B284" s="34" t="s">
        <v>890</v>
      </c>
      <c r="C284" s="34" t="str">
        <f>VLOOKUP(Observaciones[[#This Row],[Caso de Prueba]],CasoPrueba[[Código CP]:[Descripción Caso de Prueba]],3,0)</f>
        <v>PROCESO Capacitaciones del Departamento de Formación</v>
      </c>
      <c r="D284" s="34" t="str">
        <f>VLOOKUP(Observaciones[Caso de Prueba],CasoPrueba[[#All],[Código CP]:[Prioridad]],7,TRUE)</f>
        <v>Alta</v>
      </c>
      <c r="E284" s="34" t="s">
        <v>162</v>
      </c>
      <c r="F284" s="34" t="s">
        <v>49</v>
      </c>
      <c r="G284" s="73">
        <v>40840</v>
      </c>
      <c r="H284" s="73">
        <v>40843</v>
      </c>
      <c r="I284" s="94" t="s">
        <v>132</v>
      </c>
      <c r="J284" s="34" t="s">
        <v>925</v>
      </c>
      <c r="K284" s="34" t="s">
        <v>986</v>
      </c>
      <c r="L284" s="34">
        <f>IF((Observaciones[[#This Row],[Fecha Levantamiento]]-Observaciones[[#This Row],[Fecha Detección]])&gt;=0,Observaciones[[#This Row],[Fecha Levantamiento]]-Observaciones[[#This Row],[Fecha Detección]]+1,0)</f>
        <v>4</v>
      </c>
      <c r="M284" s="34" t="str">
        <f>LOOKUP(Observaciones[[#This Row],[Caso de Prueba]],CasoPrueba[Código CP],CasoPrueba[Código de REQ])</f>
        <v>INSPECCIÓN</v>
      </c>
    </row>
    <row r="285" spans="1:13" ht="90" hidden="1">
      <c r="A285" s="166" t="s">
        <v>726</v>
      </c>
      <c r="B285" s="34" t="s">
        <v>890</v>
      </c>
      <c r="C285" s="34" t="str">
        <f>VLOOKUP(Observaciones[[#This Row],[Caso de Prueba]],CasoPrueba[[Código CP]:[Descripción Caso de Prueba]],3,0)</f>
        <v>PROCESO Capacitaciones del Departamento de Formación</v>
      </c>
      <c r="D285" s="34" t="str">
        <f>VLOOKUP(Observaciones[Caso de Prueba],CasoPrueba[[#All],[Código CP]:[Prioridad]],7,TRUE)</f>
        <v>Alta</v>
      </c>
      <c r="E285" s="34" t="s">
        <v>29</v>
      </c>
      <c r="F285" s="34" t="s">
        <v>49</v>
      </c>
      <c r="G285" s="73">
        <v>40840</v>
      </c>
      <c r="H285" s="73">
        <v>40843</v>
      </c>
      <c r="I285" s="94" t="s">
        <v>132</v>
      </c>
      <c r="J285" s="34" t="s">
        <v>599</v>
      </c>
      <c r="K285" s="34" t="s">
        <v>995</v>
      </c>
      <c r="L285" s="34">
        <f>IF((Observaciones[[#This Row],[Fecha Levantamiento]]-Observaciones[[#This Row],[Fecha Detección]])&gt;=0,Observaciones[[#This Row],[Fecha Levantamiento]]-Observaciones[[#This Row],[Fecha Detección]]+1,0)</f>
        <v>4</v>
      </c>
      <c r="M285" s="34" t="str">
        <f>LOOKUP(Observaciones[[#This Row],[Caso de Prueba]],CasoPrueba[Código CP],CasoPrueba[Código de REQ])</f>
        <v>INSPECCIÓN</v>
      </c>
    </row>
    <row r="286" spans="1:13" ht="45" hidden="1">
      <c r="A286" s="166" t="s">
        <v>727</v>
      </c>
      <c r="B286" s="34" t="s">
        <v>890</v>
      </c>
      <c r="C286" s="34" t="str">
        <f>VLOOKUP(Observaciones[[#This Row],[Caso de Prueba]],CasoPrueba[[Código CP]:[Descripción Caso de Prueba]],3,0)</f>
        <v>PROCESO Capacitaciones del Departamento de Formación</v>
      </c>
      <c r="D286" s="34" t="str">
        <f>VLOOKUP(Observaciones[Caso de Prueba],CasoPrueba[[#All],[Código CP]:[Prioridad]],7,TRUE)</f>
        <v>Alta</v>
      </c>
      <c r="E286" s="34" t="s">
        <v>28</v>
      </c>
      <c r="F286" s="34" t="s">
        <v>49</v>
      </c>
      <c r="G286" s="73">
        <v>40840</v>
      </c>
      <c r="H286" s="73">
        <v>40843</v>
      </c>
      <c r="I286" s="94" t="s">
        <v>132</v>
      </c>
      <c r="J286" s="34" t="s">
        <v>871</v>
      </c>
      <c r="K286" s="34" t="s">
        <v>1000</v>
      </c>
      <c r="L286" s="34">
        <f>IF((Observaciones[[#This Row],[Fecha Levantamiento]]-Observaciones[[#This Row],[Fecha Detección]])&gt;=0,Observaciones[[#This Row],[Fecha Levantamiento]]-Observaciones[[#This Row],[Fecha Detección]]+1,0)</f>
        <v>4</v>
      </c>
      <c r="M286" s="34" t="str">
        <f>LOOKUP(Observaciones[[#This Row],[Caso de Prueba]],CasoPrueba[Código CP],CasoPrueba[Código de REQ])</f>
        <v>INSPECCIÓN</v>
      </c>
    </row>
    <row r="287" spans="1:13" ht="30" hidden="1">
      <c r="A287" s="166" t="s">
        <v>728</v>
      </c>
      <c r="B287" s="34" t="s">
        <v>890</v>
      </c>
      <c r="C287" s="34" t="str">
        <f>VLOOKUP(Observaciones[[#This Row],[Caso de Prueba]],CasoPrueba[[Código CP]:[Descripción Caso de Prueba]],3,0)</f>
        <v>PROCESO Capacitaciones del Departamento de Formación</v>
      </c>
      <c r="D287" s="34" t="str">
        <f>VLOOKUP(Observaciones[Caso de Prueba],CasoPrueba[[#All],[Código CP]:[Prioridad]],7,TRUE)</f>
        <v>Alta</v>
      </c>
      <c r="E287" s="34" t="s">
        <v>162</v>
      </c>
      <c r="F287" s="34" t="s">
        <v>49</v>
      </c>
      <c r="G287" s="73">
        <v>40840</v>
      </c>
      <c r="H287" s="73">
        <v>40843</v>
      </c>
      <c r="I287" s="94" t="s">
        <v>132</v>
      </c>
      <c r="J287" s="34" t="s">
        <v>938</v>
      </c>
      <c r="K287" s="34" t="s">
        <v>234</v>
      </c>
      <c r="L287" s="34">
        <f>IF((Observaciones[[#This Row],[Fecha Levantamiento]]-Observaciones[[#This Row],[Fecha Detección]])&gt;=0,Observaciones[[#This Row],[Fecha Levantamiento]]-Observaciones[[#This Row],[Fecha Detección]]+1,0)</f>
        <v>4</v>
      </c>
      <c r="M287" s="34" t="str">
        <f>LOOKUP(Observaciones[[#This Row],[Caso de Prueba]],CasoPrueba[Código CP],CasoPrueba[Código de REQ])</f>
        <v>INSPECCIÓN</v>
      </c>
    </row>
    <row r="288" spans="1:13" ht="45" hidden="1">
      <c r="A288" s="166" t="s">
        <v>729</v>
      </c>
      <c r="B288" s="34" t="s">
        <v>890</v>
      </c>
      <c r="C288" s="34" t="str">
        <f>VLOOKUP(Observaciones[[#This Row],[Caso de Prueba]],CasoPrueba[[Código CP]:[Descripción Caso de Prueba]],3,0)</f>
        <v>PROCESO Capacitaciones del Departamento de Formación</v>
      </c>
      <c r="D288" s="34" t="str">
        <f>VLOOKUP(Observaciones[Caso de Prueba],CasoPrueba[[#All],[Código CP]:[Prioridad]],7,TRUE)</f>
        <v>Alta</v>
      </c>
      <c r="E288" s="34" t="s">
        <v>162</v>
      </c>
      <c r="F288" s="34" t="s">
        <v>49</v>
      </c>
      <c r="G288" s="73">
        <v>40840</v>
      </c>
      <c r="H288" s="73">
        <v>40843</v>
      </c>
      <c r="I288" s="94" t="s">
        <v>132</v>
      </c>
      <c r="J288" s="34" t="s">
        <v>939</v>
      </c>
      <c r="K288" s="34" t="s">
        <v>981</v>
      </c>
      <c r="L288" s="34">
        <f>IF((Observaciones[[#This Row],[Fecha Levantamiento]]-Observaciones[[#This Row],[Fecha Detección]])&gt;=0,Observaciones[[#This Row],[Fecha Levantamiento]]-Observaciones[[#This Row],[Fecha Detección]]+1,0)</f>
        <v>4</v>
      </c>
      <c r="M288" s="34" t="str">
        <f>LOOKUP(Observaciones[[#This Row],[Caso de Prueba]],CasoPrueba[Código CP],CasoPrueba[Código de REQ])</f>
        <v>INSPECCIÓN</v>
      </c>
    </row>
    <row r="289" spans="1:13" ht="30" hidden="1">
      <c r="A289" s="166" t="s">
        <v>730</v>
      </c>
      <c r="B289" s="34" t="s">
        <v>890</v>
      </c>
      <c r="C289" s="34" t="str">
        <f>VLOOKUP(Observaciones[[#This Row],[Caso de Prueba]],CasoPrueba[[Código CP]:[Descripción Caso de Prueba]],3,0)</f>
        <v>PROCESO Capacitaciones del Departamento de Formación</v>
      </c>
      <c r="D289" s="34" t="str">
        <f>VLOOKUP(Observaciones[Caso de Prueba],CasoPrueba[[#All],[Código CP]:[Prioridad]],7,TRUE)</f>
        <v>Alta</v>
      </c>
      <c r="E289" s="34" t="s">
        <v>162</v>
      </c>
      <c r="F289" s="34" t="s">
        <v>49</v>
      </c>
      <c r="G289" s="73">
        <v>40840</v>
      </c>
      <c r="H289" s="73">
        <v>40843</v>
      </c>
      <c r="I289" s="94" t="s">
        <v>132</v>
      </c>
      <c r="J289" s="34" t="s">
        <v>940</v>
      </c>
      <c r="K289" s="34" t="s">
        <v>998</v>
      </c>
      <c r="L289" s="34">
        <f>IF((Observaciones[[#This Row],[Fecha Levantamiento]]-Observaciones[[#This Row],[Fecha Detección]])&gt;=0,Observaciones[[#This Row],[Fecha Levantamiento]]-Observaciones[[#This Row],[Fecha Detección]]+1,0)</f>
        <v>4</v>
      </c>
      <c r="M289" s="34" t="str">
        <f>LOOKUP(Observaciones[[#This Row],[Caso de Prueba]],CasoPrueba[Código CP],CasoPrueba[Código de REQ])</f>
        <v>INSPECCIÓN</v>
      </c>
    </row>
    <row r="290" spans="1:13" ht="45" hidden="1">
      <c r="A290" s="166" t="s">
        <v>731</v>
      </c>
      <c r="B290" s="34" t="s">
        <v>890</v>
      </c>
      <c r="C290" s="34" t="str">
        <f>VLOOKUP(Observaciones[[#This Row],[Caso de Prueba]],CasoPrueba[[Código CP]:[Descripción Caso de Prueba]],3,0)</f>
        <v>PROCESO Capacitaciones del Departamento de Formación</v>
      </c>
      <c r="D290" s="34" t="str">
        <f>VLOOKUP(Observaciones[Caso de Prueba],CasoPrueba[[#All],[Código CP]:[Prioridad]],7,TRUE)</f>
        <v>Alta</v>
      </c>
      <c r="E290" s="34" t="s">
        <v>29</v>
      </c>
      <c r="F290" s="34" t="s">
        <v>49</v>
      </c>
      <c r="G290" s="73">
        <v>40840</v>
      </c>
      <c r="H290" s="73">
        <v>40843</v>
      </c>
      <c r="I290" s="94" t="s">
        <v>132</v>
      </c>
      <c r="J290" s="34" t="s">
        <v>941</v>
      </c>
      <c r="K290" s="34" t="s">
        <v>999</v>
      </c>
      <c r="L290" s="34">
        <f>IF((Observaciones[[#This Row],[Fecha Levantamiento]]-Observaciones[[#This Row],[Fecha Detección]])&gt;=0,Observaciones[[#This Row],[Fecha Levantamiento]]-Observaciones[[#This Row],[Fecha Detección]]+1,0)</f>
        <v>4</v>
      </c>
      <c r="M290" s="34" t="str">
        <f>LOOKUP(Observaciones[[#This Row],[Caso de Prueba]],CasoPrueba[Código CP],CasoPrueba[Código de REQ])</f>
        <v>INSPECCIÓN</v>
      </c>
    </row>
    <row r="291" spans="1:13" ht="30" hidden="1">
      <c r="A291" s="166" t="s">
        <v>732</v>
      </c>
      <c r="B291" s="34" t="s">
        <v>891</v>
      </c>
      <c r="C291" s="34" t="str">
        <f>VLOOKUP(Observaciones[[#This Row],[Caso de Prueba]],CasoPrueba[[Código CP]:[Descripción Caso de Prueba]],3,0)</f>
        <v>MP - Gestión de Orientación Pastoral</v>
      </c>
      <c r="D291" s="34" t="str">
        <f>VLOOKUP(Observaciones[Caso de Prueba],CasoPrueba[[#All],[Código CP]:[Prioridad]],7,TRUE)</f>
        <v>Alta</v>
      </c>
      <c r="E291" s="34" t="s">
        <v>162</v>
      </c>
      <c r="F291" s="34" t="s">
        <v>49</v>
      </c>
      <c r="G291" s="73">
        <v>40840</v>
      </c>
      <c r="H291" s="73">
        <v>40843</v>
      </c>
      <c r="I291" s="94" t="s">
        <v>132</v>
      </c>
      <c r="J291" s="34" t="s">
        <v>942</v>
      </c>
      <c r="K291" s="34" t="s">
        <v>975</v>
      </c>
      <c r="L291" s="34">
        <f>IF((Observaciones[[#This Row],[Fecha Levantamiento]]-Observaciones[[#This Row],[Fecha Detección]])&gt;=0,Observaciones[[#This Row],[Fecha Levantamiento]]-Observaciones[[#This Row],[Fecha Detección]]+1,0)</f>
        <v>4</v>
      </c>
      <c r="M291" s="34" t="str">
        <f>LOOKUP(Observaciones[[#This Row],[Caso de Prueba]],CasoPrueba[Código CP],CasoPrueba[Código de REQ])</f>
        <v>INSPECCIÓN</v>
      </c>
    </row>
    <row r="292" spans="1:13" ht="30" hidden="1">
      <c r="A292" s="166" t="s">
        <v>733</v>
      </c>
      <c r="B292" s="34" t="s">
        <v>891</v>
      </c>
      <c r="C292" s="34" t="str">
        <f>VLOOKUP(Observaciones[[#This Row],[Caso de Prueba]],CasoPrueba[[Código CP]:[Descripción Caso de Prueba]],3,0)</f>
        <v>MP - Gestión de Orientación Pastoral</v>
      </c>
      <c r="D292" s="34" t="str">
        <f>VLOOKUP(Observaciones[Caso de Prueba],CasoPrueba[[#All],[Código CP]:[Prioridad]],7,TRUE)</f>
        <v>Alta</v>
      </c>
      <c r="E292" s="34" t="s">
        <v>162</v>
      </c>
      <c r="F292" s="34" t="s">
        <v>49</v>
      </c>
      <c r="G292" s="73">
        <v>40840</v>
      </c>
      <c r="H292" s="73">
        <v>40843</v>
      </c>
      <c r="I292" s="94" t="s">
        <v>132</v>
      </c>
      <c r="J292" s="34" t="s">
        <v>943</v>
      </c>
      <c r="K292" s="34" t="s">
        <v>975</v>
      </c>
      <c r="L292" s="34">
        <f>IF((Observaciones[[#This Row],[Fecha Levantamiento]]-Observaciones[[#This Row],[Fecha Detección]])&gt;=0,Observaciones[[#This Row],[Fecha Levantamiento]]-Observaciones[[#This Row],[Fecha Detección]]+1,0)</f>
        <v>4</v>
      </c>
      <c r="M292" s="34" t="str">
        <f>LOOKUP(Observaciones[[#This Row],[Caso de Prueba]],CasoPrueba[Código CP],CasoPrueba[Código de REQ])</f>
        <v>INSPECCIÓN</v>
      </c>
    </row>
    <row r="293" spans="1:13" ht="90" hidden="1">
      <c r="A293" s="166" t="s">
        <v>734</v>
      </c>
      <c r="B293" s="34" t="s">
        <v>891</v>
      </c>
      <c r="C293" s="34" t="str">
        <f>VLOOKUP(Observaciones[[#This Row],[Caso de Prueba]],CasoPrueba[[Código CP]:[Descripción Caso de Prueba]],3,0)</f>
        <v>MP - Gestión de Orientación Pastoral</v>
      </c>
      <c r="D293" s="34" t="str">
        <f>VLOOKUP(Observaciones[Caso de Prueba],CasoPrueba[[#All],[Código CP]:[Prioridad]],7,TRUE)</f>
        <v>Alta</v>
      </c>
      <c r="E293" s="34" t="s">
        <v>29</v>
      </c>
      <c r="F293" s="34" t="s">
        <v>49</v>
      </c>
      <c r="G293" s="73">
        <v>40840</v>
      </c>
      <c r="H293" s="73">
        <v>40843</v>
      </c>
      <c r="I293" s="94" t="s">
        <v>132</v>
      </c>
      <c r="J293" s="34" t="s">
        <v>599</v>
      </c>
      <c r="K293" s="34" t="s">
        <v>817</v>
      </c>
      <c r="L293" s="34">
        <f>IF((Observaciones[[#This Row],[Fecha Levantamiento]]-Observaciones[[#This Row],[Fecha Detección]])&gt;=0,Observaciones[[#This Row],[Fecha Levantamiento]]-Observaciones[[#This Row],[Fecha Detección]]+1,0)</f>
        <v>4</v>
      </c>
      <c r="M293" s="34" t="str">
        <f>LOOKUP(Observaciones[[#This Row],[Caso de Prueba]],CasoPrueba[Código CP],CasoPrueba[Código de REQ])</f>
        <v>INSPECCIÓN</v>
      </c>
    </row>
    <row r="294" spans="1:13" ht="45" hidden="1">
      <c r="A294" s="166" t="s">
        <v>735</v>
      </c>
      <c r="B294" s="34" t="s">
        <v>891</v>
      </c>
      <c r="C294" s="34" t="str">
        <f>VLOOKUP(Observaciones[[#This Row],[Caso de Prueba]],CasoPrueba[[Código CP]:[Descripción Caso de Prueba]],3,0)</f>
        <v>MP - Gestión de Orientación Pastoral</v>
      </c>
      <c r="D294" s="34" t="str">
        <f>VLOOKUP(Observaciones[Caso de Prueba],CasoPrueba[[#All],[Código CP]:[Prioridad]],7,TRUE)</f>
        <v>Alta</v>
      </c>
      <c r="E294" s="34" t="s">
        <v>28</v>
      </c>
      <c r="F294" s="34" t="s">
        <v>49</v>
      </c>
      <c r="G294" s="73">
        <v>40840</v>
      </c>
      <c r="H294" s="73">
        <v>40843</v>
      </c>
      <c r="I294" s="94" t="s">
        <v>132</v>
      </c>
      <c r="J294" s="34" t="s">
        <v>871</v>
      </c>
      <c r="K294" s="34" t="s">
        <v>976</v>
      </c>
      <c r="L294" s="34">
        <f>IF((Observaciones[[#This Row],[Fecha Levantamiento]]-Observaciones[[#This Row],[Fecha Detección]])&gt;=0,Observaciones[[#This Row],[Fecha Levantamiento]]-Observaciones[[#This Row],[Fecha Detección]]+1,0)</f>
        <v>4</v>
      </c>
      <c r="M294" s="34" t="str">
        <f>LOOKUP(Observaciones[[#This Row],[Caso de Prueba]],CasoPrueba[Código CP],CasoPrueba[Código de REQ])</f>
        <v>INSPECCIÓN</v>
      </c>
    </row>
    <row r="295" spans="1:13" ht="30" hidden="1">
      <c r="A295" s="166" t="s">
        <v>736</v>
      </c>
      <c r="B295" s="34" t="s">
        <v>891</v>
      </c>
      <c r="C295" s="34" t="str">
        <f>VLOOKUP(Observaciones[[#This Row],[Caso de Prueba]],CasoPrueba[[Código CP]:[Descripción Caso de Prueba]],3,0)</f>
        <v>MP - Gestión de Orientación Pastoral</v>
      </c>
      <c r="D295" s="34" t="str">
        <f>VLOOKUP(Observaciones[Caso de Prueba],CasoPrueba[[#All],[Código CP]:[Prioridad]],7,TRUE)</f>
        <v>Alta</v>
      </c>
      <c r="E295" s="34" t="s">
        <v>30</v>
      </c>
      <c r="F295" s="34" t="s">
        <v>49</v>
      </c>
      <c r="G295" s="73">
        <v>40840</v>
      </c>
      <c r="H295" s="73">
        <v>40843</v>
      </c>
      <c r="I295" s="94" t="s">
        <v>132</v>
      </c>
      <c r="J295" s="34" t="s">
        <v>944</v>
      </c>
      <c r="K295" s="34" t="s">
        <v>261</v>
      </c>
      <c r="L295" s="34">
        <f>IF((Observaciones[[#This Row],[Fecha Levantamiento]]-Observaciones[[#This Row],[Fecha Detección]])&gt;=0,Observaciones[[#This Row],[Fecha Levantamiento]]-Observaciones[[#This Row],[Fecha Detección]]+1,0)</f>
        <v>4</v>
      </c>
      <c r="M295" s="34" t="str">
        <f>LOOKUP(Observaciones[[#This Row],[Caso de Prueba]],CasoPrueba[Código CP],CasoPrueba[Código de REQ])</f>
        <v>INSPECCIÓN</v>
      </c>
    </row>
    <row r="296" spans="1:13" ht="45" hidden="1">
      <c r="A296" s="166" t="s">
        <v>737</v>
      </c>
      <c r="B296" s="34" t="s">
        <v>891</v>
      </c>
      <c r="C296" s="34" t="str">
        <f>VLOOKUP(Observaciones[[#This Row],[Caso de Prueba]],CasoPrueba[[Código CP]:[Descripción Caso de Prueba]],3,0)</f>
        <v>MP - Gestión de Orientación Pastoral</v>
      </c>
      <c r="D296" s="34" t="str">
        <f>VLOOKUP(Observaciones[Caso de Prueba],CasoPrueba[[#All],[Código CP]:[Prioridad]],7,TRUE)</f>
        <v>Alta</v>
      </c>
      <c r="E296" s="34" t="s">
        <v>28</v>
      </c>
      <c r="F296" s="34" t="s">
        <v>49</v>
      </c>
      <c r="G296" s="73">
        <v>40840</v>
      </c>
      <c r="H296" s="73">
        <v>40843</v>
      </c>
      <c r="I296" s="94" t="s">
        <v>132</v>
      </c>
      <c r="J296" s="34" t="s">
        <v>945</v>
      </c>
      <c r="K296" s="34" t="s">
        <v>982</v>
      </c>
      <c r="L296" s="34">
        <f>IF((Observaciones[[#This Row],[Fecha Levantamiento]]-Observaciones[[#This Row],[Fecha Detección]])&gt;=0,Observaciones[[#This Row],[Fecha Levantamiento]]-Observaciones[[#This Row],[Fecha Detección]]+1,0)</f>
        <v>4</v>
      </c>
      <c r="M296" s="34" t="str">
        <f>LOOKUP(Observaciones[[#This Row],[Caso de Prueba]],CasoPrueba[Código CP],CasoPrueba[Código de REQ])</f>
        <v>INSPECCIÓN</v>
      </c>
    </row>
    <row r="297" spans="1:13" ht="30" hidden="1">
      <c r="A297" s="166" t="s">
        <v>738</v>
      </c>
      <c r="B297" s="34" t="s">
        <v>891</v>
      </c>
      <c r="C297" s="34" t="str">
        <f>VLOOKUP(Observaciones[[#This Row],[Caso de Prueba]],CasoPrueba[[Código CP]:[Descripción Caso de Prueba]],3,0)</f>
        <v>MP - Gestión de Orientación Pastoral</v>
      </c>
      <c r="D297" s="34" t="str">
        <f>VLOOKUP(Observaciones[Caso de Prueba],CasoPrueba[[#All],[Código CP]:[Prioridad]],7,TRUE)</f>
        <v>Alta</v>
      </c>
      <c r="E297" s="34" t="s">
        <v>162</v>
      </c>
      <c r="F297" s="34" t="s">
        <v>49</v>
      </c>
      <c r="G297" s="73">
        <v>40840</v>
      </c>
      <c r="H297" s="73">
        <v>40843</v>
      </c>
      <c r="I297" s="94" t="s">
        <v>132</v>
      </c>
      <c r="J297" s="34" t="s">
        <v>946</v>
      </c>
      <c r="K297" s="34" t="s">
        <v>967</v>
      </c>
      <c r="L297" s="34">
        <f>IF((Observaciones[[#This Row],[Fecha Levantamiento]]-Observaciones[[#This Row],[Fecha Detección]])&gt;=0,Observaciones[[#This Row],[Fecha Levantamiento]]-Observaciones[[#This Row],[Fecha Detección]]+1,0)</f>
        <v>4</v>
      </c>
      <c r="M297" s="34" t="str">
        <f>LOOKUP(Observaciones[[#This Row],[Caso de Prueba]],CasoPrueba[Código CP],CasoPrueba[Código de REQ])</f>
        <v>INSPECCIÓN</v>
      </c>
    </row>
    <row r="298" spans="1:13" ht="30" hidden="1">
      <c r="A298" s="166" t="s">
        <v>739</v>
      </c>
      <c r="B298" s="34" t="s">
        <v>891</v>
      </c>
      <c r="C298" s="34" t="str">
        <f>VLOOKUP(Observaciones[[#This Row],[Caso de Prueba]],CasoPrueba[[Código CP]:[Descripción Caso de Prueba]],3,0)</f>
        <v>MP - Gestión de Orientación Pastoral</v>
      </c>
      <c r="D298" s="34" t="str">
        <f>VLOOKUP(Observaciones[Caso de Prueba],CasoPrueba[[#All],[Código CP]:[Prioridad]],7,TRUE)</f>
        <v>Alta</v>
      </c>
      <c r="E298" s="34" t="s">
        <v>162</v>
      </c>
      <c r="F298" s="34" t="s">
        <v>49</v>
      </c>
      <c r="G298" s="73">
        <v>40840</v>
      </c>
      <c r="H298" s="73">
        <v>40843</v>
      </c>
      <c r="I298" s="94" t="s">
        <v>132</v>
      </c>
      <c r="J298" s="34" t="s">
        <v>947</v>
      </c>
      <c r="K298" s="34" t="s">
        <v>967</v>
      </c>
      <c r="L298" s="34">
        <f>IF((Observaciones[[#This Row],[Fecha Levantamiento]]-Observaciones[[#This Row],[Fecha Detección]])&gt;=0,Observaciones[[#This Row],[Fecha Levantamiento]]-Observaciones[[#This Row],[Fecha Detección]]+1,0)</f>
        <v>4</v>
      </c>
      <c r="M298" s="34" t="str">
        <f>LOOKUP(Observaciones[[#This Row],[Caso de Prueba]],CasoPrueba[Código CP],CasoPrueba[Código de REQ])</f>
        <v>INSPECCIÓN</v>
      </c>
    </row>
    <row r="299" spans="1:13" ht="45" hidden="1">
      <c r="A299" s="166" t="s">
        <v>740</v>
      </c>
      <c r="B299" s="34" t="s">
        <v>892</v>
      </c>
      <c r="C299" s="34" t="str">
        <f>VLOOKUP(Observaciones[[#This Row],[Caso de Prueba]],CasoPrueba[[Código CP]:[Descripción Caso de Prueba]],3,0)</f>
        <v>PROCESO - Ejecución de Talleres de Pastoral y Educación en Valores</v>
      </c>
      <c r="D299" s="34" t="str">
        <f>VLOOKUP(Observaciones[Caso de Prueba],CasoPrueba[[#All],[Código CP]:[Prioridad]],7,TRUE)</f>
        <v>Alta</v>
      </c>
      <c r="E299" s="34" t="s">
        <v>28</v>
      </c>
      <c r="F299" s="34" t="s">
        <v>49</v>
      </c>
      <c r="G299" s="73">
        <v>40838</v>
      </c>
      <c r="H299" s="73">
        <v>40843</v>
      </c>
      <c r="I299" s="94" t="s">
        <v>132</v>
      </c>
      <c r="J299" s="34" t="s">
        <v>597</v>
      </c>
      <c r="K299" s="34" t="s">
        <v>983</v>
      </c>
      <c r="L299" s="34">
        <f>IF((Observaciones[[#This Row],[Fecha Levantamiento]]-Observaciones[[#This Row],[Fecha Detección]])&gt;=0,Observaciones[[#This Row],[Fecha Levantamiento]]-Observaciones[[#This Row],[Fecha Detección]]+1,0)</f>
        <v>6</v>
      </c>
      <c r="M299" s="34" t="str">
        <f>LOOKUP(Observaciones[[#This Row],[Caso de Prueba]],CasoPrueba[Código CP],CasoPrueba[Código de REQ])</f>
        <v>INSPECCIÓN</v>
      </c>
    </row>
    <row r="300" spans="1:13" ht="60" hidden="1">
      <c r="A300" s="166" t="s">
        <v>741</v>
      </c>
      <c r="B300" s="34" t="s">
        <v>892</v>
      </c>
      <c r="C300" s="34" t="str">
        <f>VLOOKUP(Observaciones[[#This Row],[Caso de Prueba]],CasoPrueba[[Código CP]:[Descripción Caso de Prueba]],3,0)</f>
        <v>PROCESO - Ejecución de Talleres de Pastoral y Educación en Valores</v>
      </c>
      <c r="D300" s="34" t="str">
        <f>VLOOKUP(Observaciones[Caso de Prueba],CasoPrueba[[#All],[Código CP]:[Prioridad]],7,TRUE)</f>
        <v>Alta</v>
      </c>
      <c r="E300" s="34" t="s">
        <v>30</v>
      </c>
      <c r="F300" s="34" t="s">
        <v>49</v>
      </c>
      <c r="G300" s="73">
        <v>40838</v>
      </c>
      <c r="H300" s="73">
        <v>40843</v>
      </c>
      <c r="I300" s="94" t="s">
        <v>132</v>
      </c>
      <c r="J300" s="34" t="s">
        <v>948</v>
      </c>
      <c r="K300" s="34" t="s">
        <v>968</v>
      </c>
      <c r="L300" s="34">
        <f>IF((Observaciones[[#This Row],[Fecha Levantamiento]]-Observaciones[[#This Row],[Fecha Detección]])&gt;=0,Observaciones[[#This Row],[Fecha Levantamiento]]-Observaciones[[#This Row],[Fecha Detección]]+1,0)</f>
        <v>6</v>
      </c>
      <c r="M300" s="34" t="str">
        <f>LOOKUP(Observaciones[[#This Row],[Caso de Prueba]],CasoPrueba[Código CP],CasoPrueba[Código de REQ])</f>
        <v>INSPECCIÓN</v>
      </c>
    </row>
    <row r="301" spans="1:13" ht="90" hidden="1">
      <c r="A301" s="166" t="s">
        <v>742</v>
      </c>
      <c r="B301" s="34" t="s">
        <v>892</v>
      </c>
      <c r="C301" s="34" t="str">
        <f>VLOOKUP(Observaciones[[#This Row],[Caso de Prueba]],CasoPrueba[[Código CP]:[Descripción Caso de Prueba]],3,0)</f>
        <v>PROCESO - Ejecución de Talleres de Pastoral y Educación en Valores</v>
      </c>
      <c r="D301" s="34" t="str">
        <f>VLOOKUP(Observaciones[Caso de Prueba],CasoPrueba[[#All],[Código CP]:[Prioridad]],7,TRUE)</f>
        <v>Alta</v>
      </c>
      <c r="E301" s="34" t="s">
        <v>29</v>
      </c>
      <c r="F301" s="34" t="s">
        <v>49</v>
      </c>
      <c r="G301" s="73">
        <v>40840</v>
      </c>
      <c r="H301" s="73">
        <v>40843</v>
      </c>
      <c r="I301" s="94" t="s">
        <v>132</v>
      </c>
      <c r="J301" s="34" t="s">
        <v>599</v>
      </c>
      <c r="K301" s="34" t="s">
        <v>980</v>
      </c>
      <c r="L301" s="34">
        <f>IF((Observaciones[[#This Row],[Fecha Levantamiento]]-Observaciones[[#This Row],[Fecha Detección]])&gt;=0,Observaciones[[#This Row],[Fecha Levantamiento]]-Observaciones[[#This Row],[Fecha Detección]]+1,0)</f>
        <v>4</v>
      </c>
      <c r="M301" s="34" t="str">
        <f>LOOKUP(Observaciones[[#This Row],[Caso de Prueba]],CasoPrueba[Código CP],CasoPrueba[Código de REQ])</f>
        <v>INSPECCIÓN</v>
      </c>
    </row>
    <row r="302" spans="1:13" ht="45" hidden="1">
      <c r="A302" s="166" t="s">
        <v>743</v>
      </c>
      <c r="B302" s="34" t="s">
        <v>892</v>
      </c>
      <c r="C302" s="34" t="str">
        <f>VLOOKUP(Observaciones[[#This Row],[Caso de Prueba]],CasoPrueba[[Código CP]:[Descripción Caso de Prueba]],3,0)</f>
        <v>PROCESO - Ejecución de Talleres de Pastoral y Educación en Valores</v>
      </c>
      <c r="D302" s="34" t="str">
        <f>VLOOKUP(Observaciones[Caso de Prueba],CasoPrueba[[#All],[Código CP]:[Prioridad]],7,TRUE)</f>
        <v>Alta</v>
      </c>
      <c r="E302" s="34" t="s">
        <v>28</v>
      </c>
      <c r="F302" s="34" t="s">
        <v>49</v>
      </c>
      <c r="G302" s="73">
        <v>40840</v>
      </c>
      <c r="H302" s="73">
        <v>40843</v>
      </c>
      <c r="I302" s="94" t="s">
        <v>132</v>
      </c>
      <c r="J302" s="34" t="s">
        <v>871</v>
      </c>
      <c r="K302" s="34" t="s">
        <v>976</v>
      </c>
      <c r="L302" s="34">
        <f>IF((Observaciones[[#This Row],[Fecha Levantamiento]]-Observaciones[[#This Row],[Fecha Detección]])&gt;=0,Observaciones[[#This Row],[Fecha Levantamiento]]-Observaciones[[#This Row],[Fecha Detección]]+1,0)</f>
        <v>4</v>
      </c>
      <c r="M302" s="34" t="str">
        <f>LOOKUP(Observaciones[[#This Row],[Caso de Prueba]],CasoPrueba[Código CP],CasoPrueba[Código de REQ])</f>
        <v>INSPECCIÓN</v>
      </c>
    </row>
    <row r="303" spans="1:13" hidden="1">
      <c r="A303" s="166" t="s">
        <v>744</v>
      </c>
      <c r="B303" s="34" t="s">
        <v>892</v>
      </c>
      <c r="C303" s="34" t="str">
        <f>VLOOKUP(Observaciones[[#This Row],[Caso de Prueba]],CasoPrueba[[Código CP]:[Descripción Caso de Prueba]],3,0)</f>
        <v>PROCESO - Ejecución de Talleres de Pastoral y Educación en Valores</v>
      </c>
      <c r="D303" s="34" t="str">
        <f>VLOOKUP(Observaciones[Caso de Prueba],CasoPrueba[[#All],[Código CP]:[Prioridad]],7,TRUE)</f>
        <v>Alta</v>
      </c>
      <c r="E303" s="34" t="s">
        <v>30</v>
      </c>
      <c r="F303" s="34" t="s">
        <v>49</v>
      </c>
      <c r="G303" s="73">
        <v>40840</v>
      </c>
      <c r="H303" s="73">
        <v>40843</v>
      </c>
      <c r="I303" s="94" t="s">
        <v>132</v>
      </c>
      <c r="J303" s="34" t="s">
        <v>949</v>
      </c>
      <c r="K303" s="34" t="s">
        <v>984</v>
      </c>
      <c r="L303" s="34">
        <f>IF((Observaciones[[#This Row],[Fecha Levantamiento]]-Observaciones[[#This Row],[Fecha Detección]])&gt;=0,Observaciones[[#This Row],[Fecha Levantamiento]]-Observaciones[[#This Row],[Fecha Detección]]+1,0)</f>
        <v>4</v>
      </c>
      <c r="M303" s="34" t="str">
        <f>LOOKUP(Observaciones[[#This Row],[Caso de Prueba]],CasoPrueba[Código CP],CasoPrueba[Código de REQ])</f>
        <v>INSPECCIÓN</v>
      </c>
    </row>
    <row r="304" spans="1:13" ht="45" hidden="1">
      <c r="A304" s="166" t="s">
        <v>745</v>
      </c>
      <c r="B304" s="34" t="s">
        <v>892</v>
      </c>
      <c r="C304" s="34" t="str">
        <f>VLOOKUP(Observaciones[[#This Row],[Caso de Prueba]],CasoPrueba[[Código CP]:[Descripción Caso de Prueba]],3,0)</f>
        <v>PROCESO - Ejecución de Talleres de Pastoral y Educación en Valores</v>
      </c>
      <c r="D304" s="34" t="str">
        <f>VLOOKUP(Observaciones[Caso de Prueba],CasoPrueba[[#All],[Código CP]:[Prioridad]],7,TRUE)</f>
        <v>Alta</v>
      </c>
      <c r="E304" s="34" t="s">
        <v>162</v>
      </c>
      <c r="F304" s="34" t="s">
        <v>49</v>
      </c>
      <c r="G304" s="73">
        <v>40840</v>
      </c>
      <c r="H304" s="73">
        <v>40843</v>
      </c>
      <c r="I304" s="94" t="s">
        <v>132</v>
      </c>
      <c r="J304" s="34" t="s">
        <v>950</v>
      </c>
      <c r="K304" s="34" t="s">
        <v>967</v>
      </c>
      <c r="L304" s="34">
        <f>IF((Observaciones[[#This Row],[Fecha Levantamiento]]-Observaciones[[#This Row],[Fecha Detección]])&gt;=0,Observaciones[[#This Row],[Fecha Levantamiento]]-Observaciones[[#This Row],[Fecha Detección]]+1,0)</f>
        <v>4</v>
      </c>
      <c r="M304" s="34" t="str">
        <f>LOOKUP(Observaciones[[#This Row],[Caso de Prueba]],CasoPrueba[Código CP],CasoPrueba[Código de REQ])</f>
        <v>INSPECCIÓN</v>
      </c>
    </row>
    <row r="305" spans="1:13" ht="30" hidden="1">
      <c r="A305" s="166" t="s">
        <v>746</v>
      </c>
      <c r="B305" s="164" t="s">
        <v>903</v>
      </c>
      <c r="C305" s="164" t="str">
        <f>VLOOKUP(Observaciones[[#This Row],[Caso de Prueba]],CasoPrueba[[Código CP]:[Descripción Caso de Prueba]],3,0)</f>
        <v>MP - Contabilidad y Presupuestos</v>
      </c>
      <c r="D305" s="164" t="str">
        <f>VLOOKUP(Observaciones[Caso de Prueba],CasoPrueba[[#All],[Código CP]:[Prioridad]],7,TRUE)</f>
        <v>Alta</v>
      </c>
      <c r="E305" s="164" t="s">
        <v>162</v>
      </c>
      <c r="F305" s="34" t="s">
        <v>49</v>
      </c>
      <c r="G305" s="165">
        <v>40845</v>
      </c>
      <c r="H305" s="165">
        <v>40847</v>
      </c>
      <c r="I305" s="94" t="s">
        <v>132</v>
      </c>
      <c r="J305" s="164" t="s">
        <v>1002</v>
      </c>
      <c r="K305" s="164" t="s">
        <v>1039</v>
      </c>
      <c r="L305" s="164">
        <f>IF((Observaciones[[#This Row],[Fecha Levantamiento]]-Observaciones[[#This Row],[Fecha Detección]])&gt;=0,Observaciones[[#This Row],[Fecha Levantamiento]]-Observaciones[[#This Row],[Fecha Detección]]+1,0)</f>
        <v>3</v>
      </c>
      <c r="M305" s="164" t="str">
        <f>LOOKUP(Observaciones[[#This Row],[Caso de Prueba]],CasoPrueba[Código CP],CasoPrueba[Código de REQ])</f>
        <v>INSPECCIÓN</v>
      </c>
    </row>
    <row r="306" spans="1:13" ht="45" hidden="1">
      <c r="A306" s="166" t="s">
        <v>747</v>
      </c>
      <c r="B306" s="164" t="s">
        <v>903</v>
      </c>
      <c r="C306" s="164" t="str">
        <f>VLOOKUP(Observaciones[[#This Row],[Caso de Prueba]],CasoPrueba[[Código CP]:[Descripción Caso de Prueba]],3,0)</f>
        <v>MP - Contabilidad y Presupuestos</v>
      </c>
      <c r="D306" s="164" t="str">
        <f>VLOOKUP(Observaciones[Caso de Prueba],CasoPrueba[[#All],[Código CP]:[Prioridad]],7,TRUE)</f>
        <v>Alta</v>
      </c>
      <c r="E306" s="34" t="s">
        <v>28</v>
      </c>
      <c r="F306" s="34" t="s">
        <v>49</v>
      </c>
      <c r="G306" s="165">
        <v>40845</v>
      </c>
      <c r="H306" s="165">
        <v>40847</v>
      </c>
      <c r="I306" s="94" t="s">
        <v>132</v>
      </c>
      <c r="J306" s="34" t="s">
        <v>871</v>
      </c>
      <c r="K306" s="164" t="s">
        <v>985</v>
      </c>
      <c r="L306" s="164">
        <f>IF((Observaciones[[#This Row],[Fecha Levantamiento]]-Observaciones[[#This Row],[Fecha Detección]])&gt;=0,Observaciones[[#This Row],[Fecha Levantamiento]]-Observaciones[[#This Row],[Fecha Detección]]+1,0)</f>
        <v>3</v>
      </c>
      <c r="M306" s="164" t="str">
        <f>LOOKUP(Observaciones[[#This Row],[Caso de Prueba]],CasoPrueba[Código CP],CasoPrueba[Código de REQ])</f>
        <v>INSPECCIÓN</v>
      </c>
    </row>
    <row r="307" spans="1:13" ht="45" hidden="1">
      <c r="A307" s="166" t="s">
        <v>748</v>
      </c>
      <c r="B307" s="164" t="s">
        <v>903</v>
      </c>
      <c r="C307" s="164" t="str">
        <f>VLOOKUP(Observaciones[[#This Row],[Caso de Prueba]],CasoPrueba[[Código CP]:[Descripción Caso de Prueba]],3,0)</f>
        <v>MP - Contabilidad y Presupuestos</v>
      </c>
      <c r="D307" s="164" t="str">
        <f>VLOOKUP(Observaciones[Caso de Prueba],CasoPrueba[[#All],[Código CP]:[Prioridad]],7,TRUE)</f>
        <v>Alta</v>
      </c>
      <c r="E307" s="164" t="s">
        <v>29</v>
      </c>
      <c r="F307" s="34" t="s">
        <v>49</v>
      </c>
      <c r="G307" s="165">
        <v>40845</v>
      </c>
      <c r="H307" s="165">
        <v>40847</v>
      </c>
      <c r="I307" s="94" t="s">
        <v>132</v>
      </c>
      <c r="J307" s="164" t="s">
        <v>1003</v>
      </c>
      <c r="K307" s="164" t="s">
        <v>1040</v>
      </c>
      <c r="L307" s="164">
        <f>IF((Observaciones[[#This Row],[Fecha Levantamiento]]-Observaciones[[#This Row],[Fecha Detección]])&gt;=0,Observaciones[[#This Row],[Fecha Levantamiento]]-Observaciones[[#This Row],[Fecha Detección]]+1,0)</f>
        <v>3</v>
      </c>
      <c r="M307" s="164" t="str">
        <f>LOOKUP(Observaciones[[#This Row],[Caso de Prueba]],CasoPrueba[Código CP],CasoPrueba[Código de REQ])</f>
        <v>INSPECCIÓN</v>
      </c>
    </row>
    <row r="308" spans="1:13" ht="30" hidden="1">
      <c r="A308" s="166" t="s">
        <v>749</v>
      </c>
      <c r="B308" s="164" t="s">
        <v>903</v>
      </c>
      <c r="C308" s="164" t="str">
        <f>VLOOKUP(Observaciones[[#This Row],[Caso de Prueba]],CasoPrueba[[Código CP]:[Descripción Caso de Prueba]],3,0)</f>
        <v>MP - Contabilidad y Presupuestos</v>
      </c>
      <c r="D308" s="164" t="str">
        <f>VLOOKUP(Observaciones[Caso de Prueba],CasoPrueba[[#All],[Código CP]:[Prioridad]],7,TRUE)</f>
        <v>Alta</v>
      </c>
      <c r="E308" s="164" t="s">
        <v>162</v>
      </c>
      <c r="F308" s="34" t="s">
        <v>49</v>
      </c>
      <c r="G308" s="165">
        <v>40845</v>
      </c>
      <c r="H308" s="165">
        <v>40847</v>
      </c>
      <c r="I308" s="94" t="s">
        <v>132</v>
      </c>
      <c r="J308" s="164" t="s">
        <v>1004</v>
      </c>
      <c r="K308" s="164" t="s">
        <v>1041</v>
      </c>
      <c r="L308" s="164">
        <f>IF((Observaciones[[#This Row],[Fecha Levantamiento]]-Observaciones[[#This Row],[Fecha Detección]])&gt;=0,Observaciones[[#This Row],[Fecha Levantamiento]]-Observaciones[[#This Row],[Fecha Detección]]+1,0)</f>
        <v>3</v>
      </c>
      <c r="M308" s="164" t="str">
        <f>LOOKUP(Observaciones[[#This Row],[Caso de Prueba]],CasoPrueba[Código CP],CasoPrueba[Código de REQ])</f>
        <v>INSPECCIÓN</v>
      </c>
    </row>
    <row r="309" spans="1:13" ht="60" hidden="1">
      <c r="A309" s="166" t="s">
        <v>750</v>
      </c>
      <c r="B309" s="164" t="s">
        <v>903</v>
      </c>
      <c r="C309" s="164" t="str">
        <f>VLOOKUP(Observaciones[[#This Row],[Caso de Prueba]],CasoPrueba[[Código CP]:[Descripción Caso de Prueba]],3,0)</f>
        <v>MP - Contabilidad y Presupuestos</v>
      </c>
      <c r="D309" s="164" t="str">
        <f>VLOOKUP(Observaciones[Caso de Prueba],CasoPrueba[[#All],[Código CP]:[Prioridad]],7,TRUE)</f>
        <v>Alta</v>
      </c>
      <c r="E309" s="164" t="s">
        <v>30</v>
      </c>
      <c r="F309" s="34" t="s">
        <v>49</v>
      </c>
      <c r="G309" s="165">
        <v>40845</v>
      </c>
      <c r="H309" s="165">
        <v>40847</v>
      </c>
      <c r="I309" s="94" t="s">
        <v>132</v>
      </c>
      <c r="J309" s="164" t="s">
        <v>1005</v>
      </c>
      <c r="K309" s="164" t="s">
        <v>1042</v>
      </c>
      <c r="L309" s="164">
        <f>IF((Observaciones[[#This Row],[Fecha Levantamiento]]-Observaciones[[#This Row],[Fecha Detección]])&gt;=0,Observaciones[[#This Row],[Fecha Levantamiento]]-Observaciones[[#This Row],[Fecha Detección]]+1,0)</f>
        <v>3</v>
      </c>
      <c r="M309" s="164" t="str">
        <f>LOOKUP(Observaciones[[#This Row],[Caso de Prueba]],CasoPrueba[Código CP],CasoPrueba[Código de REQ])</f>
        <v>INSPECCIÓN</v>
      </c>
    </row>
    <row r="310" spans="1:13" ht="30" hidden="1">
      <c r="A310" s="166" t="s">
        <v>751</v>
      </c>
      <c r="B310" s="164" t="s">
        <v>903</v>
      </c>
      <c r="C310" s="164" t="str">
        <f>VLOOKUP(Observaciones[[#This Row],[Caso de Prueba]],CasoPrueba[[Código CP]:[Descripción Caso de Prueba]],3,0)</f>
        <v>MP - Contabilidad y Presupuestos</v>
      </c>
      <c r="D310" s="164" t="str">
        <f>VLOOKUP(Observaciones[Caso de Prueba],CasoPrueba[[#All],[Código CP]:[Prioridad]],7,TRUE)</f>
        <v>Alta</v>
      </c>
      <c r="E310" s="164" t="s">
        <v>162</v>
      </c>
      <c r="F310" s="34" t="s">
        <v>49</v>
      </c>
      <c r="G310" s="165">
        <v>40845</v>
      </c>
      <c r="H310" s="165">
        <v>40847</v>
      </c>
      <c r="I310" s="94" t="s">
        <v>132</v>
      </c>
      <c r="J310" s="164" t="s">
        <v>1006</v>
      </c>
      <c r="K310" s="164" t="s">
        <v>823</v>
      </c>
      <c r="L310" s="164">
        <f>IF((Observaciones[[#This Row],[Fecha Levantamiento]]-Observaciones[[#This Row],[Fecha Detección]])&gt;=0,Observaciones[[#This Row],[Fecha Levantamiento]]-Observaciones[[#This Row],[Fecha Detección]]+1,0)</f>
        <v>3</v>
      </c>
      <c r="M310" s="164" t="str">
        <f>LOOKUP(Observaciones[[#This Row],[Caso de Prueba]],CasoPrueba[Código CP],CasoPrueba[Código de REQ])</f>
        <v>INSPECCIÓN</v>
      </c>
    </row>
    <row r="311" spans="1:13" ht="45" hidden="1">
      <c r="A311" s="166" t="s">
        <v>752</v>
      </c>
      <c r="B311" s="164" t="s">
        <v>903</v>
      </c>
      <c r="C311" s="164" t="str">
        <f>VLOOKUP(Observaciones[[#This Row],[Caso de Prueba]],CasoPrueba[[Código CP]:[Descripción Caso de Prueba]],3,0)</f>
        <v>MP - Contabilidad y Presupuestos</v>
      </c>
      <c r="D311" s="164" t="str">
        <f>VLOOKUP(Observaciones[Caso de Prueba],CasoPrueba[[#All],[Código CP]:[Prioridad]],7,TRUE)</f>
        <v>Alta</v>
      </c>
      <c r="E311" s="164" t="s">
        <v>29</v>
      </c>
      <c r="F311" s="34" t="s">
        <v>49</v>
      </c>
      <c r="G311" s="165">
        <v>40845</v>
      </c>
      <c r="H311" s="165">
        <v>40847</v>
      </c>
      <c r="I311" s="94" t="s">
        <v>132</v>
      </c>
      <c r="J311" s="164" t="s">
        <v>1007</v>
      </c>
      <c r="K311" s="164" t="s">
        <v>1043</v>
      </c>
      <c r="L311" s="164">
        <f>IF((Observaciones[[#This Row],[Fecha Levantamiento]]-Observaciones[[#This Row],[Fecha Detección]])&gt;=0,Observaciones[[#This Row],[Fecha Levantamiento]]-Observaciones[[#This Row],[Fecha Detección]]+1,0)</f>
        <v>3</v>
      </c>
      <c r="M311" s="164" t="str">
        <f>LOOKUP(Observaciones[[#This Row],[Caso de Prueba]],CasoPrueba[Código CP],CasoPrueba[Código de REQ])</f>
        <v>INSPECCIÓN</v>
      </c>
    </row>
    <row r="312" spans="1:13" ht="30.75" hidden="1" customHeight="1">
      <c r="A312" s="166" t="s">
        <v>753</v>
      </c>
      <c r="B312" s="164" t="s">
        <v>903</v>
      </c>
      <c r="C312" s="164" t="str">
        <f>VLOOKUP(Observaciones[[#This Row],[Caso de Prueba]],CasoPrueba[[Código CP]:[Descripción Caso de Prueba]],3,0)</f>
        <v>MP - Contabilidad y Presupuestos</v>
      </c>
      <c r="D312" s="164" t="str">
        <f>VLOOKUP(Observaciones[Caso de Prueba],CasoPrueba[[#All],[Código CP]:[Prioridad]],7,TRUE)</f>
        <v>Alta</v>
      </c>
      <c r="E312" s="164" t="s">
        <v>162</v>
      </c>
      <c r="F312" s="34" t="s">
        <v>49</v>
      </c>
      <c r="G312" s="165">
        <v>40845</v>
      </c>
      <c r="H312" s="165">
        <v>40847</v>
      </c>
      <c r="I312" s="94" t="s">
        <v>132</v>
      </c>
      <c r="J312" s="164" t="s">
        <v>1008</v>
      </c>
      <c r="K312" s="164" t="s">
        <v>1044</v>
      </c>
      <c r="L312" s="164">
        <f>IF((Observaciones[[#This Row],[Fecha Levantamiento]]-Observaciones[[#This Row],[Fecha Detección]])&gt;=0,Observaciones[[#This Row],[Fecha Levantamiento]]-Observaciones[[#This Row],[Fecha Detección]]+1,0)</f>
        <v>3</v>
      </c>
      <c r="M312" s="164" t="str">
        <f>LOOKUP(Observaciones[[#This Row],[Caso de Prueba]],CasoPrueba[Código CP],CasoPrueba[Código de REQ])</f>
        <v>INSPECCIÓN</v>
      </c>
    </row>
    <row r="313" spans="1:13" ht="45" hidden="1">
      <c r="A313" s="166" t="s">
        <v>754</v>
      </c>
      <c r="B313" s="164" t="s">
        <v>903</v>
      </c>
      <c r="C313" s="164" t="str">
        <f>VLOOKUP(Observaciones[[#This Row],[Caso de Prueba]],CasoPrueba[[Código CP]:[Descripción Caso de Prueba]],3,0)</f>
        <v>MP - Contabilidad y Presupuestos</v>
      </c>
      <c r="D313" s="164" t="str">
        <f>VLOOKUP(Observaciones[Caso de Prueba],CasoPrueba[[#All],[Código CP]:[Prioridad]],7,TRUE)</f>
        <v>Alta</v>
      </c>
      <c r="E313" s="164" t="s">
        <v>162</v>
      </c>
      <c r="F313" s="34" t="s">
        <v>49</v>
      </c>
      <c r="G313" s="165">
        <v>40845</v>
      </c>
      <c r="H313" s="165">
        <v>40847</v>
      </c>
      <c r="I313" s="94" t="s">
        <v>132</v>
      </c>
      <c r="J313" s="164" t="s">
        <v>1009</v>
      </c>
      <c r="K313" s="164" t="s">
        <v>823</v>
      </c>
      <c r="L313" s="164">
        <f>IF((Observaciones[[#This Row],[Fecha Levantamiento]]-Observaciones[[#This Row],[Fecha Detección]])&gt;=0,Observaciones[[#This Row],[Fecha Levantamiento]]-Observaciones[[#This Row],[Fecha Detección]]+1,0)</f>
        <v>3</v>
      </c>
      <c r="M313" s="164" t="str">
        <f>LOOKUP(Observaciones[[#This Row],[Caso de Prueba]],CasoPrueba[Código CP],CasoPrueba[Código de REQ])</f>
        <v>INSPECCIÓN</v>
      </c>
    </row>
    <row r="314" spans="1:13" ht="30" hidden="1">
      <c r="A314" s="166" t="s">
        <v>755</v>
      </c>
      <c r="B314" s="164" t="s">
        <v>903</v>
      </c>
      <c r="C314" s="164" t="str">
        <f>VLOOKUP(Observaciones[[#This Row],[Caso de Prueba]],CasoPrueba[[Código CP]:[Descripción Caso de Prueba]],3,0)</f>
        <v>MP - Contabilidad y Presupuestos</v>
      </c>
      <c r="D314" s="34" t="str">
        <f>VLOOKUP(Observaciones[Caso de Prueba],CasoPrueba[[#All],[Código CP]:[Prioridad]],7,TRUE)</f>
        <v>Alta</v>
      </c>
      <c r="E314" s="34" t="s">
        <v>30</v>
      </c>
      <c r="F314" s="34" t="s">
        <v>49</v>
      </c>
      <c r="G314" s="165">
        <v>40845</v>
      </c>
      <c r="H314" s="165">
        <v>40847</v>
      </c>
      <c r="I314" s="94" t="s">
        <v>132</v>
      </c>
      <c r="J314" s="34" t="s">
        <v>1010</v>
      </c>
      <c r="K314" s="34" t="s">
        <v>835</v>
      </c>
      <c r="L314" s="34">
        <f>IF((Observaciones[[#This Row],[Fecha Levantamiento]]-Observaciones[[#This Row],[Fecha Detección]])&gt;=0,Observaciones[[#This Row],[Fecha Levantamiento]]-Observaciones[[#This Row],[Fecha Detección]]+1,0)</f>
        <v>3</v>
      </c>
      <c r="M314" s="34" t="str">
        <f>LOOKUP(Observaciones[[#This Row],[Caso de Prueba]],CasoPrueba[Código CP],CasoPrueba[Código de REQ])</f>
        <v>INSPECCIÓN</v>
      </c>
    </row>
    <row r="315" spans="1:13" ht="45" hidden="1">
      <c r="A315" s="166" t="s">
        <v>756</v>
      </c>
      <c r="B315" s="164" t="s">
        <v>904</v>
      </c>
      <c r="C315" s="164" t="str">
        <f>VLOOKUP(Observaciones[[#This Row],[Caso de Prueba]],CasoPrueba[[Código CP]:[Descripción Caso de Prueba]],3,0)</f>
        <v>PROCESO - Planificación del Presupuesto Institucional Anual</v>
      </c>
      <c r="D315" s="34" t="str">
        <f>VLOOKUP(Observaciones[Caso de Prueba],CasoPrueba[[#All],[Código CP]:[Prioridad]],7,TRUE)</f>
        <v>Alta</v>
      </c>
      <c r="E315" s="34" t="s">
        <v>28</v>
      </c>
      <c r="F315" s="34" t="s">
        <v>49</v>
      </c>
      <c r="G315" s="165">
        <v>40845</v>
      </c>
      <c r="H315" s="165">
        <v>40847</v>
      </c>
      <c r="I315" s="94" t="s">
        <v>132</v>
      </c>
      <c r="J315" s="34" t="s">
        <v>597</v>
      </c>
      <c r="K315" s="34" t="s">
        <v>1045</v>
      </c>
      <c r="L315" s="34">
        <f>IF((Observaciones[[#This Row],[Fecha Levantamiento]]-Observaciones[[#This Row],[Fecha Detección]])&gt;=0,Observaciones[[#This Row],[Fecha Levantamiento]]-Observaciones[[#This Row],[Fecha Detección]]+1,0)</f>
        <v>3</v>
      </c>
      <c r="M315" s="34" t="str">
        <f>LOOKUP(Observaciones[[#This Row],[Caso de Prueba]],CasoPrueba[Código CP],CasoPrueba[Código de REQ])</f>
        <v>INSPECCIÓN</v>
      </c>
    </row>
    <row r="316" spans="1:13" ht="30" hidden="1">
      <c r="A316" s="166" t="s">
        <v>757</v>
      </c>
      <c r="B316" s="164" t="s">
        <v>904</v>
      </c>
      <c r="C316" s="164" t="str">
        <f>VLOOKUP(Observaciones[[#This Row],[Caso de Prueba]],CasoPrueba[[Código CP]:[Descripción Caso de Prueba]],3,0)</f>
        <v>PROCESO - Planificación del Presupuesto Institucional Anual</v>
      </c>
      <c r="D316" s="34" t="str">
        <f>VLOOKUP(Observaciones[Caso de Prueba],CasoPrueba[[#All],[Código CP]:[Prioridad]],7,TRUE)</f>
        <v>Alta</v>
      </c>
      <c r="E316" s="164" t="s">
        <v>162</v>
      </c>
      <c r="F316" s="34" t="s">
        <v>49</v>
      </c>
      <c r="G316" s="165">
        <v>40845</v>
      </c>
      <c r="H316" s="165">
        <v>40847</v>
      </c>
      <c r="I316" s="94" t="s">
        <v>132</v>
      </c>
      <c r="J316" s="34" t="s">
        <v>1011</v>
      </c>
      <c r="K316" s="34" t="s">
        <v>1046</v>
      </c>
      <c r="L316" s="34">
        <f>IF((Observaciones[[#This Row],[Fecha Levantamiento]]-Observaciones[[#This Row],[Fecha Detección]])&gt;=0,Observaciones[[#This Row],[Fecha Levantamiento]]-Observaciones[[#This Row],[Fecha Detección]]+1,0)</f>
        <v>3</v>
      </c>
      <c r="M316" s="34" t="str">
        <f>LOOKUP(Observaciones[[#This Row],[Caso de Prueba]],CasoPrueba[Código CP],CasoPrueba[Código de REQ])</f>
        <v>INSPECCIÓN</v>
      </c>
    </row>
    <row r="317" spans="1:13" ht="45" hidden="1">
      <c r="A317" s="166" t="s">
        <v>758</v>
      </c>
      <c r="B317" s="164" t="s">
        <v>904</v>
      </c>
      <c r="C317" s="164" t="str">
        <f>VLOOKUP(Observaciones[[#This Row],[Caso de Prueba]],CasoPrueba[[Código CP]:[Descripción Caso de Prueba]],3,0)</f>
        <v>PROCESO - Planificación del Presupuesto Institucional Anual</v>
      </c>
      <c r="D317" s="34" t="str">
        <f>VLOOKUP(Observaciones[Caso de Prueba],CasoPrueba[[#All],[Código CP]:[Prioridad]],7,TRUE)</f>
        <v>Alta</v>
      </c>
      <c r="E317" s="34" t="s">
        <v>28</v>
      </c>
      <c r="F317" s="34" t="s">
        <v>49</v>
      </c>
      <c r="G317" s="165">
        <v>40845</v>
      </c>
      <c r="H317" s="165">
        <v>40847</v>
      </c>
      <c r="I317" s="94" t="s">
        <v>132</v>
      </c>
      <c r="J317" s="34" t="s">
        <v>1014</v>
      </c>
      <c r="K317" s="34" t="s">
        <v>1047</v>
      </c>
      <c r="L317" s="34">
        <f>IF((Observaciones[[#This Row],[Fecha Levantamiento]]-Observaciones[[#This Row],[Fecha Detección]])&gt;=0,Observaciones[[#This Row],[Fecha Levantamiento]]-Observaciones[[#This Row],[Fecha Detección]]+1,0)</f>
        <v>3</v>
      </c>
      <c r="M317" s="34" t="str">
        <f>LOOKUP(Observaciones[[#This Row],[Caso de Prueba]],CasoPrueba[Código CP],CasoPrueba[Código de REQ])</f>
        <v>INSPECCIÓN</v>
      </c>
    </row>
    <row r="318" spans="1:13" ht="75" hidden="1">
      <c r="A318" s="166" t="s">
        <v>759</v>
      </c>
      <c r="B318" s="164" t="s">
        <v>904</v>
      </c>
      <c r="C318" s="164" t="str">
        <f>VLOOKUP(Observaciones[[#This Row],[Caso de Prueba]],CasoPrueba[[Código CP]:[Descripción Caso de Prueba]],3,0)</f>
        <v>PROCESO - Planificación del Presupuesto Institucional Anual</v>
      </c>
      <c r="D318" s="34" t="str">
        <f>VLOOKUP(Observaciones[Caso de Prueba],CasoPrueba[[#All],[Código CP]:[Prioridad]],7,TRUE)</f>
        <v>Alta</v>
      </c>
      <c r="E318" s="34" t="s">
        <v>29</v>
      </c>
      <c r="F318" s="34" t="s">
        <v>49</v>
      </c>
      <c r="G318" s="165">
        <v>40845</v>
      </c>
      <c r="H318" s="165">
        <v>40847</v>
      </c>
      <c r="I318" s="94" t="s">
        <v>132</v>
      </c>
      <c r="J318" s="34" t="s">
        <v>1018</v>
      </c>
      <c r="K318" s="34" t="s">
        <v>980</v>
      </c>
      <c r="L318" s="34">
        <f>IF((Observaciones[[#This Row],[Fecha Levantamiento]]-Observaciones[[#This Row],[Fecha Detección]])&gt;=0,Observaciones[[#This Row],[Fecha Levantamiento]]-Observaciones[[#This Row],[Fecha Detección]]+1,0)</f>
        <v>3</v>
      </c>
      <c r="M318" s="34" t="str">
        <f>LOOKUP(Observaciones[[#This Row],[Caso de Prueba]],CasoPrueba[Código CP],CasoPrueba[Código de REQ])</f>
        <v>INSPECCIÓN</v>
      </c>
    </row>
    <row r="319" spans="1:13" ht="60" hidden="1">
      <c r="A319" s="166" t="s">
        <v>760</v>
      </c>
      <c r="B319" s="164" t="s">
        <v>904</v>
      </c>
      <c r="C319" s="164" t="str">
        <f>VLOOKUP(Observaciones[[#This Row],[Caso de Prueba]],CasoPrueba[[Código CP]:[Descripción Caso de Prueba]],3,0)</f>
        <v>PROCESO - Planificación del Presupuesto Institucional Anual</v>
      </c>
      <c r="D319" s="34" t="str">
        <f>VLOOKUP(Observaciones[Caso de Prueba],CasoPrueba[[#All],[Código CP]:[Prioridad]],7,TRUE)</f>
        <v>Alta</v>
      </c>
      <c r="E319" s="34" t="s">
        <v>28</v>
      </c>
      <c r="F319" s="34" t="s">
        <v>49</v>
      </c>
      <c r="G319" s="165">
        <v>40845</v>
      </c>
      <c r="H319" s="165">
        <v>40847</v>
      </c>
      <c r="I319" s="94" t="s">
        <v>132</v>
      </c>
      <c r="J319" s="34" t="s">
        <v>1012</v>
      </c>
      <c r="K319" s="34" t="s">
        <v>1048</v>
      </c>
      <c r="L319" s="34">
        <f>IF((Observaciones[[#This Row],[Fecha Levantamiento]]-Observaciones[[#This Row],[Fecha Detección]])&gt;=0,Observaciones[[#This Row],[Fecha Levantamiento]]-Observaciones[[#This Row],[Fecha Detección]]+1,0)</f>
        <v>3</v>
      </c>
      <c r="M319" s="34" t="str">
        <f>LOOKUP(Observaciones[[#This Row],[Caso de Prueba]],CasoPrueba[Código CP],CasoPrueba[Código de REQ])</f>
        <v>INSPECCIÓN</v>
      </c>
    </row>
    <row r="320" spans="1:13" ht="30" hidden="1">
      <c r="A320" s="166" t="s">
        <v>761</v>
      </c>
      <c r="B320" s="164" t="s">
        <v>904</v>
      </c>
      <c r="C320" s="164" t="str">
        <f>VLOOKUP(Observaciones[[#This Row],[Caso de Prueba]],CasoPrueba[[Código CP]:[Descripción Caso de Prueba]],3,0)</f>
        <v>PROCESO - Planificación del Presupuesto Institucional Anual</v>
      </c>
      <c r="D320" s="34" t="str">
        <f>VLOOKUP(Observaciones[Caso de Prueba],CasoPrueba[[#All],[Código CP]:[Prioridad]],7,TRUE)</f>
        <v>Alta</v>
      </c>
      <c r="E320" s="34" t="s">
        <v>30</v>
      </c>
      <c r="F320" s="34" t="s">
        <v>49</v>
      </c>
      <c r="G320" s="165">
        <v>40845</v>
      </c>
      <c r="H320" s="165">
        <v>40847</v>
      </c>
      <c r="I320" s="94" t="s">
        <v>132</v>
      </c>
      <c r="J320" s="34" t="s">
        <v>1013</v>
      </c>
      <c r="K320" s="34" t="s">
        <v>1049</v>
      </c>
      <c r="L320" s="34">
        <f>IF((Observaciones[[#This Row],[Fecha Levantamiento]]-Observaciones[[#This Row],[Fecha Detección]])&gt;=0,Observaciones[[#This Row],[Fecha Levantamiento]]-Observaciones[[#This Row],[Fecha Detección]]+1,0)</f>
        <v>3</v>
      </c>
      <c r="M320" s="34" t="str">
        <f>LOOKUP(Observaciones[[#This Row],[Caso de Prueba]],CasoPrueba[Código CP],CasoPrueba[Código de REQ])</f>
        <v>INSPECCIÓN</v>
      </c>
    </row>
    <row r="321" spans="1:13" ht="30" hidden="1">
      <c r="A321" s="166" t="s">
        <v>762</v>
      </c>
      <c r="B321" s="164" t="s">
        <v>904</v>
      </c>
      <c r="C321" s="164" t="str">
        <f>VLOOKUP(Observaciones[[#This Row],[Caso de Prueba]],CasoPrueba[[Código CP]:[Descripción Caso de Prueba]],3,0)</f>
        <v>PROCESO - Planificación del Presupuesto Institucional Anual</v>
      </c>
      <c r="D321" s="34" t="str">
        <f>VLOOKUP(Observaciones[Caso de Prueba],CasoPrueba[[#All],[Código CP]:[Prioridad]],7,TRUE)</f>
        <v>Alta</v>
      </c>
      <c r="E321" s="34" t="s">
        <v>162</v>
      </c>
      <c r="F321" s="34" t="s">
        <v>49</v>
      </c>
      <c r="G321" s="165">
        <v>40845</v>
      </c>
      <c r="H321" s="165">
        <v>40847</v>
      </c>
      <c r="I321" s="94" t="s">
        <v>132</v>
      </c>
      <c r="J321" s="34" t="s">
        <v>1056</v>
      </c>
      <c r="K321" s="34" t="s">
        <v>1050</v>
      </c>
      <c r="L321" s="34">
        <f>IF((Observaciones[[#This Row],[Fecha Levantamiento]]-Observaciones[[#This Row],[Fecha Detección]])&gt;=0,Observaciones[[#This Row],[Fecha Levantamiento]]-Observaciones[[#This Row],[Fecha Detección]]+1,0)</f>
        <v>3</v>
      </c>
      <c r="M321" s="34" t="str">
        <f>LOOKUP(Observaciones[[#This Row],[Caso de Prueba]],CasoPrueba[Código CP],CasoPrueba[Código de REQ])</f>
        <v>INSPECCIÓN</v>
      </c>
    </row>
    <row r="322" spans="1:13" ht="75" hidden="1">
      <c r="A322" s="166" t="s">
        <v>763</v>
      </c>
      <c r="B322" s="164" t="s">
        <v>904</v>
      </c>
      <c r="C322" s="164" t="str">
        <f>VLOOKUP(Observaciones[[#This Row],[Caso de Prueba]],CasoPrueba[[Código CP]:[Descripción Caso de Prueba]],3,0)</f>
        <v>PROCESO - Planificación del Presupuesto Institucional Anual</v>
      </c>
      <c r="D322" s="34" t="str">
        <f>VLOOKUP(Observaciones[Caso de Prueba],CasoPrueba[[#All],[Código CP]:[Prioridad]],7,TRUE)</f>
        <v>Alta</v>
      </c>
      <c r="E322" s="34" t="s">
        <v>29</v>
      </c>
      <c r="F322" s="34" t="s">
        <v>49</v>
      </c>
      <c r="G322" s="165">
        <v>40845</v>
      </c>
      <c r="H322" s="165">
        <v>40847</v>
      </c>
      <c r="I322" s="94" t="s">
        <v>132</v>
      </c>
      <c r="J322" s="34" t="s">
        <v>1015</v>
      </c>
      <c r="K322" s="34" t="s">
        <v>1051</v>
      </c>
      <c r="L322" s="34">
        <f>IF((Observaciones[[#This Row],[Fecha Levantamiento]]-Observaciones[[#This Row],[Fecha Detección]])&gt;=0,Observaciones[[#This Row],[Fecha Levantamiento]]-Observaciones[[#This Row],[Fecha Detección]]+1,0)</f>
        <v>3</v>
      </c>
      <c r="M322" s="34" t="str">
        <f>LOOKUP(Observaciones[[#This Row],[Caso de Prueba]],CasoPrueba[Código CP],CasoPrueba[Código de REQ])</f>
        <v>INSPECCIÓN</v>
      </c>
    </row>
    <row r="323" spans="1:13" ht="30" hidden="1">
      <c r="A323" s="166" t="s">
        <v>764</v>
      </c>
      <c r="B323" s="164" t="s">
        <v>904</v>
      </c>
      <c r="C323" s="164" t="str">
        <f>VLOOKUP(Observaciones[[#This Row],[Caso de Prueba]],CasoPrueba[[Código CP]:[Descripción Caso de Prueba]],3,0)</f>
        <v>PROCESO - Planificación del Presupuesto Institucional Anual</v>
      </c>
      <c r="D323" s="34" t="str">
        <f>VLOOKUP(Observaciones[Caso de Prueba],CasoPrueba[[#All],[Código CP]:[Prioridad]],7,TRUE)</f>
        <v>Alta</v>
      </c>
      <c r="E323" s="34" t="s">
        <v>162</v>
      </c>
      <c r="F323" s="34" t="s">
        <v>49</v>
      </c>
      <c r="G323" s="165">
        <v>40845</v>
      </c>
      <c r="H323" s="165">
        <v>40847</v>
      </c>
      <c r="I323" s="94" t="s">
        <v>132</v>
      </c>
      <c r="J323" s="34" t="s">
        <v>1016</v>
      </c>
      <c r="K323" s="34" t="s">
        <v>1052</v>
      </c>
      <c r="L323" s="34">
        <f>IF((Observaciones[[#This Row],[Fecha Levantamiento]]-Observaciones[[#This Row],[Fecha Detección]])&gt;=0,Observaciones[[#This Row],[Fecha Levantamiento]]-Observaciones[[#This Row],[Fecha Detección]]+1,0)</f>
        <v>3</v>
      </c>
      <c r="M323" s="34" t="str">
        <f>LOOKUP(Observaciones[[#This Row],[Caso de Prueba]],CasoPrueba[Código CP],CasoPrueba[Código de REQ])</f>
        <v>INSPECCIÓN</v>
      </c>
    </row>
    <row r="324" spans="1:13" ht="45" hidden="1">
      <c r="A324" s="166" t="s">
        <v>765</v>
      </c>
      <c r="B324" s="164" t="s">
        <v>905</v>
      </c>
      <c r="C324" s="164" t="str">
        <f>VLOOKUP(Observaciones[[#This Row],[Caso de Prueba]],CasoPrueba[[Código CP]:[Descripción Caso de Prueba]],3,0)</f>
        <v>PROCESO - Seguimiento Presupuestal</v>
      </c>
      <c r="D324" s="34" t="str">
        <f>VLOOKUP(Observaciones[Caso de Prueba],CasoPrueba[[#All],[Código CP]:[Prioridad]],7,TRUE)</f>
        <v>Alta</v>
      </c>
      <c r="E324" s="34" t="s">
        <v>28</v>
      </c>
      <c r="F324" s="34" t="s">
        <v>49</v>
      </c>
      <c r="G324" s="165">
        <v>40845</v>
      </c>
      <c r="H324" s="165">
        <v>40847</v>
      </c>
      <c r="I324" s="94" t="s">
        <v>132</v>
      </c>
      <c r="J324" s="34" t="s">
        <v>597</v>
      </c>
      <c r="K324" s="34" t="s">
        <v>1053</v>
      </c>
      <c r="L324" s="34">
        <f>IF((Observaciones[[#This Row],[Fecha Levantamiento]]-Observaciones[[#This Row],[Fecha Detección]])&gt;=0,Observaciones[[#This Row],[Fecha Levantamiento]]-Observaciones[[#This Row],[Fecha Detección]]+1,0)</f>
        <v>3</v>
      </c>
      <c r="M324" s="34" t="str">
        <f>LOOKUP(Observaciones[[#This Row],[Caso de Prueba]],CasoPrueba[Código CP],CasoPrueba[Código de REQ])</f>
        <v>INSPECCIÓN</v>
      </c>
    </row>
    <row r="325" spans="1:13" ht="30" hidden="1">
      <c r="A325" s="166" t="s">
        <v>766</v>
      </c>
      <c r="B325" s="164" t="s">
        <v>905</v>
      </c>
      <c r="C325" s="164" t="str">
        <f>VLOOKUP(Observaciones[[#This Row],[Caso de Prueba]],CasoPrueba[[Código CP]:[Descripción Caso de Prueba]],3,0)</f>
        <v>PROCESO - Seguimiento Presupuestal</v>
      </c>
      <c r="D325" s="34" t="str">
        <f>VLOOKUP(Observaciones[Caso de Prueba],CasoPrueba[[#All],[Código CP]:[Prioridad]],7,TRUE)</f>
        <v>Alta</v>
      </c>
      <c r="E325" s="164" t="s">
        <v>162</v>
      </c>
      <c r="F325" s="34" t="s">
        <v>49</v>
      </c>
      <c r="G325" s="165">
        <v>40845</v>
      </c>
      <c r="H325" s="165">
        <v>40847</v>
      </c>
      <c r="I325" s="94" t="s">
        <v>132</v>
      </c>
      <c r="J325" s="34" t="s">
        <v>1011</v>
      </c>
      <c r="K325" s="34" t="s">
        <v>1046</v>
      </c>
      <c r="L325" s="34">
        <f>IF((Observaciones[[#This Row],[Fecha Levantamiento]]-Observaciones[[#This Row],[Fecha Detección]])&gt;=0,Observaciones[[#This Row],[Fecha Levantamiento]]-Observaciones[[#This Row],[Fecha Detección]]+1,0)</f>
        <v>3</v>
      </c>
      <c r="M325" s="34" t="str">
        <f>LOOKUP(Observaciones[[#This Row],[Caso de Prueba]],CasoPrueba[Código CP],CasoPrueba[Código de REQ])</f>
        <v>INSPECCIÓN</v>
      </c>
    </row>
    <row r="326" spans="1:13" ht="60" hidden="1">
      <c r="A326" s="166" t="s">
        <v>767</v>
      </c>
      <c r="B326" s="164" t="s">
        <v>905</v>
      </c>
      <c r="C326" s="164" t="str">
        <f>VLOOKUP(Observaciones[[#This Row],[Caso de Prueba]],CasoPrueba[[Código CP]:[Descripción Caso de Prueba]],3,0)</f>
        <v>PROCESO - Seguimiento Presupuestal</v>
      </c>
      <c r="D326" s="34" t="str">
        <f>VLOOKUP(Observaciones[Caso de Prueba],CasoPrueba[[#All],[Código CP]:[Prioridad]],7,TRUE)</f>
        <v>Alta</v>
      </c>
      <c r="E326" s="34" t="s">
        <v>28</v>
      </c>
      <c r="F326" s="34" t="s">
        <v>49</v>
      </c>
      <c r="G326" s="165">
        <v>40845</v>
      </c>
      <c r="H326" s="165">
        <v>40847</v>
      </c>
      <c r="I326" s="94" t="s">
        <v>132</v>
      </c>
      <c r="J326" s="34" t="s">
        <v>1017</v>
      </c>
      <c r="K326" s="34" t="s">
        <v>976</v>
      </c>
      <c r="L326" s="34">
        <f>IF((Observaciones[[#This Row],[Fecha Levantamiento]]-Observaciones[[#This Row],[Fecha Detección]])&gt;=0,Observaciones[[#This Row],[Fecha Levantamiento]]-Observaciones[[#This Row],[Fecha Detección]]+1,0)</f>
        <v>3</v>
      </c>
      <c r="M326" s="34" t="str">
        <f>LOOKUP(Observaciones[[#This Row],[Caso de Prueba]],CasoPrueba[Código CP],CasoPrueba[Código de REQ])</f>
        <v>INSPECCIÓN</v>
      </c>
    </row>
    <row r="327" spans="1:13" ht="30" hidden="1">
      <c r="A327" s="166" t="s">
        <v>768</v>
      </c>
      <c r="B327" s="164" t="s">
        <v>905</v>
      </c>
      <c r="C327" s="164" t="str">
        <f>VLOOKUP(Observaciones[[#This Row],[Caso de Prueba]],CasoPrueba[[Código CP]:[Descripción Caso de Prueba]],3,0)</f>
        <v>PROCESO - Seguimiento Presupuestal</v>
      </c>
      <c r="D327" s="34" t="str">
        <f>VLOOKUP(Observaciones[Caso de Prueba],CasoPrueba[[#All],[Código CP]:[Prioridad]],7,TRUE)</f>
        <v>Alta</v>
      </c>
      <c r="E327" s="34" t="s">
        <v>162</v>
      </c>
      <c r="F327" s="34" t="s">
        <v>49</v>
      </c>
      <c r="G327" s="165">
        <v>40845</v>
      </c>
      <c r="H327" s="165">
        <v>40847</v>
      </c>
      <c r="I327" s="94" t="s">
        <v>132</v>
      </c>
      <c r="J327" s="34" t="s">
        <v>1019</v>
      </c>
      <c r="K327" s="34" t="s">
        <v>1054</v>
      </c>
      <c r="L327" s="34">
        <f>IF((Observaciones[[#This Row],[Fecha Levantamiento]]-Observaciones[[#This Row],[Fecha Detección]])&gt;=0,Observaciones[[#This Row],[Fecha Levantamiento]]-Observaciones[[#This Row],[Fecha Detección]]+1,0)</f>
        <v>3</v>
      </c>
      <c r="M327" s="34" t="str">
        <f>LOOKUP(Observaciones[[#This Row],[Caso de Prueba]],CasoPrueba[Código CP],CasoPrueba[Código de REQ])</f>
        <v>INSPECCIÓN</v>
      </c>
    </row>
    <row r="328" spans="1:13" ht="30" hidden="1">
      <c r="A328" s="166" t="s">
        <v>769</v>
      </c>
      <c r="B328" s="164" t="s">
        <v>905</v>
      </c>
      <c r="C328" s="164" t="str">
        <f>VLOOKUP(Observaciones[[#This Row],[Caso de Prueba]],CasoPrueba[[Código CP]:[Descripción Caso de Prueba]],3,0)</f>
        <v>PROCESO - Seguimiento Presupuestal</v>
      </c>
      <c r="D328" s="34" t="str">
        <f>VLOOKUP(Observaciones[Caso de Prueba],CasoPrueba[[#All],[Código CP]:[Prioridad]],7,TRUE)</f>
        <v>Alta</v>
      </c>
      <c r="E328" s="34" t="s">
        <v>29</v>
      </c>
      <c r="F328" s="34" t="s">
        <v>49</v>
      </c>
      <c r="G328" s="165">
        <v>40845</v>
      </c>
      <c r="H328" s="165">
        <v>40847</v>
      </c>
      <c r="I328" s="94" t="s">
        <v>132</v>
      </c>
      <c r="J328" s="34" t="s">
        <v>1020</v>
      </c>
      <c r="K328" s="34" t="s">
        <v>1055</v>
      </c>
      <c r="L328" s="34">
        <f>IF((Observaciones[[#This Row],[Fecha Levantamiento]]-Observaciones[[#This Row],[Fecha Detección]])&gt;=0,Observaciones[[#This Row],[Fecha Levantamiento]]-Observaciones[[#This Row],[Fecha Detección]]+1,0)</f>
        <v>3</v>
      </c>
      <c r="M328" s="34" t="str">
        <f>LOOKUP(Observaciones[[#This Row],[Caso de Prueba]],CasoPrueba[Código CP],CasoPrueba[Código de REQ])</f>
        <v>INSPECCIÓN</v>
      </c>
    </row>
    <row r="329" spans="1:13" ht="30" hidden="1">
      <c r="A329" s="166" t="s">
        <v>770</v>
      </c>
      <c r="B329" s="164" t="s">
        <v>489</v>
      </c>
      <c r="C329" s="164" t="str">
        <f>VLOOKUP(Observaciones[[#This Row],[Caso de Prueba]],CasoPrueba[[Código CP]:[Descripción Caso de Prueba]],3,0)</f>
        <v>PROCESO - Planificación del Departamento de Proyectos</v>
      </c>
      <c r="D329" s="34" t="str">
        <f>VLOOKUP(Observaciones[Caso de Prueba],CasoPrueba[[#All],[Código CP]:[Prioridad]],7,TRUE)</f>
        <v>Alta</v>
      </c>
      <c r="E329" s="34" t="s">
        <v>30</v>
      </c>
      <c r="F329" s="34" t="s">
        <v>49</v>
      </c>
      <c r="G329" s="165">
        <v>40847</v>
      </c>
      <c r="H329" s="73">
        <v>40848</v>
      </c>
      <c r="I329" s="94" t="s">
        <v>132</v>
      </c>
      <c r="J329" s="34" t="s">
        <v>1013</v>
      </c>
      <c r="K329" s="34" t="s">
        <v>1029</v>
      </c>
      <c r="L329" s="34">
        <f>IF((Observaciones[[#This Row],[Fecha Levantamiento]]-Observaciones[[#This Row],[Fecha Detección]])&gt;=0,Observaciones[[#This Row],[Fecha Levantamiento]]-Observaciones[[#This Row],[Fecha Detección]]+1,0)</f>
        <v>2</v>
      </c>
      <c r="M329" s="34" t="str">
        <f>LOOKUP(Observaciones[[#This Row],[Caso de Prueba]],CasoPrueba[Código CP],CasoPrueba[Código de REQ])</f>
        <v>INSPECCIÓN</v>
      </c>
    </row>
    <row r="330" spans="1:13" ht="30" hidden="1">
      <c r="A330" s="166" t="s">
        <v>771</v>
      </c>
      <c r="B330" s="164" t="s">
        <v>489</v>
      </c>
      <c r="C330" s="164" t="str">
        <f>VLOOKUP(Observaciones[[#This Row],[Caso de Prueba]],CasoPrueba[[Código CP]:[Descripción Caso de Prueba]],3,0)</f>
        <v>PROCESO - Planificación del Departamento de Proyectos</v>
      </c>
      <c r="D330" s="34" t="str">
        <f>VLOOKUP(Observaciones[Caso de Prueba],CasoPrueba[[#All],[Código CP]:[Prioridad]],7,TRUE)</f>
        <v>Alta</v>
      </c>
      <c r="E330" s="34" t="s">
        <v>162</v>
      </c>
      <c r="F330" s="34" t="s">
        <v>49</v>
      </c>
      <c r="G330" s="165">
        <v>40847</v>
      </c>
      <c r="H330" s="73">
        <v>40848</v>
      </c>
      <c r="I330" s="94" t="s">
        <v>132</v>
      </c>
      <c r="J330" s="34" t="s">
        <v>1023</v>
      </c>
      <c r="K330" s="34" t="s">
        <v>199</v>
      </c>
      <c r="L330" s="34">
        <f>IF((Observaciones[[#This Row],[Fecha Levantamiento]]-Observaciones[[#This Row],[Fecha Detección]])&gt;=0,Observaciones[[#This Row],[Fecha Levantamiento]]-Observaciones[[#This Row],[Fecha Detección]]+1,0)</f>
        <v>2</v>
      </c>
      <c r="M330" s="34" t="str">
        <f>LOOKUP(Observaciones[[#This Row],[Caso de Prueba]],CasoPrueba[Código CP],CasoPrueba[Código de REQ])</f>
        <v>INSPECCIÓN</v>
      </c>
    </row>
    <row r="331" spans="1:13" ht="57" hidden="1" customHeight="1">
      <c r="A331" s="164" t="s">
        <v>772</v>
      </c>
      <c r="B331" s="164" t="s">
        <v>614</v>
      </c>
      <c r="C331" s="164" t="str">
        <f>VLOOKUP(Observaciones[[#This Row],[Caso de Prueba]],CasoPrueba[[Código CP]:[Descripción Caso de Prueba]],3,0)</f>
        <v>MP - Gestión de Imagen Institucional y Donaciones</v>
      </c>
      <c r="D331" s="34" t="str">
        <f>VLOOKUP(Observaciones[Caso de Prueba],CasoPrueba[[#All],[Código CP]:[Prioridad]],7,TRUE)</f>
        <v>Alta</v>
      </c>
      <c r="E331" s="34" t="s">
        <v>30</v>
      </c>
      <c r="F331" s="34" t="s">
        <v>49</v>
      </c>
      <c r="G331" s="165">
        <v>40847</v>
      </c>
      <c r="H331" s="73">
        <v>40848</v>
      </c>
      <c r="I331" s="94" t="s">
        <v>132</v>
      </c>
      <c r="J331" s="34" t="s">
        <v>1024</v>
      </c>
      <c r="K331" s="34" t="s">
        <v>818</v>
      </c>
      <c r="L331" s="34">
        <f>IF((Observaciones[[#This Row],[Fecha Levantamiento]]-Observaciones[[#This Row],[Fecha Detección]])&gt;=0,Observaciones[[#This Row],[Fecha Levantamiento]]-Observaciones[[#This Row],[Fecha Detección]]+1,0)</f>
        <v>2</v>
      </c>
      <c r="M331" s="34" t="str">
        <f>LOOKUP(Observaciones[[#This Row],[Caso de Prueba]],CasoPrueba[Código CP],CasoPrueba[Código de REQ])</f>
        <v>INSPECCIÓN</v>
      </c>
    </row>
    <row r="332" spans="1:13" ht="60" hidden="1">
      <c r="A332" s="166" t="s">
        <v>773</v>
      </c>
      <c r="B332" s="34" t="s">
        <v>619</v>
      </c>
      <c r="C332" s="34" t="str">
        <f>VLOOKUP(Observaciones[[#This Row],[Caso de Prueba]],CasoPrueba[[Código CP]:[Descripción Caso de Prueba]],3,0)</f>
        <v>Proceso - Recepción de Donaciones</v>
      </c>
      <c r="D332" s="34" t="str">
        <f>VLOOKUP(Observaciones[Caso de Prueba],CasoPrueba[[#All],[Código CP]:[Prioridad]],7,TRUE)</f>
        <v>Alta</v>
      </c>
      <c r="E332" s="34" t="s">
        <v>30</v>
      </c>
      <c r="F332" s="34" t="s">
        <v>49</v>
      </c>
      <c r="G332" s="165">
        <v>40847</v>
      </c>
      <c r="H332" s="73">
        <v>40848</v>
      </c>
      <c r="I332" s="94" t="s">
        <v>132</v>
      </c>
      <c r="J332" s="34" t="s">
        <v>1025</v>
      </c>
      <c r="K332" s="34" t="s">
        <v>1030</v>
      </c>
      <c r="L332" s="34">
        <f>IF((Observaciones[[#This Row],[Fecha Levantamiento]]-Observaciones[[#This Row],[Fecha Detección]])&gt;=0,Observaciones[[#This Row],[Fecha Levantamiento]]-Observaciones[[#This Row],[Fecha Detección]]+1,0)</f>
        <v>2</v>
      </c>
      <c r="M332" s="34" t="str">
        <f>LOOKUP(Observaciones[[#This Row],[Caso de Prueba]],CasoPrueba[Código CP],CasoPrueba[Código de REQ])</f>
        <v>INSPECCIÓN</v>
      </c>
    </row>
    <row r="333" spans="1:13" ht="30" hidden="1">
      <c r="A333" s="166" t="s">
        <v>774</v>
      </c>
      <c r="B333" s="34" t="s">
        <v>619</v>
      </c>
      <c r="C333" s="34" t="str">
        <f>VLOOKUP(Observaciones[[#This Row],[Caso de Prueba]],CasoPrueba[[Código CP]:[Descripción Caso de Prueba]],3,0)</f>
        <v>Proceso - Recepción de Donaciones</v>
      </c>
      <c r="D333" s="34" t="str">
        <f>VLOOKUP(Observaciones[Caso de Prueba],CasoPrueba[[#All],[Código CP]:[Prioridad]],7,TRUE)</f>
        <v>Alta</v>
      </c>
      <c r="E333" s="34" t="s">
        <v>162</v>
      </c>
      <c r="F333" s="34" t="s">
        <v>49</v>
      </c>
      <c r="G333" s="165">
        <v>40847</v>
      </c>
      <c r="H333" s="73">
        <v>40848</v>
      </c>
      <c r="I333" s="94" t="s">
        <v>132</v>
      </c>
      <c r="J333" s="34" t="s">
        <v>1026</v>
      </c>
      <c r="K333" s="34" t="s">
        <v>1031</v>
      </c>
      <c r="L333" s="34">
        <f>IF((Observaciones[[#This Row],[Fecha Levantamiento]]-Observaciones[[#This Row],[Fecha Detección]])&gt;=0,Observaciones[[#This Row],[Fecha Levantamiento]]-Observaciones[[#This Row],[Fecha Detección]]+1,0)</f>
        <v>2</v>
      </c>
      <c r="M333" s="34" t="str">
        <f>LOOKUP(Observaciones[[#This Row],[Caso de Prueba]],CasoPrueba[Código CP],CasoPrueba[Código de REQ])</f>
        <v>INSPECCIÓN</v>
      </c>
    </row>
    <row r="334" spans="1:13" ht="60" hidden="1">
      <c r="A334" s="166" t="s">
        <v>775</v>
      </c>
      <c r="B334" s="34" t="s">
        <v>653</v>
      </c>
      <c r="C334" s="34" t="str">
        <f>VLOOKUP(Observaciones[[#This Row],[Caso de Prueba]],CasoPrueba[[Código CP]:[Descripción Caso de Prueba]],3,0)</f>
        <v>MacroProceso - Gestión de Abastecimiento</v>
      </c>
      <c r="D334" s="34" t="str">
        <f>VLOOKUP(Observaciones[Caso de Prueba],CasoPrueba[[#All],[Código CP]:[Prioridad]],7,TRUE)</f>
        <v>Alta</v>
      </c>
      <c r="E334" s="34" t="s">
        <v>29</v>
      </c>
      <c r="F334" s="34" t="s">
        <v>49</v>
      </c>
      <c r="G334" s="165">
        <v>40847</v>
      </c>
      <c r="H334" s="73">
        <v>40848</v>
      </c>
      <c r="I334" s="94" t="s">
        <v>132</v>
      </c>
      <c r="J334" s="34" t="s">
        <v>1027</v>
      </c>
      <c r="K334" s="34" t="s">
        <v>266</v>
      </c>
      <c r="L334" s="34">
        <f>IF((Observaciones[[#This Row],[Fecha Levantamiento]]-Observaciones[[#This Row],[Fecha Detección]])&gt;=0,Observaciones[[#This Row],[Fecha Levantamiento]]-Observaciones[[#This Row],[Fecha Detección]]+1,0)</f>
        <v>2</v>
      </c>
      <c r="M334" s="34" t="str">
        <f>LOOKUP(Observaciones[[#This Row],[Caso de Prueba]],CasoPrueba[Código CP],CasoPrueba[Código de REQ])</f>
        <v>INSPECCIÓN</v>
      </c>
    </row>
    <row r="335" spans="1:13" ht="30" hidden="1">
      <c r="A335" s="166" t="s">
        <v>776</v>
      </c>
      <c r="B335" s="34" t="s">
        <v>653</v>
      </c>
      <c r="C335" s="34" t="str">
        <f>VLOOKUP(Observaciones[[#This Row],[Caso de Prueba]],CasoPrueba[[Código CP]:[Descripción Caso de Prueba]],3,0)</f>
        <v>MacroProceso - Gestión de Abastecimiento</v>
      </c>
      <c r="D335" s="34" t="str">
        <f>VLOOKUP(Observaciones[Caso de Prueba],CasoPrueba[[#All],[Código CP]:[Prioridad]],7,TRUE)</f>
        <v>Alta</v>
      </c>
      <c r="E335" s="34" t="s">
        <v>29</v>
      </c>
      <c r="F335" s="34" t="s">
        <v>49</v>
      </c>
      <c r="G335" s="165">
        <v>40847</v>
      </c>
      <c r="H335" s="73">
        <v>40848</v>
      </c>
      <c r="I335" s="94" t="s">
        <v>132</v>
      </c>
      <c r="J335" s="34" t="s">
        <v>1028</v>
      </c>
      <c r="K335" s="34" t="s">
        <v>266</v>
      </c>
      <c r="L335" s="34">
        <f>IF((Observaciones[[#This Row],[Fecha Levantamiento]]-Observaciones[[#This Row],[Fecha Detección]])&gt;=0,Observaciones[[#This Row],[Fecha Levantamiento]]-Observaciones[[#This Row],[Fecha Detección]]+1,0)</f>
        <v>2</v>
      </c>
      <c r="M335" s="34" t="str">
        <f>LOOKUP(Observaciones[[#This Row],[Caso de Prueba]],CasoPrueba[Código CP],CasoPrueba[Código de REQ])</f>
        <v>INSPECCIÓN</v>
      </c>
    </row>
    <row r="336" spans="1:13" ht="30" hidden="1">
      <c r="A336" s="166" t="s">
        <v>777</v>
      </c>
      <c r="B336" s="34" t="s">
        <v>886</v>
      </c>
      <c r="C336" s="34" t="str">
        <f>VLOOKUP(Observaciones[[#This Row],[Caso de Prueba]],CasoPrueba[[Código CP]:[Descripción Caso de Prueba]],3,0)</f>
        <v>MP - Gestión de Proyectos</v>
      </c>
      <c r="D336" s="34" t="str">
        <f>VLOOKUP(Observaciones[Caso de Prueba],CasoPrueba[[#All],[Código CP]:[Prioridad]],7,TRUE)</f>
        <v>Alta</v>
      </c>
      <c r="E336" s="34" t="s">
        <v>162</v>
      </c>
      <c r="F336" s="34" t="s">
        <v>49</v>
      </c>
      <c r="G336" s="73">
        <v>40848</v>
      </c>
      <c r="H336" s="73">
        <v>40850</v>
      </c>
      <c r="I336" s="94" t="s">
        <v>132</v>
      </c>
      <c r="J336" s="34" t="s">
        <v>1032</v>
      </c>
      <c r="K336" s="34" t="s">
        <v>851</v>
      </c>
      <c r="L336" s="34">
        <f>IF((Observaciones[[#This Row],[Fecha Levantamiento]]-Observaciones[[#This Row],[Fecha Detección]])&gt;=0,Observaciones[[#This Row],[Fecha Levantamiento]]-Observaciones[[#This Row],[Fecha Detección]]+1,0)</f>
        <v>3</v>
      </c>
      <c r="M336" s="34" t="str">
        <f>LOOKUP(Observaciones[[#This Row],[Caso de Prueba]],CasoPrueba[Código CP],CasoPrueba[Código de REQ])</f>
        <v>INSPECCIÓN</v>
      </c>
    </row>
    <row r="337" spans="1:13" ht="30" hidden="1">
      <c r="A337" s="166" t="s">
        <v>778</v>
      </c>
      <c r="B337" s="34" t="s">
        <v>886</v>
      </c>
      <c r="C337" s="34" t="str">
        <f>VLOOKUP(Observaciones[[#This Row],[Caso de Prueba]],CasoPrueba[[Código CP]:[Descripción Caso de Prueba]],3,0)</f>
        <v>MP - Gestión de Proyectos</v>
      </c>
      <c r="D337" s="34" t="str">
        <f>VLOOKUP(Observaciones[Caso de Prueba],CasoPrueba[[#All],[Código CP]:[Prioridad]],7,TRUE)</f>
        <v>Alta</v>
      </c>
      <c r="E337" s="34" t="s">
        <v>30</v>
      </c>
      <c r="F337" s="34" t="s">
        <v>49</v>
      </c>
      <c r="G337" s="73">
        <v>40848</v>
      </c>
      <c r="H337" s="73">
        <v>40850</v>
      </c>
      <c r="I337" s="94" t="s">
        <v>132</v>
      </c>
      <c r="J337" s="34" t="s">
        <v>1033</v>
      </c>
      <c r="K337" s="34" t="s">
        <v>1093</v>
      </c>
      <c r="L337" s="34">
        <f>IF((Observaciones[[#This Row],[Fecha Levantamiento]]-Observaciones[[#This Row],[Fecha Detección]])&gt;=0,Observaciones[[#This Row],[Fecha Levantamiento]]-Observaciones[[#This Row],[Fecha Detección]]+1,0)</f>
        <v>3</v>
      </c>
      <c r="M337" s="34" t="str">
        <f>LOOKUP(Observaciones[[#This Row],[Caso de Prueba]],CasoPrueba[Código CP],CasoPrueba[Código de REQ])</f>
        <v>INSPECCIÓN</v>
      </c>
    </row>
    <row r="338" spans="1:13" ht="30" hidden="1">
      <c r="A338" s="166" t="s">
        <v>779</v>
      </c>
      <c r="B338" s="34" t="s">
        <v>887</v>
      </c>
      <c r="C338" s="34" t="str">
        <f>VLOOKUP(Observaciones[[#This Row],[Caso de Prueba]],CasoPrueba[[Código CP]:[Descripción Caso de Prueba]],3,0)</f>
        <v>PROCESO - Ejecución de Proyectos del Departamento de Proyectos</v>
      </c>
      <c r="D338" s="34" t="str">
        <f>VLOOKUP(Observaciones[Caso de Prueba],CasoPrueba[[#All],[Código CP]:[Prioridad]],7,TRUE)</f>
        <v>Alta</v>
      </c>
      <c r="E338" s="34" t="s">
        <v>30</v>
      </c>
      <c r="F338" s="34" t="s">
        <v>49</v>
      </c>
      <c r="G338" s="73">
        <v>40848</v>
      </c>
      <c r="H338" s="73">
        <v>40850</v>
      </c>
      <c r="I338" s="94" t="s">
        <v>132</v>
      </c>
      <c r="J338" s="34" t="s">
        <v>1013</v>
      </c>
      <c r="K338" s="34" t="s">
        <v>1094</v>
      </c>
      <c r="L338" s="34">
        <f>IF((Observaciones[[#This Row],[Fecha Levantamiento]]-Observaciones[[#This Row],[Fecha Detección]])&gt;=0,Observaciones[[#This Row],[Fecha Levantamiento]]-Observaciones[[#This Row],[Fecha Detección]]+1,0)</f>
        <v>3</v>
      </c>
      <c r="M338" s="34" t="str">
        <f>LOOKUP(Observaciones[[#This Row],[Caso de Prueba]],CasoPrueba[Código CP],CasoPrueba[Código de REQ])</f>
        <v>INSPECCIÓN</v>
      </c>
    </row>
    <row r="339" spans="1:13" ht="105" hidden="1">
      <c r="A339" s="164" t="s">
        <v>780</v>
      </c>
      <c r="B339" s="34" t="s">
        <v>888</v>
      </c>
      <c r="C339" s="34" t="str">
        <f>VLOOKUP(Observaciones[[#This Row],[Caso de Prueba]],CasoPrueba[[Código CP]:[Descripción Caso de Prueba]],3,0)</f>
        <v>MP - Gestión de Aseguramiento de la Calidad Educativa</v>
      </c>
      <c r="D339" s="34" t="str">
        <f>VLOOKUP(Observaciones[Caso de Prueba],CasoPrueba[[#All],[Código CP]:[Prioridad]],7,TRUE)</f>
        <v>Alta</v>
      </c>
      <c r="E339" s="34" t="s">
        <v>30</v>
      </c>
      <c r="F339" s="34" t="s">
        <v>49</v>
      </c>
      <c r="G339" s="73">
        <v>40848</v>
      </c>
      <c r="H339" s="73">
        <v>40850</v>
      </c>
      <c r="I339" s="94" t="s">
        <v>132</v>
      </c>
      <c r="J339" s="34" t="s">
        <v>1060</v>
      </c>
      <c r="K339" s="34" t="s">
        <v>1095</v>
      </c>
      <c r="L339" s="34">
        <f>IF((Observaciones[[#This Row],[Fecha Levantamiento]]-Observaciones[[#This Row],[Fecha Detección]])&gt;=0,Observaciones[[#This Row],[Fecha Levantamiento]]-Observaciones[[#This Row],[Fecha Detección]]+1,0)</f>
        <v>3</v>
      </c>
      <c r="M339" s="34" t="str">
        <f>LOOKUP(Observaciones[[#This Row],[Caso de Prueba]],CasoPrueba[Código CP],CasoPrueba[Código de REQ])</f>
        <v>INSPECCIÓN</v>
      </c>
    </row>
    <row r="340" spans="1:13" ht="30" hidden="1">
      <c r="A340" s="166" t="s">
        <v>781</v>
      </c>
      <c r="B340" s="34" t="s">
        <v>890</v>
      </c>
      <c r="C340" s="34" t="str">
        <f>VLOOKUP(Observaciones[[#This Row],[Caso de Prueba]],CasoPrueba[[Código CP]:[Descripción Caso de Prueba]],3,0)</f>
        <v>PROCESO Capacitaciones del Departamento de Formación</v>
      </c>
      <c r="D340" s="34" t="str">
        <f>VLOOKUP(Observaciones[Caso de Prueba],CasoPrueba[[#All],[Código CP]:[Prioridad]],7,TRUE)</f>
        <v>Alta</v>
      </c>
      <c r="E340" s="34" t="s">
        <v>162</v>
      </c>
      <c r="F340" s="34" t="s">
        <v>49</v>
      </c>
      <c r="G340" s="73">
        <v>40848</v>
      </c>
      <c r="H340" s="73">
        <v>40850</v>
      </c>
      <c r="I340" s="94" t="s">
        <v>132</v>
      </c>
      <c r="J340" s="34" t="s">
        <v>1035</v>
      </c>
      <c r="K340" s="34" t="s">
        <v>1096</v>
      </c>
      <c r="L340" s="34">
        <f>IF((Observaciones[[#This Row],[Fecha Levantamiento]]-Observaciones[[#This Row],[Fecha Detección]])&gt;=0,Observaciones[[#This Row],[Fecha Levantamiento]]-Observaciones[[#This Row],[Fecha Detección]]+1,0)</f>
        <v>3</v>
      </c>
      <c r="M340" s="34" t="str">
        <f>LOOKUP(Observaciones[[#This Row],[Caso de Prueba]],CasoPrueba[Código CP],CasoPrueba[Código de REQ])</f>
        <v>INSPECCIÓN</v>
      </c>
    </row>
    <row r="341" spans="1:13" ht="45" hidden="1">
      <c r="A341" s="166" t="s">
        <v>782</v>
      </c>
      <c r="B341" s="164" t="s">
        <v>614</v>
      </c>
      <c r="C341" s="164" t="str">
        <f>VLOOKUP(Observaciones[[#This Row],[Caso de Prueba]],CasoPrueba[[Código CP]:[Descripción Caso de Prueba]],3,0)</f>
        <v>MP - Gestión de Imagen Institucional y Donaciones</v>
      </c>
      <c r="D341" s="34" t="str">
        <f>VLOOKUP(Observaciones[Caso de Prueba],CasoPrueba[[#All],[Código CP]:[Prioridad]],7,TRUE)</f>
        <v>Alta</v>
      </c>
      <c r="E341" s="34" t="s">
        <v>30</v>
      </c>
      <c r="F341" s="34" t="s">
        <v>49</v>
      </c>
      <c r="G341" s="73">
        <v>40848</v>
      </c>
      <c r="H341" s="73">
        <v>40850</v>
      </c>
      <c r="I341" s="94" t="s">
        <v>132</v>
      </c>
      <c r="J341" s="34" t="s">
        <v>1057</v>
      </c>
      <c r="K341" s="34" t="s">
        <v>858</v>
      </c>
      <c r="L341" s="34">
        <f>IF((Observaciones[[#This Row],[Fecha Levantamiento]]-Observaciones[[#This Row],[Fecha Detección]])&gt;=0,Observaciones[[#This Row],[Fecha Levantamiento]]-Observaciones[[#This Row],[Fecha Detección]]+1,0)</f>
        <v>3</v>
      </c>
      <c r="M341" s="34" t="str">
        <f>LOOKUP(Observaciones[[#This Row],[Caso de Prueba]],CasoPrueba[Código CP],CasoPrueba[Código de REQ])</f>
        <v>INSPECCIÓN</v>
      </c>
    </row>
    <row r="342" spans="1:13" ht="30" hidden="1">
      <c r="A342" s="166" t="s">
        <v>783</v>
      </c>
      <c r="B342" s="34" t="s">
        <v>619</v>
      </c>
      <c r="C342" s="34" t="str">
        <f>VLOOKUP(Observaciones[[#This Row],[Caso de Prueba]],CasoPrueba[[Código CP]:[Descripción Caso de Prueba]],3,0)</f>
        <v>Proceso - Recepción de Donaciones</v>
      </c>
      <c r="D342" s="34" t="str">
        <f>VLOOKUP(Observaciones[Caso de Prueba],CasoPrueba[[#All],[Código CP]:[Prioridad]],7,TRUE)</f>
        <v>Alta</v>
      </c>
      <c r="E342" s="34" t="s">
        <v>162</v>
      </c>
      <c r="F342" s="34" t="s">
        <v>49</v>
      </c>
      <c r="G342" s="73">
        <v>40848</v>
      </c>
      <c r="H342" s="73">
        <v>40850</v>
      </c>
      <c r="I342" s="94" t="s">
        <v>132</v>
      </c>
      <c r="J342" s="34" t="s">
        <v>1058</v>
      </c>
      <c r="K342" s="34" t="s">
        <v>1041</v>
      </c>
      <c r="L342" s="34">
        <f>IF((Observaciones[[#This Row],[Fecha Levantamiento]]-Observaciones[[#This Row],[Fecha Detección]])&gt;=0,Observaciones[[#This Row],[Fecha Levantamiento]]-Observaciones[[#This Row],[Fecha Detección]]+1,0)</f>
        <v>3</v>
      </c>
      <c r="M342" s="34" t="str">
        <f>LOOKUP(Observaciones[[#This Row],[Caso de Prueba]],CasoPrueba[Código CP],CasoPrueba[Código de REQ])</f>
        <v>INSPECCIÓN</v>
      </c>
    </row>
    <row r="343" spans="1:13" ht="30" hidden="1">
      <c r="A343" s="166" t="s">
        <v>784</v>
      </c>
      <c r="B343" s="34" t="s">
        <v>653</v>
      </c>
      <c r="C343" s="34" t="str">
        <f>VLOOKUP(Observaciones[[#This Row],[Caso de Prueba]],CasoPrueba[[Código CP]:[Descripción Caso de Prueba]],3,0)</f>
        <v>MacroProceso - Gestión de Abastecimiento</v>
      </c>
      <c r="D343" s="34" t="str">
        <f>VLOOKUP(Observaciones[Caso de Prueba],CasoPrueba[[#All],[Código CP]:[Prioridad]],7,TRUE)</f>
        <v>Alta</v>
      </c>
      <c r="E343" s="34" t="s">
        <v>162</v>
      </c>
      <c r="F343" s="34" t="s">
        <v>49</v>
      </c>
      <c r="G343" s="73">
        <v>40848</v>
      </c>
      <c r="H343" s="73">
        <v>40850</v>
      </c>
      <c r="I343" s="94" t="s">
        <v>132</v>
      </c>
      <c r="J343" s="34" t="s">
        <v>1059</v>
      </c>
      <c r="K343" s="34" t="s">
        <v>1097</v>
      </c>
      <c r="L343" s="34">
        <f>IF((Observaciones[[#This Row],[Fecha Levantamiento]]-Observaciones[[#This Row],[Fecha Detección]])&gt;=0,Observaciones[[#This Row],[Fecha Levantamiento]]-Observaciones[[#This Row],[Fecha Detección]]+1,0)</f>
        <v>3</v>
      </c>
      <c r="M343" s="34" t="str">
        <f>LOOKUP(Observaciones[[#This Row],[Caso de Prueba]],CasoPrueba[Código CP],CasoPrueba[Código de REQ])</f>
        <v>INSPECCIÓN</v>
      </c>
    </row>
    <row r="344" spans="1:13" ht="45" hidden="1">
      <c r="A344" s="166" t="s">
        <v>785</v>
      </c>
      <c r="B344" s="34" t="s">
        <v>88</v>
      </c>
      <c r="C344" s="34" t="str">
        <f>VLOOKUP(Observaciones[[#This Row],[Caso de Prueba]],CasoPrueba[[Código CP]:[Descripción Caso de Prueba]],3,0)</f>
        <v>MacroProceso - Gestión de Recursos Humanos</v>
      </c>
      <c r="D344" s="34" t="str">
        <f>VLOOKUP(Observaciones[Caso de Prueba],CasoPrueba[[#All],[Código CP]:[Prioridad]],7,TRUE)</f>
        <v>Alta</v>
      </c>
      <c r="E344" s="34" t="s">
        <v>28</v>
      </c>
      <c r="F344" s="34" t="s">
        <v>49</v>
      </c>
      <c r="G344" s="73">
        <v>40848</v>
      </c>
      <c r="H344" s="73">
        <v>40850</v>
      </c>
      <c r="I344" s="94" t="s">
        <v>132</v>
      </c>
      <c r="J344" s="34" t="s">
        <v>871</v>
      </c>
      <c r="K344" s="34" t="s">
        <v>976</v>
      </c>
      <c r="L344" s="34">
        <f>IF((Observaciones[[#This Row],[Fecha Levantamiento]]-Observaciones[[#This Row],[Fecha Detección]])&gt;=0,Observaciones[[#This Row],[Fecha Levantamiento]]-Observaciones[[#This Row],[Fecha Detección]]+1,0)</f>
        <v>3</v>
      </c>
      <c r="M344" s="34" t="str">
        <f>LOOKUP(Observaciones[[#This Row],[Caso de Prueba]],CasoPrueba[Código CP],CasoPrueba[Código de REQ])</f>
        <v>INSPECCIÓN</v>
      </c>
    </row>
    <row r="345" spans="1:13" ht="45" hidden="1">
      <c r="A345" s="166" t="s">
        <v>786</v>
      </c>
      <c r="B345" s="34" t="s">
        <v>151</v>
      </c>
      <c r="C345" s="34" t="str">
        <f>VLOOKUP(Observaciones[[#This Row],[Caso de Prueba]],CasoPrueba[[Código CP]:[Descripción Caso de Prueba]],3,0)</f>
        <v>Proceso - Capacitación de Personal</v>
      </c>
      <c r="D345" s="34" t="str">
        <f>VLOOKUP(Observaciones[Caso de Prueba],CasoPrueba[[#All],[Código CP]:[Prioridad]],7,TRUE)</f>
        <v>Alta</v>
      </c>
      <c r="E345" s="34" t="s">
        <v>28</v>
      </c>
      <c r="F345" s="34" t="s">
        <v>49</v>
      </c>
      <c r="G345" s="73">
        <v>40848</v>
      </c>
      <c r="H345" s="73">
        <v>40850</v>
      </c>
      <c r="I345" s="94" t="s">
        <v>132</v>
      </c>
      <c r="J345" s="34" t="s">
        <v>597</v>
      </c>
      <c r="K345" s="34" t="s">
        <v>1098</v>
      </c>
      <c r="L345" s="34">
        <f>IF((Observaciones[[#This Row],[Fecha Levantamiento]]-Observaciones[[#This Row],[Fecha Detección]])&gt;=0,Observaciones[[#This Row],[Fecha Levantamiento]]-Observaciones[[#This Row],[Fecha Detección]]+1,0)</f>
        <v>3</v>
      </c>
      <c r="M345" s="34" t="str">
        <f>LOOKUP(Observaciones[[#This Row],[Caso de Prueba]],CasoPrueba[Código CP],CasoPrueba[Código de REQ])</f>
        <v>INSPECCIÓN</v>
      </c>
    </row>
    <row r="346" spans="1:13" ht="45" hidden="1">
      <c r="A346" s="166" t="s">
        <v>787</v>
      </c>
      <c r="B346" s="34" t="s">
        <v>152</v>
      </c>
      <c r="C346" s="34" t="str">
        <f>VLOOKUP(Observaciones[[#This Row],[Caso de Prueba]],CasoPrueba[[Código CP]:[Descripción Caso de Prueba]],3,0)</f>
        <v>Proceso - Contratación e Inducción</v>
      </c>
      <c r="D346" s="34" t="str">
        <f>VLOOKUP(Observaciones[Caso de Prueba],CasoPrueba[[#All],[Código CP]:[Prioridad]],7,TRUE)</f>
        <v>Alta</v>
      </c>
      <c r="E346" s="34" t="s">
        <v>28</v>
      </c>
      <c r="F346" s="34" t="s">
        <v>49</v>
      </c>
      <c r="G346" s="73">
        <v>40848</v>
      </c>
      <c r="H346" s="73">
        <v>40850</v>
      </c>
      <c r="I346" s="94" t="s">
        <v>132</v>
      </c>
      <c r="J346" s="34" t="s">
        <v>871</v>
      </c>
      <c r="K346" s="34" t="s">
        <v>954</v>
      </c>
      <c r="L346" s="34">
        <f>IF((Observaciones[[#This Row],[Fecha Levantamiento]]-Observaciones[[#This Row],[Fecha Detección]])&gt;=0,Observaciones[[#This Row],[Fecha Levantamiento]]-Observaciones[[#This Row],[Fecha Detección]]+1,0)</f>
        <v>3</v>
      </c>
      <c r="M346" s="34" t="str">
        <f>LOOKUP(Observaciones[[#This Row],[Caso de Prueba]],CasoPrueba[Código CP],CasoPrueba[Código de REQ])</f>
        <v>INSPECCIÓN</v>
      </c>
    </row>
    <row r="347" spans="1:13" ht="75" hidden="1">
      <c r="A347" s="166" t="s">
        <v>788</v>
      </c>
      <c r="B347" s="34" t="s">
        <v>152</v>
      </c>
      <c r="C347" s="34" t="str">
        <f>VLOOKUP(Observaciones[[#This Row],[Caso de Prueba]],CasoPrueba[[Código CP]:[Descripción Caso de Prueba]],3,0)</f>
        <v>Proceso - Contratación e Inducción</v>
      </c>
      <c r="D347" s="34" t="str">
        <f>VLOOKUP(Observaciones[Caso de Prueba],CasoPrueba[[#All],[Código CP]:[Prioridad]],7,TRUE)</f>
        <v>Alta</v>
      </c>
      <c r="E347" s="34" t="s">
        <v>28</v>
      </c>
      <c r="F347" s="34" t="s">
        <v>49</v>
      </c>
      <c r="G347" s="73">
        <v>40848</v>
      </c>
      <c r="H347" s="73">
        <v>40850</v>
      </c>
      <c r="I347" s="94" t="s">
        <v>132</v>
      </c>
      <c r="J347" s="34" t="s">
        <v>1063</v>
      </c>
      <c r="K347" s="34" t="s">
        <v>817</v>
      </c>
      <c r="L347" s="34">
        <f>IF((Observaciones[[#This Row],[Fecha Levantamiento]]-Observaciones[[#This Row],[Fecha Detección]])&gt;=0,Observaciones[[#This Row],[Fecha Levantamiento]]-Observaciones[[#This Row],[Fecha Detección]]+1,0)</f>
        <v>3</v>
      </c>
      <c r="M347" s="34" t="str">
        <f>LOOKUP(Observaciones[[#This Row],[Caso de Prueba]],CasoPrueba[Código CP],CasoPrueba[Código de REQ])</f>
        <v>INSPECCIÓN</v>
      </c>
    </row>
    <row r="348" spans="1:13" hidden="1">
      <c r="A348" s="166" t="s">
        <v>789</v>
      </c>
      <c r="B348" s="34" t="s">
        <v>152</v>
      </c>
      <c r="C348" s="34" t="str">
        <f>VLOOKUP(Observaciones[[#This Row],[Caso de Prueba]],CasoPrueba[[Código CP]:[Descripción Caso de Prueba]],3,0)</f>
        <v>Proceso - Contratación e Inducción</v>
      </c>
      <c r="D348" s="34" t="str">
        <f>VLOOKUP(Observaciones[Caso de Prueba],CasoPrueba[[#All],[Código CP]:[Prioridad]],7,TRUE)</f>
        <v>Alta</v>
      </c>
      <c r="E348" s="34" t="s">
        <v>28</v>
      </c>
      <c r="F348" s="34" t="s">
        <v>49</v>
      </c>
      <c r="G348" s="73">
        <v>40848</v>
      </c>
      <c r="H348" s="73">
        <v>40850</v>
      </c>
      <c r="I348" s="94" t="s">
        <v>132</v>
      </c>
      <c r="J348" s="34" t="s">
        <v>645</v>
      </c>
      <c r="K348" s="34" t="s">
        <v>1099</v>
      </c>
      <c r="L348" s="34">
        <f>IF((Observaciones[[#This Row],[Fecha Levantamiento]]-Observaciones[[#This Row],[Fecha Detección]])&gt;=0,Observaciones[[#This Row],[Fecha Levantamiento]]-Observaciones[[#This Row],[Fecha Detección]]+1,0)</f>
        <v>3</v>
      </c>
      <c r="M348" s="34" t="str">
        <f>LOOKUP(Observaciones[[#This Row],[Caso de Prueba]],CasoPrueba[Código CP],CasoPrueba[Código de REQ])</f>
        <v>INSPECCIÓN</v>
      </c>
    </row>
    <row r="349" spans="1:13" ht="45" hidden="1">
      <c r="A349" s="166" t="s">
        <v>790</v>
      </c>
      <c r="B349" s="34" t="s">
        <v>153</v>
      </c>
      <c r="C349" s="34" t="str">
        <f>VLOOKUP(Observaciones[[#This Row],[Caso de Prueba]],CasoPrueba[[Código CP]:[Descripción Caso de Prueba]],3,0)</f>
        <v>Proceso - Despido o Retiro de Personal</v>
      </c>
      <c r="D349" s="34" t="str">
        <f>VLOOKUP(Observaciones[Caso de Prueba],CasoPrueba[[#All],[Código CP]:[Prioridad]],7,TRUE)</f>
        <v>Alta</v>
      </c>
      <c r="E349" s="34" t="s">
        <v>28</v>
      </c>
      <c r="F349" s="34" t="s">
        <v>49</v>
      </c>
      <c r="G349" s="73">
        <v>40848</v>
      </c>
      <c r="H349" s="73">
        <v>40850</v>
      </c>
      <c r="I349" s="94" t="s">
        <v>132</v>
      </c>
      <c r="J349" s="34" t="s">
        <v>597</v>
      </c>
      <c r="K349" s="34" t="s">
        <v>1100</v>
      </c>
      <c r="L349" s="34">
        <f>IF((Observaciones[[#This Row],[Fecha Levantamiento]]-Observaciones[[#This Row],[Fecha Detección]])&gt;=0,Observaciones[[#This Row],[Fecha Levantamiento]]-Observaciones[[#This Row],[Fecha Detección]]+1,0)</f>
        <v>3</v>
      </c>
      <c r="M349" s="34" t="str">
        <f>LOOKUP(Observaciones[[#This Row],[Caso de Prueba]],CasoPrueba[Código CP],CasoPrueba[Código de REQ])</f>
        <v>INSPECCIÓN</v>
      </c>
    </row>
    <row r="350" spans="1:13" ht="45" hidden="1">
      <c r="A350" s="166" t="s">
        <v>791</v>
      </c>
      <c r="B350" s="34" t="s">
        <v>153</v>
      </c>
      <c r="C350" s="34" t="str">
        <f>VLOOKUP(Observaciones[[#This Row],[Caso de Prueba]],CasoPrueba[[Código CP]:[Descripción Caso de Prueba]],3,0)</f>
        <v>Proceso - Despido o Retiro de Personal</v>
      </c>
      <c r="D350" s="34" t="str">
        <f>VLOOKUP(Observaciones[Caso de Prueba],CasoPrueba[[#All],[Código CP]:[Prioridad]],7,TRUE)</f>
        <v>Alta</v>
      </c>
      <c r="E350" s="34" t="s">
        <v>30</v>
      </c>
      <c r="F350" s="34" t="s">
        <v>49</v>
      </c>
      <c r="G350" s="73">
        <v>40848</v>
      </c>
      <c r="H350" s="73">
        <v>40850</v>
      </c>
      <c r="I350" s="94" t="s">
        <v>132</v>
      </c>
      <c r="J350" s="34" t="s">
        <v>1064</v>
      </c>
      <c r="K350" s="34" t="s">
        <v>954</v>
      </c>
      <c r="L350" s="34">
        <f>IF((Observaciones[[#This Row],[Fecha Levantamiento]]-Observaciones[[#This Row],[Fecha Detección]])&gt;=0,Observaciones[[#This Row],[Fecha Levantamiento]]-Observaciones[[#This Row],[Fecha Detección]]+1,0)</f>
        <v>3</v>
      </c>
      <c r="M350" s="34" t="str">
        <f>LOOKUP(Observaciones[[#This Row],[Caso de Prueba]],CasoPrueba[Código CP],CasoPrueba[Código de REQ])</f>
        <v>INSPECCIÓN</v>
      </c>
    </row>
    <row r="351" spans="1:13" ht="45" hidden="1">
      <c r="A351" s="166" t="s">
        <v>792</v>
      </c>
      <c r="B351" s="34" t="s">
        <v>154</v>
      </c>
      <c r="C351" s="34" t="str">
        <f>VLOOKUP(Observaciones[[#This Row],[Caso de Prueba]],CasoPrueba[[Código CP]:[Descripción Caso de Prueba]],3,0)</f>
        <v>Proceso - Evaluación de Postulantes</v>
      </c>
      <c r="D351" s="34" t="str">
        <f>VLOOKUP(Observaciones[Caso de Prueba],CasoPrueba[[#All],[Código CP]:[Prioridad]],7,TRUE)</f>
        <v>Alta</v>
      </c>
      <c r="E351" s="34" t="s">
        <v>28</v>
      </c>
      <c r="F351" s="34" t="s">
        <v>49</v>
      </c>
      <c r="G351" s="73">
        <v>40848</v>
      </c>
      <c r="H351" s="73">
        <v>40850</v>
      </c>
      <c r="I351" s="94" t="s">
        <v>132</v>
      </c>
      <c r="J351" s="34" t="s">
        <v>597</v>
      </c>
      <c r="K351" s="34" t="s">
        <v>1101</v>
      </c>
      <c r="L351" s="34">
        <f>IF((Observaciones[[#This Row],[Fecha Levantamiento]]-Observaciones[[#This Row],[Fecha Detección]])&gt;=0,Observaciones[[#This Row],[Fecha Levantamiento]]-Observaciones[[#This Row],[Fecha Detección]]+1,0)</f>
        <v>3</v>
      </c>
      <c r="M351" s="34" t="str">
        <f>LOOKUP(Observaciones[[#This Row],[Caso de Prueba]],CasoPrueba[Código CP],CasoPrueba[Código de REQ])</f>
        <v>INSPECCIÓN</v>
      </c>
    </row>
    <row r="352" spans="1:13" ht="45" hidden="1">
      <c r="A352" s="166" t="s">
        <v>793</v>
      </c>
      <c r="B352" s="34" t="s">
        <v>155</v>
      </c>
      <c r="C352" s="34" t="str">
        <f>VLOOKUP(Observaciones[[#This Row],[Caso de Prueba]],CasoPrueba[[Código CP]:[Descripción Caso de Prueba]],3,0)</f>
        <v>Proceso - Reclutamiento de Postulantes</v>
      </c>
      <c r="D352" s="34" t="str">
        <f>VLOOKUP(Observaciones[Caso de Prueba],CasoPrueba[[#All],[Código CP]:[Prioridad]],7,TRUE)</f>
        <v>Alta</v>
      </c>
      <c r="E352" s="34" t="s">
        <v>28</v>
      </c>
      <c r="F352" s="34" t="s">
        <v>49</v>
      </c>
      <c r="G352" s="73">
        <v>40848</v>
      </c>
      <c r="H352" s="73">
        <v>40850</v>
      </c>
      <c r="I352" s="94" t="s">
        <v>132</v>
      </c>
      <c r="J352" s="34" t="s">
        <v>597</v>
      </c>
      <c r="K352" s="34" t="s">
        <v>1102</v>
      </c>
      <c r="L352" s="34">
        <f>IF((Observaciones[[#This Row],[Fecha Levantamiento]]-Observaciones[[#This Row],[Fecha Detección]])&gt;=0,Observaciones[[#This Row],[Fecha Levantamiento]]-Observaciones[[#This Row],[Fecha Detección]]+1,0)</f>
        <v>3</v>
      </c>
      <c r="M352" s="34" t="str">
        <f>LOOKUP(Observaciones[[#This Row],[Caso de Prueba]],CasoPrueba[Código CP],CasoPrueba[Código de REQ])</f>
        <v>INSPECCIÓN</v>
      </c>
    </row>
    <row r="353" spans="1:13" ht="45" hidden="1">
      <c r="A353" s="166" t="s">
        <v>794</v>
      </c>
      <c r="B353" s="34" t="s">
        <v>155</v>
      </c>
      <c r="C353" s="34" t="str">
        <f>VLOOKUP(Observaciones[[#This Row],[Caso de Prueba]],CasoPrueba[[Código CP]:[Descripción Caso de Prueba]],3,0)</f>
        <v>Proceso - Reclutamiento de Postulantes</v>
      </c>
      <c r="D353" s="34" t="str">
        <f>VLOOKUP(Observaciones[Caso de Prueba],CasoPrueba[[#All],[Código CP]:[Prioridad]],7,TRUE)</f>
        <v>Alta</v>
      </c>
      <c r="E353" s="34" t="s">
        <v>28</v>
      </c>
      <c r="F353" s="34" t="s">
        <v>49</v>
      </c>
      <c r="G353" s="73">
        <v>40848</v>
      </c>
      <c r="H353" s="73">
        <v>40850</v>
      </c>
      <c r="I353" s="94" t="s">
        <v>132</v>
      </c>
      <c r="J353" s="34" t="s">
        <v>1080</v>
      </c>
      <c r="K353" s="34" t="s">
        <v>857</v>
      </c>
      <c r="L353" s="34">
        <f>IF((Observaciones[[#This Row],[Fecha Levantamiento]]-Observaciones[[#This Row],[Fecha Detección]])&gt;=0,Observaciones[[#This Row],[Fecha Levantamiento]]-Observaciones[[#This Row],[Fecha Detección]]+1,0)</f>
        <v>3</v>
      </c>
      <c r="M353" s="34" t="str">
        <f>LOOKUP(Observaciones[[#This Row],[Caso de Prueba]],CasoPrueba[Código CP],CasoPrueba[Código de REQ])</f>
        <v>INSPECCIÓN</v>
      </c>
    </row>
    <row r="354" spans="1:13" ht="75" hidden="1">
      <c r="A354" s="166" t="s">
        <v>795</v>
      </c>
      <c r="B354" s="34" t="s">
        <v>155</v>
      </c>
      <c r="C354" s="34" t="str">
        <f>VLOOKUP(Observaciones[[#This Row],[Caso de Prueba]],CasoPrueba[[Código CP]:[Descripción Caso de Prueba]],3,0)</f>
        <v>Proceso - Reclutamiento de Postulantes</v>
      </c>
      <c r="D354" s="34" t="str">
        <f>VLOOKUP(Observaciones[Caso de Prueba],CasoPrueba[[#All],[Código CP]:[Prioridad]],7,TRUE)</f>
        <v>Alta</v>
      </c>
      <c r="E354" s="34" t="s">
        <v>28</v>
      </c>
      <c r="F354" s="34" t="s">
        <v>49</v>
      </c>
      <c r="G354" s="73">
        <v>40848</v>
      </c>
      <c r="H354" s="73">
        <v>40850</v>
      </c>
      <c r="I354" s="94" t="s">
        <v>132</v>
      </c>
      <c r="J354" s="34" t="s">
        <v>1076</v>
      </c>
      <c r="K354" s="34" t="s">
        <v>857</v>
      </c>
      <c r="L354" s="34">
        <f>IF((Observaciones[[#This Row],[Fecha Levantamiento]]-Observaciones[[#This Row],[Fecha Detección]])&gt;=0,Observaciones[[#This Row],[Fecha Levantamiento]]-Observaciones[[#This Row],[Fecha Detección]]+1,0)</f>
        <v>3</v>
      </c>
      <c r="M354" s="34" t="str">
        <f>LOOKUP(Observaciones[[#This Row],[Caso de Prueba]],CasoPrueba[Código CP],CasoPrueba[Código de REQ])</f>
        <v>INSPECCIÓN</v>
      </c>
    </row>
    <row r="355" spans="1:13" ht="45" hidden="1">
      <c r="A355" s="166" t="s">
        <v>796</v>
      </c>
      <c r="B355" s="34" t="s">
        <v>156</v>
      </c>
      <c r="C355" s="34" t="str">
        <f>VLOOKUP(Observaciones[[#This Row],[Caso de Prueba]],CasoPrueba[[Código CP]:[Descripción Caso de Prueba]],3,0)</f>
        <v>Proceso - Rendición de Gastos de Viaje</v>
      </c>
      <c r="D355" s="34" t="str">
        <f>VLOOKUP(Observaciones[Caso de Prueba],CasoPrueba[[#All],[Código CP]:[Prioridad]],7,TRUE)</f>
        <v>Alta</v>
      </c>
      <c r="E355" s="34" t="s">
        <v>28</v>
      </c>
      <c r="F355" s="34" t="s">
        <v>49</v>
      </c>
      <c r="G355" s="73">
        <v>40848</v>
      </c>
      <c r="H355" s="73">
        <v>40850</v>
      </c>
      <c r="I355" s="94" t="s">
        <v>132</v>
      </c>
      <c r="J355" s="34" t="s">
        <v>597</v>
      </c>
      <c r="K355" s="34" t="s">
        <v>1103</v>
      </c>
      <c r="L355" s="34">
        <f>IF((Observaciones[[#This Row],[Fecha Levantamiento]]-Observaciones[[#This Row],[Fecha Detección]])&gt;=0,Observaciones[[#This Row],[Fecha Levantamiento]]-Observaciones[[#This Row],[Fecha Detección]]+1,0)</f>
        <v>3</v>
      </c>
      <c r="M355" s="34" t="str">
        <f>LOOKUP(Observaciones[[#This Row],[Caso de Prueba]],CasoPrueba[Código CP],CasoPrueba[Código de REQ])</f>
        <v>INSPECCIÓN</v>
      </c>
    </row>
    <row r="356" spans="1:13" ht="45" hidden="1">
      <c r="A356" s="166" t="s">
        <v>797</v>
      </c>
      <c r="B356" s="34" t="s">
        <v>157</v>
      </c>
      <c r="C356" s="34" t="str">
        <f>VLOOKUP(Observaciones[[#This Row],[Caso de Prueba]],CasoPrueba[[Código CP]:[Descripción Caso de Prueba]],3,0)</f>
        <v>Proceso - Seguimiento de Personal</v>
      </c>
      <c r="D356" s="34" t="str">
        <f>VLOOKUP(Observaciones[Caso de Prueba],CasoPrueba[[#All],[Código CP]:[Prioridad]],7,TRUE)</f>
        <v>Alta</v>
      </c>
      <c r="E356" s="34" t="s">
        <v>28</v>
      </c>
      <c r="F356" s="34" t="s">
        <v>49</v>
      </c>
      <c r="G356" s="73">
        <v>40848</v>
      </c>
      <c r="H356" s="73">
        <v>40850</v>
      </c>
      <c r="I356" s="94" t="s">
        <v>132</v>
      </c>
      <c r="J356" s="34" t="s">
        <v>597</v>
      </c>
      <c r="K356" s="34" t="s">
        <v>1104</v>
      </c>
      <c r="L356" s="34">
        <f>IF((Observaciones[[#This Row],[Fecha Levantamiento]]-Observaciones[[#This Row],[Fecha Detección]])&gt;=0,Observaciones[[#This Row],[Fecha Levantamiento]]-Observaciones[[#This Row],[Fecha Detección]]+1,0)</f>
        <v>3</v>
      </c>
      <c r="M356" s="34" t="str">
        <f>LOOKUP(Observaciones[[#This Row],[Caso de Prueba]],CasoPrueba[Código CP],CasoPrueba[Código de REQ])</f>
        <v>INSPECCIÓN</v>
      </c>
    </row>
    <row r="357" spans="1:13" ht="45" hidden="1">
      <c r="A357" s="166" t="s">
        <v>798</v>
      </c>
      <c r="B357" s="34" t="s">
        <v>158</v>
      </c>
      <c r="C357" s="34" t="str">
        <f>VLOOKUP(Observaciones[[#This Row],[Caso de Prueba]],CasoPrueba[[Código CP]:[Descripción Caso de Prueba]],3,0)</f>
        <v>Proceso - Solicitud de Fondos de Viaje</v>
      </c>
      <c r="D357" s="34" t="str">
        <f>VLOOKUP(Observaciones[Caso de Prueba],CasoPrueba[[#All],[Código CP]:[Prioridad]],7,TRUE)</f>
        <v>Alta</v>
      </c>
      <c r="E357" s="34" t="s">
        <v>28</v>
      </c>
      <c r="F357" s="34" t="s">
        <v>49</v>
      </c>
      <c r="G357" s="73">
        <v>40848</v>
      </c>
      <c r="H357" s="73">
        <v>40850</v>
      </c>
      <c r="I357" s="94" t="s">
        <v>132</v>
      </c>
      <c r="J357" s="34" t="s">
        <v>597</v>
      </c>
      <c r="K357" s="34" t="s">
        <v>1105</v>
      </c>
      <c r="L357" s="34">
        <f>IF((Observaciones[[#This Row],[Fecha Levantamiento]]-Observaciones[[#This Row],[Fecha Detección]])&gt;=0,Observaciones[[#This Row],[Fecha Levantamiento]]-Observaciones[[#This Row],[Fecha Detección]]+1,0)</f>
        <v>3</v>
      </c>
      <c r="M357" s="34" t="str">
        <f>LOOKUP(Observaciones[[#This Row],[Caso de Prueba]],CasoPrueba[Código CP],CasoPrueba[Código de REQ])</f>
        <v>INSPECCIÓN</v>
      </c>
    </row>
    <row r="358" spans="1:13" ht="45" hidden="1">
      <c r="A358" s="166" t="s">
        <v>799</v>
      </c>
      <c r="B358" s="34" t="s">
        <v>171</v>
      </c>
      <c r="C358" s="34" t="str">
        <f>VLOOKUP(Observaciones[[#This Row],[Caso de Prueba]],CasoPrueba[[Código CP]:[Descripción Caso de Prueba]],3,0)</f>
        <v>Proceso - Solicitud de Personal</v>
      </c>
      <c r="D358" s="34" t="str">
        <f>VLOOKUP(Observaciones[Caso de Prueba],CasoPrueba[[#All],[Código CP]:[Prioridad]],7,TRUE)</f>
        <v>Alta</v>
      </c>
      <c r="E358" s="34" t="s">
        <v>28</v>
      </c>
      <c r="F358" s="34" t="s">
        <v>49</v>
      </c>
      <c r="G358" s="73">
        <v>40848</v>
      </c>
      <c r="H358" s="73">
        <v>40850</v>
      </c>
      <c r="I358" s="94" t="s">
        <v>132</v>
      </c>
      <c r="J358" s="34" t="s">
        <v>597</v>
      </c>
      <c r="K358" s="34" t="s">
        <v>1106</v>
      </c>
      <c r="L358" s="34">
        <f>IF((Observaciones[[#This Row],[Fecha Levantamiento]]-Observaciones[[#This Row],[Fecha Detección]])&gt;=0,Observaciones[[#This Row],[Fecha Levantamiento]]-Observaciones[[#This Row],[Fecha Detección]]+1,0)</f>
        <v>3</v>
      </c>
      <c r="M358" s="34" t="str">
        <f>LOOKUP(Observaciones[[#This Row],[Caso de Prueba]],CasoPrueba[Código CP],CasoPrueba[Código de REQ])</f>
        <v>INSPECCIÓN</v>
      </c>
    </row>
    <row r="359" spans="1:13" ht="45" hidden="1">
      <c r="A359" s="166" t="s">
        <v>800</v>
      </c>
      <c r="B359" s="34" t="s">
        <v>172</v>
      </c>
      <c r="C359" s="34" t="str">
        <f>VLOOKUP(Observaciones[[#This Row],[Caso de Prueba]],CasoPrueba[[Código CP]:[Descripción Caso de Prueba]],3,0)</f>
        <v>MacroProceso - Gestión de Educación Rural</v>
      </c>
      <c r="D359" s="34" t="str">
        <f>VLOOKUP(Observaciones[Caso de Prueba],CasoPrueba[[#All],[Código CP]:[Prioridad]],7,TRUE)</f>
        <v>Alta</v>
      </c>
      <c r="E359" s="34" t="s">
        <v>28</v>
      </c>
      <c r="F359" s="34" t="s">
        <v>49</v>
      </c>
      <c r="G359" s="73">
        <v>40848</v>
      </c>
      <c r="H359" s="73">
        <v>40850</v>
      </c>
      <c r="I359" s="94" t="s">
        <v>132</v>
      </c>
      <c r="J359" s="34" t="s">
        <v>871</v>
      </c>
      <c r="K359" s="34" t="s">
        <v>1000</v>
      </c>
      <c r="L359" s="34">
        <f>IF((Observaciones[[#This Row],[Fecha Levantamiento]]-Observaciones[[#This Row],[Fecha Detección]])&gt;=0,Observaciones[[#This Row],[Fecha Levantamiento]]-Observaciones[[#This Row],[Fecha Detección]]+1,0)</f>
        <v>3</v>
      </c>
      <c r="M359" s="34" t="str">
        <f>LOOKUP(Observaciones[[#This Row],[Caso de Prueba]],CasoPrueba[Código CP],CasoPrueba[Código de REQ])</f>
        <v>INSPECCIÓN</v>
      </c>
    </row>
    <row r="360" spans="1:13" ht="45" hidden="1">
      <c r="A360" s="166" t="s">
        <v>801</v>
      </c>
      <c r="B360" s="34" t="s">
        <v>173</v>
      </c>
      <c r="C360" s="34" t="str">
        <f>VLOOKUP(Observaciones[[#This Row],[Caso de Prueba]],CasoPrueba[[Código CP]:[Descripción Caso de Prueba]],3,0)</f>
        <v>Proceso - Acompañamiento a los Programas Educativos Rurales</v>
      </c>
      <c r="D360" s="34" t="str">
        <f>VLOOKUP(Observaciones[Caso de Prueba],CasoPrueba[[#All],[Código CP]:[Prioridad]],7,TRUE)</f>
        <v>Alta</v>
      </c>
      <c r="E360" s="34" t="s">
        <v>28</v>
      </c>
      <c r="F360" s="34" t="s">
        <v>49</v>
      </c>
      <c r="G360" s="73">
        <v>40848</v>
      </c>
      <c r="H360" s="73">
        <v>40850</v>
      </c>
      <c r="I360" s="94" t="s">
        <v>132</v>
      </c>
      <c r="J360" s="34" t="s">
        <v>597</v>
      </c>
      <c r="K360" s="34" t="s">
        <v>1000</v>
      </c>
      <c r="L360" s="34">
        <f>IF((Observaciones[[#This Row],[Fecha Levantamiento]]-Observaciones[[#This Row],[Fecha Detección]])&gt;=0,Observaciones[[#This Row],[Fecha Levantamiento]]-Observaciones[[#This Row],[Fecha Detección]]+1,0)</f>
        <v>3</v>
      </c>
      <c r="M360" s="34" t="str">
        <f>LOOKUP(Observaciones[[#This Row],[Caso de Prueba]],CasoPrueba[Código CP],CasoPrueba[Código de REQ])</f>
        <v>INSPECCIÓN</v>
      </c>
    </row>
    <row r="361" spans="1:13" ht="60" hidden="1">
      <c r="A361" s="166" t="s">
        <v>802</v>
      </c>
      <c r="B361" s="34" t="s">
        <v>173</v>
      </c>
      <c r="C361" s="34" t="str">
        <f>VLOOKUP(Observaciones[[#This Row],[Caso de Prueba]],CasoPrueba[[Código CP]:[Descripción Caso de Prueba]],3,0)</f>
        <v>Proceso - Acompañamiento a los Programas Educativos Rurales</v>
      </c>
      <c r="D361" s="34" t="str">
        <f>VLOOKUP(Observaciones[Caso de Prueba],CasoPrueba[[#All],[Código CP]:[Prioridad]],7,TRUE)</f>
        <v>Alta</v>
      </c>
      <c r="E361" s="34" t="s">
        <v>28</v>
      </c>
      <c r="F361" s="34" t="s">
        <v>49</v>
      </c>
      <c r="G361" s="73">
        <v>40848</v>
      </c>
      <c r="H361" s="73">
        <v>40850</v>
      </c>
      <c r="I361" s="94" t="s">
        <v>132</v>
      </c>
      <c r="J361" s="34" t="s">
        <v>1077</v>
      </c>
      <c r="K361" s="34" t="s">
        <v>1000</v>
      </c>
      <c r="L361" s="34">
        <f>IF((Observaciones[[#This Row],[Fecha Levantamiento]]-Observaciones[[#This Row],[Fecha Detección]])&gt;=0,Observaciones[[#This Row],[Fecha Levantamiento]]-Observaciones[[#This Row],[Fecha Detección]]+1,0)</f>
        <v>3</v>
      </c>
      <c r="M361" s="34" t="str">
        <f>LOOKUP(Observaciones[[#This Row],[Caso de Prueba]],CasoPrueba[Código CP],CasoPrueba[Código de REQ])</f>
        <v>INSPECCIÓN</v>
      </c>
    </row>
    <row r="362" spans="1:13" ht="45" hidden="1">
      <c r="A362" s="166" t="s">
        <v>1065</v>
      </c>
      <c r="B362" s="34" t="s">
        <v>174</v>
      </c>
      <c r="C362" s="34" t="str">
        <f>VLOOKUP(Observaciones[[#This Row],[Caso de Prueba]],CasoPrueba[[Código CP]:[Descripción Caso de Prueba]],3,0)</f>
        <v>Proceso - Creación de Programa Educativo Rural</v>
      </c>
      <c r="D362" s="34" t="str">
        <f>VLOOKUP(Observaciones[Caso de Prueba],CasoPrueba[[#All],[Código CP]:[Prioridad]],7,TRUE)</f>
        <v>Alta</v>
      </c>
      <c r="E362" s="34" t="s">
        <v>28</v>
      </c>
      <c r="F362" s="34" t="s">
        <v>49</v>
      </c>
      <c r="G362" s="73">
        <v>40848</v>
      </c>
      <c r="H362" s="73">
        <v>40850</v>
      </c>
      <c r="I362" s="94" t="s">
        <v>132</v>
      </c>
      <c r="J362" s="34" t="s">
        <v>597</v>
      </c>
      <c r="K362" s="34" t="s">
        <v>1000</v>
      </c>
      <c r="L362" s="164">
        <f>IF((Observaciones[[#This Row],[Fecha Levantamiento]]-Observaciones[[#This Row],[Fecha Detección]])&gt;=0,Observaciones[[#This Row],[Fecha Levantamiento]]-Observaciones[[#This Row],[Fecha Detección]]+1,0)</f>
        <v>3</v>
      </c>
      <c r="M362" s="164" t="str">
        <f>LOOKUP(Observaciones[[#This Row],[Caso de Prueba]],CasoPrueba[Código CP],CasoPrueba[Código de REQ])</f>
        <v>INSPECCIÓN</v>
      </c>
    </row>
    <row r="363" spans="1:13" ht="30" hidden="1">
      <c r="A363" s="166" t="s">
        <v>1066</v>
      </c>
      <c r="B363" s="34" t="s">
        <v>174</v>
      </c>
      <c r="C363" s="34" t="str">
        <f>VLOOKUP(Observaciones[[#This Row],[Caso de Prueba]],CasoPrueba[[Código CP]:[Descripción Caso de Prueba]],3,0)</f>
        <v>Proceso - Creación de Programa Educativo Rural</v>
      </c>
      <c r="D363" s="34" t="str">
        <f>VLOOKUP(Observaciones[Caso de Prueba],CasoPrueba[[#All],[Código CP]:[Prioridad]],7,TRUE)</f>
        <v>Alta</v>
      </c>
      <c r="E363" s="34" t="s">
        <v>28</v>
      </c>
      <c r="F363" s="34" t="s">
        <v>49</v>
      </c>
      <c r="G363" s="73">
        <v>40848</v>
      </c>
      <c r="H363" s="73">
        <v>40850</v>
      </c>
      <c r="I363" s="94" t="s">
        <v>132</v>
      </c>
      <c r="J363" s="34" t="s">
        <v>1078</v>
      </c>
      <c r="K363" s="34" t="s">
        <v>1107</v>
      </c>
      <c r="L363" s="164">
        <f>IF((Observaciones[[#This Row],[Fecha Levantamiento]]-Observaciones[[#This Row],[Fecha Detección]])&gt;=0,Observaciones[[#This Row],[Fecha Levantamiento]]-Observaciones[[#This Row],[Fecha Detección]]+1,0)</f>
        <v>3</v>
      </c>
      <c r="M363" s="164" t="str">
        <f>LOOKUP(Observaciones[[#This Row],[Caso de Prueba]],CasoPrueba[Código CP],CasoPrueba[Código de REQ])</f>
        <v>INSPECCIÓN</v>
      </c>
    </row>
    <row r="364" spans="1:13" ht="45" hidden="1">
      <c r="A364" s="166" t="s">
        <v>1067</v>
      </c>
      <c r="B364" s="34" t="s">
        <v>174</v>
      </c>
      <c r="C364" s="34" t="str">
        <f>VLOOKUP(Observaciones[[#This Row],[Caso de Prueba]],CasoPrueba[[Código CP]:[Descripción Caso de Prueba]],3,0)</f>
        <v>Proceso - Creación de Programa Educativo Rural</v>
      </c>
      <c r="D364" s="34" t="str">
        <f>VLOOKUP(Observaciones[Caso de Prueba],CasoPrueba[[#All],[Código CP]:[Prioridad]],7,TRUE)</f>
        <v>Alta</v>
      </c>
      <c r="E364" s="34" t="s">
        <v>28</v>
      </c>
      <c r="F364" s="34" t="s">
        <v>49</v>
      </c>
      <c r="G364" s="73">
        <v>40848</v>
      </c>
      <c r="H364" s="73">
        <v>40850</v>
      </c>
      <c r="I364" s="94" t="s">
        <v>132</v>
      </c>
      <c r="J364" s="34" t="s">
        <v>1079</v>
      </c>
      <c r="K364" s="34" t="s">
        <v>1108</v>
      </c>
      <c r="L364" s="34">
        <f>IF((Observaciones[[#This Row],[Fecha Levantamiento]]-Observaciones[[#This Row],[Fecha Detección]])&gt;=0,Observaciones[[#This Row],[Fecha Levantamiento]]-Observaciones[[#This Row],[Fecha Detección]]+1,0)</f>
        <v>3</v>
      </c>
      <c r="M364" s="34" t="str">
        <f>LOOKUP(Observaciones[[#This Row],[Caso de Prueba]],CasoPrueba[Código CP],CasoPrueba[Código de REQ])</f>
        <v>INSPECCIÓN</v>
      </c>
    </row>
    <row r="365" spans="1:13" ht="45" hidden="1">
      <c r="A365" s="166" t="s">
        <v>1068</v>
      </c>
      <c r="B365" s="34" t="s">
        <v>175</v>
      </c>
      <c r="C365" s="34" t="str">
        <f>VLOOKUP(Observaciones[[#This Row],[Caso de Prueba]],CasoPrueba[[Código CP]:[Descripción Caso de Prueba]],3,0)</f>
        <v>Proceso - Planificación de los Programas Educativos Rurales</v>
      </c>
      <c r="D365" s="34" t="str">
        <f>VLOOKUP(Observaciones[Caso de Prueba],CasoPrueba[[#All],[Código CP]:[Prioridad]],7,TRUE)</f>
        <v>Alta</v>
      </c>
      <c r="E365" s="34" t="s">
        <v>28</v>
      </c>
      <c r="F365" s="34" t="s">
        <v>49</v>
      </c>
      <c r="G365" s="73">
        <v>40848</v>
      </c>
      <c r="H365" s="73">
        <v>40850</v>
      </c>
      <c r="I365" s="94" t="s">
        <v>132</v>
      </c>
      <c r="J365" s="34" t="s">
        <v>597</v>
      </c>
      <c r="K365" s="34" t="s">
        <v>1109</v>
      </c>
      <c r="L365" s="34">
        <f>IF((Observaciones[[#This Row],[Fecha Levantamiento]]-Observaciones[[#This Row],[Fecha Detección]])&gt;=0,Observaciones[[#This Row],[Fecha Levantamiento]]-Observaciones[[#This Row],[Fecha Detección]]+1,0)</f>
        <v>3</v>
      </c>
      <c r="M365" s="34" t="str">
        <f>LOOKUP(Observaciones[[#This Row],[Caso de Prueba]],CasoPrueba[Código CP],CasoPrueba[Código de REQ])</f>
        <v>INSPECCIÓN</v>
      </c>
    </row>
    <row r="366" spans="1:13" hidden="1">
      <c r="A366" s="166" t="s">
        <v>1069</v>
      </c>
      <c r="B366" s="34" t="s">
        <v>175</v>
      </c>
      <c r="C366" s="34" t="str">
        <f>VLOOKUP(Observaciones[[#This Row],[Caso de Prueba]],CasoPrueba[[Código CP]:[Descripción Caso de Prueba]],3,0)</f>
        <v>Proceso - Planificación de los Programas Educativos Rurales</v>
      </c>
      <c r="D366" s="34" t="str">
        <f>VLOOKUP(Observaciones[Caso de Prueba],CasoPrueba[[#All],[Código CP]:[Prioridad]],7,TRUE)</f>
        <v>Alta</v>
      </c>
      <c r="E366" s="34" t="s">
        <v>28</v>
      </c>
      <c r="F366" s="34" t="s">
        <v>49</v>
      </c>
      <c r="G366" s="73">
        <v>40848</v>
      </c>
      <c r="H366" s="73">
        <v>40850</v>
      </c>
      <c r="I366" s="94" t="s">
        <v>132</v>
      </c>
      <c r="J366" s="34" t="s">
        <v>1081</v>
      </c>
      <c r="K366" s="34" t="s">
        <v>1110</v>
      </c>
      <c r="L366" s="34">
        <f>IF((Observaciones[[#This Row],[Fecha Levantamiento]]-Observaciones[[#This Row],[Fecha Detección]])&gt;=0,Observaciones[[#This Row],[Fecha Levantamiento]]-Observaciones[[#This Row],[Fecha Detección]]+1,0)</f>
        <v>3</v>
      </c>
      <c r="M366" s="34" t="str">
        <f>LOOKUP(Observaciones[[#This Row],[Caso de Prueba]],CasoPrueba[Código CP],CasoPrueba[Código de REQ])</f>
        <v>INSPECCIÓN</v>
      </c>
    </row>
    <row r="367" spans="1:13" ht="45" hidden="1">
      <c r="A367" s="166" t="s">
        <v>1070</v>
      </c>
      <c r="B367" s="34" t="s">
        <v>175</v>
      </c>
      <c r="C367" s="34" t="str">
        <f>VLOOKUP(Observaciones[[#This Row],[Caso de Prueba]],CasoPrueba[[Código CP]:[Descripción Caso de Prueba]],3,0)</f>
        <v>Proceso - Planificación de los Programas Educativos Rurales</v>
      </c>
      <c r="D367" s="34" t="str">
        <f>VLOOKUP(Observaciones[Caso de Prueba],CasoPrueba[[#All],[Código CP]:[Prioridad]],7,TRUE)</f>
        <v>Alta</v>
      </c>
      <c r="E367" s="34" t="s">
        <v>28</v>
      </c>
      <c r="F367" s="34" t="s">
        <v>49</v>
      </c>
      <c r="G367" s="73">
        <v>40848</v>
      </c>
      <c r="H367" s="73">
        <v>40850</v>
      </c>
      <c r="I367" s="94" t="s">
        <v>132</v>
      </c>
      <c r="J367" s="34" t="s">
        <v>1082</v>
      </c>
      <c r="K367" s="34" t="s">
        <v>1108</v>
      </c>
      <c r="L367" s="34">
        <f>IF((Observaciones[[#This Row],[Fecha Levantamiento]]-Observaciones[[#This Row],[Fecha Detección]])&gt;=0,Observaciones[[#This Row],[Fecha Levantamiento]]-Observaciones[[#This Row],[Fecha Detección]]+1,0)</f>
        <v>3</v>
      </c>
      <c r="M367" s="34" t="str">
        <f>LOOKUP(Observaciones[[#This Row],[Caso de Prueba]],CasoPrueba[Código CP],CasoPrueba[Código de REQ])</f>
        <v>INSPECCIÓN</v>
      </c>
    </row>
    <row r="368" spans="1:13" ht="105" hidden="1">
      <c r="A368" s="166" t="s">
        <v>1071</v>
      </c>
      <c r="B368" s="34" t="s">
        <v>175</v>
      </c>
      <c r="C368" s="34" t="str">
        <f>VLOOKUP(Observaciones[[#This Row],[Caso de Prueba]],CasoPrueba[[Código CP]:[Descripción Caso de Prueba]],3,0)</f>
        <v>Proceso - Planificación de los Programas Educativos Rurales</v>
      </c>
      <c r="D368" s="34" t="str">
        <f>VLOOKUP(Observaciones[Caso de Prueba],CasoPrueba[[#All],[Código CP]:[Prioridad]],7,TRUE)</f>
        <v>Alta</v>
      </c>
      <c r="E368" s="34" t="s">
        <v>28</v>
      </c>
      <c r="F368" s="34" t="s">
        <v>49</v>
      </c>
      <c r="G368" s="73">
        <v>40848</v>
      </c>
      <c r="H368" s="73">
        <v>40850</v>
      </c>
      <c r="I368" s="94" t="s">
        <v>132</v>
      </c>
      <c r="J368" s="34" t="s">
        <v>1083</v>
      </c>
      <c r="K368" s="34" t="s">
        <v>1111</v>
      </c>
      <c r="L368" s="34">
        <f>IF((Observaciones[[#This Row],[Fecha Levantamiento]]-Observaciones[[#This Row],[Fecha Detección]])&gt;=0,Observaciones[[#This Row],[Fecha Levantamiento]]-Observaciones[[#This Row],[Fecha Detección]]+1,0)</f>
        <v>3</v>
      </c>
      <c r="M368" s="34" t="str">
        <f>LOOKUP(Observaciones[[#This Row],[Caso de Prueba]],CasoPrueba[Código CP],CasoPrueba[Código de REQ])</f>
        <v>INSPECCIÓN</v>
      </c>
    </row>
    <row r="369" spans="1:13" ht="45" hidden="1">
      <c r="A369" s="166" t="s">
        <v>1072</v>
      </c>
      <c r="B369" s="34" t="s">
        <v>176</v>
      </c>
      <c r="C369" s="34" t="str">
        <f>VLOOKUP(Observaciones[[#This Row],[Caso de Prueba]],CasoPrueba[[Código CP]:[Descripción Caso de Prueba]],3,0)</f>
        <v>Proceso - Seguimiento  a los Programas Educativos Rurales</v>
      </c>
      <c r="D369" s="34" t="str">
        <f>VLOOKUP(Observaciones[Caso de Prueba],CasoPrueba[[#All],[Código CP]:[Prioridad]],7,TRUE)</f>
        <v>Alta</v>
      </c>
      <c r="E369" s="34" t="s">
        <v>28</v>
      </c>
      <c r="F369" s="34" t="s">
        <v>49</v>
      </c>
      <c r="G369" s="73">
        <v>40848</v>
      </c>
      <c r="H369" s="73">
        <v>40850</v>
      </c>
      <c r="I369" s="94" t="s">
        <v>132</v>
      </c>
      <c r="J369" s="34" t="s">
        <v>597</v>
      </c>
      <c r="K369" s="34" t="s">
        <v>1109</v>
      </c>
      <c r="L369" s="34">
        <f>IF((Observaciones[[#This Row],[Fecha Levantamiento]]-Observaciones[[#This Row],[Fecha Detección]])&gt;=0,Observaciones[[#This Row],[Fecha Levantamiento]]-Observaciones[[#This Row],[Fecha Detección]]+1,0)</f>
        <v>3</v>
      </c>
      <c r="M369" s="34" t="str">
        <f>LOOKUP(Observaciones[[#This Row],[Caso de Prueba]],CasoPrueba[Código CP],CasoPrueba[Código de REQ])</f>
        <v>INSPECCIÓN</v>
      </c>
    </row>
    <row r="370" spans="1:13" hidden="1">
      <c r="A370" s="166" t="s">
        <v>1073</v>
      </c>
      <c r="B370" s="34" t="s">
        <v>176</v>
      </c>
      <c r="C370" s="34" t="str">
        <f>VLOOKUP(Observaciones[[#This Row],[Caso de Prueba]],CasoPrueba[[Código CP]:[Descripción Caso de Prueba]],3,0)</f>
        <v>Proceso - Seguimiento  a los Programas Educativos Rurales</v>
      </c>
      <c r="D370" s="34" t="str">
        <f>VLOOKUP(Observaciones[Caso de Prueba],CasoPrueba[[#All],[Código CP]:[Prioridad]],7,TRUE)</f>
        <v>Alta</v>
      </c>
      <c r="E370" s="34" t="s">
        <v>28</v>
      </c>
      <c r="F370" s="34" t="s">
        <v>49</v>
      </c>
      <c r="G370" s="73">
        <v>40848</v>
      </c>
      <c r="H370" s="73">
        <v>40850</v>
      </c>
      <c r="I370" s="94" t="s">
        <v>132</v>
      </c>
      <c r="J370" s="34" t="s">
        <v>1081</v>
      </c>
      <c r="K370" s="34" t="s">
        <v>1110</v>
      </c>
      <c r="L370" s="34">
        <f>IF((Observaciones[[#This Row],[Fecha Levantamiento]]-Observaciones[[#This Row],[Fecha Detección]])&gt;=0,Observaciones[[#This Row],[Fecha Levantamiento]]-Observaciones[[#This Row],[Fecha Detección]]+1,0)</f>
        <v>3</v>
      </c>
      <c r="M370" s="34" t="str">
        <f>LOOKUP(Observaciones[[#This Row],[Caso de Prueba]],CasoPrueba[Código CP],CasoPrueba[Código de REQ])</f>
        <v>INSPECCIÓN</v>
      </c>
    </row>
    <row r="371" spans="1:13" ht="45" hidden="1">
      <c r="A371" s="166" t="s">
        <v>1074</v>
      </c>
      <c r="B371" s="34" t="s">
        <v>176</v>
      </c>
      <c r="C371" s="34" t="str">
        <f>VLOOKUP(Observaciones[[#This Row],[Caso de Prueba]],CasoPrueba[[Código CP]:[Descripción Caso de Prueba]],3,0)</f>
        <v>Proceso - Seguimiento  a los Programas Educativos Rurales</v>
      </c>
      <c r="D371" s="34" t="str">
        <f>VLOOKUP(Observaciones[Caso de Prueba],CasoPrueba[[#All],[Código CP]:[Prioridad]],7,TRUE)</f>
        <v>Alta</v>
      </c>
      <c r="E371" s="34" t="s">
        <v>28</v>
      </c>
      <c r="F371" s="34" t="s">
        <v>49</v>
      </c>
      <c r="G371" s="73">
        <v>40848</v>
      </c>
      <c r="H371" s="73">
        <v>40850</v>
      </c>
      <c r="I371" s="94" t="s">
        <v>132</v>
      </c>
      <c r="J371" s="34" t="s">
        <v>1084</v>
      </c>
      <c r="K371" s="34" t="s">
        <v>1112</v>
      </c>
      <c r="L371" s="34">
        <f>IF((Observaciones[[#This Row],[Fecha Levantamiento]]-Observaciones[[#This Row],[Fecha Detección]])&gt;=0,Observaciones[[#This Row],[Fecha Levantamiento]]-Observaciones[[#This Row],[Fecha Detección]]+1,0)</f>
        <v>3</v>
      </c>
      <c r="M371" s="34" t="str">
        <f>LOOKUP(Observaciones[[#This Row],[Caso de Prueba]],CasoPrueba[Código CP],CasoPrueba[Código de REQ])</f>
        <v>INSPECCIÓN</v>
      </c>
    </row>
    <row r="372" spans="1:13" ht="45" hidden="1">
      <c r="A372" s="166" t="s">
        <v>1075</v>
      </c>
      <c r="B372" s="34" t="s">
        <v>88</v>
      </c>
      <c r="C372" s="34" t="str">
        <f>VLOOKUP(Observaciones[[#This Row],[Caso de Prueba]],CasoPrueba[[Código CP]:[Descripción Caso de Prueba]],3,0)</f>
        <v>MacroProceso - Gestión de Recursos Humanos</v>
      </c>
      <c r="D372" s="34" t="str">
        <f>VLOOKUP(Observaciones[Caso de Prueba],CasoPrueba[[#All],[Código CP]:[Prioridad]],7,TRUE)</f>
        <v>Alta</v>
      </c>
      <c r="E372" s="34" t="s">
        <v>28</v>
      </c>
      <c r="F372" s="34" t="s">
        <v>49</v>
      </c>
      <c r="G372" s="73">
        <v>40852</v>
      </c>
      <c r="H372" s="73">
        <v>40852</v>
      </c>
      <c r="I372" s="94" t="s">
        <v>132</v>
      </c>
      <c r="J372" s="34" t="s">
        <v>1118</v>
      </c>
      <c r="K372" s="34" t="s">
        <v>1134</v>
      </c>
      <c r="L372" s="34">
        <f>IF((Observaciones[[#This Row],[Fecha Levantamiento]]-Observaciones[[#This Row],[Fecha Detección]])&gt;=0,Observaciones[[#This Row],[Fecha Levantamiento]]-Observaciones[[#This Row],[Fecha Detección]]+1,0)</f>
        <v>1</v>
      </c>
      <c r="M372" s="34" t="str">
        <f>LOOKUP(Observaciones[[#This Row],[Caso de Prueba]],CasoPrueba[Código CP],CasoPrueba[Código de REQ])</f>
        <v>INSPECCIÓN</v>
      </c>
    </row>
    <row r="373" spans="1:13" ht="60" hidden="1">
      <c r="A373" s="166" t="s">
        <v>1113</v>
      </c>
      <c r="B373" s="34" t="s">
        <v>152</v>
      </c>
      <c r="C373" s="34" t="str">
        <f>VLOOKUP(Observaciones[[#This Row],[Caso de Prueba]],CasoPrueba[[Código CP]:[Descripción Caso de Prueba]],3,0)</f>
        <v>Proceso - Contratación e Inducción</v>
      </c>
      <c r="D373" s="34" t="str">
        <f>VLOOKUP(Observaciones[Caso de Prueba],CasoPrueba[[#All],[Código CP]:[Prioridad]],7,TRUE)</f>
        <v>Alta</v>
      </c>
      <c r="E373" s="34" t="s">
        <v>162</v>
      </c>
      <c r="F373" s="34" t="s">
        <v>49</v>
      </c>
      <c r="G373" s="73">
        <v>40852</v>
      </c>
      <c r="H373" s="73">
        <v>40852</v>
      </c>
      <c r="I373" s="94" t="s">
        <v>132</v>
      </c>
      <c r="J373" s="34" t="s">
        <v>880</v>
      </c>
      <c r="K373" s="34" t="s">
        <v>1135</v>
      </c>
      <c r="L373" s="34">
        <f>IF((Observaciones[[#This Row],[Fecha Levantamiento]]-Observaciones[[#This Row],[Fecha Detección]])&gt;=0,Observaciones[[#This Row],[Fecha Levantamiento]]-Observaciones[[#This Row],[Fecha Detección]]+1,0)</f>
        <v>1</v>
      </c>
      <c r="M373" s="34" t="str">
        <f>LOOKUP(Observaciones[[#This Row],[Caso de Prueba]],CasoPrueba[Código CP],CasoPrueba[Código de REQ])</f>
        <v>INSPECCIÓN</v>
      </c>
    </row>
    <row r="374" spans="1:13" ht="45" hidden="1">
      <c r="A374" s="166" t="s">
        <v>1114</v>
      </c>
      <c r="B374" s="34" t="s">
        <v>153</v>
      </c>
      <c r="C374" s="34" t="str">
        <f>VLOOKUP(Observaciones[[#This Row],[Caso de Prueba]],CasoPrueba[[Código CP]:[Descripción Caso de Prueba]],3,0)</f>
        <v>Proceso - Despido o Retiro de Personal</v>
      </c>
      <c r="D374" s="34" t="str">
        <f>VLOOKUP(Observaciones[Caso de Prueba],CasoPrueba[[#All],[Código CP]:[Prioridad]],7,TRUE)</f>
        <v>Alta</v>
      </c>
      <c r="E374" s="34" t="s">
        <v>30</v>
      </c>
      <c r="F374" s="34" t="s">
        <v>49</v>
      </c>
      <c r="G374" s="73">
        <v>40852</v>
      </c>
      <c r="H374" s="73">
        <v>40852</v>
      </c>
      <c r="I374" s="94" t="s">
        <v>132</v>
      </c>
      <c r="J374" s="34" t="s">
        <v>1117</v>
      </c>
      <c r="K374" s="34" t="s">
        <v>1136</v>
      </c>
      <c r="L374" s="34">
        <f>IF((Observaciones[[#This Row],[Fecha Levantamiento]]-Observaciones[[#This Row],[Fecha Detección]])&gt;=0,Observaciones[[#This Row],[Fecha Levantamiento]]-Observaciones[[#This Row],[Fecha Detección]]+1,0)</f>
        <v>1</v>
      </c>
      <c r="M374" s="34" t="str">
        <f>LOOKUP(Observaciones[[#This Row],[Caso de Prueba]],CasoPrueba[Código CP],CasoPrueba[Código de REQ])</f>
        <v>INSPECCIÓN</v>
      </c>
    </row>
    <row r="375" spans="1:13" ht="45" hidden="1">
      <c r="A375" s="166" t="s">
        <v>1115</v>
      </c>
      <c r="B375" s="34" t="s">
        <v>175</v>
      </c>
      <c r="C375" s="34" t="str">
        <f>VLOOKUP(Observaciones[[#This Row],[Caso de Prueba]],CasoPrueba[[Código CP]:[Descripción Caso de Prueba]],3,0)</f>
        <v>Proceso - Planificación de los Programas Educativos Rurales</v>
      </c>
      <c r="D375" s="34" t="str">
        <f>VLOOKUP(Observaciones[Caso de Prueba],CasoPrueba[[#All],[Código CP]:[Prioridad]],7,TRUE)</f>
        <v>Alta</v>
      </c>
      <c r="E375" s="34" t="s">
        <v>30</v>
      </c>
      <c r="F375" s="34" t="s">
        <v>49</v>
      </c>
      <c r="G375" s="73">
        <v>40852</v>
      </c>
      <c r="H375" s="73">
        <v>40852</v>
      </c>
      <c r="I375" s="94" t="s">
        <v>132</v>
      </c>
      <c r="J375" s="34" t="s">
        <v>1119</v>
      </c>
      <c r="K375" s="34" t="s">
        <v>1137</v>
      </c>
      <c r="L375" s="34">
        <f>IF((Observaciones[[#This Row],[Fecha Levantamiento]]-Observaciones[[#This Row],[Fecha Detección]])&gt;=0,Observaciones[[#This Row],[Fecha Levantamiento]]-Observaciones[[#This Row],[Fecha Detección]]+1,0)</f>
        <v>1</v>
      </c>
      <c r="M375" s="34" t="str">
        <f>LOOKUP(Observaciones[[#This Row],[Caso de Prueba]],CasoPrueba[Código CP],CasoPrueba[Código de REQ])</f>
        <v>INSPECCIÓN</v>
      </c>
    </row>
    <row r="376" spans="1:13" ht="30" hidden="1">
      <c r="A376" s="166" t="s">
        <v>1116</v>
      </c>
      <c r="B376" s="34" t="s">
        <v>175</v>
      </c>
      <c r="C376" s="34" t="str">
        <f>VLOOKUP(Observaciones[[#This Row],[Caso de Prueba]],CasoPrueba[[Código CP]:[Descripción Caso de Prueba]],3,0)</f>
        <v>Proceso - Planificación de los Programas Educativos Rurales</v>
      </c>
      <c r="D376" s="34" t="str">
        <f>VLOOKUP(Observaciones[Caso de Prueba],CasoPrueba[[#All],[Código CP]:[Prioridad]],7,TRUE)</f>
        <v>Alta</v>
      </c>
      <c r="E376" s="34" t="s">
        <v>30</v>
      </c>
      <c r="F376" s="34" t="s">
        <v>49</v>
      </c>
      <c r="G376" s="73">
        <v>40852</v>
      </c>
      <c r="H376" s="73">
        <v>40852</v>
      </c>
      <c r="I376" s="94" t="s">
        <v>132</v>
      </c>
      <c r="J376" s="34" t="s">
        <v>1120</v>
      </c>
      <c r="K376" s="34" t="s">
        <v>1138</v>
      </c>
      <c r="L376" s="34">
        <f>IF((Observaciones[[#This Row],[Fecha Levantamiento]]-Observaciones[[#This Row],[Fecha Detección]])&gt;=0,Observaciones[[#This Row],[Fecha Levantamiento]]-Observaciones[[#This Row],[Fecha Detección]]+1,0)</f>
        <v>1</v>
      </c>
      <c r="M376" s="34" t="str">
        <f>LOOKUP(Observaciones[[#This Row],[Caso de Prueba]],CasoPrueba[Código CP],CasoPrueba[Código de REQ])</f>
        <v>INSPECCIÓN</v>
      </c>
    </row>
    <row r="377" spans="1:13" ht="45" hidden="1">
      <c r="A377" s="166" t="s">
        <v>1121</v>
      </c>
      <c r="B377" s="34" t="s">
        <v>175</v>
      </c>
      <c r="C377" s="34" t="str">
        <f>VLOOKUP(Observaciones[[#This Row],[Caso de Prueba]],CasoPrueba[[Código CP]:[Descripción Caso de Prueba]],3,0)</f>
        <v>Proceso - Planificación de los Programas Educativos Rurales</v>
      </c>
      <c r="D377" s="34" t="str">
        <f>VLOOKUP(Observaciones[Caso de Prueba],CasoPrueba[[#All],[Código CP]:[Prioridad]],7,TRUE)</f>
        <v>Alta</v>
      </c>
      <c r="E377" s="34" t="s">
        <v>30</v>
      </c>
      <c r="F377" s="34" t="s">
        <v>49</v>
      </c>
      <c r="G377" s="73">
        <v>40852</v>
      </c>
      <c r="H377" s="73">
        <v>40852</v>
      </c>
      <c r="I377" s="94" t="s">
        <v>132</v>
      </c>
      <c r="J377" s="164" t="s">
        <v>1127</v>
      </c>
      <c r="K377" s="34" t="s">
        <v>1139</v>
      </c>
      <c r="L377" s="164">
        <f>IF((Observaciones[[#This Row],[Fecha Levantamiento]]-Observaciones[[#This Row],[Fecha Detección]])&gt;=0,Observaciones[[#This Row],[Fecha Levantamiento]]-Observaciones[[#This Row],[Fecha Detección]]+1,0)</f>
        <v>1</v>
      </c>
      <c r="M377" s="164" t="str">
        <f>LOOKUP(Observaciones[[#This Row],[Caso de Prueba]],CasoPrueba[Código CP],CasoPrueba[Código de REQ])</f>
        <v>INSPECCIÓN</v>
      </c>
    </row>
    <row r="378" spans="1:13" hidden="1">
      <c r="A378" s="166" t="s">
        <v>1122</v>
      </c>
      <c r="B378" s="34" t="s">
        <v>176</v>
      </c>
      <c r="C378" s="34" t="str">
        <f>VLOOKUP(Observaciones[[#This Row],[Caso de Prueba]],CasoPrueba[[Código CP]:[Descripción Caso de Prueba]],3,0)</f>
        <v>Proceso - Seguimiento  a los Programas Educativos Rurales</v>
      </c>
      <c r="D378" s="34" t="str">
        <f>VLOOKUP(Observaciones[Caso de Prueba],CasoPrueba[[#All],[Código CP]:[Prioridad]],7,TRUE)</f>
        <v>Alta</v>
      </c>
      <c r="E378" s="34" t="s">
        <v>162</v>
      </c>
      <c r="F378" s="34" t="s">
        <v>49</v>
      </c>
      <c r="G378" s="73">
        <v>40852</v>
      </c>
      <c r="H378" s="73">
        <v>40852</v>
      </c>
      <c r="I378" s="94" t="s">
        <v>132</v>
      </c>
      <c r="J378" s="34" t="s">
        <v>1128</v>
      </c>
      <c r="K378" s="34" t="s">
        <v>1140</v>
      </c>
      <c r="L378" s="34">
        <f>IF((Observaciones[[#This Row],[Fecha Levantamiento]]-Observaciones[[#This Row],[Fecha Detección]])&gt;=0,Observaciones[[#This Row],[Fecha Levantamiento]]-Observaciones[[#This Row],[Fecha Detección]]+1,0)</f>
        <v>1</v>
      </c>
      <c r="M378" s="34" t="str">
        <f>LOOKUP(Observaciones[[#This Row],[Caso de Prueba]],CasoPrueba[Código CP],CasoPrueba[Código de REQ])</f>
        <v>INSPECCIÓN</v>
      </c>
    </row>
    <row r="379" spans="1:13" hidden="1">
      <c r="A379" s="166" t="s">
        <v>1123</v>
      </c>
      <c r="B379" s="34" t="s">
        <v>176</v>
      </c>
      <c r="C379" s="34" t="str">
        <f>VLOOKUP(Observaciones[[#This Row],[Caso de Prueba]],CasoPrueba[[Código CP]:[Descripción Caso de Prueba]],3,0)</f>
        <v>Proceso - Seguimiento  a los Programas Educativos Rurales</v>
      </c>
      <c r="D379" s="34" t="str">
        <f>VLOOKUP(Observaciones[Caso de Prueba],CasoPrueba[[#All],[Código CP]:[Prioridad]],7,TRUE)</f>
        <v>Alta</v>
      </c>
      <c r="E379" s="34" t="s">
        <v>162</v>
      </c>
      <c r="F379" s="34" t="s">
        <v>49</v>
      </c>
      <c r="G379" s="73">
        <v>40852</v>
      </c>
      <c r="H379" s="73">
        <v>40852</v>
      </c>
      <c r="I379" s="94" t="s">
        <v>132</v>
      </c>
      <c r="J379" s="34" t="s">
        <v>1129</v>
      </c>
      <c r="K379" s="34" t="s">
        <v>1141</v>
      </c>
      <c r="L379" s="34">
        <f>IF((Observaciones[[#This Row],[Fecha Levantamiento]]-Observaciones[[#This Row],[Fecha Detección]])&gt;=0,Observaciones[[#This Row],[Fecha Levantamiento]]-Observaciones[[#This Row],[Fecha Detección]]+1,0)</f>
        <v>1</v>
      </c>
      <c r="M379" s="34" t="str">
        <f>LOOKUP(Observaciones[[#This Row],[Caso de Prueba]],CasoPrueba[Código CP],CasoPrueba[Código de REQ])</f>
        <v>INSPECCIÓN</v>
      </c>
    </row>
    <row r="380" spans="1:13" ht="30" hidden="1">
      <c r="A380" s="166" t="s">
        <v>1124</v>
      </c>
      <c r="B380" s="34" t="s">
        <v>176</v>
      </c>
      <c r="C380" s="34" t="str">
        <f>VLOOKUP(Observaciones[[#This Row],[Caso de Prueba]],CasoPrueba[[Código CP]:[Descripción Caso de Prueba]],3,0)</f>
        <v>Proceso - Seguimiento  a los Programas Educativos Rurales</v>
      </c>
      <c r="D380" s="34" t="str">
        <f>VLOOKUP(Observaciones[Caso de Prueba],CasoPrueba[[#All],[Código CP]:[Prioridad]],7,TRUE)</f>
        <v>Alta</v>
      </c>
      <c r="E380" s="34" t="s">
        <v>30</v>
      </c>
      <c r="F380" s="34" t="s">
        <v>49</v>
      </c>
      <c r="G380" s="73">
        <v>40852</v>
      </c>
      <c r="H380" s="73">
        <v>40852</v>
      </c>
      <c r="I380" s="94" t="s">
        <v>132</v>
      </c>
      <c r="J380" s="34" t="s">
        <v>1130</v>
      </c>
      <c r="K380" s="34" t="s">
        <v>1142</v>
      </c>
      <c r="L380" s="34">
        <f>IF((Observaciones[[#This Row],[Fecha Levantamiento]]-Observaciones[[#This Row],[Fecha Detección]])&gt;=0,Observaciones[[#This Row],[Fecha Levantamiento]]-Observaciones[[#This Row],[Fecha Detección]]+1,0)</f>
        <v>1</v>
      </c>
      <c r="M380" s="34" t="str">
        <f>LOOKUP(Observaciones[[#This Row],[Caso de Prueba]],CasoPrueba[Código CP],CasoPrueba[Código de REQ])</f>
        <v>INSPECCIÓN</v>
      </c>
    </row>
    <row r="381" spans="1:13" ht="30" hidden="1">
      <c r="A381" s="166" t="s">
        <v>1125</v>
      </c>
      <c r="B381" s="34" t="s">
        <v>176</v>
      </c>
      <c r="C381" s="34" t="str">
        <f>VLOOKUP(Observaciones[[#This Row],[Caso de Prueba]],CasoPrueba[[Código CP]:[Descripción Caso de Prueba]],3,0)</f>
        <v>Proceso - Seguimiento  a los Programas Educativos Rurales</v>
      </c>
      <c r="D381" s="34" t="str">
        <f>VLOOKUP(Observaciones[Caso de Prueba],CasoPrueba[[#All],[Código CP]:[Prioridad]],7,TRUE)</f>
        <v>Alta</v>
      </c>
      <c r="E381" s="34" t="s">
        <v>30</v>
      </c>
      <c r="F381" s="34" t="s">
        <v>49</v>
      </c>
      <c r="G381" s="73">
        <v>40852</v>
      </c>
      <c r="H381" s="73">
        <v>40852</v>
      </c>
      <c r="I381" s="94" t="s">
        <v>132</v>
      </c>
      <c r="J381" s="34" t="s">
        <v>1131</v>
      </c>
      <c r="K381" s="34" t="s">
        <v>1143</v>
      </c>
      <c r="L381" s="34">
        <f>IF((Observaciones[[#This Row],[Fecha Levantamiento]]-Observaciones[[#This Row],[Fecha Detección]])&gt;=0,Observaciones[[#This Row],[Fecha Levantamiento]]-Observaciones[[#This Row],[Fecha Detección]]+1,0)</f>
        <v>1</v>
      </c>
      <c r="M381" s="34" t="str">
        <f>LOOKUP(Observaciones[[#This Row],[Caso de Prueba]],CasoPrueba[Código CP],CasoPrueba[Código de REQ])</f>
        <v>INSPECCIÓN</v>
      </c>
    </row>
    <row r="382" spans="1:13" ht="30" hidden="1">
      <c r="A382" s="166" t="s">
        <v>1126</v>
      </c>
      <c r="B382" s="34" t="s">
        <v>176</v>
      </c>
      <c r="C382" s="34" t="str">
        <f>VLOOKUP(Observaciones[[#This Row],[Caso de Prueba]],CasoPrueba[[Código CP]:[Descripción Caso de Prueba]],3,0)</f>
        <v>Proceso - Seguimiento  a los Programas Educativos Rurales</v>
      </c>
      <c r="D382" s="34" t="str">
        <f>VLOOKUP(Observaciones[Caso de Prueba],CasoPrueba[[#All],[Código CP]:[Prioridad]],7,TRUE)</f>
        <v>Alta</v>
      </c>
      <c r="E382" s="34" t="s">
        <v>30</v>
      </c>
      <c r="F382" s="34" t="s">
        <v>49</v>
      </c>
      <c r="G382" s="73">
        <v>40852</v>
      </c>
      <c r="H382" s="73">
        <v>40852</v>
      </c>
      <c r="I382" s="94" t="s">
        <v>132</v>
      </c>
      <c r="J382" s="34" t="s">
        <v>1132</v>
      </c>
      <c r="K382" s="34" t="s">
        <v>1144</v>
      </c>
      <c r="L382" s="34">
        <f>IF((Observaciones[[#This Row],[Fecha Levantamiento]]-Observaciones[[#This Row],[Fecha Detección]])&gt;=0,Observaciones[[#This Row],[Fecha Levantamiento]]-Observaciones[[#This Row],[Fecha Detección]]+1,0)</f>
        <v>1</v>
      </c>
      <c r="M382" s="34" t="str">
        <f>LOOKUP(Observaciones[[#This Row],[Caso de Prueba]],CasoPrueba[Código CP],CasoPrueba[Código de REQ])</f>
        <v>INSPECCIÓN</v>
      </c>
    </row>
    <row r="383" spans="1:13" ht="75" hidden="1">
      <c r="A383" s="166" t="s">
        <v>1145</v>
      </c>
      <c r="B383" s="34" t="s">
        <v>1182</v>
      </c>
      <c r="C383" s="34" t="str">
        <f>VLOOKUP(Observaciones[[#This Row],[Caso de Prueba]],CasoPrueba[[Código CP]:[Descripción Caso de Prueba]],3,0)</f>
        <v>Arquitectura de Procesos</v>
      </c>
      <c r="D383" s="34" t="str">
        <f>VLOOKUP(Observaciones[Caso de Prueba],CasoPrueba[[#All],[Código CP]:[Prioridad]],7,TRUE)</f>
        <v>Alta</v>
      </c>
      <c r="E383" s="34" t="s">
        <v>28</v>
      </c>
      <c r="F383" s="34" t="s">
        <v>49</v>
      </c>
      <c r="G383" s="73">
        <v>40852</v>
      </c>
      <c r="H383" s="73">
        <v>40853</v>
      </c>
      <c r="I383" s="94" t="s">
        <v>132</v>
      </c>
      <c r="J383" s="34" t="s">
        <v>1180</v>
      </c>
      <c r="K383" s="34" t="s">
        <v>1305</v>
      </c>
      <c r="L383" s="34">
        <f>IF((Observaciones[[#This Row],[Fecha Levantamiento]]-Observaciones[[#This Row],[Fecha Detección]])&gt;=0,Observaciones[[#This Row],[Fecha Levantamiento]]-Observaciones[[#This Row],[Fecha Detección]]+1,0)</f>
        <v>2</v>
      </c>
      <c r="M383" s="34" t="str">
        <f>LOOKUP(Observaciones[[#This Row],[Caso de Prueba]],CasoPrueba[Código CP],CasoPrueba[Código de REQ])</f>
        <v>INSPECCIÓN</v>
      </c>
    </row>
    <row r="384" spans="1:13" ht="45" hidden="1">
      <c r="A384" s="166" t="s">
        <v>1146</v>
      </c>
      <c r="B384" s="34" t="s">
        <v>1182</v>
      </c>
      <c r="C384" s="34" t="str">
        <f>VLOOKUP(Observaciones[[#This Row],[Caso de Prueba]],CasoPrueba[[Código CP]:[Descripción Caso de Prueba]],3,0)</f>
        <v>Arquitectura de Procesos</v>
      </c>
      <c r="D384" s="34" t="str">
        <f>VLOOKUP(Observaciones[Caso de Prueba],CasoPrueba[[#All],[Código CP]:[Prioridad]],7,TRUE)</f>
        <v>Alta</v>
      </c>
      <c r="E384" s="34" t="s">
        <v>162</v>
      </c>
      <c r="F384" s="34" t="s">
        <v>49</v>
      </c>
      <c r="G384" s="73">
        <v>40852</v>
      </c>
      <c r="H384" s="73">
        <v>40853</v>
      </c>
      <c r="I384" s="94" t="s">
        <v>132</v>
      </c>
      <c r="J384" s="34" t="s">
        <v>1181</v>
      </c>
      <c r="K384" s="34" t="s">
        <v>1258</v>
      </c>
      <c r="L384" s="34">
        <f>IF((Observaciones[[#This Row],[Fecha Levantamiento]]-Observaciones[[#This Row],[Fecha Detección]])&gt;=0,Observaciones[[#This Row],[Fecha Levantamiento]]-Observaciones[[#This Row],[Fecha Detección]]+1,0)</f>
        <v>2</v>
      </c>
      <c r="M384" s="34" t="str">
        <f>LOOKUP(Observaciones[[#This Row],[Caso de Prueba]],CasoPrueba[Código CP],CasoPrueba[Código de REQ])</f>
        <v>INSPECCIÓN</v>
      </c>
    </row>
    <row r="385" spans="1:13" ht="60" hidden="1">
      <c r="A385" s="166" t="s">
        <v>1147</v>
      </c>
      <c r="B385" s="34" t="s">
        <v>1182</v>
      </c>
      <c r="C385" s="34" t="str">
        <f>VLOOKUP(Observaciones[[#This Row],[Caso de Prueba]],CasoPrueba[[Código CP]:[Descripción Caso de Prueba]],3,0)</f>
        <v>Arquitectura de Procesos</v>
      </c>
      <c r="D385" s="34" t="str">
        <f>VLOOKUP(Observaciones[Caso de Prueba],CasoPrueba[[#All],[Código CP]:[Prioridad]],7,TRUE)</f>
        <v>Alta</v>
      </c>
      <c r="E385" s="34" t="s">
        <v>28</v>
      </c>
      <c r="F385" s="34" t="s">
        <v>49</v>
      </c>
      <c r="G385" s="73">
        <v>40852</v>
      </c>
      <c r="H385" s="73">
        <v>40853</v>
      </c>
      <c r="I385" s="94" t="s">
        <v>132</v>
      </c>
      <c r="J385" s="34" t="s">
        <v>1183</v>
      </c>
      <c r="K385" s="34" t="s">
        <v>1259</v>
      </c>
      <c r="L385" s="34">
        <f>IF((Observaciones[[#This Row],[Fecha Levantamiento]]-Observaciones[[#This Row],[Fecha Detección]])&gt;=0,Observaciones[[#This Row],[Fecha Levantamiento]]-Observaciones[[#This Row],[Fecha Detección]]+1,0)</f>
        <v>2</v>
      </c>
      <c r="M385" s="34" t="str">
        <f>LOOKUP(Observaciones[[#This Row],[Caso de Prueba]],CasoPrueba[Código CP],CasoPrueba[Código de REQ])</f>
        <v>INSPECCIÓN</v>
      </c>
    </row>
    <row r="386" spans="1:13" ht="60" hidden="1">
      <c r="A386" s="166" t="s">
        <v>1148</v>
      </c>
      <c r="B386" s="34" t="s">
        <v>1182</v>
      </c>
      <c r="C386" s="34" t="str">
        <f>VLOOKUP(Observaciones[[#This Row],[Caso de Prueba]],CasoPrueba[[Código CP]:[Descripción Caso de Prueba]],3,0)</f>
        <v>Arquitectura de Procesos</v>
      </c>
      <c r="D386" s="34" t="str">
        <f>VLOOKUP(Observaciones[Caso de Prueba],CasoPrueba[[#All],[Código CP]:[Prioridad]],7,TRUE)</f>
        <v>Alta</v>
      </c>
      <c r="E386" s="34" t="s">
        <v>28</v>
      </c>
      <c r="F386" s="34" t="s">
        <v>49</v>
      </c>
      <c r="G386" s="73">
        <v>40852</v>
      </c>
      <c r="H386" s="73">
        <v>40853</v>
      </c>
      <c r="I386" s="94" t="s">
        <v>132</v>
      </c>
      <c r="J386" s="34" t="s">
        <v>1184</v>
      </c>
      <c r="K386" s="34" t="s">
        <v>1260</v>
      </c>
      <c r="L386" s="34">
        <f>IF((Observaciones[[#This Row],[Fecha Levantamiento]]-Observaciones[[#This Row],[Fecha Detección]])&gt;=0,Observaciones[[#This Row],[Fecha Levantamiento]]-Observaciones[[#This Row],[Fecha Detección]]+1,0)</f>
        <v>2</v>
      </c>
      <c r="M386" s="34" t="str">
        <f>LOOKUP(Observaciones[[#This Row],[Caso de Prueba]],CasoPrueba[Código CP],CasoPrueba[Código de REQ])</f>
        <v>INSPECCIÓN</v>
      </c>
    </row>
    <row r="387" spans="1:13" ht="120" hidden="1">
      <c r="A387" s="166" t="s">
        <v>1149</v>
      </c>
      <c r="B387" s="34" t="s">
        <v>1182</v>
      </c>
      <c r="C387" s="34" t="str">
        <f>VLOOKUP(Observaciones[[#This Row],[Caso de Prueba]],CasoPrueba[[Código CP]:[Descripción Caso de Prueba]],3,0)</f>
        <v>Arquitectura de Procesos</v>
      </c>
      <c r="D387" s="34" t="str">
        <f>VLOOKUP(Observaciones[Caso de Prueba],CasoPrueba[[#All],[Código CP]:[Prioridad]],7,TRUE)</f>
        <v>Alta</v>
      </c>
      <c r="E387" s="34" t="s">
        <v>28</v>
      </c>
      <c r="F387" s="34" t="s">
        <v>49</v>
      </c>
      <c r="G387" s="73">
        <v>40852</v>
      </c>
      <c r="H387" s="73">
        <v>40853</v>
      </c>
      <c r="I387" s="94" t="s">
        <v>132</v>
      </c>
      <c r="J387" s="34" t="s">
        <v>1185</v>
      </c>
      <c r="K387" s="34" t="s">
        <v>858</v>
      </c>
      <c r="L387" s="34">
        <f>IF((Observaciones[[#This Row],[Fecha Levantamiento]]-Observaciones[[#This Row],[Fecha Detección]])&gt;=0,Observaciones[[#This Row],[Fecha Levantamiento]]-Observaciones[[#This Row],[Fecha Detección]]+1,0)</f>
        <v>2</v>
      </c>
      <c r="M387" s="34" t="str">
        <f>LOOKUP(Observaciones[[#This Row],[Caso de Prueba]],CasoPrueba[Código CP],CasoPrueba[Código de REQ])</f>
        <v>INSPECCIÓN</v>
      </c>
    </row>
    <row r="388" spans="1:13" ht="30" hidden="1">
      <c r="A388" s="166" t="s">
        <v>1150</v>
      </c>
      <c r="B388" s="34" t="s">
        <v>1182</v>
      </c>
      <c r="C388" s="34" t="str">
        <f>VLOOKUP(Observaciones[[#This Row],[Caso de Prueba]],CasoPrueba[[Código CP]:[Descripción Caso de Prueba]],3,0)</f>
        <v>Arquitectura de Procesos</v>
      </c>
      <c r="D388" s="34" t="str">
        <f>VLOOKUP(Observaciones[Caso de Prueba],CasoPrueba[[#All],[Código CP]:[Prioridad]],7,TRUE)</f>
        <v>Alta</v>
      </c>
      <c r="E388" s="34" t="s">
        <v>162</v>
      </c>
      <c r="F388" s="34" t="s">
        <v>49</v>
      </c>
      <c r="G388" s="73">
        <v>40852</v>
      </c>
      <c r="H388" s="73">
        <v>40853</v>
      </c>
      <c r="I388" s="94" t="s">
        <v>132</v>
      </c>
      <c r="J388" s="34" t="s">
        <v>1188</v>
      </c>
      <c r="K388" s="34" t="s">
        <v>234</v>
      </c>
      <c r="L388" s="34">
        <f>IF((Observaciones[[#This Row],[Fecha Levantamiento]]-Observaciones[[#This Row],[Fecha Detección]])&gt;=0,Observaciones[[#This Row],[Fecha Levantamiento]]-Observaciones[[#This Row],[Fecha Detección]]+1,0)</f>
        <v>2</v>
      </c>
      <c r="M388" s="34" t="str">
        <f>LOOKUP(Observaciones[[#This Row],[Caso de Prueba]],CasoPrueba[Código CP],CasoPrueba[Código de REQ])</f>
        <v>INSPECCIÓN</v>
      </c>
    </row>
    <row r="389" spans="1:13" ht="60" hidden="1">
      <c r="A389" s="166" t="s">
        <v>1151</v>
      </c>
      <c r="B389" s="34" t="s">
        <v>1182</v>
      </c>
      <c r="C389" s="34" t="str">
        <f>VLOOKUP(Observaciones[[#This Row],[Caso de Prueba]],CasoPrueba[[Código CP]:[Descripción Caso de Prueba]],3,0)</f>
        <v>Arquitectura de Procesos</v>
      </c>
      <c r="D389" s="34" t="str">
        <f>VLOOKUP(Observaciones[Caso de Prueba],CasoPrueba[[#All],[Código CP]:[Prioridad]],7,TRUE)</f>
        <v>Alta</v>
      </c>
      <c r="E389" s="34" t="s">
        <v>30</v>
      </c>
      <c r="F389" s="34" t="s">
        <v>49</v>
      </c>
      <c r="G389" s="73">
        <v>40852</v>
      </c>
      <c r="H389" s="73">
        <v>40853</v>
      </c>
      <c r="I389" s="94" t="s">
        <v>132</v>
      </c>
      <c r="J389" s="34" t="s">
        <v>1189</v>
      </c>
      <c r="K389" s="34" t="s">
        <v>1261</v>
      </c>
      <c r="L389" s="34">
        <f>IF((Observaciones[[#This Row],[Fecha Levantamiento]]-Observaciones[[#This Row],[Fecha Detección]])&gt;=0,Observaciones[[#This Row],[Fecha Levantamiento]]-Observaciones[[#This Row],[Fecha Detección]]+1,0)</f>
        <v>2</v>
      </c>
      <c r="M389" s="34" t="str">
        <f>LOOKUP(Observaciones[[#This Row],[Caso de Prueba]],CasoPrueba[Código CP],CasoPrueba[Código de REQ])</f>
        <v>INSPECCIÓN</v>
      </c>
    </row>
    <row r="390" spans="1:13" ht="30" hidden="1">
      <c r="A390" s="166" t="s">
        <v>1152</v>
      </c>
      <c r="B390" s="34" t="s">
        <v>1182</v>
      </c>
      <c r="C390" s="34" t="str">
        <f>VLOOKUP(Observaciones[[#This Row],[Caso de Prueba]],CasoPrueba[[Código CP]:[Descripción Caso de Prueba]],3,0)</f>
        <v>Arquitectura de Procesos</v>
      </c>
      <c r="D390" s="34" t="str">
        <f>VLOOKUP(Observaciones[Caso de Prueba],CasoPrueba[[#All],[Código CP]:[Prioridad]],7,TRUE)</f>
        <v>Alta</v>
      </c>
      <c r="E390" s="34" t="s">
        <v>162</v>
      </c>
      <c r="F390" s="34" t="s">
        <v>49</v>
      </c>
      <c r="G390" s="73">
        <v>40852</v>
      </c>
      <c r="H390" s="73">
        <v>40853</v>
      </c>
      <c r="I390" s="94" t="s">
        <v>132</v>
      </c>
      <c r="J390" s="34" t="s">
        <v>1190</v>
      </c>
      <c r="K390" s="34" t="s">
        <v>234</v>
      </c>
      <c r="L390" s="34">
        <f>IF((Observaciones[[#This Row],[Fecha Levantamiento]]-Observaciones[[#This Row],[Fecha Detección]])&gt;=0,Observaciones[[#This Row],[Fecha Levantamiento]]-Observaciones[[#This Row],[Fecha Detección]]+1,0)</f>
        <v>2</v>
      </c>
      <c r="M390" s="34" t="str">
        <f>LOOKUP(Observaciones[[#This Row],[Caso de Prueba]],CasoPrueba[Código CP],CasoPrueba[Código de REQ])</f>
        <v>INSPECCIÓN</v>
      </c>
    </row>
    <row r="391" spans="1:13" ht="30" hidden="1">
      <c r="A391" s="166" t="s">
        <v>1153</v>
      </c>
      <c r="B391" s="34" t="s">
        <v>1182</v>
      </c>
      <c r="C391" s="34" t="str">
        <f>VLOOKUP(Observaciones[[#This Row],[Caso de Prueba]],CasoPrueba[[Código CP]:[Descripción Caso de Prueba]],3,0)</f>
        <v>Arquitectura de Procesos</v>
      </c>
      <c r="D391" s="34" t="str">
        <f>VLOOKUP(Observaciones[Caso de Prueba],CasoPrueba[[#All],[Código CP]:[Prioridad]],7,TRUE)</f>
        <v>Alta</v>
      </c>
      <c r="E391" s="34" t="s">
        <v>162</v>
      </c>
      <c r="F391" s="34" t="s">
        <v>49</v>
      </c>
      <c r="G391" s="73">
        <v>40852</v>
      </c>
      <c r="H391" s="73">
        <v>40853</v>
      </c>
      <c r="I391" s="94" t="s">
        <v>132</v>
      </c>
      <c r="J391" s="34" t="s">
        <v>1191</v>
      </c>
      <c r="K391" s="34" t="s">
        <v>234</v>
      </c>
      <c r="L391" s="34">
        <f>IF((Observaciones[[#This Row],[Fecha Levantamiento]]-Observaciones[[#This Row],[Fecha Detección]])&gt;=0,Observaciones[[#This Row],[Fecha Levantamiento]]-Observaciones[[#This Row],[Fecha Detección]]+1,0)</f>
        <v>2</v>
      </c>
      <c r="M391" s="34" t="str">
        <f>LOOKUP(Observaciones[[#This Row],[Caso de Prueba]],CasoPrueba[Código CP],CasoPrueba[Código de REQ])</f>
        <v>INSPECCIÓN</v>
      </c>
    </row>
    <row r="392" spans="1:13" ht="45" hidden="1">
      <c r="A392" s="166" t="s">
        <v>1154</v>
      </c>
      <c r="B392" s="34" t="s">
        <v>1182</v>
      </c>
      <c r="C392" s="34" t="str">
        <f>VLOOKUP(Observaciones[[#This Row],[Caso de Prueba]],CasoPrueba[[Código CP]:[Descripción Caso de Prueba]],3,0)</f>
        <v>Arquitectura de Procesos</v>
      </c>
      <c r="D392" s="34" t="str">
        <f>VLOOKUP(Observaciones[Caso de Prueba],CasoPrueba[[#All],[Código CP]:[Prioridad]],7,TRUE)</f>
        <v>Alta</v>
      </c>
      <c r="E392" s="34" t="s">
        <v>29</v>
      </c>
      <c r="F392" s="34" t="s">
        <v>49</v>
      </c>
      <c r="G392" s="73">
        <v>40852</v>
      </c>
      <c r="H392" s="73">
        <v>40853</v>
      </c>
      <c r="I392" s="94" t="s">
        <v>132</v>
      </c>
      <c r="J392" s="34" t="s">
        <v>1192</v>
      </c>
      <c r="K392" s="34" t="s">
        <v>1305</v>
      </c>
      <c r="L392" s="34">
        <f>IF((Observaciones[[#This Row],[Fecha Levantamiento]]-Observaciones[[#This Row],[Fecha Detección]])&gt;=0,Observaciones[[#This Row],[Fecha Levantamiento]]-Observaciones[[#This Row],[Fecha Detección]]+1,0)</f>
        <v>2</v>
      </c>
      <c r="M392" s="34" t="str">
        <f>LOOKUP(Observaciones[[#This Row],[Caso de Prueba]],CasoPrueba[Código CP],CasoPrueba[Código de REQ])</f>
        <v>INSPECCIÓN</v>
      </c>
    </row>
    <row r="393" spans="1:13" ht="60" hidden="1">
      <c r="A393" s="166" t="s">
        <v>1155</v>
      </c>
      <c r="B393" s="34" t="s">
        <v>1182</v>
      </c>
      <c r="C393" s="34" t="str">
        <f>VLOOKUP(Observaciones[[#This Row],[Caso de Prueba]],CasoPrueba[[Código CP]:[Descripción Caso de Prueba]],3,0)</f>
        <v>Arquitectura de Procesos</v>
      </c>
      <c r="D393" s="34" t="str">
        <f>VLOOKUP(Observaciones[Caso de Prueba],CasoPrueba[[#All],[Código CP]:[Prioridad]],7,TRUE)</f>
        <v>Alta</v>
      </c>
      <c r="E393" s="34" t="s">
        <v>29</v>
      </c>
      <c r="F393" s="34" t="s">
        <v>49</v>
      </c>
      <c r="G393" s="73">
        <v>40852</v>
      </c>
      <c r="H393" s="73">
        <v>40853</v>
      </c>
      <c r="I393" s="94" t="s">
        <v>132</v>
      </c>
      <c r="J393" s="34" t="s">
        <v>1193</v>
      </c>
      <c r="K393" s="34" t="s">
        <v>1262</v>
      </c>
      <c r="L393" s="34">
        <f>IF((Observaciones[[#This Row],[Fecha Levantamiento]]-Observaciones[[#This Row],[Fecha Detección]])&gt;=0,Observaciones[[#This Row],[Fecha Levantamiento]]-Observaciones[[#This Row],[Fecha Detección]]+1,0)</f>
        <v>2</v>
      </c>
      <c r="M393" s="34" t="str">
        <f>LOOKUP(Observaciones[[#This Row],[Caso de Prueba]],CasoPrueba[Código CP],CasoPrueba[Código de REQ])</f>
        <v>INSPECCIÓN</v>
      </c>
    </row>
    <row r="394" spans="1:13" ht="45" hidden="1">
      <c r="A394" s="166" t="s">
        <v>1156</v>
      </c>
      <c r="B394" s="34" t="s">
        <v>1182</v>
      </c>
      <c r="C394" s="34" t="str">
        <f>VLOOKUP(Observaciones[[#This Row],[Caso de Prueba]],CasoPrueba[[Código CP]:[Descripción Caso de Prueba]],3,0)</f>
        <v>Arquitectura de Procesos</v>
      </c>
      <c r="D394" s="34" t="str">
        <f>VLOOKUP(Observaciones[Caso de Prueba],CasoPrueba[[#All],[Código CP]:[Prioridad]],7,TRUE)</f>
        <v>Alta</v>
      </c>
      <c r="E394" s="34" t="s">
        <v>29</v>
      </c>
      <c r="F394" s="34" t="s">
        <v>49</v>
      </c>
      <c r="G394" s="73">
        <v>40852</v>
      </c>
      <c r="H394" s="73">
        <v>40853</v>
      </c>
      <c r="I394" s="94" t="s">
        <v>132</v>
      </c>
      <c r="J394" s="34" t="s">
        <v>1194</v>
      </c>
      <c r="K394" s="34" t="s">
        <v>1263</v>
      </c>
      <c r="L394" s="34">
        <f>IF((Observaciones[[#This Row],[Fecha Levantamiento]]-Observaciones[[#This Row],[Fecha Detección]])&gt;=0,Observaciones[[#This Row],[Fecha Levantamiento]]-Observaciones[[#This Row],[Fecha Detección]]+1,0)</f>
        <v>2</v>
      </c>
      <c r="M394" s="34" t="str">
        <f>LOOKUP(Observaciones[[#This Row],[Caso de Prueba]],CasoPrueba[Código CP],CasoPrueba[Código de REQ])</f>
        <v>INSPECCIÓN</v>
      </c>
    </row>
    <row r="395" spans="1:13" ht="60" hidden="1">
      <c r="A395" s="166" t="s">
        <v>1157</v>
      </c>
      <c r="B395" s="34" t="s">
        <v>1182</v>
      </c>
      <c r="C395" s="34" t="str">
        <f>VLOOKUP(Observaciones[[#This Row],[Caso de Prueba]],CasoPrueba[[Código CP]:[Descripción Caso de Prueba]],3,0)</f>
        <v>Arquitectura de Procesos</v>
      </c>
      <c r="D395" s="34" t="str">
        <f>VLOOKUP(Observaciones[Caso de Prueba],CasoPrueba[[#All],[Código CP]:[Prioridad]],7,TRUE)</f>
        <v>Alta</v>
      </c>
      <c r="E395" s="34" t="s">
        <v>29</v>
      </c>
      <c r="F395" s="34" t="s">
        <v>49</v>
      </c>
      <c r="G395" s="73">
        <v>40852</v>
      </c>
      <c r="H395" s="73">
        <v>40853</v>
      </c>
      <c r="I395" s="94" t="s">
        <v>132</v>
      </c>
      <c r="J395" s="34" t="s">
        <v>1195</v>
      </c>
      <c r="K395" s="34" t="s">
        <v>1264</v>
      </c>
      <c r="L395" s="34">
        <f>IF((Observaciones[[#This Row],[Fecha Levantamiento]]-Observaciones[[#This Row],[Fecha Detección]])&gt;=0,Observaciones[[#This Row],[Fecha Levantamiento]]-Observaciones[[#This Row],[Fecha Detección]]+1,0)</f>
        <v>2</v>
      </c>
      <c r="M395" s="34" t="str">
        <f>LOOKUP(Observaciones[[#This Row],[Caso de Prueba]],CasoPrueba[Código CP],CasoPrueba[Código de REQ])</f>
        <v>INSPECCIÓN</v>
      </c>
    </row>
    <row r="396" spans="1:13" ht="60" hidden="1">
      <c r="A396" s="166" t="s">
        <v>1158</v>
      </c>
      <c r="B396" s="34" t="s">
        <v>1182</v>
      </c>
      <c r="C396" s="34" t="str">
        <f>VLOOKUP(Observaciones[[#This Row],[Caso de Prueba]],CasoPrueba[[Código CP]:[Descripción Caso de Prueba]],3,0)</f>
        <v>Arquitectura de Procesos</v>
      </c>
      <c r="D396" s="34" t="str">
        <f>VLOOKUP(Observaciones[Caso de Prueba],CasoPrueba[[#All],[Código CP]:[Prioridad]],7,TRUE)</f>
        <v>Alta</v>
      </c>
      <c r="E396" s="34" t="s">
        <v>29</v>
      </c>
      <c r="F396" s="34" t="s">
        <v>49</v>
      </c>
      <c r="G396" s="73">
        <v>40852</v>
      </c>
      <c r="H396" s="73">
        <v>40853</v>
      </c>
      <c r="I396" s="94" t="s">
        <v>132</v>
      </c>
      <c r="J396" s="34" t="s">
        <v>1196</v>
      </c>
      <c r="K396" s="34" t="s">
        <v>1265</v>
      </c>
      <c r="L396" s="34">
        <f>IF((Observaciones[[#This Row],[Fecha Levantamiento]]-Observaciones[[#This Row],[Fecha Detección]])&gt;=0,Observaciones[[#This Row],[Fecha Levantamiento]]-Observaciones[[#This Row],[Fecha Detección]]+1,0)</f>
        <v>2</v>
      </c>
      <c r="M396" s="34" t="str">
        <f>LOOKUP(Observaciones[[#This Row],[Caso de Prueba]],CasoPrueba[Código CP],CasoPrueba[Código de REQ])</f>
        <v>INSPECCIÓN</v>
      </c>
    </row>
    <row r="397" spans="1:13" ht="45" hidden="1">
      <c r="A397" s="166" t="s">
        <v>1159</v>
      </c>
      <c r="B397" s="34" t="s">
        <v>1182</v>
      </c>
      <c r="C397" s="34" t="str">
        <f>VLOOKUP(Observaciones[[#This Row],[Caso de Prueba]],CasoPrueba[[Código CP]:[Descripción Caso de Prueba]],3,0)</f>
        <v>Arquitectura de Procesos</v>
      </c>
      <c r="D397" s="34" t="str">
        <f>VLOOKUP(Observaciones[Caso de Prueba],CasoPrueba[[#All],[Código CP]:[Prioridad]],7,TRUE)</f>
        <v>Alta</v>
      </c>
      <c r="E397" s="34" t="s">
        <v>29</v>
      </c>
      <c r="F397" s="34" t="s">
        <v>49</v>
      </c>
      <c r="G397" s="73">
        <v>40852</v>
      </c>
      <c r="H397" s="73">
        <v>40853</v>
      </c>
      <c r="I397" s="94" t="s">
        <v>132</v>
      </c>
      <c r="J397" s="34" t="s">
        <v>1197</v>
      </c>
      <c r="K397" s="34" t="s">
        <v>1265</v>
      </c>
      <c r="L397" s="34">
        <f>IF((Observaciones[[#This Row],[Fecha Levantamiento]]-Observaciones[[#This Row],[Fecha Detección]])&gt;=0,Observaciones[[#This Row],[Fecha Levantamiento]]-Observaciones[[#This Row],[Fecha Detección]]+1,0)</f>
        <v>2</v>
      </c>
      <c r="M397" s="34" t="str">
        <f>LOOKUP(Observaciones[[#This Row],[Caso de Prueba]],CasoPrueba[Código CP],CasoPrueba[Código de REQ])</f>
        <v>INSPECCIÓN</v>
      </c>
    </row>
    <row r="398" spans="1:13" ht="45" hidden="1">
      <c r="A398" s="166" t="s">
        <v>1160</v>
      </c>
      <c r="B398" s="34" t="s">
        <v>1182</v>
      </c>
      <c r="C398" s="34" t="str">
        <f>VLOOKUP(Observaciones[[#This Row],[Caso de Prueba]],CasoPrueba[[Código CP]:[Descripción Caso de Prueba]],3,0)</f>
        <v>Arquitectura de Procesos</v>
      </c>
      <c r="D398" s="34" t="str">
        <f>VLOOKUP(Observaciones[Caso de Prueba],CasoPrueba[[#All],[Código CP]:[Prioridad]],7,TRUE)</f>
        <v>Alta</v>
      </c>
      <c r="E398" s="34" t="s">
        <v>29</v>
      </c>
      <c r="F398" s="34" t="s">
        <v>49</v>
      </c>
      <c r="G398" s="73">
        <v>40852</v>
      </c>
      <c r="H398" s="73">
        <v>40853</v>
      </c>
      <c r="I398" s="94" t="s">
        <v>132</v>
      </c>
      <c r="J398" s="34" t="s">
        <v>1198</v>
      </c>
      <c r="K398" s="34" t="s">
        <v>1262</v>
      </c>
      <c r="L398" s="34">
        <f>IF((Observaciones[[#This Row],[Fecha Levantamiento]]-Observaciones[[#This Row],[Fecha Detección]])&gt;=0,Observaciones[[#This Row],[Fecha Levantamiento]]-Observaciones[[#This Row],[Fecha Detección]]+1,0)</f>
        <v>2</v>
      </c>
      <c r="M398" s="34" t="str">
        <f>LOOKUP(Observaciones[[#This Row],[Caso de Prueba]],CasoPrueba[Código CP],CasoPrueba[Código de REQ])</f>
        <v>INSPECCIÓN</v>
      </c>
    </row>
    <row r="399" spans="1:13" ht="60" hidden="1">
      <c r="A399" s="166" t="s">
        <v>1161</v>
      </c>
      <c r="B399" s="34" t="s">
        <v>1182</v>
      </c>
      <c r="C399" s="34" t="str">
        <f>VLOOKUP(Observaciones[[#This Row],[Caso de Prueba]],CasoPrueba[[Código CP]:[Descripción Caso de Prueba]],3,0)</f>
        <v>Arquitectura de Procesos</v>
      </c>
      <c r="D399" s="34" t="str">
        <f>VLOOKUP(Observaciones[Caso de Prueba],CasoPrueba[[#All],[Código CP]:[Prioridad]],7,TRUE)</f>
        <v>Alta</v>
      </c>
      <c r="E399" s="34" t="s">
        <v>29</v>
      </c>
      <c r="F399" s="34" t="s">
        <v>49</v>
      </c>
      <c r="G399" s="73">
        <v>40852</v>
      </c>
      <c r="H399" s="73">
        <v>40853</v>
      </c>
      <c r="I399" s="94" t="s">
        <v>132</v>
      </c>
      <c r="J399" s="34" t="s">
        <v>1199</v>
      </c>
      <c r="K399" s="34" t="s">
        <v>1266</v>
      </c>
      <c r="L399" s="34">
        <f>IF((Observaciones[[#This Row],[Fecha Levantamiento]]-Observaciones[[#This Row],[Fecha Detección]])&gt;=0,Observaciones[[#This Row],[Fecha Levantamiento]]-Observaciones[[#This Row],[Fecha Detección]]+1,0)</f>
        <v>2</v>
      </c>
      <c r="M399" s="34" t="str">
        <f>LOOKUP(Observaciones[[#This Row],[Caso de Prueba]],CasoPrueba[Código CP],CasoPrueba[Código de REQ])</f>
        <v>INSPECCIÓN</v>
      </c>
    </row>
    <row r="400" spans="1:13" ht="45" hidden="1">
      <c r="A400" s="164" t="s">
        <v>1162</v>
      </c>
      <c r="B400" s="34" t="s">
        <v>1182</v>
      </c>
      <c r="C400" s="34" t="str">
        <f>VLOOKUP(Observaciones[[#This Row],[Caso de Prueba]],CasoPrueba[[Código CP]:[Descripción Caso de Prueba]],3,0)</f>
        <v>Arquitectura de Procesos</v>
      </c>
      <c r="D400" s="34" t="str">
        <f>VLOOKUP(Observaciones[Caso de Prueba],CasoPrueba[[#All],[Código CP]:[Prioridad]],7,TRUE)</f>
        <v>Alta</v>
      </c>
      <c r="E400" s="34" t="s">
        <v>30</v>
      </c>
      <c r="F400" s="34" t="s">
        <v>49</v>
      </c>
      <c r="G400" s="73">
        <v>40852</v>
      </c>
      <c r="H400" s="73">
        <v>40853</v>
      </c>
      <c r="I400" s="94" t="s">
        <v>132</v>
      </c>
      <c r="J400" s="34" t="s">
        <v>1289</v>
      </c>
      <c r="K400" s="34" t="s">
        <v>1267</v>
      </c>
      <c r="L400" s="34">
        <f>IF((Observaciones[[#This Row],[Fecha Levantamiento]]-Observaciones[[#This Row],[Fecha Detección]])&gt;=0,Observaciones[[#This Row],[Fecha Levantamiento]]-Observaciones[[#This Row],[Fecha Detección]]+1,0)</f>
        <v>2</v>
      </c>
      <c r="M400" s="34" t="str">
        <f>LOOKUP(Observaciones[[#This Row],[Caso de Prueba]],CasoPrueba[Código CP],CasoPrueba[Código de REQ])</f>
        <v>INSPECCIÓN</v>
      </c>
    </row>
    <row r="401" spans="1:13" ht="45" hidden="1">
      <c r="A401" s="166" t="s">
        <v>1163</v>
      </c>
      <c r="B401" s="34" t="s">
        <v>1182</v>
      </c>
      <c r="C401" s="34" t="str">
        <f>VLOOKUP(Observaciones[[#This Row],[Caso de Prueba]],CasoPrueba[[Código CP]:[Descripción Caso de Prueba]],3,0)</f>
        <v>Arquitectura de Procesos</v>
      </c>
      <c r="D401" s="34" t="str">
        <f>VLOOKUP(Observaciones[Caso de Prueba],CasoPrueba[[#All],[Código CP]:[Prioridad]],7,TRUE)</f>
        <v>Alta</v>
      </c>
      <c r="E401" s="34" t="s">
        <v>30</v>
      </c>
      <c r="F401" s="34" t="s">
        <v>49</v>
      </c>
      <c r="G401" s="73">
        <v>40852</v>
      </c>
      <c r="H401" s="73">
        <v>40853</v>
      </c>
      <c r="I401" s="94" t="s">
        <v>132</v>
      </c>
      <c r="J401" s="34" t="s">
        <v>1200</v>
      </c>
      <c r="K401" s="34" t="s">
        <v>1268</v>
      </c>
      <c r="L401" s="34">
        <f>IF((Observaciones[[#This Row],[Fecha Levantamiento]]-Observaciones[[#This Row],[Fecha Detección]])&gt;=0,Observaciones[[#This Row],[Fecha Levantamiento]]-Observaciones[[#This Row],[Fecha Detección]]+1,0)</f>
        <v>2</v>
      </c>
      <c r="M401" s="34" t="str">
        <f>LOOKUP(Observaciones[[#This Row],[Caso de Prueba]],CasoPrueba[Código CP],CasoPrueba[Código de REQ])</f>
        <v>INSPECCIÓN</v>
      </c>
    </row>
    <row r="402" spans="1:13" ht="30" hidden="1">
      <c r="A402" s="166" t="s">
        <v>1164</v>
      </c>
      <c r="B402" s="34" t="s">
        <v>1182</v>
      </c>
      <c r="C402" s="34" t="str">
        <f>VLOOKUP(Observaciones[[#This Row],[Caso de Prueba]],CasoPrueba[[Código CP]:[Descripción Caso de Prueba]],3,0)</f>
        <v>Arquitectura de Procesos</v>
      </c>
      <c r="D402" s="34" t="str">
        <f>VLOOKUP(Observaciones[Caso de Prueba],CasoPrueba[[#All],[Código CP]:[Prioridad]],7,TRUE)</f>
        <v>Alta</v>
      </c>
      <c r="E402" s="34" t="s">
        <v>29</v>
      </c>
      <c r="F402" s="34" t="s">
        <v>49</v>
      </c>
      <c r="G402" s="73">
        <v>40852</v>
      </c>
      <c r="H402" s="73">
        <v>40853</v>
      </c>
      <c r="I402" s="94" t="s">
        <v>132</v>
      </c>
      <c r="J402" s="34" t="s">
        <v>1201</v>
      </c>
      <c r="K402" s="34" t="s">
        <v>982</v>
      </c>
      <c r="L402" s="34">
        <f>IF((Observaciones[[#This Row],[Fecha Levantamiento]]-Observaciones[[#This Row],[Fecha Detección]])&gt;=0,Observaciones[[#This Row],[Fecha Levantamiento]]-Observaciones[[#This Row],[Fecha Detección]]+1,0)</f>
        <v>2</v>
      </c>
      <c r="M402" s="34" t="str">
        <f>LOOKUP(Observaciones[[#This Row],[Caso de Prueba]],CasoPrueba[Código CP],CasoPrueba[Código de REQ])</f>
        <v>INSPECCIÓN</v>
      </c>
    </row>
    <row r="403" spans="1:13" ht="45" hidden="1">
      <c r="A403" s="166" t="s">
        <v>1165</v>
      </c>
      <c r="B403" s="34" t="s">
        <v>1182</v>
      </c>
      <c r="C403" s="34" t="str">
        <f>VLOOKUP(Observaciones[[#This Row],[Caso de Prueba]],CasoPrueba[[Código CP]:[Descripción Caso de Prueba]],3,0)</f>
        <v>Arquitectura de Procesos</v>
      </c>
      <c r="D403" s="34" t="str">
        <f>VLOOKUP(Observaciones[Caso de Prueba],CasoPrueba[[#All],[Código CP]:[Prioridad]],7,TRUE)</f>
        <v>Alta</v>
      </c>
      <c r="E403" s="34" t="s">
        <v>29</v>
      </c>
      <c r="F403" s="34" t="s">
        <v>49</v>
      </c>
      <c r="G403" s="73">
        <v>40852</v>
      </c>
      <c r="H403" s="73">
        <v>40853</v>
      </c>
      <c r="I403" s="94" t="s">
        <v>132</v>
      </c>
      <c r="J403" s="34" t="s">
        <v>1202</v>
      </c>
      <c r="K403" s="34" t="s">
        <v>1262</v>
      </c>
      <c r="L403" s="34">
        <f>IF((Observaciones[[#This Row],[Fecha Levantamiento]]-Observaciones[[#This Row],[Fecha Detección]])&gt;=0,Observaciones[[#This Row],[Fecha Levantamiento]]-Observaciones[[#This Row],[Fecha Detección]]+1,0)</f>
        <v>2</v>
      </c>
      <c r="M403" s="34" t="str">
        <f>LOOKUP(Observaciones[[#This Row],[Caso de Prueba]],CasoPrueba[Código CP],CasoPrueba[Código de REQ])</f>
        <v>INSPECCIÓN</v>
      </c>
    </row>
    <row r="404" spans="1:13" ht="30" hidden="1">
      <c r="A404" s="166" t="s">
        <v>1166</v>
      </c>
      <c r="B404" s="34" t="s">
        <v>1182</v>
      </c>
      <c r="C404" s="34" t="str">
        <f>VLOOKUP(Observaciones[[#This Row],[Caso de Prueba]],CasoPrueba[[Código CP]:[Descripción Caso de Prueba]],3,0)</f>
        <v>Arquitectura de Procesos</v>
      </c>
      <c r="D404" s="34" t="str">
        <f>VLOOKUP(Observaciones[Caso de Prueba],CasoPrueba[[#All],[Código CP]:[Prioridad]],7,TRUE)</f>
        <v>Alta</v>
      </c>
      <c r="E404" s="34" t="s">
        <v>29</v>
      </c>
      <c r="F404" s="34" t="s">
        <v>49</v>
      </c>
      <c r="G404" s="73">
        <v>40852</v>
      </c>
      <c r="H404" s="73">
        <v>40853</v>
      </c>
      <c r="I404" s="94" t="s">
        <v>132</v>
      </c>
      <c r="J404" s="34" t="s">
        <v>1203</v>
      </c>
      <c r="K404" s="34" t="s">
        <v>1269</v>
      </c>
      <c r="L404" s="34">
        <f>IF((Observaciones[[#This Row],[Fecha Levantamiento]]-Observaciones[[#This Row],[Fecha Detección]])&gt;=0,Observaciones[[#This Row],[Fecha Levantamiento]]-Observaciones[[#This Row],[Fecha Detección]]+1,0)</f>
        <v>2</v>
      </c>
      <c r="M404" s="34" t="str">
        <f>LOOKUP(Observaciones[[#This Row],[Caso de Prueba]],CasoPrueba[Código CP],CasoPrueba[Código de REQ])</f>
        <v>INSPECCIÓN</v>
      </c>
    </row>
    <row r="405" spans="1:13" ht="30" hidden="1">
      <c r="A405" s="166" t="s">
        <v>1167</v>
      </c>
      <c r="B405" s="34" t="s">
        <v>1182</v>
      </c>
      <c r="C405" s="34" t="str">
        <f>VLOOKUP(Observaciones[[#This Row],[Caso de Prueba]],CasoPrueba[[Código CP]:[Descripción Caso de Prueba]],3,0)</f>
        <v>Arquitectura de Procesos</v>
      </c>
      <c r="D405" s="34" t="str">
        <f>VLOOKUP(Observaciones[Caso de Prueba],CasoPrueba[[#All],[Código CP]:[Prioridad]],7,TRUE)</f>
        <v>Alta</v>
      </c>
      <c r="E405" s="34" t="s">
        <v>29</v>
      </c>
      <c r="F405" s="34" t="s">
        <v>49</v>
      </c>
      <c r="G405" s="73">
        <v>40852</v>
      </c>
      <c r="H405" s="73">
        <v>40853</v>
      </c>
      <c r="I405" s="94" t="s">
        <v>132</v>
      </c>
      <c r="J405" s="34" t="s">
        <v>1204</v>
      </c>
      <c r="K405" s="34" t="s">
        <v>1270</v>
      </c>
      <c r="L405" s="34">
        <f>IF((Observaciones[[#This Row],[Fecha Levantamiento]]-Observaciones[[#This Row],[Fecha Detección]])&gt;=0,Observaciones[[#This Row],[Fecha Levantamiento]]-Observaciones[[#This Row],[Fecha Detección]]+1,0)</f>
        <v>2</v>
      </c>
      <c r="M405" s="34" t="str">
        <f>LOOKUP(Observaciones[[#This Row],[Caso de Prueba]],CasoPrueba[Código CP],CasoPrueba[Código de REQ])</f>
        <v>INSPECCIÓN</v>
      </c>
    </row>
    <row r="406" spans="1:13" ht="30" hidden="1">
      <c r="A406" s="166" t="s">
        <v>1168</v>
      </c>
      <c r="B406" s="34" t="s">
        <v>1182</v>
      </c>
      <c r="C406" s="34" t="str">
        <f>VLOOKUP(Observaciones[[#This Row],[Caso de Prueba]],CasoPrueba[[Código CP]:[Descripción Caso de Prueba]],3,0)</f>
        <v>Arquitectura de Procesos</v>
      </c>
      <c r="D406" s="34" t="str">
        <f>VLOOKUP(Observaciones[Caso de Prueba],CasoPrueba[[#All],[Código CP]:[Prioridad]],7,TRUE)</f>
        <v>Alta</v>
      </c>
      <c r="E406" s="34" t="s">
        <v>29</v>
      </c>
      <c r="F406" s="34" t="s">
        <v>49</v>
      </c>
      <c r="G406" s="73">
        <v>40852</v>
      </c>
      <c r="H406" s="73">
        <v>40853</v>
      </c>
      <c r="I406" s="94" t="s">
        <v>132</v>
      </c>
      <c r="J406" s="34" t="s">
        <v>1205</v>
      </c>
      <c r="K406" s="34" t="s">
        <v>1271</v>
      </c>
      <c r="L406" s="34">
        <f>IF((Observaciones[[#This Row],[Fecha Levantamiento]]-Observaciones[[#This Row],[Fecha Detección]])&gt;=0,Observaciones[[#This Row],[Fecha Levantamiento]]-Observaciones[[#This Row],[Fecha Detección]]+1,0)</f>
        <v>2</v>
      </c>
      <c r="M406" s="34" t="str">
        <f>LOOKUP(Observaciones[[#This Row],[Caso de Prueba]],CasoPrueba[Código CP],CasoPrueba[Código de REQ])</f>
        <v>INSPECCIÓN</v>
      </c>
    </row>
    <row r="407" spans="1:13" ht="45" hidden="1">
      <c r="A407" s="166" t="s">
        <v>1169</v>
      </c>
      <c r="B407" s="34" t="s">
        <v>1182</v>
      </c>
      <c r="C407" s="34" t="str">
        <f>VLOOKUP(Observaciones[[#This Row],[Caso de Prueba]],CasoPrueba[[Código CP]:[Descripción Caso de Prueba]],3,0)</f>
        <v>Arquitectura de Procesos</v>
      </c>
      <c r="D407" s="34" t="str">
        <f>VLOOKUP(Observaciones[Caso de Prueba],CasoPrueba[[#All],[Código CP]:[Prioridad]],7,TRUE)</f>
        <v>Alta</v>
      </c>
      <c r="E407" s="34" t="s">
        <v>29</v>
      </c>
      <c r="F407" s="34" t="s">
        <v>49</v>
      </c>
      <c r="G407" s="73">
        <v>40852</v>
      </c>
      <c r="H407" s="73">
        <v>40853</v>
      </c>
      <c r="I407" s="94" t="s">
        <v>132</v>
      </c>
      <c r="J407" s="34" t="s">
        <v>1206</v>
      </c>
      <c r="K407" s="34" t="s">
        <v>1272</v>
      </c>
      <c r="L407" s="34">
        <f>IF((Observaciones[[#This Row],[Fecha Levantamiento]]-Observaciones[[#This Row],[Fecha Detección]])&gt;=0,Observaciones[[#This Row],[Fecha Levantamiento]]-Observaciones[[#This Row],[Fecha Detección]]+1,0)</f>
        <v>2</v>
      </c>
      <c r="M407" s="34" t="str">
        <f>LOOKUP(Observaciones[[#This Row],[Caso de Prueba]],CasoPrueba[Código CP],CasoPrueba[Código de REQ])</f>
        <v>INSPECCIÓN</v>
      </c>
    </row>
    <row r="408" spans="1:13" ht="30" hidden="1">
      <c r="A408" s="166" t="s">
        <v>1170</v>
      </c>
      <c r="B408" s="34" t="s">
        <v>1182</v>
      </c>
      <c r="C408" s="34" t="str">
        <f>VLOOKUP(Observaciones[[#This Row],[Caso de Prueba]],CasoPrueba[[Código CP]:[Descripción Caso de Prueba]],3,0)</f>
        <v>Arquitectura de Procesos</v>
      </c>
      <c r="D408" s="34" t="str">
        <f>VLOOKUP(Observaciones[Caso de Prueba],CasoPrueba[[#All],[Código CP]:[Prioridad]],7,TRUE)</f>
        <v>Alta</v>
      </c>
      <c r="E408" s="34" t="s">
        <v>29</v>
      </c>
      <c r="F408" s="34" t="s">
        <v>49</v>
      </c>
      <c r="G408" s="73">
        <v>40852</v>
      </c>
      <c r="H408" s="73">
        <v>40853</v>
      </c>
      <c r="I408" s="94" t="s">
        <v>132</v>
      </c>
      <c r="J408" s="34" t="s">
        <v>1207</v>
      </c>
      <c r="K408" s="34" t="s">
        <v>1273</v>
      </c>
      <c r="L408" s="34">
        <f>IF((Observaciones[[#This Row],[Fecha Levantamiento]]-Observaciones[[#This Row],[Fecha Detección]])&gt;=0,Observaciones[[#This Row],[Fecha Levantamiento]]-Observaciones[[#This Row],[Fecha Detección]]+1,0)</f>
        <v>2</v>
      </c>
      <c r="M408" s="34" t="str">
        <f>LOOKUP(Observaciones[[#This Row],[Caso de Prueba]],CasoPrueba[Código CP],CasoPrueba[Código de REQ])</f>
        <v>INSPECCIÓN</v>
      </c>
    </row>
    <row r="409" spans="1:13" ht="30" hidden="1">
      <c r="A409" s="166" t="s">
        <v>1171</v>
      </c>
      <c r="B409" s="34" t="s">
        <v>1182</v>
      </c>
      <c r="C409" s="34" t="str">
        <f>VLOOKUP(Observaciones[[#This Row],[Caso de Prueba]],CasoPrueba[[Código CP]:[Descripción Caso de Prueba]],3,0)</f>
        <v>Arquitectura de Procesos</v>
      </c>
      <c r="D409" s="34" t="str">
        <f>VLOOKUP(Observaciones[Caso de Prueba],CasoPrueba[[#All],[Código CP]:[Prioridad]],7,TRUE)</f>
        <v>Alta</v>
      </c>
      <c r="E409" s="34" t="s">
        <v>29</v>
      </c>
      <c r="F409" s="34" t="s">
        <v>49</v>
      </c>
      <c r="G409" s="73">
        <v>40852</v>
      </c>
      <c r="H409" s="73">
        <v>40853</v>
      </c>
      <c r="I409" s="94" t="s">
        <v>132</v>
      </c>
      <c r="J409" s="34" t="s">
        <v>1208</v>
      </c>
      <c r="K409" s="34" t="s">
        <v>1261</v>
      </c>
      <c r="L409" s="34">
        <f>IF((Observaciones[[#This Row],[Fecha Levantamiento]]-Observaciones[[#This Row],[Fecha Detección]])&gt;=0,Observaciones[[#This Row],[Fecha Levantamiento]]-Observaciones[[#This Row],[Fecha Detección]]+1,0)</f>
        <v>2</v>
      </c>
      <c r="M409" s="34" t="str">
        <f>LOOKUP(Observaciones[[#This Row],[Caso de Prueba]],CasoPrueba[Código CP],CasoPrueba[Código de REQ])</f>
        <v>INSPECCIÓN</v>
      </c>
    </row>
    <row r="410" spans="1:13" ht="30" hidden="1">
      <c r="A410" s="166" t="s">
        <v>1172</v>
      </c>
      <c r="B410" s="34" t="s">
        <v>1182</v>
      </c>
      <c r="C410" s="34" t="str">
        <f>VLOOKUP(Observaciones[[#This Row],[Caso de Prueba]],CasoPrueba[[Código CP]:[Descripción Caso de Prueba]],3,0)</f>
        <v>Arquitectura de Procesos</v>
      </c>
      <c r="D410" s="34" t="str">
        <f>VLOOKUP(Observaciones[Caso de Prueba],CasoPrueba[[#All],[Código CP]:[Prioridad]],7,TRUE)</f>
        <v>Alta</v>
      </c>
      <c r="E410" s="34" t="s">
        <v>29</v>
      </c>
      <c r="F410" s="34" t="s">
        <v>49</v>
      </c>
      <c r="G410" s="73">
        <v>40852</v>
      </c>
      <c r="H410" s="73">
        <v>40853</v>
      </c>
      <c r="I410" s="94" t="s">
        <v>132</v>
      </c>
      <c r="J410" s="34" t="s">
        <v>1209</v>
      </c>
      <c r="K410" s="34" t="s">
        <v>1261</v>
      </c>
      <c r="L410" s="34">
        <f>IF((Observaciones[[#This Row],[Fecha Levantamiento]]-Observaciones[[#This Row],[Fecha Detección]])&gt;=0,Observaciones[[#This Row],[Fecha Levantamiento]]-Observaciones[[#This Row],[Fecha Detección]]+1,0)</f>
        <v>2</v>
      </c>
      <c r="M410" s="34" t="str">
        <f>LOOKUP(Observaciones[[#This Row],[Caso de Prueba]],CasoPrueba[Código CP],CasoPrueba[Código de REQ])</f>
        <v>INSPECCIÓN</v>
      </c>
    </row>
    <row r="411" spans="1:13" ht="30" hidden="1">
      <c r="A411" s="166" t="s">
        <v>1173</v>
      </c>
      <c r="B411" s="34" t="s">
        <v>1182</v>
      </c>
      <c r="C411" s="34" t="str">
        <f>VLOOKUP(Observaciones[[#This Row],[Caso de Prueba]],CasoPrueba[[Código CP]:[Descripción Caso de Prueba]],3,0)</f>
        <v>Arquitectura de Procesos</v>
      </c>
      <c r="D411" s="34" t="str">
        <f>VLOOKUP(Observaciones[Caso de Prueba],CasoPrueba[[#All],[Código CP]:[Prioridad]],7,TRUE)</f>
        <v>Alta</v>
      </c>
      <c r="E411" s="34" t="s">
        <v>29</v>
      </c>
      <c r="F411" s="34" t="s">
        <v>49</v>
      </c>
      <c r="G411" s="73">
        <v>40852</v>
      </c>
      <c r="H411" s="73">
        <v>40853</v>
      </c>
      <c r="I411" s="94" t="s">
        <v>132</v>
      </c>
      <c r="J411" s="34" t="s">
        <v>1210</v>
      </c>
      <c r="K411" s="34" t="s">
        <v>1274</v>
      </c>
      <c r="L411" s="34">
        <f>IF((Observaciones[[#This Row],[Fecha Levantamiento]]-Observaciones[[#This Row],[Fecha Detección]])&gt;=0,Observaciones[[#This Row],[Fecha Levantamiento]]-Observaciones[[#This Row],[Fecha Detección]]+1,0)</f>
        <v>2</v>
      </c>
      <c r="M411" s="34" t="str">
        <f>LOOKUP(Observaciones[[#This Row],[Caso de Prueba]],CasoPrueba[Código CP],CasoPrueba[Código de REQ])</f>
        <v>INSPECCIÓN</v>
      </c>
    </row>
    <row r="412" spans="1:13" ht="45" hidden="1">
      <c r="A412" s="166" t="s">
        <v>1174</v>
      </c>
      <c r="B412" s="34" t="s">
        <v>1182</v>
      </c>
      <c r="C412" s="34" t="str">
        <f>VLOOKUP(Observaciones[[#This Row],[Caso de Prueba]],CasoPrueba[[Código CP]:[Descripción Caso de Prueba]],3,0)</f>
        <v>Arquitectura de Procesos</v>
      </c>
      <c r="D412" s="34" t="str">
        <f>VLOOKUP(Observaciones[Caso de Prueba],CasoPrueba[[#All],[Código CP]:[Prioridad]],7,TRUE)</f>
        <v>Alta</v>
      </c>
      <c r="E412" s="34" t="s">
        <v>29</v>
      </c>
      <c r="F412" s="34" t="s">
        <v>49</v>
      </c>
      <c r="G412" s="73">
        <v>40852</v>
      </c>
      <c r="H412" s="73">
        <v>40853</v>
      </c>
      <c r="I412" s="94" t="s">
        <v>132</v>
      </c>
      <c r="J412" s="34" t="s">
        <v>1211</v>
      </c>
      <c r="K412" s="34" t="s">
        <v>1275</v>
      </c>
      <c r="L412" s="34">
        <f>IF((Observaciones[[#This Row],[Fecha Levantamiento]]-Observaciones[[#This Row],[Fecha Detección]])&gt;=0,Observaciones[[#This Row],[Fecha Levantamiento]]-Observaciones[[#This Row],[Fecha Detección]]+1,0)</f>
        <v>2</v>
      </c>
      <c r="M412" s="34" t="str">
        <f>LOOKUP(Observaciones[[#This Row],[Caso de Prueba]],CasoPrueba[Código CP],CasoPrueba[Código de REQ])</f>
        <v>INSPECCIÓN</v>
      </c>
    </row>
    <row r="413" spans="1:13" ht="30" hidden="1">
      <c r="A413" s="166" t="s">
        <v>1175</v>
      </c>
      <c r="B413" s="34" t="s">
        <v>1182</v>
      </c>
      <c r="C413" s="34" t="str">
        <f>VLOOKUP(Observaciones[[#This Row],[Caso de Prueba]],CasoPrueba[[Código CP]:[Descripción Caso de Prueba]],3,0)</f>
        <v>Arquitectura de Procesos</v>
      </c>
      <c r="D413" s="34" t="str">
        <f>VLOOKUP(Observaciones[Caso de Prueba],CasoPrueba[[#All],[Código CP]:[Prioridad]],7,TRUE)</f>
        <v>Alta</v>
      </c>
      <c r="E413" s="34" t="s">
        <v>162</v>
      </c>
      <c r="F413" s="34" t="s">
        <v>49</v>
      </c>
      <c r="G413" s="73">
        <v>40852</v>
      </c>
      <c r="H413" s="73">
        <v>40853</v>
      </c>
      <c r="I413" s="94" t="s">
        <v>132</v>
      </c>
      <c r="J413" s="34" t="s">
        <v>1212</v>
      </c>
      <c r="K413" s="34" t="s">
        <v>234</v>
      </c>
      <c r="L413" s="34">
        <f>IF((Observaciones[[#This Row],[Fecha Levantamiento]]-Observaciones[[#This Row],[Fecha Detección]])&gt;=0,Observaciones[[#This Row],[Fecha Levantamiento]]-Observaciones[[#This Row],[Fecha Detección]]+1,0)</f>
        <v>2</v>
      </c>
      <c r="M413" s="34" t="str">
        <f>LOOKUP(Observaciones[[#This Row],[Caso de Prueba]],CasoPrueba[Código CP],CasoPrueba[Código de REQ])</f>
        <v>INSPECCIÓN</v>
      </c>
    </row>
    <row r="414" spans="1:13" ht="45" hidden="1">
      <c r="A414" s="166" t="s">
        <v>1176</v>
      </c>
      <c r="B414" s="34" t="s">
        <v>1182</v>
      </c>
      <c r="C414" s="34" t="str">
        <f>VLOOKUP(Observaciones[[#This Row],[Caso de Prueba]],CasoPrueba[[Código CP]:[Descripción Caso de Prueba]],3,0)</f>
        <v>Arquitectura de Procesos</v>
      </c>
      <c r="D414" s="34" t="str">
        <f>VLOOKUP(Observaciones[Caso de Prueba],CasoPrueba[[#All],[Código CP]:[Prioridad]],7,TRUE)</f>
        <v>Alta</v>
      </c>
      <c r="E414" s="34" t="s">
        <v>30</v>
      </c>
      <c r="F414" s="34" t="s">
        <v>49</v>
      </c>
      <c r="G414" s="73">
        <v>40852</v>
      </c>
      <c r="H414" s="73">
        <v>40853</v>
      </c>
      <c r="I414" s="94" t="s">
        <v>132</v>
      </c>
      <c r="J414" s="34" t="s">
        <v>1213</v>
      </c>
      <c r="K414" s="34" t="s">
        <v>1268</v>
      </c>
      <c r="L414" s="34">
        <f>IF((Observaciones[[#This Row],[Fecha Levantamiento]]-Observaciones[[#This Row],[Fecha Detección]])&gt;=0,Observaciones[[#This Row],[Fecha Levantamiento]]-Observaciones[[#This Row],[Fecha Detección]]+1,0)</f>
        <v>2</v>
      </c>
      <c r="M414" s="34" t="str">
        <f>LOOKUP(Observaciones[[#This Row],[Caso de Prueba]],CasoPrueba[Código CP],CasoPrueba[Código de REQ])</f>
        <v>INSPECCIÓN</v>
      </c>
    </row>
    <row r="415" spans="1:13" ht="30" hidden="1">
      <c r="A415" s="166" t="s">
        <v>1177</v>
      </c>
      <c r="B415" s="34" t="s">
        <v>1182</v>
      </c>
      <c r="C415" s="34" t="str">
        <f>VLOOKUP(Observaciones[[#This Row],[Caso de Prueba]],CasoPrueba[[Código CP]:[Descripción Caso de Prueba]],3,0)</f>
        <v>Arquitectura de Procesos</v>
      </c>
      <c r="D415" s="34" t="str">
        <f>VLOOKUP(Observaciones[Caso de Prueba],CasoPrueba[[#All],[Código CP]:[Prioridad]],7,TRUE)</f>
        <v>Alta</v>
      </c>
      <c r="E415" s="34" t="s">
        <v>29</v>
      </c>
      <c r="F415" s="34" t="s">
        <v>49</v>
      </c>
      <c r="G415" s="73">
        <v>40852</v>
      </c>
      <c r="H415" s="73">
        <v>40853</v>
      </c>
      <c r="I415" s="94" t="s">
        <v>132</v>
      </c>
      <c r="J415" s="34" t="s">
        <v>1214</v>
      </c>
      <c r="K415" s="34" t="s">
        <v>1276</v>
      </c>
      <c r="L415" s="34">
        <f>IF((Observaciones[[#This Row],[Fecha Levantamiento]]-Observaciones[[#This Row],[Fecha Detección]])&gt;=0,Observaciones[[#This Row],[Fecha Levantamiento]]-Observaciones[[#This Row],[Fecha Detección]]+1,0)</f>
        <v>2</v>
      </c>
      <c r="M415" s="34" t="str">
        <f>LOOKUP(Observaciones[[#This Row],[Caso de Prueba]],CasoPrueba[Código CP],CasoPrueba[Código de REQ])</f>
        <v>INSPECCIÓN</v>
      </c>
    </row>
    <row r="416" spans="1:13" ht="30" hidden="1">
      <c r="A416" s="166" t="s">
        <v>1178</v>
      </c>
      <c r="B416" s="34" t="s">
        <v>1182</v>
      </c>
      <c r="C416" s="34" t="str">
        <f>VLOOKUP(Observaciones[[#This Row],[Caso de Prueba]],CasoPrueba[[Código CP]:[Descripción Caso de Prueba]],3,0)</f>
        <v>Arquitectura de Procesos</v>
      </c>
      <c r="D416" s="34" t="str">
        <f>VLOOKUP(Observaciones[Caso de Prueba],CasoPrueba[[#All],[Código CP]:[Prioridad]],7,TRUE)</f>
        <v>Alta</v>
      </c>
      <c r="E416" s="34" t="s">
        <v>29</v>
      </c>
      <c r="F416" s="34" t="s">
        <v>49</v>
      </c>
      <c r="G416" s="73">
        <v>40852</v>
      </c>
      <c r="H416" s="73">
        <v>40853</v>
      </c>
      <c r="I416" s="94" t="s">
        <v>132</v>
      </c>
      <c r="J416" s="34" t="s">
        <v>1215</v>
      </c>
      <c r="K416" s="34" t="s">
        <v>1277</v>
      </c>
      <c r="L416" s="34">
        <f>IF((Observaciones[[#This Row],[Fecha Levantamiento]]-Observaciones[[#This Row],[Fecha Detección]])&gt;=0,Observaciones[[#This Row],[Fecha Levantamiento]]-Observaciones[[#This Row],[Fecha Detección]]+1,0)</f>
        <v>2</v>
      </c>
      <c r="M416" s="34" t="str">
        <f>LOOKUP(Observaciones[[#This Row],[Caso de Prueba]],CasoPrueba[Código CP],CasoPrueba[Código de REQ])</f>
        <v>INSPECCIÓN</v>
      </c>
    </row>
    <row r="417" spans="1:13" ht="45" hidden="1">
      <c r="A417" s="166" t="s">
        <v>1179</v>
      </c>
      <c r="B417" s="34" t="s">
        <v>1182</v>
      </c>
      <c r="C417" s="34" t="str">
        <f>VLOOKUP(Observaciones[[#This Row],[Caso de Prueba]],CasoPrueba[[Código CP]:[Descripción Caso de Prueba]],3,0)</f>
        <v>Arquitectura de Procesos</v>
      </c>
      <c r="D417" s="34" t="str">
        <f>VLOOKUP(Observaciones[Caso de Prueba],CasoPrueba[[#All],[Código CP]:[Prioridad]],7,TRUE)</f>
        <v>Alta</v>
      </c>
      <c r="E417" s="34" t="s">
        <v>29</v>
      </c>
      <c r="F417" s="34" t="s">
        <v>49</v>
      </c>
      <c r="G417" s="73">
        <v>40852</v>
      </c>
      <c r="H417" s="73">
        <v>40853</v>
      </c>
      <c r="I417" s="94" t="s">
        <v>132</v>
      </c>
      <c r="J417" s="34" t="s">
        <v>1216</v>
      </c>
      <c r="K417" s="34" t="s">
        <v>1278</v>
      </c>
      <c r="L417" s="34">
        <f>IF((Observaciones[[#This Row],[Fecha Levantamiento]]-Observaciones[[#This Row],[Fecha Detección]])&gt;=0,Observaciones[[#This Row],[Fecha Levantamiento]]-Observaciones[[#This Row],[Fecha Detección]]+1,0)</f>
        <v>2</v>
      </c>
      <c r="M417" s="34" t="str">
        <f>LOOKUP(Observaciones[[#This Row],[Caso de Prueba]],CasoPrueba[Código CP],CasoPrueba[Código de REQ])</f>
        <v>INSPECCIÓN</v>
      </c>
    </row>
    <row r="418" spans="1:13" ht="45" hidden="1">
      <c r="A418" s="166" t="s">
        <v>1218</v>
      </c>
      <c r="B418" s="34" t="s">
        <v>1182</v>
      </c>
      <c r="C418" s="34" t="str">
        <f>VLOOKUP(Observaciones[[#This Row],[Caso de Prueba]],CasoPrueba[[Código CP]:[Descripción Caso de Prueba]],3,0)</f>
        <v>Arquitectura de Procesos</v>
      </c>
      <c r="D418" s="164" t="str">
        <f>VLOOKUP(Observaciones[Caso de Prueba],CasoPrueba[[#All],[Código CP]:[Prioridad]],7,TRUE)</f>
        <v>Alta</v>
      </c>
      <c r="E418" s="34" t="s">
        <v>29</v>
      </c>
      <c r="F418" s="34" t="s">
        <v>49</v>
      </c>
      <c r="G418" s="73">
        <v>40852</v>
      </c>
      <c r="H418" s="73">
        <v>40853</v>
      </c>
      <c r="I418" s="94" t="s">
        <v>132</v>
      </c>
      <c r="J418" s="164" t="s">
        <v>1217</v>
      </c>
      <c r="K418" s="34" t="s">
        <v>1279</v>
      </c>
      <c r="L418" s="164">
        <f>IF((Observaciones[[#This Row],[Fecha Levantamiento]]-Observaciones[[#This Row],[Fecha Detección]])&gt;=0,Observaciones[[#This Row],[Fecha Levantamiento]]-Observaciones[[#This Row],[Fecha Detección]]+1,0)</f>
        <v>2</v>
      </c>
      <c r="M418" s="164" t="str">
        <f>LOOKUP(Observaciones[[#This Row],[Caso de Prueba]],CasoPrueba[Código CP],CasoPrueba[Código de REQ])</f>
        <v>INSPECCIÓN</v>
      </c>
    </row>
    <row r="419" spans="1:13" ht="60" hidden="1">
      <c r="A419" s="166" t="s">
        <v>1219</v>
      </c>
      <c r="B419" s="34" t="s">
        <v>1182</v>
      </c>
      <c r="C419" s="34" t="str">
        <f>VLOOKUP(Observaciones[[#This Row],[Caso de Prueba]],CasoPrueba[[Código CP]:[Descripción Caso de Prueba]],3,0)</f>
        <v>Arquitectura de Procesos</v>
      </c>
      <c r="D419" s="34" t="str">
        <f>VLOOKUP(Observaciones[Caso de Prueba],CasoPrueba[[#All],[Código CP]:[Prioridad]],7,TRUE)</f>
        <v>Alta</v>
      </c>
      <c r="E419" s="34" t="s">
        <v>29</v>
      </c>
      <c r="F419" s="34" t="s">
        <v>49</v>
      </c>
      <c r="G419" s="73">
        <v>40852</v>
      </c>
      <c r="H419" s="73">
        <v>40853</v>
      </c>
      <c r="I419" s="94" t="s">
        <v>132</v>
      </c>
      <c r="J419" s="34" t="s">
        <v>1248</v>
      </c>
      <c r="K419" s="34" t="s">
        <v>1280</v>
      </c>
      <c r="L419" s="34">
        <f>IF((Observaciones[[#This Row],[Fecha Levantamiento]]-Observaciones[[#This Row],[Fecha Detección]])&gt;=0,Observaciones[[#This Row],[Fecha Levantamiento]]-Observaciones[[#This Row],[Fecha Detección]]+1,0)</f>
        <v>2</v>
      </c>
      <c r="M419" s="34" t="str">
        <f>LOOKUP(Observaciones[[#This Row],[Caso de Prueba]],CasoPrueba[Código CP],CasoPrueba[Código de REQ])</f>
        <v>INSPECCIÓN</v>
      </c>
    </row>
    <row r="420" spans="1:13" ht="30" hidden="1">
      <c r="A420" s="166" t="s">
        <v>1220</v>
      </c>
      <c r="B420" s="34" t="s">
        <v>1182</v>
      </c>
      <c r="C420" s="34" t="str">
        <f>VLOOKUP(Observaciones[[#This Row],[Caso de Prueba]],CasoPrueba[[Código CP]:[Descripción Caso de Prueba]],3,0)</f>
        <v>Arquitectura de Procesos</v>
      </c>
      <c r="D420" s="34" t="str">
        <f>VLOOKUP(Observaciones[Caso de Prueba],CasoPrueba[[#All],[Código CP]:[Prioridad]],7,TRUE)</f>
        <v>Alta</v>
      </c>
      <c r="E420" s="34" t="s">
        <v>29</v>
      </c>
      <c r="F420" s="34" t="s">
        <v>49</v>
      </c>
      <c r="G420" s="73">
        <v>40852</v>
      </c>
      <c r="H420" s="73">
        <v>40853</v>
      </c>
      <c r="I420" s="94" t="s">
        <v>132</v>
      </c>
      <c r="J420" s="34" t="s">
        <v>1249</v>
      </c>
      <c r="K420" s="34" t="s">
        <v>1281</v>
      </c>
      <c r="L420" s="34">
        <f>IF((Observaciones[[#This Row],[Fecha Levantamiento]]-Observaciones[[#This Row],[Fecha Detección]])&gt;=0,Observaciones[[#This Row],[Fecha Levantamiento]]-Observaciones[[#This Row],[Fecha Detección]]+1,0)</f>
        <v>2</v>
      </c>
      <c r="M420" s="34" t="str">
        <f>LOOKUP(Observaciones[[#This Row],[Caso de Prueba]],CasoPrueba[Código CP],CasoPrueba[Código de REQ])</f>
        <v>INSPECCIÓN</v>
      </c>
    </row>
    <row r="421" spans="1:13" ht="30" hidden="1">
      <c r="A421" s="166" t="s">
        <v>1221</v>
      </c>
      <c r="B421" s="34" t="s">
        <v>1182</v>
      </c>
      <c r="C421" s="34" t="str">
        <f>VLOOKUP(Observaciones[[#This Row],[Caso de Prueba]],CasoPrueba[[Código CP]:[Descripción Caso de Prueba]],3,0)</f>
        <v>Arquitectura de Procesos</v>
      </c>
      <c r="D421" s="34" t="str">
        <f>VLOOKUP(Observaciones[Caso de Prueba],CasoPrueba[[#All],[Código CP]:[Prioridad]],7,TRUE)</f>
        <v>Alta</v>
      </c>
      <c r="E421" s="34" t="s">
        <v>162</v>
      </c>
      <c r="F421" s="34" t="s">
        <v>49</v>
      </c>
      <c r="G421" s="73">
        <v>40852</v>
      </c>
      <c r="H421" s="73">
        <v>40853</v>
      </c>
      <c r="I421" s="94" t="s">
        <v>132</v>
      </c>
      <c r="J421" s="34" t="s">
        <v>1250</v>
      </c>
      <c r="K421" s="34" t="s">
        <v>1282</v>
      </c>
      <c r="L421" s="34">
        <f>IF((Observaciones[[#This Row],[Fecha Levantamiento]]-Observaciones[[#This Row],[Fecha Detección]])&gt;=0,Observaciones[[#This Row],[Fecha Levantamiento]]-Observaciones[[#This Row],[Fecha Detección]]+1,0)</f>
        <v>2</v>
      </c>
      <c r="M421" s="34" t="str">
        <f>LOOKUP(Observaciones[[#This Row],[Caso de Prueba]],CasoPrueba[Código CP],CasoPrueba[Código de REQ])</f>
        <v>INSPECCIÓN</v>
      </c>
    </row>
    <row r="422" spans="1:13" ht="30" hidden="1">
      <c r="A422" s="166" t="s">
        <v>1222</v>
      </c>
      <c r="B422" s="34" t="s">
        <v>1182</v>
      </c>
      <c r="C422" s="34" t="str">
        <f>VLOOKUP(Observaciones[[#This Row],[Caso de Prueba]],CasoPrueba[[Código CP]:[Descripción Caso de Prueba]],3,0)</f>
        <v>Arquitectura de Procesos</v>
      </c>
      <c r="D422" s="34" t="str">
        <f>VLOOKUP(Observaciones[Caso de Prueba],CasoPrueba[[#All],[Código CP]:[Prioridad]],7,TRUE)</f>
        <v>Alta</v>
      </c>
      <c r="E422" s="34" t="s">
        <v>30</v>
      </c>
      <c r="F422" s="34" t="s">
        <v>49</v>
      </c>
      <c r="G422" s="73">
        <v>40852</v>
      </c>
      <c r="H422" s="73">
        <v>40853</v>
      </c>
      <c r="I422" s="94" t="s">
        <v>132</v>
      </c>
      <c r="J422" s="34" t="s">
        <v>1251</v>
      </c>
      <c r="K422" s="34" t="s">
        <v>857</v>
      </c>
      <c r="L422" s="34">
        <f>IF((Observaciones[[#This Row],[Fecha Levantamiento]]-Observaciones[[#This Row],[Fecha Detección]])&gt;=0,Observaciones[[#This Row],[Fecha Levantamiento]]-Observaciones[[#This Row],[Fecha Detección]]+1,0)</f>
        <v>2</v>
      </c>
      <c r="M422" s="34" t="str">
        <f>LOOKUP(Observaciones[[#This Row],[Caso de Prueba]],CasoPrueba[Código CP],CasoPrueba[Código de REQ])</f>
        <v>INSPECCIÓN</v>
      </c>
    </row>
    <row r="423" spans="1:13" ht="45" hidden="1">
      <c r="A423" s="166" t="s">
        <v>1223</v>
      </c>
      <c r="B423" s="34" t="s">
        <v>1182</v>
      </c>
      <c r="C423" s="34" t="str">
        <f>VLOOKUP(Observaciones[[#This Row],[Caso de Prueba]],CasoPrueba[[Código CP]:[Descripción Caso de Prueba]],3,0)</f>
        <v>Arquitectura de Procesos</v>
      </c>
      <c r="D423" s="34" t="str">
        <f>VLOOKUP(Observaciones[Caso de Prueba],CasoPrueba[[#All],[Código CP]:[Prioridad]],7,TRUE)</f>
        <v>Alta</v>
      </c>
      <c r="E423" s="34" t="s">
        <v>162</v>
      </c>
      <c r="F423" s="34" t="s">
        <v>49</v>
      </c>
      <c r="G423" s="73">
        <v>40852</v>
      </c>
      <c r="H423" s="73">
        <v>40853</v>
      </c>
      <c r="I423" s="94" t="s">
        <v>132</v>
      </c>
      <c r="J423" s="34" t="s">
        <v>1252</v>
      </c>
      <c r="K423" s="34" t="s">
        <v>196</v>
      </c>
      <c r="L423" s="34">
        <f>IF((Observaciones[[#This Row],[Fecha Levantamiento]]-Observaciones[[#This Row],[Fecha Detección]])&gt;=0,Observaciones[[#This Row],[Fecha Levantamiento]]-Observaciones[[#This Row],[Fecha Detección]]+1,0)</f>
        <v>2</v>
      </c>
      <c r="M423" s="34" t="str">
        <f>LOOKUP(Observaciones[[#This Row],[Caso de Prueba]],CasoPrueba[Código CP],CasoPrueba[Código de REQ])</f>
        <v>INSPECCIÓN</v>
      </c>
    </row>
    <row r="424" spans="1:13" ht="60" hidden="1">
      <c r="A424" s="166" t="s">
        <v>1224</v>
      </c>
      <c r="B424" s="34" t="s">
        <v>1182</v>
      </c>
      <c r="C424" s="34" t="str">
        <f>VLOOKUP(Observaciones[[#This Row],[Caso de Prueba]],CasoPrueba[[Código CP]:[Descripción Caso de Prueba]],3,0)</f>
        <v>Arquitectura de Procesos</v>
      </c>
      <c r="D424" s="34" t="str">
        <f>VLOOKUP(Observaciones[Caso de Prueba],CasoPrueba[[#All],[Código CP]:[Prioridad]],7,TRUE)</f>
        <v>Alta</v>
      </c>
      <c r="E424" s="34" t="s">
        <v>162</v>
      </c>
      <c r="F424" s="34" t="s">
        <v>49</v>
      </c>
      <c r="G424" s="73">
        <v>40852</v>
      </c>
      <c r="H424" s="73">
        <v>40853</v>
      </c>
      <c r="I424" s="94" t="s">
        <v>132</v>
      </c>
      <c r="J424" s="34" t="s">
        <v>1253</v>
      </c>
      <c r="K424" s="34" t="s">
        <v>196</v>
      </c>
      <c r="L424" s="34">
        <f>IF((Observaciones[[#This Row],[Fecha Levantamiento]]-Observaciones[[#This Row],[Fecha Detección]])&gt;=0,Observaciones[[#This Row],[Fecha Levantamiento]]-Observaciones[[#This Row],[Fecha Detección]]+1,0)</f>
        <v>2</v>
      </c>
      <c r="M424" s="34" t="str">
        <f>LOOKUP(Observaciones[[#This Row],[Caso de Prueba]],CasoPrueba[Código CP],CasoPrueba[Código de REQ])</f>
        <v>INSPECCIÓN</v>
      </c>
    </row>
    <row r="425" spans="1:13" ht="30" hidden="1">
      <c r="A425" s="166" t="s">
        <v>1225</v>
      </c>
      <c r="B425" s="34" t="s">
        <v>1182</v>
      </c>
      <c r="C425" s="34" t="str">
        <f>VLOOKUP(Observaciones[[#This Row],[Caso de Prueba]],CasoPrueba[[Código CP]:[Descripción Caso de Prueba]],3,0)</f>
        <v>Arquitectura de Procesos</v>
      </c>
      <c r="D425" s="34" t="str">
        <f>VLOOKUP(Observaciones[Caso de Prueba],CasoPrueba[[#All],[Código CP]:[Prioridad]],7,TRUE)</f>
        <v>Alta</v>
      </c>
      <c r="E425" s="34" t="s">
        <v>162</v>
      </c>
      <c r="F425" s="34" t="s">
        <v>49</v>
      </c>
      <c r="G425" s="73">
        <v>40852</v>
      </c>
      <c r="H425" s="73">
        <v>40853</v>
      </c>
      <c r="I425" s="94" t="s">
        <v>132</v>
      </c>
      <c r="J425" s="34" t="s">
        <v>1254</v>
      </c>
      <c r="K425" s="34" t="s">
        <v>1283</v>
      </c>
      <c r="L425" s="34">
        <f>IF((Observaciones[[#This Row],[Fecha Levantamiento]]-Observaciones[[#This Row],[Fecha Detección]])&gt;=0,Observaciones[[#This Row],[Fecha Levantamiento]]-Observaciones[[#This Row],[Fecha Detección]]+1,0)</f>
        <v>2</v>
      </c>
      <c r="M425" s="34" t="str">
        <f>LOOKUP(Observaciones[[#This Row],[Caso de Prueba]],CasoPrueba[Código CP],CasoPrueba[Código de REQ])</f>
        <v>INSPECCIÓN</v>
      </c>
    </row>
    <row r="426" spans="1:13" ht="45" hidden="1">
      <c r="A426" s="166" t="s">
        <v>1226</v>
      </c>
      <c r="B426" s="34" t="s">
        <v>1182</v>
      </c>
      <c r="C426" s="34" t="str">
        <f>VLOOKUP(Observaciones[[#This Row],[Caso de Prueba]],CasoPrueba[[Código CP]:[Descripción Caso de Prueba]],3,0)</f>
        <v>Arquitectura de Procesos</v>
      </c>
      <c r="D426" s="34" t="str">
        <f>VLOOKUP(Observaciones[Caso de Prueba],CasoPrueba[[#All],[Código CP]:[Prioridad]],7,TRUE)</f>
        <v>Alta</v>
      </c>
      <c r="E426" s="34" t="s">
        <v>30</v>
      </c>
      <c r="F426" s="34" t="s">
        <v>49</v>
      </c>
      <c r="G426" s="73">
        <v>40852</v>
      </c>
      <c r="H426" s="73">
        <v>40853</v>
      </c>
      <c r="I426" s="94" t="s">
        <v>132</v>
      </c>
      <c r="J426" s="34" t="s">
        <v>1255</v>
      </c>
      <c r="K426" s="34" t="s">
        <v>1284</v>
      </c>
      <c r="L426" s="34">
        <f>IF((Observaciones[[#This Row],[Fecha Levantamiento]]-Observaciones[[#This Row],[Fecha Detección]])&gt;=0,Observaciones[[#This Row],[Fecha Levantamiento]]-Observaciones[[#This Row],[Fecha Detección]]+1,0)</f>
        <v>2</v>
      </c>
      <c r="M426" s="34" t="str">
        <f>LOOKUP(Observaciones[[#This Row],[Caso de Prueba]],CasoPrueba[Código CP],CasoPrueba[Código de REQ])</f>
        <v>INSPECCIÓN</v>
      </c>
    </row>
    <row r="427" spans="1:13" ht="45" hidden="1">
      <c r="A427" s="166" t="s">
        <v>1227</v>
      </c>
      <c r="B427" s="34" t="s">
        <v>1182</v>
      </c>
      <c r="C427" s="34" t="str">
        <f>VLOOKUP(Observaciones[[#This Row],[Caso de Prueba]],CasoPrueba[[Código CP]:[Descripción Caso de Prueba]],3,0)</f>
        <v>Arquitectura de Procesos</v>
      </c>
      <c r="D427" s="34" t="str">
        <f>VLOOKUP(Observaciones[Caso de Prueba],CasoPrueba[[#All],[Código CP]:[Prioridad]],7,TRUE)</f>
        <v>Alta</v>
      </c>
      <c r="E427" s="34" t="s">
        <v>30</v>
      </c>
      <c r="F427" s="34" t="s">
        <v>49</v>
      </c>
      <c r="G427" s="73">
        <v>40852</v>
      </c>
      <c r="H427" s="73">
        <v>40853</v>
      </c>
      <c r="I427" s="94" t="s">
        <v>132</v>
      </c>
      <c r="J427" s="34" t="s">
        <v>1293</v>
      </c>
      <c r="K427" s="34" t="s">
        <v>1294</v>
      </c>
      <c r="L427" s="34">
        <f>IF((Observaciones[[#This Row],[Fecha Levantamiento]]-Observaciones[[#This Row],[Fecha Detección]])&gt;=0,Observaciones[[#This Row],[Fecha Levantamiento]]-Observaciones[[#This Row],[Fecha Detección]]+1,0)</f>
        <v>2</v>
      </c>
      <c r="M427" s="34" t="str">
        <f>LOOKUP(Observaciones[[#This Row],[Caso de Prueba]],CasoPrueba[Código CP],CasoPrueba[Código de REQ])</f>
        <v>INSPECCIÓN</v>
      </c>
    </row>
    <row r="428" spans="1:13" ht="30" hidden="1">
      <c r="A428" s="166" t="s">
        <v>1228</v>
      </c>
      <c r="B428" s="34" t="s">
        <v>1182</v>
      </c>
      <c r="C428" s="34" t="str">
        <f>VLOOKUP(Observaciones[[#This Row],[Caso de Prueba]],CasoPrueba[[Código CP]:[Descripción Caso de Prueba]],3,0)</f>
        <v>Arquitectura de Procesos</v>
      </c>
      <c r="D428" s="34" t="str">
        <f>VLOOKUP(Observaciones[Caso de Prueba],CasoPrueba[[#All],[Código CP]:[Prioridad]],7,TRUE)</f>
        <v>Alta</v>
      </c>
      <c r="E428" s="34" t="s">
        <v>162</v>
      </c>
      <c r="F428" s="34" t="s">
        <v>49</v>
      </c>
      <c r="G428" s="73">
        <v>40852</v>
      </c>
      <c r="H428" s="73">
        <v>40853</v>
      </c>
      <c r="I428" s="94" t="s">
        <v>132</v>
      </c>
      <c r="J428" s="34" t="s">
        <v>1295</v>
      </c>
      <c r="K428" s="34" t="s">
        <v>1285</v>
      </c>
      <c r="L428" s="34">
        <f>IF((Observaciones[[#This Row],[Fecha Levantamiento]]-Observaciones[[#This Row],[Fecha Detección]])&gt;=0,Observaciones[[#This Row],[Fecha Levantamiento]]-Observaciones[[#This Row],[Fecha Detección]]+1,0)</f>
        <v>2</v>
      </c>
      <c r="M428" s="34" t="str">
        <f>LOOKUP(Observaciones[[#This Row],[Caso de Prueba]],CasoPrueba[Código CP],CasoPrueba[Código de REQ])</f>
        <v>INSPECCIÓN</v>
      </c>
    </row>
    <row r="429" spans="1:13" ht="45" hidden="1">
      <c r="A429" s="166" t="s">
        <v>1229</v>
      </c>
      <c r="B429" s="34" t="s">
        <v>1182</v>
      </c>
      <c r="C429" s="34" t="str">
        <f>VLOOKUP(Observaciones[[#This Row],[Caso de Prueba]],CasoPrueba[[Código CP]:[Descripción Caso de Prueba]],3,0)</f>
        <v>Arquitectura de Procesos</v>
      </c>
      <c r="D429" s="34" t="str">
        <f>VLOOKUP(Observaciones[Caso de Prueba],CasoPrueba[[#All],[Código CP]:[Prioridad]],7,TRUE)</f>
        <v>Alta</v>
      </c>
      <c r="E429" s="34" t="s">
        <v>28</v>
      </c>
      <c r="F429" s="34" t="s">
        <v>49</v>
      </c>
      <c r="G429" s="73">
        <v>40852</v>
      </c>
      <c r="H429" s="73">
        <v>40853</v>
      </c>
      <c r="I429" s="94" t="s">
        <v>132</v>
      </c>
      <c r="J429" s="34" t="s">
        <v>1256</v>
      </c>
      <c r="K429" s="34" t="s">
        <v>857</v>
      </c>
      <c r="L429" s="34">
        <f>IF((Observaciones[[#This Row],[Fecha Levantamiento]]-Observaciones[[#This Row],[Fecha Detección]])&gt;=0,Observaciones[[#This Row],[Fecha Levantamiento]]-Observaciones[[#This Row],[Fecha Detección]]+1,0)</f>
        <v>2</v>
      </c>
      <c r="M429" s="34" t="str">
        <f>LOOKUP(Observaciones[[#This Row],[Caso de Prueba]],CasoPrueba[Código CP],CasoPrueba[Código de REQ])</f>
        <v>INSPECCIÓN</v>
      </c>
    </row>
    <row r="430" spans="1:13" ht="45" hidden="1">
      <c r="A430" s="166" t="s">
        <v>1230</v>
      </c>
      <c r="B430" s="34" t="s">
        <v>1182</v>
      </c>
      <c r="C430" s="34" t="str">
        <f>VLOOKUP(Observaciones[[#This Row],[Caso de Prueba]],CasoPrueba[[Código CP]:[Descripción Caso de Prueba]],3,0)</f>
        <v>Arquitectura de Procesos</v>
      </c>
      <c r="D430" s="34" t="str">
        <f>VLOOKUP(Observaciones[Caso de Prueba],CasoPrueba[[#All],[Código CP]:[Prioridad]],7,TRUE)</f>
        <v>Alta</v>
      </c>
      <c r="E430" s="34" t="s">
        <v>162</v>
      </c>
      <c r="F430" s="34" t="s">
        <v>49</v>
      </c>
      <c r="G430" s="73">
        <v>40852</v>
      </c>
      <c r="H430" s="73">
        <v>40853</v>
      </c>
      <c r="I430" s="94" t="s">
        <v>132</v>
      </c>
      <c r="J430" s="34" t="s">
        <v>1257</v>
      </c>
      <c r="K430" s="34" t="s">
        <v>196</v>
      </c>
      <c r="L430" s="34">
        <f>IF((Observaciones[[#This Row],[Fecha Levantamiento]]-Observaciones[[#This Row],[Fecha Detección]])&gt;=0,Observaciones[[#This Row],[Fecha Levantamiento]]-Observaciones[[#This Row],[Fecha Detección]]+1,0)</f>
        <v>2</v>
      </c>
      <c r="M430" s="34" t="str">
        <f>LOOKUP(Observaciones[[#This Row],[Caso de Prueba]],CasoPrueba[Código CP],CasoPrueba[Código de REQ])</f>
        <v>INSPECCIÓN</v>
      </c>
    </row>
    <row r="431" spans="1:13" ht="45" hidden="1">
      <c r="A431" s="166" t="s">
        <v>1231</v>
      </c>
      <c r="B431" s="34" t="s">
        <v>1182</v>
      </c>
      <c r="C431" s="34" t="str">
        <f>VLOOKUP(Observaciones[[#This Row],[Caso de Prueba]],CasoPrueba[[Código CP]:[Descripción Caso de Prueba]],3,0)</f>
        <v>Arquitectura de Procesos</v>
      </c>
      <c r="D431" s="34" t="str">
        <f>VLOOKUP(Observaciones[Caso de Prueba],CasoPrueba[[#All],[Código CP]:[Prioridad]],7,TRUE)</f>
        <v>Alta</v>
      </c>
      <c r="E431" s="34" t="s">
        <v>30</v>
      </c>
      <c r="F431" s="34" t="s">
        <v>49</v>
      </c>
      <c r="G431" s="73">
        <v>40853</v>
      </c>
      <c r="H431" s="73">
        <v>40855</v>
      </c>
      <c r="I431" s="94" t="s">
        <v>132</v>
      </c>
      <c r="J431" s="34" t="s">
        <v>1288</v>
      </c>
      <c r="K431" s="34" t="s">
        <v>1306</v>
      </c>
      <c r="L431" s="34">
        <f>IF((Observaciones[[#This Row],[Fecha Levantamiento]]-Observaciones[[#This Row],[Fecha Detección]])&gt;=0,Observaciones[[#This Row],[Fecha Levantamiento]]-Observaciones[[#This Row],[Fecha Detección]]+1,0)</f>
        <v>3</v>
      </c>
      <c r="M431" s="34" t="str">
        <f>LOOKUP(Observaciones[[#This Row],[Caso de Prueba]],CasoPrueba[Código CP],CasoPrueba[Código de REQ])</f>
        <v>INSPECCIÓN</v>
      </c>
    </row>
    <row r="432" spans="1:13" ht="30" hidden="1">
      <c r="A432" s="166" t="s">
        <v>1232</v>
      </c>
      <c r="B432" s="34" t="s">
        <v>1182</v>
      </c>
      <c r="C432" s="34" t="str">
        <f>VLOOKUP(Observaciones[[#This Row],[Caso de Prueba]],CasoPrueba[[Código CP]:[Descripción Caso de Prueba]],3,0)</f>
        <v>Arquitectura de Procesos</v>
      </c>
      <c r="D432" s="34" t="str">
        <f>VLOOKUP(Observaciones[Caso de Prueba],CasoPrueba[[#All],[Código CP]:[Prioridad]],7,TRUE)</f>
        <v>Alta</v>
      </c>
      <c r="E432" s="34" t="s">
        <v>29</v>
      </c>
      <c r="F432" s="34" t="s">
        <v>49</v>
      </c>
      <c r="G432" s="73">
        <v>40853</v>
      </c>
      <c r="H432" s="73">
        <v>40855</v>
      </c>
      <c r="I432" s="94" t="s">
        <v>132</v>
      </c>
      <c r="J432" s="34" t="s">
        <v>1286</v>
      </c>
      <c r="K432" s="34" t="s">
        <v>1308</v>
      </c>
      <c r="L432" s="34">
        <f>IF((Observaciones[[#This Row],[Fecha Levantamiento]]-Observaciones[[#This Row],[Fecha Detección]])&gt;=0,Observaciones[[#This Row],[Fecha Levantamiento]]-Observaciones[[#This Row],[Fecha Detección]]+1,0)</f>
        <v>3</v>
      </c>
      <c r="M432" s="34" t="str">
        <f>LOOKUP(Observaciones[[#This Row],[Caso de Prueba]],CasoPrueba[Código CP],CasoPrueba[Código de REQ])</f>
        <v>INSPECCIÓN</v>
      </c>
    </row>
    <row r="433" spans="1:13" ht="30" hidden="1">
      <c r="A433" s="166" t="s">
        <v>1233</v>
      </c>
      <c r="B433" s="34" t="s">
        <v>1182</v>
      </c>
      <c r="C433" s="34" t="str">
        <f>VLOOKUP(Observaciones[[#This Row],[Caso de Prueba]],CasoPrueba[[Código CP]:[Descripción Caso de Prueba]],3,0)</f>
        <v>Arquitectura de Procesos</v>
      </c>
      <c r="D433" s="34" t="str">
        <f>VLOOKUP(Observaciones[Caso de Prueba],CasoPrueba[[#All],[Código CP]:[Prioridad]],7,TRUE)</f>
        <v>Alta</v>
      </c>
      <c r="E433" s="34" t="s">
        <v>162</v>
      </c>
      <c r="F433" s="34" t="s">
        <v>49</v>
      </c>
      <c r="G433" s="73">
        <v>40853</v>
      </c>
      <c r="H433" s="73">
        <v>40855</v>
      </c>
      <c r="I433" s="94" t="s">
        <v>132</v>
      </c>
      <c r="J433" s="34" t="s">
        <v>1287</v>
      </c>
      <c r="K433" s="34" t="s">
        <v>1309</v>
      </c>
      <c r="L433" s="34">
        <f>IF((Observaciones[[#This Row],[Fecha Levantamiento]]-Observaciones[[#This Row],[Fecha Detección]])&gt;=0,Observaciones[[#This Row],[Fecha Levantamiento]]-Observaciones[[#This Row],[Fecha Detección]]+1,0)</f>
        <v>3</v>
      </c>
      <c r="M433" s="34" t="str">
        <f>LOOKUP(Observaciones[[#This Row],[Caso de Prueba]],CasoPrueba[Código CP],CasoPrueba[Código de REQ])</f>
        <v>INSPECCIÓN</v>
      </c>
    </row>
    <row r="434" spans="1:13" hidden="1">
      <c r="A434" s="166" t="s">
        <v>1234</v>
      </c>
      <c r="B434" s="34" t="s">
        <v>1182</v>
      </c>
      <c r="C434" s="34" t="str">
        <f>VLOOKUP(Observaciones[[#This Row],[Caso de Prueba]],CasoPrueba[[Código CP]:[Descripción Caso de Prueba]],3,0)</f>
        <v>Arquitectura de Procesos</v>
      </c>
      <c r="D434" s="34" t="str">
        <f>VLOOKUP(Observaciones[Caso de Prueba],CasoPrueba[[#All],[Código CP]:[Prioridad]],7,TRUE)</f>
        <v>Alta</v>
      </c>
      <c r="E434" s="34" t="s">
        <v>30</v>
      </c>
      <c r="F434" s="34" t="s">
        <v>49</v>
      </c>
      <c r="G434" s="73">
        <v>40853</v>
      </c>
      <c r="H434" s="73">
        <v>40855</v>
      </c>
      <c r="I434" s="94" t="s">
        <v>132</v>
      </c>
      <c r="J434" s="34" t="s">
        <v>1290</v>
      </c>
      <c r="K434" s="34" t="s">
        <v>1319</v>
      </c>
      <c r="L434" s="34">
        <f>IF((Observaciones[[#This Row],[Fecha Levantamiento]]-Observaciones[[#This Row],[Fecha Detección]])&gt;=0,Observaciones[[#This Row],[Fecha Levantamiento]]-Observaciones[[#This Row],[Fecha Detección]]+1,0)</f>
        <v>3</v>
      </c>
      <c r="M434" s="34" t="str">
        <f>LOOKUP(Observaciones[[#This Row],[Caso de Prueba]],CasoPrueba[Código CP],CasoPrueba[Código de REQ])</f>
        <v>INSPECCIÓN</v>
      </c>
    </row>
    <row r="435" spans="1:13" ht="60" hidden="1">
      <c r="A435" s="166" t="s">
        <v>1235</v>
      </c>
      <c r="B435" s="34" t="s">
        <v>1182</v>
      </c>
      <c r="C435" s="34" t="str">
        <f>VLOOKUP(Observaciones[[#This Row],[Caso de Prueba]],CasoPrueba[[Código CP]:[Descripción Caso de Prueba]],3,0)</f>
        <v>Arquitectura de Procesos</v>
      </c>
      <c r="D435" s="34" t="str">
        <f>VLOOKUP(Observaciones[Caso de Prueba],CasoPrueba[[#All],[Código CP]:[Prioridad]],7,TRUE)</f>
        <v>Alta</v>
      </c>
      <c r="E435" s="34" t="s">
        <v>30</v>
      </c>
      <c r="F435" s="34" t="s">
        <v>49</v>
      </c>
      <c r="G435" s="73">
        <v>40853</v>
      </c>
      <c r="H435" s="73">
        <v>40855</v>
      </c>
      <c r="I435" s="94" t="s">
        <v>132</v>
      </c>
      <c r="J435" s="34" t="s">
        <v>1291</v>
      </c>
      <c r="K435" s="34" t="s">
        <v>1311</v>
      </c>
      <c r="L435" s="34">
        <f>IF((Observaciones[[#This Row],[Fecha Levantamiento]]-Observaciones[[#This Row],[Fecha Detección]])&gt;=0,Observaciones[[#This Row],[Fecha Levantamiento]]-Observaciones[[#This Row],[Fecha Detección]]+1,0)</f>
        <v>3</v>
      </c>
      <c r="M435" s="34" t="str">
        <f>LOOKUP(Observaciones[[#This Row],[Caso de Prueba]],CasoPrueba[Código CP],CasoPrueba[Código de REQ])</f>
        <v>INSPECCIÓN</v>
      </c>
    </row>
    <row r="436" spans="1:13" ht="75" hidden="1">
      <c r="A436" s="166" t="s">
        <v>1236</v>
      </c>
      <c r="B436" s="34" t="s">
        <v>1182</v>
      </c>
      <c r="C436" s="34" t="str">
        <f>VLOOKUP(Observaciones[[#This Row],[Caso de Prueba]],CasoPrueba[[Código CP]:[Descripción Caso de Prueba]],3,0)</f>
        <v>Arquitectura de Procesos</v>
      </c>
      <c r="D436" s="34" t="str">
        <f>VLOOKUP(Observaciones[Caso de Prueba],CasoPrueba[[#All],[Código CP]:[Prioridad]],7,TRUE)</f>
        <v>Alta</v>
      </c>
      <c r="E436" s="34" t="s">
        <v>30</v>
      </c>
      <c r="F436" s="34" t="s">
        <v>49</v>
      </c>
      <c r="G436" s="73">
        <v>40853</v>
      </c>
      <c r="H436" s="73">
        <v>40855</v>
      </c>
      <c r="I436" s="94" t="s">
        <v>132</v>
      </c>
      <c r="J436" s="34" t="s">
        <v>1292</v>
      </c>
      <c r="K436" s="34" t="s">
        <v>1310</v>
      </c>
      <c r="L436" s="34">
        <f>IF((Observaciones[[#This Row],[Fecha Levantamiento]]-Observaciones[[#This Row],[Fecha Detección]])&gt;=0,Observaciones[[#This Row],[Fecha Levantamiento]]-Observaciones[[#This Row],[Fecha Detección]]+1,0)</f>
        <v>3</v>
      </c>
      <c r="M436" s="34" t="str">
        <f>LOOKUP(Observaciones[[#This Row],[Caso de Prueba]],CasoPrueba[Código CP],CasoPrueba[Código de REQ])</f>
        <v>INSPECCIÓN</v>
      </c>
    </row>
    <row r="437" spans="1:13" ht="45" hidden="1">
      <c r="A437" s="166" t="s">
        <v>1237</v>
      </c>
      <c r="B437" s="34" t="s">
        <v>1182</v>
      </c>
      <c r="C437" s="34" t="str">
        <f>VLOOKUP(Observaciones[[#This Row],[Caso de Prueba]],CasoPrueba[[Código CP]:[Descripción Caso de Prueba]],3,0)</f>
        <v>Arquitectura de Procesos</v>
      </c>
      <c r="D437" s="34" t="str">
        <f>VLOOKUP(Observaciones[Caso de Prueba],CasoPrueba[[#All],[Código CP]:[Prioridad]],7,TRUE)</f>
        <v>Alta</v>
      </c>
      <c r="E437" s="34" t="s">
        <v>30</v>
      </c>
      <c r="F437" s="34" t="s">
        <v>49</v>
      </c>
      <c r="G437" s="73">
        <v>40853</v>
      </c>
      <c r="H437" s="73">
        <v>40855</v>
      </c>
      <c r="I437" s="94" t="s">
        <v>132</v>
      </c>
      <c r="J437" s="34" t="s">
        <v>1321</v>
      </c>
      <c r="K437" s="34" t="s">
        <v>1313</v>
      </c>
      <c r="L437" s="34">
        <f>IF((Observaciones[[#This Row],[Fecha Levantamiento]]-Observaciones[[#This Row],[Fecha Detección]])&gt;=0,Observaciones[[#This Row],[Fecha Levantamiento]]-Observaciones[[#This Row],[Fecha Detección]]+1,0)</f>
        <v>3</v>
      </c>
      <c r="M437" s="34" t="str">
        <f>LOOKUP(Observaciones[[#This Row],[Caso de Prueba]],CasoPrueba[Código CP],CasoPrueba[Código de REQ])</f>
        <v>INSPECCIÓN</v>
      </c>
    </row>
    <row r="438" spans="1:13" ht="75" hidden="1">
      <c r="A438" s="166" t="s">
        <v>1238</v>
      </c>
      <c r="B438" s="34" t="s">
        <v>1182</v>
      </c>
      <c r="C438" s="34" t="str">
        <f>VLOOKUP(Observaciones[[#This Row],[Caso de Prueba]],CasoPrueba[[Código CP]:[Descripción Caso de Prueba]],3,0)</f>
        <v>Arquitectura de Procesos</v>
      </c>
      <c r="D438" s="34" t="str">
        <f>VLOOKUP(Observaciones[Caso de Prueba],CasoPrueba[[#All],[Código CP]:[Prioridad]],7,TRUE)</f>
        <v>Alta</v>
      </c>
      <c r="E438" s="34" t="s">
        <v>28</v>
      </c>
      <c r="F438" s="34" t="s">
        <v>49</v>
      </c>
      <c r="G438" s="73">
        <v>40853</v>
      </c>
      <c r="H438" s="73">
        <v>40855</v>
      </c>
      <c r="I438" s="94" t="s">
        <v>132</v>
      </c>
      <c r="J438" s="34" t="s">
        <v>1322</v>
      </c>
      <c r="K438" s="34" t="s">
        <v>1314</v>
      </c>
      <c r="L438" s="34">
        <f>IF((Observaciones[[#This Row],[Fecha Levantamiento]]-Observaciones[[#This Row],[Fecha Detección]])&gt;=0,Observaciones[[#This Row],[Fecha Levantamiento]]-Observaciones[[#This Row],[Fecha Detección]]+1,0)</f>
        <v>3</v>
      </c>
      <c r="M438" s="34" t="str">
        <f>LOOKUP(Observaciones[[#This Row],[Caso de Prueba]],CasoPrueba[Código CP],CasoPrueba[Código de REQ])</f>
        <v>INSPECCIÓN</v>
      </c>
    </row>
    <row r="439" spans="1:13" ht="60" hidden="1">
      <c r="A439" s="166" t="s">
        <v>1239</v>
      </c>
      <c r="B439" s="34" t="s">
        <v>1182</v>
      </c>
      <c r="C439" s="34" t="str">
        <f>VLOOKUP(Observaciones[[#This Row],[Caso de Prueba]],CasoPrueba[[Código CP]:[Descripción Caso de Prueba]],3,0)</f>
        <v>Arquitectura de Procesos</v>
      </c>
      <c r="D439" s="34" t="str">
        <f>VLOOKUP(Observaciones[Caso de Prueba],CasoPrueba[[#All],[Código CP]:[Prioridad]],7,TRUE)</f>
        <v>Alta</v>
      </c>
      <c r="E439" s="34" t="s">
        <v>28</v>
      </c>
      <c r="F439" s="34" t="s">
        <v>49</v>
      </c>
      <c r="G439" s="73">
        <v>40853</v>
      </c>
      <c r="H439" s="73">
        <v>40855</v>
      </c>
      <c r="I439" s="94" t="s">
        <v>132</v>
      </c>
      <c r="J439" s="34" t="s">
        <v>1296</v>
      </c>
      <c r="K439" s="34" t="s">
        <v>1312</v>
      </c>
      <c r="L439" s="34">
        <f>IF((Observaciones[[#This Row],[Fecha Levantamiento]]-Observaciones[[#This Row],[Fecha Detección]])&gt;=0,Observaciones[[#This Row],[Fecha Levantamiento]]-Observaciones[[#This Row],[Fecha Detección]]+1,0)</f>
        <v>3</v>
      </c>
      <c r="M439" s="34" t="str">
        <f>LOOKUP(Observaciones[[#This Row],[Caso de Prueba]],CasoPrueba[Código CP],CasoPrueba[Código de REQ])</f>
        <v>INSPECCIÓN</v>
      </c>
    </row>
    <row r="440" spans="1:13" ht="30" hidden="1">
      <c r="A440" s="166" t="s">
        <v>1240</v>
      </c>
      <c r="B440" s="34" t="s">
        <v>1182</v>
      </c>
      <c r="C440" s="34" t="str">
        <f>VLOOKUP(Observaciones[[#This Row],[Caso de Prueba]],CasoPrueba[[Código CP]:[Descripción Caso de Prueba]],3,0)</f>
        <v>Arquitectura de Procesos</v>
      </c>
      <c r="D440" s="34" t="str">
        <f>VLOOKUP(Observaciones[Caso de Prueba],CasoPrueba[[#All],[Código CP]:[Prioridad]],7,TRUE)</f>
        <v>Alta</v>
      </c>
      <c r="E440" s="34" t="s">
        <v>29</v>
      </c>
      <c r="F440" s="34" t="s">
        <v>49</v>
      </c>
      <c r="G440" s="73">
        <v>40853</v>
      </c>
      <c r="H440" s="73">
        <v>40855</v>
      </c>
      <c r="I440" s="94" t="s">
        <v>132</v>
      </c>
      <c r="J440" s="34" t="s">
        <v>1297</v>
      </c>
      <c r="K440" s="34" t="s">
        <v>1320</v>
      </c>
      <c r="L440" s="34">
        <f>IF((Observaciones[[#This Row],[Fecha Levantamiento]]-Observaciones[[#This Row],[Fecha Detección]])&gt;=0,Observaciones[[#This Row],[Fecha Levantamiento]]-Observaciones[[#This Row],[Fecha Detección]]+1,0)</f>
        <v>3</v>
      </c>
      <c r="M440" s="34" t="str">
        <f>LOOKUP(Observaciones[[#This Row],[Caso de Prueba]],CasoPrueba[Código CP],CasoPrueba[Código de REQ])</f>
        <v>INSPECCIÓN</v>
      </c>
    </row>
    <row r="441" spans="1:13" ht="60" hidden="1">
      <c r="A441" s="166" t="s">
        <v>1241</v>
      </c>
      <c r="B441" s="34" t="s">
        <v>1182</v>
      </c>
      <c r="C441" s="34" t="str">
        <f>VLOOKUP(Observaciones[[#This Row],[Caso de Prueba]],CasoPrueba[[Código CP]:[Descripción Caso de Prueba]],3,0)</f>
        <v>Arquitectura de Procesos</v>
      </c>
      <c r="D441" s="34" t="str">
        <f>VLOOKUP(Observaciones[Caso de Prueba],CasoPrueba[[#All],[Código CP]:[Prioridad]],7,TRUE)</f>
        <v>Alta</v>
      </c>
      <c r="E441" s="34" t="s">
        <v>29</v>
      </c>
      <c r="F441" s="34" t="s">
        <v>49</v>
      </c>
      <c r="G441" s="73">
        <v>40853</v>
      </c>
      <c r="H441" s="73">
        <v>40855</v>
      </c>
      <c r="I441" s="94" t="s">
        <v>132</v>
      </c>
      <c r="J441" s="34" t="s">
        <v>1298</v>
      </c>
      <c r="K441" s="34" t="s">
        <v>1315</v>
      </c>
      <c r="L441" s="34">
        <f>IF((Observaciones[[#This Row],[Fecha Levantamiento]]-Observaciones[[#This Row],[Fecha Detección]])&gt;=0,Observaciones[[#This Row],[Fecha Levantamiento]]-Observaciones[[#This Row],[Fecha Detección]]+1,0)</f>
        <v>3</v>
      </c>
      <c r="M441" s="34" t="str">
        <f>LOOKUP(Observaciones[[#This Row],[Caso de Prueba]],CasoPrueba[Código CP],CasoPrueba[Código de REQ])</f>
        <v>INSPECCIÓN</v>
      </c>
    </row>
    <row r="442" spans="1:13" ht="120" hidden="1">
      <c r="A442" s="166" t="s">
        <v>1242</v>
      </c>
      <c r="B442" s="34" t="s">
        <v>1182</v>
      </c>
      <c r="C442" s="34" t="str">
        <f>VLOOKUP(Observaciones[[#This Row],[Caso de Prueba]],CasoPrueba[[Código CP]:[Descripción Caso de Prueba]],3,0)</f>
        <v>Arquitectura de Procesos</v>
      </c>
      <c r="D442" s="34" t="str">
        <f>VLOOKUP(Observaciones[Caso de Prueba],CasoPrueba[[#All],[Código CP]:[Prioridad]],7,TRUE)</f>
        <v>Alta</v>
      </c>
      <c r="E442" s="34" t="s">
        <v>28</v>
      </c>
      <c r="F442" s="34" t="s">
        <v>49</v>
      </c>
      <c r="G442" s="73">
        <v>40853</v>
      </c>
      <c r="H442" s="73">
        <v>40855</v>
      </c>
      <c r="I442" s="94" t="s">
        <v>132</v>
      </c>
      <c r="J442" s="34" t="s">
        <v>1299</v>
      </c>
      <c r="K442" s="34" t="s">
        <v>1316</v>
      </c>
      <c r="L442" s="34">
        <f>IF((Observaciones[[#This Row],[Fecha Levantamiento]]-Observaciones[[#This Row],[Fecha Detección]])&gt;=0,Observaciones[[#This Row],[Fecha Levantamiento]]-Observaciones[[#This Row],[Fecha Detección]]+1,0)</f>
        <v>3</v>
      </c>
      <c r="M442" s="34" t="str">
        <f>LOOKUP(Observaciones[[#This Row],[Caso de Prueba]],CasoPrueba[Código CP],CasoPrueba[Código de REQ])</f>
        <v>INSPECCIÓN</v>
      </c>
    </row>
    <row r="443" spans="1:13" ht="60" hidden="1">
      <c r="A443" s="166" t="s">
        <v>1243</v>
      </c>
      <c r="B443" s="34" t="s">
        <v>1182</v>
      </c>
      <c r="C443" s="34" t="str">
        <f>VLOOKUP(Observaciones[[#This Row],[Caso de Prueba]],CasoPrueba[[Código CP]:[Descripción Caso de Prueba]],3,0)</f>
        <v>Arquitectura de Procesos</v>
      </c>
      <c r="D443" s="34" t="str">
        <f>VLOOKUP(Observaciones[Caso de Prueba],CasoPrueba[[#All],[Código CP]:[Prioridad]],7,TRUE)</f>
        <v>Alta</v>
      </c>
      <c r="E443" s="34" t="s">
        <v>28</v>
      </c>
      <c r="F443" s="34" t="s">
        <v>49</v>
      </c>
      <c r="G443" s="73">
        <v>40853</v>
      </c>
      <c r="H443" s="73">
        <v>40855</v>
      </c>
      <c r="I443" s="94" t="s">
        <v>132</v>
      </c>
      <c r="J443" s="34" t="s">
        <v>1300</v>
      </c>
      <c r="K443" s="34" t="s">
        <v>1323</v>
      </c>
      <c r="L443" s="34">
        <f>IF((Observaciones[[#This Row],[Fecha Levantamiento]]-Observaciones[[#This Row],[Fecha Detección]])&gt;=0,Observaciones[[#This Row],[Fecha Levantamiento]]-Observaciones[[#This Row],[Fecha Detección]]+1,0)</f>
        <v>3</v>
      </c>
      <c r="M443" s="34" t="str">
        <f>LOOKUP(Observaciones[[#This Row],[Caso de Prueba]],CasoPrueba[Código CP],CasoPrueba[Código de REQ])</f>
        <v>INSPECCIÓN</v>
      </c>
    </row>
    <row r="444" spans="1:13" ht="30" hidden="1">
      <c r="A444" s="166" t="s">
        <v>1244</v>
      </c>
      <c r="B444" s="34" t="s">
        <v>1182</v>
      </c>
      <c r="C444" s="34" t="str">
        <f>VLOOKUP(Observaciones[[#This Row],[Caso de Prueba]],CasoPrueba[[Código CP]:[Descripción Caso de Prueba]],3,0)</f>
        <v>Arquitectura de Procesos</v>
      </c>
      <c r="D444" s="34" t="str">
        <f>VLOOKUP(Observaciones[Caso de Prueba],CasoPrueba[[#All],[Código CP]:[Prioridad]],7,TRUE)</f>
        <v>Alta</v>
      </c>
      <c r="E444" s="34" t="s">
        <v>162</v>
      </c>
      <c r="F444" s="34" t="s">
        <v>49</v>
      </c>
      <c r="G444" s="73">
        <v>40853</v>
      </c>
      <c r="H444" s="73">
        <v>40855</v>
      </c>
      <c r="I444" s="94" t="s">
        <v>132</v>
      </c>
      <c r="J444" s="34" t="s">
        <v>1301</v>
      </c>
      <c r="K444" s="34" t="s">
        <v>1317</v>
      </c>
      <c r="L444" s="34">
        <f>IF((Observaciones[[#This Row],[Fecha Levantamiento]]-Observaciones[[#This Row],[Fecha Detección]])&gt;=0,Observaciones[[#This Row],[Fecha Levantamiento]]-Observaciones[[#This Row],[Fecha Detección]]+1,0)</f>
        <v>3</v>
      </c>
      <c r="M444" s="34" t="str">
        <f>LOOKUP(Observaciones[[#This Row],[Caso de Prueba]],CasoPrueba[Código CP],CasoPrueba[Código de REQ])</f>
        <v>INSPECCIÓN</v>
      </c>
    </row>
    <row r="445" spans="1:13" ht="45" hidden="1">
      <c r="A445" s="166" t="s">
        <v>1245</v>
      </c>
      <c r="B445" s="34" t="s">
        <v>1182</v>
      </c>
      <c r="C445" s="34" t="str">
        <f>VLOOKUP(Observaciones[[#This Row],[Caso de Prueba]],CasoPrueba[[Código CP]:[Descripción Caso de Prueba]],3,0)</f>
        <v>Arquitectura de Procesos</v>
      </c>
      <c r="D445" s="34" t="str">
        <f>VLOOKUP(Observaciones[Caso de Prueba],CasoPrueba[[#All],[Código CP]:[Prioridad]],7,TRUE)</f>
        <v>Alta</v>
      </c>
      <c r="E445" s="34" t="s">
        <v>162</v>
      </c>
      <c r="F445" s="34" t="s">
        <v>49</v>
      </c>
      <c r="G445" s="73">
        <v>40853</v>
      </c>
      <c r="H445" s="73">
        <v>40855</v>
      </c>
      <c r="I445" s="94" t="s">
        <v>132</v>
      </c>
      <c r="J445" s="34" t="s">
        <v>1302</v>
      </c>
      <c r="K445" s="34" t="s">
        <v>1317</v>
      </c>
      <c r="L445" s="34">
        <f>IF((Observaciones[[#This Row],[Fecha Levantamiento]]-Observaciones[[#This Row],[Fecha Detección]])&gt;=0,Observaciones[[#This Row],[Fecha Levantamiento]]-Observaciones[[#This Row],[Fecha Detección]]+1,0)</f>
        <v>3</v>
      </c>
      <c r="M445" s="34" t="str">
        <f>LOOKUP(Observaciones[[#This Row],[Caso de Prueba]],CasoPrueba[Código CP],CasoPrueba[Código de REQ])</f>
        <v>INSPECCIÓN</v>
      </c>
    </row>
    <row r="446" spans="1:13" ht="45" hidden="1">
      <c r="A446" s="166" t="s">
        <v>1246</v>
      </c>
      <c r="B446" s="34" t="s">
        <v>1182</v>
      </c>
      <c r="C446" s="34" t="str">
        <f>VLOOKUP(Observaciones[[#This Row],[Caso de Prueba]],CasoPrueba[[Código CP]:[Descripción Caso de Prueba]],3,0)</f>
        <v>Arquitectura de Procesos</v>
      </c>
      <c r="D446" s="34" t="str">
        <f>VLOOKUP(Observaciones[Caso de Prueba],CasoPrueba[[#All],[Código CP]:[Prioridad]],7,TRUE)</f>
        <v>Alta</v>
      </c>
      <c r="E446" s="34" t="s">
        <v>28</v>
      </c>
      <c r="F446" s="34" t="s">
        <v>49</v>
      </c>
      <c r="G446" s="73">
        <v>40853</v>
      </c>
      <c r="H446" s="73">
        <v>40855</v>
      </c>
      <c r="I446" s="94" t="s">
        <v>132</v>
      </c>
      <c r="J446" s="34" t="s">
        <v>1303</v>
      </c>
      <c r="K446" s="34" t="s">
        <v>1307</v>
      </c>
      <c r="L446" s="34">
        <f>IF((Observaciones[[#This Row],[Fecha Levantamiento]]-Observaciones[[#This Row],[Fecha Detección]])&gt;=0,Observaciones[[#This Row],[Fecha Levantamiento]]-Observaciones[[#This Row],[Fecha Detección]]+1,0)</f>
        <v>3</v>
      </c>
      <c r="M446" s="34" t="str">
        <f>LOOKUP(Observaciones[[#This Row],[Caso de Prueba]],CasoPrueba[Código CP],CasoPrueba[Código de REQ])</f>
        <v>INSPECCIÓN</v>
      </c>
    </row>
    <row r="447" spans="1:13" ht="30" hidden="1">
      <c r="A447" s="166" t="s">
        <v>1247</v>
      </c>
      <c r="B447" s="34" t="s">
        <v>1182</v>
      </c>
      <c r="C447" s="34" t="str">
        <f>VLOOKUP(Observaciones[[#This Row],[Caso de Prueba]],CasoPrueba[[Código CP]:[Descripción Caso de Prueba]],3,0)</f>
        <v>Arquitectura de Procesos</v>
      </c>
      <c r="D447" s="34" t="str">
        <f>VLOOKUP(Observaciones[Caso de Prueba],CasoPrueba[[#All],[Código CP]:[Prioridad]],7,TRUE)</f>
        <v>Alta</v>
      </c>
      <c r="E447" s="34" t="s">
        <v>29</v>
      </c>
      <c r="F447" s="34" t="s">
        <v>49</v>
      </c>
      <c r="G447" s="73">
        <v>40853</v>
      </c>
      <c r="H447" s="73">
        <v>40855</v>
      </c>
      <c r="I447" s="94" t="s">
        <v>132</v>
      </c>
      <c r="J447" s="34" t="s">
        <v>1304</v>
      </c>
      <c r="K447" s="34" t="s">
        <v>1318</v>
      </c>
      <c r="L447" s="34">
        <f>IF((Observaciones[[#This Row],[Fecha Levantamiento]]-Observaciones[[#This Row],[Fecha Detección]])&gt;=0,Observaciones[[#This Row],[Fecha Levantamiento]]-Observaciones[[#This Row],[Fecha Detección]]+1,0)</f>
        <v>3</v>
      </c>
      <c r="M447" s="34" t="str">
        <f>LOOKUP(Observaciones[[#This Row],[Caso de Prueba]],CasoPrueba[Código CP],CasoPrueba[Código de REQ])</f>
        <v>INSPECCIÓN</v>
      </c>
    </row>
    <row r="448" spans="1:13" ht="30" hidden="1">
      <c r="A448" s="164" t="s">
        <v>1324</v>
      </c>
      <c r="B448" s="34" t="s">
        <v>1182</v>
      </c>
      <c r="C448" s="34" t="str">
        <f>VLOOKUP(Observaciones[[#This Row],[Caso de Prueba]],CasoPrueba[[Código CP]:[Descripción Caso de Prueba]],3,0)</f>
        <v>Arquitectura de Procesos</v>
      </c>
      <c r="D448" s="164" t="str">
        <f>VLOOKUP(Observaciones[Caso de Prueba],CasoPrueba[[#All],[Código CP]:[Prioridad]],7,TRUE)</f>
        <v>Alta</v>
      </c>
      <c r="E448" s="34" t="s">
        <v>29</v>
      </c>
      <c r="F448" s="34" t="s">
        <v>49</v>
      </c>
      <c r="G448" s="73">
        <v>40856</v>
      </c>
      <c r="H448" s="73">
        <v>40826</v>
      </c>
      <c r="I448" s="94" t="s">
        <v>132</v>
      </c>
      <c r="J448" s="34" t="s">
        <v>1325</v>
      </c>
      <c r="K448" s="164" t="s">
        <v>1337</v>
      </c>
      <c r="L448" s="164">
        <f>IF((Observaciones[[#This Row],[Fecha Levantamiento]]-Observaciones[[#This Row],[Fecha Detección]])&gt;=0,Observaciones[[#This Row],[Fecha Levantamiento]]-Observaciones[[#This Row],[Fecha Detección]]+1,0)</f>
        <v>0</v>
      </c>
      <c r="M448" s="164" t="str">
        <f>LOOKUP(Observaciones[[#This Row],[Caso de Prueba]],CasoPrueba[Código CP],CasoPrueba[Código de REQ])</f>
        <v>INSPECCIÓN</v>
      </c>
    </row>
    <row r="449" spans="1:13" ht="45" hidden="1">
      <c r="A449" s="164" t="s">
        <v>1326</v>
      </c>
      <c r="B449" s="34" t="s">
        <v>1182</v>
      </c>
      <c r="C449" s="34" t="str">
        <f>VLOOKUP(Observaciones[[#This Row],[Caso de Prueba]],CasoPrueba[[Código CP]:[Descripción Caso de Prueba]],3,0)</f>
        <v>Arquitectura de Procesos</v>
      </c>
      <c r="D449" s="164" t="str">
        <f>VLOOKUP(Observaciones[Caso de Prueba],CasoPrueba[[#All],[Código CP]:[Prioridad]],7,TRUE)</f>
        <v>Alta</v>
      </c>
      <c r="E449" s="164" t="s">
        <v>162</v>
      </c>
      <c r="F449" s="34" t="s">
        <v>49</v>
      </c>
      <c r="G449" s="73">
        <v>40856</v>
      </c>
      <c r="H449" s="73">
        <v>40826</v>
      </c>
      <c r="I449" s="94" t="s">
        <v>132</v>
      </c>
      <c r="J449" s="164" t="s">
        <v>1327</v>
      </c>
      <c r="K449" s="164" t="s">
        <v>1336</v>
      </c>
      <c r="L449" s="164">
        <f>IF((Observaciones[[#This Row],[Fecha Levantamiento]]-Observaciones[[#This Row],[Fecha Detección]])&gt;=0,Observaciones[[#This Row],[Fecha Levantamiento]]-Observaciones[[#This Row],[Fecha Detección]]+1,0)</f>
        <v>0</v>
      </c>
      <c r="M449" s="164" t="str">
        <f>LOOKUP(Observaciones[[#This Row],[Caso de Prueba]],CasoPrueba[Código CP],CasoPrueba[Código de REQ])</f>
        <v>INSPECCIÓN</v>
      </c>
    </row>
    <row r="450" spans="1:13" ht="30" hidden="1">
      <c r="A450" s="164" t="s">
        <v>1328</v>
      </c>
      <c r="B450" s="34" t="s">
        <v>1182</v>
      </c>
      <c r="C450" s="34" t="str">
        <f>VLOOKUP(Observaciones[[#This Row],[Caso de Prueba]],CasoPrueba[[Código CP]:[Descripción Caso de Prueba]],3,0)</f>
        <v>Arquitectura de Procesos</v>
      </c>
      <c r="D450" s="164" t="str">
        <f>VLOOKUP(Observaciones[Caso de Prueba],CasoPrueba[[#All],[Código CP]:[Prioridad]],7,TRUE)</f>
        <v>Alta</v>
      </c>
      <c r="E450" s="164" t="s">
        <v>30</v>
      </c>
      <c r="F450" s="34" t="s">
        <v>49</v>
      </c>
      <c r="G450" s="73">
        <v>40856</v>
      </c>
      <c r="H450" s="73">
        <v>40826</v>
      </c>
      <c r="I450" s="94" t="s">
        <v>132</v>
      </c>
      <c r="J450" s="164" t="s">
        <v>1329</v>
      </c>
      <c r="K450" s="164" t="s">
        <v>1338</v>
      </c>
      <c r="L450" s="164">
        <f>IF((Observaciones[[#This Row],[Fecha Levantamiento]]-Observaciones[[#This Row],[Fecha Detección]])&gt;=0,Observaciones[[#This Row],[Fecha Levantamiento]]-Observaciones[[#This Row],[Fecha Detección]]+1,0)</f>
        <v>0</v>
      </c>
      <c r="M450" s="164" t="str">
        <f>LOOKUP(Observaciones[[#This Row],[Caso de Prueba]],CasoPrueba[Código CP],CasoPrueba[Código de REQ])</f>
        <v>INSPECCIÓN</v>
      </c>
    </row>
    <row r="451" spans="1:13" ht="45" hidden="1">
      <c r="A451" s="166" t="s">
        <v>1330</v>
      </c>
      <c r="B451" s="34" t="s">
        <v>1186</v>
      </c>
      <c r="C451" s="34" t="str">
        <f>VLOOKUP(Observaciones[[#This Row],[Caso de Prueba]],CasoPrueba[[Código CP]:[Descripción Caso de Prueba]],3,0)</f>
        <v>RAM (Matriz de Asignación de Responsabilidades)</v>
      </c>
      <c r="D451" s="34" t="str">
        <f>VLOOKUP(Observaciones[Caso de Prueba],CasoPrueba[[#All],[Código CP]:[Prioridad]],7,TRUE)</f>
        <v>Alta</v>
      </c>
      <c r="E451" s="34" t="s">
        <v>29</v>
      </c>
      <c r="F451" s="34" t="s">
        <v>49</v>
      </c>
      <c r="G451" s="73">
        <v>40856</v>
      </c>
      <c r="H451" s="73">
        <v>40827</v>
      </c>
      <c r="I451" s="94" t="s">
        <v>132</v>
      </c>
      <c r="J451" s="34" t="s">
        <v>1332</v>
      </c>
      <c r="K451" s="34" t="s">
        <v>1339</v>
      </c>
      <c r="L451" s="34">
        <f>IF((Observaciones[[#This Row],[Fecha Levantamiento]]-Observaciones[[#This Row],[Fecha Detección]])&gt;=0,Observaciones[[#This Row],[Fecha Levantamiento]]-Observaciones[[#This Row],[Fecha Detección]]+1,0)</f>
        <v>0</v>
      </c>
      <c r="M451" s="34" t="str">
        <f>LOOKUP(Observaciones[[#This Row],[Caso de Prueba]],CasoPrueba[Código CP],CasoPrueba[Código de REQ])</f>
        <v>INSPECCIÓN</v>
      </c>
    </row>
    <row r="452" spans="1:13" hidden="1">
      <c r="A452" s="164" t="s">
        <v>1331</v>
      </c>
      <c r="B452" s="34" t="s">
        <v>1186</v>
      </c>
      <c r="C452" s="34" t="str">
        <f>VLOOKUP(Observaciones[[#This Row],[Caso de Prueba]],CasoPrueba[[Código CP]:[Descripción Caso de Prueba]],3,0)</f>
        <v>RAM (Matriz de Asignación de Responsabilidades)</v>
      </c>
      <c r="D452" s="34" t="str">
        <f>VLOOKUP(Observaciones[Caso de Prueba],CasoPrueba[[#All],[Código CP]:[Prioridad]],7,TRUE)</f>
        <v>Alta</v>
      </c>
      <c r="E452" s="34" t="s">
        <v>29</v>
      </c>
      <c r="F452" s="34" t="s">
        <v>49</v>
      </c>
      <c r="G452" s="73">
        <v>40856</v>
      </c>
      <c r="H452" s="73">
        <v>40827</v>
      </c>
      <c r="I452" s="94" t="s">
        <v>132</v>
      </c>
      <c r="J452" s="34" t="s">
        <v>1333</v>
      </c>
      <c r="K452" s="34" t="s">
        <v>987</v>
      </c>
      <c r="L452" s="34">
        <f>IF((Observaciones[[#This Row],[Fecha Levantamiento]]-Observaciones[[#This Row],[Fecha Detección]])&gt;=0,Observaciones[[#This Row],[Fecha Levantamiento]]-Observaciones[[#This Row],[Fecha Detección]]+1,0)</f>
        <v>0</v>
      </c>
      <c r="M452" s="34" t="str">
        <f>LOOKUP(Observaciones[[#This Row],[Caso de Prueba]],CasoPrueba[Código CP],CasoPrueba[Código de REQ])</f>
        <v>INSPECCIÓN</v>
      </c>
    </row>
    <row r="453" spans="1:13" ht="45">
      <c r="A453" s="208" t="s">
        <v>1340</v>
      </c>
      <c r="B453" s="174" t="s">
        <v>88</v>
      </c>
      <c r="C453" s="174" t="str">
        <f>VLOOKUP(Observaciones[[#This Row],[Caso de Prueba]],CasoPrueba[[Código CP]:[Descripción Caso de Prueba]],3,0)</f>
        <v>MacroProceso - Gestión de Recursos Humanos</v>
      </c>
      <c r="D453" s="174" t="str">
        <f>VLOOKUP(Observaciones[Caso de Prueba],CasoPrueba[[#All],[Código CP]:[Prioridad]],7,TRUE)</f>
        <v>Alta</v>
      </c>
      <c r="E453" s="174" t="s">
        <v>29</v>
      </c>
      <c r="F453" s="174" t="s">
        <v>47</v>
      </c>
      <c r="G453" s="175">
        <v>40860</v>
      </c>
      <c r="H453" s="175"/>
      <c r="I453" s="176" t="s">
        <v>132</v>
      </c>
      <c r="J453" s="174" t="s">
        <v>1349</v>
      </c>
      <c r="K453" s="174" t="s">
        <v>1372</v>
      </c>
      <c r="L453" s="174">
        <f>IF((Observaciones[[#This Row],[Fecha Levantamiento]]-Observaciones[[#This Row],[Fecha Detección]])&gt;=0,Observaciones[[#This Row],[Fecha Levantamiento]]-Observaciones[[#This Row],[Fecha Detección]]+1,0)</f>
        <v>0</v>
      </c>
      <c r="M453" s="174" t="str">
        <f>LOOKUP(Observaciones[[#This Row],[Caso de Prueba]],CasoPrueba[Código CP],CasoPrueba[Código de REQ])</f>
        <v>INSPECCIÓN</v>
      </c>
    </row>
    <row r="454" spans="1:13">
      <c r="A454" s="208" t="s">
        <v>1341</v>
      </c>
      <c r="B454" s="174" t="s">
        <v>151</v>
      </c>
      <c r="C454" s="174" t="str">
        <f>VLOOKUP(Observaciones[[#This Row],[Caso de Prueba]],CasoPrueba[[Código CP]:[Descripción Caso de Prueba]],3,0)</f>
        <v>Proceso - Capacitación de Personal</v>
      </c>
      <c r="D454" s="174" t="str">
        <f>VLOOKUP(Observaciones[Caso de Prueba],CasoPrueba[[#All],[Código CP]:[Prioridad]],7,TRUE)</f>
        <v>Alta</v>
      </c>
      <c r="E454" s="174" t="s">
        <v>29</v>
      </c>
      <c r="F454" s="174" t="s">
        <v>47</v>
      </c>
      <c r="G454" s="175">
        <v>40860</v>
      </c>
      <c r="H454" s="175"/>
      <c r="I454" s="176" t="s">
        <v>132</v>
      </c>
      <c r="J454" s="174" t="s">
        <v>250</v>
      </c>
      <c r="K454" s="174" t="s">
        <v>1379</v>
      </c>
      <c r="L454" s="174">
        <f>IF((Observaciones[[#This Row],[Fecha Levantamiento]]-Observaciones[[#This Row],[Fecha Detección]])&gt;=0,Observaciones[[#This Row],[Fecha Levantamiento]]-Observaciones[[#This Row],[Fecha Detección]]+1,0)</f>
        <v>0</v>
      </c>
      <c r="M454" s="174" t="str">
        <f>LOOKUP(Observaciones[[#This Row],[Caso de Prueba]],CasoPrueba[Código CP],CasoPrueba[Código de REQ])</f>
        <v>INSPECCIÓN</v>
      </c>
    </row>
    <row r="455" spans="1:13" ht="45" customHeight="1">
      <c r="A455" s="208" t="s">
        <v>1342</v>
      </c>
      <c r="B455" s="174" t="s">
        <v>152</v>
      </c>
      <c r="C455" s="174" t="str">
        <f>VLOOKUP(Observaciones[[#This Row],[Caso de Prueba]],CasoPrueba[[Código CP]:[Descripción Caso de Prueba]],3,0)</f>
        <v>Proceso - Contratación e Inducción</v>
      </c>
      <c r="D455" s="174" t="str">
        <f>VLOOKUP(Observaciones[Caso de Prueba],CasoPrueba[[#All],[Código CP]:[Prioridad]],7,TRUE)</f>
        <v>Alta</v>
      </c>
      <c r="E455" s="174" t="s">
        <v>30</v>
      </c>
      <c r="F455" s="174" t="s">
        <v>47</v>
      </c>
      <c r="G455" s="175">
        <v>40860</v>
      </c>
      <c r="H455" s="175"/>
      <c r="I455" s="176" t="s">
        <v>132</v>
      </c>
      <c r="J455" s="174" t="s">
        <v>1350</v>
      </c>
      <c r="K455" s="174" t="s">
        <v>1373</v>
      </c>
      <c r="L455" s="174">
        <f>IF((Observaciones[[#This Row],[Fecha Levantamiento]]-Observaciones[[#This Row],[Fecha Detección]])&gt;=0,Observaciones[[#This Row],[Fecha Levantamiento]]-Observaciones[[#This Row],[Fecha Detección]]+1,0)</f>
        <v>0</v>
      </c>
      <c r="M455" s="174" t="str">
        <f>LOOKUP(Observaciones[[#This Row],[Caso de Prueba]],CasoPrueba[Código CP],CasoPrueba[Código de REQ])</f>
        <v>INSPECCIÓN</v>
      </c>
    </row>
    <row r="456" spans="1:13" ht="45">
      <c r="A456" s="208" t="s">
        <v>1343</v>
      </c>
      <c r="B456" s="174" t="s">
        <v>154</v>
      </c>
      <c r="C456" s="174" t="str">
        <f>VLOOKUP(Observaciones[[#This Row],[Caso de Prueba]],CasoPrueba[[Código CP]:[Descripción Caso de Prueba]],3,0)</f>
        <v>Proceso - Evaluación de Postulantes</v>
      </c>
      <c r="D456" s="174" t="str">
        <f>VLOOKUP(Observaciones[Caso de Prueba],CasoPrueba[[#All],[Código CP]:[Prioridad]],7,TRUE)</f>
        <v>Alta</v>
      </c>
      <c r="E456" s="174" t="s">
        <v>30</v>
      </c>
      <c r="F456" s="174" t="s">
        <v>47</v>
      </c>
      <c r="G456" s="175">
        <v>40860</v>
      </c>
      <c r="H456" s="175"/>
      <c r="I456" s="176" t="s">
        <v>132</v>
      </c>
      <c r="J456" s="174" t="s">
        <v>1351</v>
      </c>
      <c r="K456" s="174" t="s">
        <v>1374</v>
      </c>
      <c r="L456" s="174">
        <f>IF((Observaciones[[#This Row],[Fecha Levantamiento]]-Observaciones[[#This Row],[Fecha Detección]])&gt;=0,Observaciones[[#This Row],[Fecha Levantamiento]]-Observaciones[[#This Row],[Fecha Detección]]+1,0)</f>
        <v>0</v>
      </c>
      <c r="M456" s="174" t="str">
        <f>LOOKUP(Observaciones[[#This Row],[Caso de Prueba]],CasoPrueba[Código CP],CasoPrueba[Código de REQ])</f>
        <v>INSPECCIÓN</v>
      </c>
    </row>
    <row r="457" spans="1:13" ht="30">
      <c r="A457" s="208" t="s">
        <v>1344</v>
      </c>
      <c r="B457" s="174" t="s">
        <v>158</v>
      </c>
      <c r="C457" s="174" t="str">
        <f>VLOOKUP(Observaciones[[#This Row],[Caso de Prueba]],CasoPrueba[[Código CP]:[Descripción Caso de Prueba]],3,0)</f>
        <v>Proceso - Solicitud de Fondos de Viaje</v>
      </c>
      <c r="D457" s="174" t="str">
        <f>VLOOKUP(Observaciones[Caso de Prueba],CasoPrueba[[#All],[Código CP]:[Prioridad]],7,TRUE)</f>
        <v>Alta</v>
      </c>
      <c r="E457" s="174" t="s">
        <v>28</v>
      </c>
      <c r="F457" s="174" t="s">
        <v>47</v>
      </c>
      <c r="G457" s="175">
        <v>40860</v>
      </c>
      <c r="H457" s="175"/>
      <c r="I457" s="176" t="s">
        <v>132</v>
      </c>
      <c r="J457" s="174" t="s">
        <v>1352</v>
      </c>
      <c r="K457" s="174" t="s">
        <v>1375</v>
      </c>
      <c r="L457" s="174">
        <f>IF((Observaciones[[#This Row],[Fecha Levantamiento]]-Observaciones[[#This Row],[Fecha Detección]])&gt;=0,Observaciones[[#This Row],[Fecha Levantamiento]]-Observaciones[[#This Row],[Fecha Detección]]+1,0)</f>
        <v>0</v>
      </c>
      <c r="M457" s="174" t="str">
        <f>LOOKUP(Observaciones[[#This Row],[Caso de Prueba]],CasoPrueba[Código CP],CasoPrueba[Código de REQ])</f>
        <v>INSPECCIÓN</v>
      </c>
    </row>
    <row r="458" spans="1:13" ht="60">
      <c r="A458" s="173" t="s">
        <v>1345</v>
      </c>
      <c r="B458" s="174" t="s">
        <v>171</v>
      </c>
      <c r="C458" s="174" t="str">
        <f>VLOOKUP(Observaciones[[#This Row],[Caso de Prueba]],CasoPrueba[[Código CP]:[Descripción Caso de Prueba]],3,0)</f>
        <v>Proceso - Solicitud de Personal</v>
      </c>
      <c r="D458" s="174" t="str">
        <f>VLOOKUP(Observaciones[Caso de Prueba],CasoPrueba[[#All],[Código CP]:[Prioridad]],7,TRUE)</f>
        <v>Alta</v>
      </c>
      <c r="E458" s="174" t="s">
        <v>30</v>
      </c>
      <c r="F458" s="174" t="s">
        <v>47</v>
      </c>
      <c r="G458" s="175">
        <v>40860</v>
      </c>
      <c r="H458" s="175"/>
      <c r="I458" s="176" t="s">
        <v>132</v>
      </c>
      <c r="J458" s="174" t="s">
        <v>1353</v>
      </c>
      <c r="K458" s="174" t="s">
        <v>1376</v>
      </c>
      <c r="L458" s="174">
        <f>IF((Observaciones[[#This Row],[Fecha Levantamiento]]-Observaciones[[#This Row],[Fecha Detección]])&gt;=0,Observaciones[[#This Row],[Fecha Levantamiento]]-Observaciones[[#This Row],[Fecha Detección]]+1,0)</f>
        <v>0</v>
      </c>
      <c r="M458" s="174" t="str">
        <f>LOOKUP(Observaciones[[#This Row],[Caso de Prueba]],CasoPrueba[Código CP],CasoPrueba[Código de REQ])</f>
        <v>INSPECCIÓN</v>
      </c>
    </row>
    <row r="459" spans="1:13">
      <c r="A459" s="164" t="s">
        <v>1346</v>
      </c>
      <c r="B459" s="34" t="s">
        <v>176</v>
      </c>
      <c r="C459" s="34" t="str">
        <f>VLOOKUP(Observaciones[[#This Row],[Caso de Prueba]],CasoPrueba[[Código CP]:[Descripción Caso de Prueba]],3,0)</f>
        <v>Proceso - Seguimiento  a los Programas Educativos Rurales</v>
      </c>
      <c r="D459" s="34" t="str">
        <f>VLOOKUP(Observaciones[Caso de Prueba],CasoPrueba[[#All],[Código CP]:[Prioridad]],7,TRUE)</f>
        <v>Alta</v>
      </c>
      <c r="E459" s="34" t="s">
        <v>29</v>
      </c>
      <c r="F459" s="34" t="s">
        <v>47</v>
      </c>
      <c r="G459" s="73">
        <v>40860</v>
      </c>
      <c r="I459" s="94" t="s">
        <v>132</v>
      </c>
      <c r="J459" s="34" t="s">
        <v>1354</v>
      </c>
      <c r="K459" s="34" t="s">
        <v>1377</v>
      </c>
      <c r="L459" s="34">
        <f>IF((Observaciones[[#This Row],[Fecha Levantamiento]]-Observaciones[[#This Row],[Fecha Detección]])&gt;=0,Observaciones[[#This Row],[Fecha Levantamiento]]-Observaciones[[#This Row],[Fecha Detección]]+1,0)</f>
        <v>0</v>
      </c>
      <c r="M459" s="34" t="str">
        <f>LOOKUP(Observaciones[[#This Row],[Caso de Prueba]],CasoPrueba[Código CP],CasoPrueba[Código de REQ])</f>
        <v>INSPECCIÓN</v>
      </c>
    </row>
    <row r="460" spans="1:13" ht="90">
      <c r="A460" s="164" t="s">
        <v>1347</v>
      </c>
      <c r="B460" s="34" t="s">
        <v>176</v>
      </c>
      <c r="C460" s="34" t="str">
        <f>VLOOKUP(Observaciones[[#This Row],[Caso de Prueba]],CasoPrueba[[Código CP]:[Descripción Caso de Prueba]],3,0)</f>
        <v>Proceso - Seguimiento  a los Programas Educativos Rurales</v>
      </c>
      <c r="D460" s="34" t="str">
        <f>VLOOKUP(Observaciones[Caso de Prueba],CasoPrueba[[#All],[Código CP]:[Prioridad]],7,TRUE)</f>
        <v>Alta</v>
      </c>
      <c r="E460" s="34" t="s">
        <v>30</v>
      </c>
      <c r="F460" s="34" t="s">
        <v>47</v>
      </c>
      <c r="G460" s="73">
        <v>40860</v>
      </c>
      <c r="I460" s="94" t="s">
        <v>132</v>
      </c>
      <c r="J460" s="34" t="s">
        <v>1355</v>
      </c>
      <c r="K460" s="34" t="s">
        <v>1378</v>
      </c>
      <c r="L460" s="34">
        <f>IF((Observaciones[[#This Row],[Fecha Levantamiento]]-Observaciones[[#This Row],[Fecha Detección]])&gt;=0,Observaciones[[#This Row],[Fecha Levantamiento]]-Observaciones[[#This Row],[Fecha Detección]]+1,0)</f>
        <v>0</v>
      </c>
      <c r="M460" s="34" t="str">
        <f>LOOKUP(Observaciones[[#This Row],[Caso de Prueba]],CasoPrueba[Código CP],CasoPrueba[Código de REQ])</f>
        <v>INSPECCIÓN</v>
      </c>
    </row>
    <row r="461" spans="1:13" ht="45">
      <c r="A461" s="173" t="s">
        <v>1348</v>
      </c>
      <c r="B461" s="174" t="s">
        <v>489</v>
      </c>
      <c r="C461" s="174" t="str">
        <f>VLOOKUP(Observaciones[[#This Row],[Caso de Prueba]],CasoPrueba[[Código CP]:[Descripción Caso de Prueba]],3,0)</f>
        <v>PROCESO - Planificación del Departamento de Proyectos</v>
      </c>
      <c r="D461" s="174" t="str">
        <f>VLOOKUP(Observaciones[Caso de Prueba],CasoPrueba[[#All],[Código CP]:[Prioridad]],7,TRUE)</f>
        <v>Alta</v>
      </c>
      <c r="E461" s="174" t="s">
        <v>29</v>
      </c>
      <c r="F461" s="174" t="s">
        <v>47</v>
      </c>
      <c r="G461" s="175">
        <v>40860</v>
      </c>
      <c r="H461" s="175"/>
      <c r="I461" s="176" t="s">
        <v>132</v>
      </c>
      <c r="J461" s="174" t="s">
        <v>1349</v>
      </c>
      <c r="K461" s="174" t="s">
        <v>1372</v>
      </c>
      <c r="L461" s="174">
        <f>IF((Observaciones[[#This Row],[Fecha Levantamiento]]-Observaciones[[#This Row],[Fecha Detección]])&gt;=0,Observaciones[[#This Row],[Fecha Levantamiento]]-Observaciones[[#This Row],[Fecha Detección]]+1,0)</f>
        <v>0</v>
      </c>
      <c r="M461" s="174" t="str">
        <f>LOOKUP(Observaciones[[#This Row],[Caso de Prueba]],CasoPrueba[Código CP],CasoPrueba[Código de REQ])</f>
        <v>INSPECCIÓN</v>
      </c>
    </row>
    <row r="462" spans="1:13" ht="30">
      <c r="A462" s="173" t="s">
        <v>1363</v>
      </c>
      <c r="B462" s="174" t="s">
        <v>616</v>
      </c>
      <c r="C462" s="174" t="str">
        <f>VLOOKUP(Observaciones[[#This Row],[Caso de Prueba]],CasoPrueba[[Código CP]:[Descripción Caso de Prueba]],3,0)</f>
        <v>Proceso - Elaboración de Campaña Publicitaria de Imagen Institucional</v>
      </c>
      <c r="D462" s="174" t="str">
        <f>VLOOKUP(Observaciones[Caso de Prueba],CasoPrueba[[#All],[Código CP]:[Prioridad]],7,TRUE)</f>
        <v>Alta</v>
      </c>
      <c r="E462" s="174" t="s">
        <v>28</v>
      </c>
      <c r="F462" s="174" t="s">
        <v>47</v>
      </c>
      <c r="G462" s="175">
        <v>40860</v>
      </c>
      <c r="H462" s="175"/>
      <c r="I462" s="176" t="s">
        <v>132</v>
      </c>
      <c r="J462" s="174" t="s">
        <v>1352</v>
      </c>
      <c r="K462" s="174" t="s">
        <v>1375</v>
      </c>
      <c r="L462" s="174">
        <f>IF((Observaciones[[#This Row],[Fecha Levantamiento]]-Observaciones[[#This Row],[Fecha Detección]])&gt;=0,Observaciones[[#This Row],[Fecha Levantamiento]]-Observaciones[[#This Row],[Fecha Detección]]+1,0)</f>
        <v>0</v>
      </c>
      <c r="M462" s="174" t="str">
        <f>LOOKUP(Observaciones[[#This Row],[Caso de Prueba]],CasoPrueba[Código CP],CasoPrueba[Código de REQ])</f>
        <v>INSPECCIÓN</v>
      </c>
    </row>
    <row r="463" spans="1:13" ht="45">
      <c r="A463" s="173" t="s">
        <v>1364</v>
      </c>
      <c r="B463" s="174" t="s">
        <v>619</v>
      </c>
      <c r="C463" s="174" t="str">
        <f>VLOOKUP(Observaciones[[#This Row],[Caso de Prueba]],CasoPrueba[[Código CP]:[Descripción Caso de Prueba]],3,0)</f>
        <v>Proceso - Recepción de Donaciones</v>
      </c>
      <c r="D463" s="174" t="str">
        <f>VLOOKUP(Observaciones[Caso de Prueba],CasoPrueba[[#All],[Código CP]:[Prioridad]],7,TRUE)</f>
        <v>Alta</v>
      </c>
      <c r="E463" s="174" t="s">
        <v>29</v>
      </c>
      <c r="F463" s="174" t="s">
        <v>47</v>
      </c>
      <c r="G463" s="175">
        <v>40860</v>
      </c>
      <c r="H463" s="175"/>
      <c r="I463" s="176" t="s">
        <v>132</v>
      </c>
      <c r="J463" s="174" t="s">
        <v>1349</v>
      </c>
      <c r="K463" s="174" t="s">
        <v>1372</v>
      </c>
      <c r="L463" s="174">
        <f>IF((Observaciones[[#This Row],[Fecha Levantamiento]]-Observaciones[[#This Row],[Fecha Detección]])&gt;=0,Observaciones[[#This Row],[Fecha Levantamiento]]-Observaciones[[#This Row],[Fecha Detección]]+1,0)</f>
        <v>0</v>
      </c>
      <c r="M463" s="174" t="str">
        <f>LOOKUP(Observaciones[[#This Row],[Caso de Prueba]],CasoPrueba[Código CP],CasoPrueba[Código de REQ])</f>
        <v>INSPECCIÓN</v>
      </c>
    </row>
    <row r="464" spans="1:13" ht="45">
      <c r="A464" s="173" t="s">
        <v>1365</v>
      </c>
      <c r="B464" s="174" t="s">
        <v>653</v>
      </c>
      <c r="C464" s="174" t="str">
        <f>VLOOKUP(Observaciones[[#This Row],[Caso de Prueba]],CasoPrueba[[Código CP]:[Descripción Caso de Prueba]],3,0)</f>
        <v>MacroProceso - Gestión de Abastecimiento</v>
      </c>
      <c r="D464" s="174" t="str">
        <f>VLOOKUP(Observaciones[Caso de Prueba],CasoPrueba[[#All],[Código CP]:[Prioridad]],7,TRUE)</f>
        <v>Alta</v>
      </c>
      <c r="E464" s="174" t="s">
        <v>29</v>
      </c>
      <c r="F464" s="174" t="s">
        <v>47</v>
      </c>
      <c r="G464" s="175">
        <v>40860</v>
      </c>
      <c r="H464" s="175"/>
      <c r="I464" s="176" t="s">
        <v>132</v>
      </c>
      <c r="J464" s="174" t="s">
        <v>1349</v>
      </c>
      <c r="K464" s="174" t="s">
        <v>1372</v>
      </c>
      <c r="L464" s="174">
        <f>IF((Observaciones[[#This Row],[Fecha Levantamiento]]-Observaciones[[#This Row],[Fecha Detección]])&gt;=0,Observaciones[[#This Row],[Fecha Levantamiento]]-Observaciones[[#This Row],[Fecha Detección]]+1,0)</f>
        <v>0</v>
      </c>
      <c r="M464" s="174" t="str">
        <f>LOOKUP(Observaciones[[#This Row],[Caso de Prueba]],CasoPrueba[Código CP],CasoPrueba[Código de REQ])</f>
        <v>INSPECCIÓN</v>
      </c>
    </row>
    <row r="465" spans="1:13" ht="45">
      <c r="A465" s="208" t="s">
        <v>1366</v>
      </c>
      <c r="B465" s="174" t="s">
        <v>905</v>
      </c>
      <c r="C465" s="174" t="str">
        <f>VLOOKUP(Observaciones[[#This Row],[Caso de Prueba]],CasoPrueba[[Código CP]:[Descripción Caso de Prueba]],3,0)</f>
        <v>PROCESO - Seguimiento Presupuestal</v>
      </c>
      <c r="D465" s="174" t="str">
        <f>VLOOKUP(Observaciones[Caso de Prueba],CasoPrueba[[#All],[Código CP]:[Prioridad]],7,TRUE)</f>
        <v>Alta</v>
      </c>
      <c r="E465" s="174" t="s">
        <v>29</v>
      </c>
      <c r="F465" s="174" t="s">
        <v>47</v>
      </c>
      <c r="G465" s="175">
        <v>40860</v>
      </c>
      <c r="H465" s="175"/>
      <c r="I465" s="176" t="s">
        <v>132</v>
      </c>
      <c r="J465" s="174" t="s">
        <v>1349</v>
      </c>
      <c r="K465" s="174" t="s">
        <v>1372</v>
      </c>
      <c r="L465" s="174">
        <f>IF((Observaciones[[#This Row],[Fecha Levantamiento]]-Observaciones[[#This Row],[Fecha Detección]])&gt;=0,Observaciones[[#This Row],[Fecha Levantamiento]]-Observaciones[[#This Row],[Fecha Detección]]+1,0)</f>
        <v>0</v>
      </c>
      <c r="M465" s="174" t="str">
        <f>LOOKUP(Observaciones[[#This Row],[Caso de Prueba]],CasoPrueba[Código CP],CasoPrueba[Código de REQ])</f>
        <v>INSPECCIÓN</v>
      </c>
    </row>
  </sheetData>
  <mergeCells count="1">
    <mergeCell ref="A1:L1"/>
  </mergeCells>
  <dataValidations disablePrompts="1" count="1">
    <dataValidation type="list" allowBlank="1" showInputMessage="1" showErrorMessage="1" sqref="I3:I465">
      <formula1>$O$1:$O$2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2</xdr:col>
                    <xdr:colOff>2562225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Resumen!$P$22:$P$24</xm:f>
          </x14:formula1>
          <xm:sqref>F284 F280:F282 F278 F269:F276 F257:F267 F3:F238 F286:F292 F294:F298 F302:F304</xm:sqref>
        </x14:dataValidation>
        <x14:dataValidation type="list" allowBlank="1" showInputMessage="1" showErrorMessage="1">
          <x14:formula1>
            <xm:f>Resumen!$P$11:$P$14</xm:f>
          </x14:formula1>
          <xm:sqref>E150:E185 E280:E281 E269 E257:E258 E3:E148 E190:E191 E193:E215 E218:E238 E286 E294 E302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H11" sqref="H11"/>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6" t="s">
        <v>103</v>
      </c>
      <c r="B1" s="206"/>
      <c r="C1" s="206"/>
      <c r="D1" s="206"/>
      <c r="E1" s="206"/>
      <c r="F1" s="206"/>
      <c r="G1" s="206"/>
      <c r="H1" s="206"/>
      <c r="I1" s="206"/>
      <c r="J1" s="206"/>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464</v>
      </c>
      <c r="C3" s="34" t="str">
        <f>VLOOKUP(Consultas[[#This Row],[Caso de Prueba]],CasoPrueba[[#All],[Código CP]:[Prioridad]],7,TRUE)</f>
        <v>Alta</v>
      </c>
      <c r="D3" s="31" t="s">
        <v>49</v>
      </c>
      <c r="E3" s="31" t="s">
        <v>147</v>
      </c>
      <c r="F3" s="32">
        <v>40800</v>
      </c>
      <c r="H3" s="31" t="s">
        <v>463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20"/>
  <sheetViews>
    <sheetView zoomScale="85" zoomScaleNormal="85" workbookViewId="0">
      <selection activeCell="O22" sqref="O2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7" t="s">
        <v>111</v>
      </c>
      <c r="C2" s="207"/>
      <c r="D2" s="207"/>
      <c r="E2" s="207"/>
      <c r="F2" s="207"/>
      <c r="G2" s="207"/>
      <c r="H2" s="207"/>
      <c r="I2" s="207"/>
      <c r="J2" s="207"/>
      <c r="L2" s="207" t="s">
        <v>112</v>
      </c>
      <c r="M2" s="207"/>
      <c r="N2" s="207"/>
      <c r="O2" s="207"/>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row r="13" spans="2:15">
      <c r="B13" s="69">
        <v>40848</v>
      </c>
      <c r="C13" s="40">
        <v>13</v>
      </c>
      <c r="D13" s="40">
        <v>22</v>
      </c>
      <c r="E13" s="40">
        <v>0</v>
      </c>
      <c r="F13" s="40">
        <v>1</v>
      </c>
      <c r="G13" s="40">
        <v>0</v>
      </c>
      <c r="H13" s="40">
        <v>0</v>
      </c>
      <c r="I13" s="40">
        <v>0</v>
      </c>
      <c r="J13" s="42">
        <f>SUM(HistóricoEjecuciones[[#This Row],[Aciertos]:[En Proceso]])</f>
        <v>36</v>
      </c>
      <c r="L13" s="69">
        <v>40848</v>
      </c>
      <c r="M13" s="40">
        <v>36</v>
      </c>
      <c r="N13" s="40">
        <v>333</v>
      </c>
      <c r="O13" s="70">
        <f>SUM(HistoricoIncidencias[[#This Row],[Abiertas]:[Cerradas]])</f>
        <v>369</v>
      </c>
    </row>
    <row r="14" spans="2:15">
      <c r="B14" s="69">
        <v>40852</v>
      </c>
      <c r="C14" s="40">
        <v>31</v>
      </c>
      <c r="D14" s="40">
        <v>4</v>
      </c>
      <c r="E14" s="40">
        <v>0</v>
      </c>
      <c r="F14" s="40">
        <v>1</v>
      </c>
      <c r="G14" s="40">
        <v>0</v>
      </c>
      <c r="H14" s="40">
        <v>0</v>
      </c>
      <c r="I14" s="40">
        <v>0</v>
      </c>
      <c r="J14" s="42">
        <f>SUM(HistóricoEjecuciones[[#This Row],[Aciertos]:[En Proceso]])</f>
        <v>36</v>
      </c>
      <c r="L14" s="69">
        <v>40852</v>
      </c>
      <c r="M14" s="40">
        <v>11</v>
      </c>
      <c r="N14" s="40">
        <v>369</v>
      </c>
      <c r="O14" s="70">
        <f>SUM(HistoricoIncidencias[[#This Row],[Abiertas]:[Cerradas]])</f>
        <v>380</v>
      </c>
    </row>
    <row r="15" spans="2:15">
      <c r="B15" s="69">
        <v>40852</v>
      </c>
      <c r="C15" s="40">
        <v>35</v>
      </c>
      <c r="D15" s="40">
        <v>1</v>
      </c>
      <c r="E15" s="40">
        <v>0</v>
      </c>
      <c r="F15" s="40">
        <v>0</v>
      </c>
      <c r="G15" s="40">
        <v>0</v>
      </c>
      <c r="H15" s="40">
        <v>0</v>
      </c>
      <c r="I15" s="40">
        <v>0</v>
      </c>
      <c r="J15" s="42">
        <f>SUM(HistóricoEjecuciones[[#This Row],[Aciertos]:[En Proceso]])</f>
        <v>36</v>
      </c>
      <c r="L15" s="69">
        <v>40852</v>
      </c>
      <c r="M15" s="40">
        <v>5</v>
      </c>
      <c r="N15" s="40">
        <v>380</v>
      </c>
      <c r="O15" s="70">
        <f>SUM(HistoricoIncidencias[[#This Row],[Abiertas]:[Cerradas]])</f>
        <v>385</v>
      </c>
    </row>
    <row r="16" spans="2:15">
      <c r="B16" s="69">
        <v>40853</v>
      </c>
      <c r="C16" s="40">
        <v>36</v>
      </c>
      <c r="D16" s="40">
        <v>1</v>
      </c>
      <c r="E16" s="40">
        <v>0</v>
      </c>
      <c r="F16" s="40">
        <v>0</v>
      </c>
      <c r="G16" s="40">
        <v>0</v>
      </c>
      <c r="H16" s="40">
        <v>0</v>
      </c>
      <c r="I16" s="40">
        <v>0</v>
      </c>
      <c r="J16" s="42">
        <f>SUM(HistóricoEjecuciones[[#This Row],[Aciertos]:[En Proceso]])</f>
        <v>37</v>
      </c>
      <c r="L16" s="69">
        <v>40853</v>
      </c>
      <c r="M16" s="40">
        <v>48</v>
      </c>
      <c r="N16" s="40">
        <v>380</v>
      </c>
      <c r="O16" s="70">
        <f>SUM(HistoricoIncidencias[[#This Row],[Abiertas]:[Cerradas]])</f>
        <v>428</v>
      </c>
    </row>
    <row r="17" spans="2:15">
      <c r="B17" s="69">
        <v>40854</v>
      </c>
      <c r="C17" s="40">
        <v>36</v>
      </c>
      <c r="D17" s="40">
        <v>1</v>
      </c>
      <c r="E17" s="40">
        <v>0</v>
      </c>
      <c r="F17" s="40">
        <v>0</v>
      </c>
      <c r="G17" s="40">
        <v>0</v>
      </c>
      <c r="H17" s="40">
        <v>0</v>
      </c>
      <c r="I17" s="40">
        <v>0</v>
      </c>
      <c r="J17" s="42">
        <f>SUM(HistóricoEjecuciones[[#This Row],[Aciertos]:[En Proceso]])</f>
        <v>37</v>
      </c>
      <c r="L17" s="69">
        <v>40854</v>
      </c>
      <c r="M17" s="40">
        <v>20</v>
      </c>
      <c r="N17" s="40">
        <v>425</v>
      </c>
      <c r="O17" s="70">
        <f>SUM(HistoricoIncidencias[[#This Row],[Abiertas]:[Cerradas]])</f>
        <v>445</v>
      </c>
    </row>
    <row r="18" spans="2:15">
      <c r="B18" s="69">
        <v>40856</v>
      </c>
      <c r="C18" s="40">
        <v>35</v>
      </c>
      <c r="D18" s="40">
        <v>2</v>
      </c>
      <c r="E18" s="40">
        <v>0</v>
      </c>
      <c r="F18" s="40">
        <v>0</v>
      </c>
      <c r="G18" s="40">
        <v>0</v>
      </c>
      <c r="H18" s="40">
        <v>0</v>
      </c>
      <c r="I18" s="40">
        <v>0</v>
      </c>
      <c r="J18" s="42">
        <f>SUM(HistóricoEjecuciones[[#This Row],[Aciertos]:[En Proceso]])</f>
        <v>37</v>
      </c>
      <c r="L18" s="69">
        <v>40856</v>
      </c>
      <c r="M18" s="40">
        <v>5</v>
      </c>
      <c r="N18" s="40">
        <v>445</v>
      </c>
      <c r="O18" s="70">
        <f>SUM(HistoricoIncidencias[[#This Row],[Abiertas]:[Cerradas]])</f>
        <v>450</v>
      </c>
    </row>
    <row r="19" spans="2:15">
      <c r="B19" s="69">
        <v>40858</v>
      </c>
      <c r="C19" s="40">
        <v>37</v>
      </c>
      <c r="D19" s="40">
        <v>0</v>
      </c>
      <c r="E19" s="40">
        <v>0</v>
      </c>
      <c r="F19" s="40">
        <v>0</v>
      </c>
      <c r="G19" s="40">
        <v>0</v>
      </c>
      <c r="H19" s="40">
        <v>0</v>
      </c>
      <c r="I19" s="40">
        <v>0</v>
      </c>
      <c r="J19" s="42">
        <f>SUM(HistóricoEjecuciones[[#This Row],[Aciertos]:[En Proceso]])</f>
        <v>37</v>
      </c>
      <c r="L19" s="69">
        <v>40858</v>
      </c>
      <c r="M19" s="40">
        <v>0</v>
      </c>
      <c r="N19" s="40">
        <v>450</v>
      </c>
      <c r="O19" s="70">
        <f>SUM(HistoricoIncidencias[[#This Row],[Abiertas]:[Cerradas]])</f>
        <v>450</v>
      </c>
    </row>
    <row r="20" spans="2:15">
      <c r="B20" s="69">
        <v>40860</v>
      </c>
      <c r="C20" s="40">
        <v>25</v>
      </c>
      <c r="D20" s="40">
        <v>12</v>
      </c>
      <c r="E20" s="40">
        <v>0</v>
      </c>
      <c r="F20" s="40">
        <v>0</v>
      </c>
      <c r="G20" s="40">
        <v>0</v>
      </c>
      <c r="H20" s="40">
        <v>0</v>
      </c>
      <c r="I20" s="40">
        <v>0</v>
      </c>
      <c r="J20" s="42">
        <f>SUM(HistóricoEjecuciones[[#This Row],[Aciertos]:[En Proceso]])</f>
        <v>37</v>
      </c>
      <c r="L20" s="69">
        <v>40860</v>
      </c>
      <c r="M20" s="40">
        <v>13</v>
      </c>
      <c r="N20" s="40">
        <v>450</v>
      </c>
      <c r="O20" s="70">
        <f>SUM(HistoricoIncidencias[[#This Row],[Abiertas]:[Cerradas]])</f>
        <v>463</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2011-11-22T07:06:59Z</dcterms:modified>
</cp:coreProperties>
</file>