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ctrlProps/ctrlProp2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360" yWindow="75" windowWidth="15000" windowHeight="8070" tabRatio="783" activeTab="4"/>
  </bookViews>
  <sheets>
    <sheet name="General" sheetId="1" r:id="rId1"/>
    <sheet name="Resumen" sheetId="2" r:id="rId2"/>
    <sheet name="CuadrosResumen" sheetId="7" r:id="rId3"/>
    <sheet name="Iteracion" sheetId="3" r:id="rId4"/>
    <sheet name="Observaciones" sheetId="4" r:id="rId5"/>
    <sheet name="Consultas" sheetId="5" r:id="rId6"/>
    <sheet name="HistoricoAvance" sheetId="6" r:id="rId7"/>
  </sheets>
  <functionGroups builtInGroupCount="17"/>
  <calcPr calcId="144525"/>
  <pivotCaches>
    <pivotCache cacheId="0" r:id="rId8"/>
    <pivotCache cacheId="1" r:id="rId9"/>
    <pivotCache cacheId="2" r:id="rId10"/>
    <pivotCache cacheId="3" r:id="rId11"/>
    <pivotCache cacheId="4" r:id="rId12"/>
    <pivotCache cacheId="5" r:id="rId13"/>
  </pivotCaches>
</workbook>
</file>

<file path=xl/calcChain.xml><?xml version="1.0" encoding="utf-8"?>
<calcChain xmlns="http://schemas.openxmlformats.org/spreadsheetml/2006/main">
  <c r="C4" i="5" l="1"/>
  <c r="J4" i="5"/>
  <c r="J3" i="5" l="1"/>
  <c r="C3" i="5"/>
  <c r="L5" i="3" l="1"/>
  <c r="L6" i="3" l="1"/>
  <c r="L7" i="3"/>
  <c r="L8" i="3"/>
  <c r="Q8" i="3" l="1"/>
  <c r="Q7" i="3"/>
  <c r="Q6" i="3"/>
  <c r="Q5" i="3"/>
  <c r="O8" i="6" l="1"/>
  <c r="J8" i="6"/>
  <c r="F8" i="3" l="1"/>
  <c r="O7" i="6" l="1"/>
  <c r="J7" i="6"/>
  <c r="O4" i="6" l="1"/>
  <c r="O5" i="6"/>
  <c r="O6" i="6"/>
  <c r="J6" i="6"/>
  <c r="F7" i="3" l="1"/>
  <c r="C10" i="2" l="1"/>
  <c r="J4" i="6" l="1"/>
  <c r="J5" i="6"/>
  <c r="C4" i="4" l="1"/>
  <c r="K4" i="4"/>
  <c r="L4" i="4"/>
  <c r="F6" i="3"/>
  <c r="L3" i="4"/>
  <c r="C3" i="4"/>
  <c r="C30" i="2"/>
  <c r="E30" i="2"/>
  <c r="C31" i="2"/>
  <c r="E31" i="2"/>
  <c r="C32" i="2"/>
  <c r="E32" i="2"/>
  <c r="C33" i="2"/>
  <c r="E33" i="2"/>
  <c r="I30" i="2" l="1"/>
  <c r="J30" i="2"/>
  <c r="K30" i="2"/>
  <c r="I33" i="2"/>
  <c r="K33" i="2"/>
  <c r="J33" i="2"/>
  <c r="E34" i="2"/>
  <c r="C34" i="2"/>
  <c r="J32" i="2" l="1"/>
  <c r="I32" i="2"/>
  <c r="K32" i="2"/>
  <c r="F5" i="3" l="1"/>
  <c r="I13" i="2" l="1"/>
  <c r="K13" i="2"/>
  <c r="K3" i="4"/>
  <c r="I31" i="2" l="1"/>
  <c r="I34" i="2" s="1"/>
  <c r="K31" i="2"/>
  <c r="K34" i="2" s="1"/>
  <c r="J31" i="2"/>
  <c r="J34" i="2" s="1"/>
  <c r="K20" i="2"/>
  <c r="K19" i="2"/>
  <c r="K18" i="2"/>
  <c r="I20" i="2"/>
  <c r="I19" i="2"/>
  <c r="I18" i="2"/>
  <c r="G20" i="2"/>
  <c r="G19" i="2"/>
  <c r="G18" i="2"/>
  <c r="M20" i="2"/>
  <c r="M19" i="2"/>
  <c r="M18" i="2"/>
  <c r="E20" i="2"/>
  <c r="E19" i="2"/>
  <c r="E18" i="2"/>
  <c r="C20" i="2"/>
  <c r="C19" i="2"/>
  <c r="C18" i="2"/>
  <c r="J13" i="2"/>
  <c r="H13" i="2"/>
  <c r="G13" i="2"/>
  <c r="F13" i="2"/>
  <c r="E13" i="2"/>
  <c r="C14" i="2"/>
  <c r="C13" i="2"/>
  <c r="C12" i="2"/>
  <c r="G2" i="3"/>
  <c r="G89" i="7"/>
  <c r="E2" i="3"/>
  <c r="G2" i="2"/>
  <c r="D2" i="2"/>
  <c r="D30" i="2" l="1"/>
  <c r="D31" i="2"/>
  <c r="F33" i="2"/>
  <c r="F32" i="2"/>
  <c r="D32" i="2"/>
  <c r="F30" i="2"/>
  <c r="D33" i="2"/>
  <c r="F31" i="2"/>
  <c r="C11" i="2"/>
  <c r="D6" i="2" s="1"/>
  <c r="D18" i="2"/>
  <c r="K14" i="2"/>
  <c r="G68" i="7"/>
  <c r="C21" i="2"/>
  <c r="F20" i="2"/>
  <c r="J19" i="2"/>
  <c r="L20" i="2"/>
  <c r="F19" i="2"/>
  <c r="N20" i="2"/>
  <c r="L19" i="2"/>
  <c r="F18" i="2"/>
  <c r="N19" i="2"/>
  <c r="H20" i="2"/>
  <c r="L18" i="2"/>
  <c r="N18" i="2"/>
  <c r="H19" i="2"/>
  <c r="J20" i="2"/>
  <c r="I21" i="2"/>
  <c r="G21" i="2"/>
  <c r="M21" i="2"/>
  <c r="K21" i="2"/>
  <c r="J18" i="2"/>
  <c r="H18" i="2"/>
  <c r="E21" i="2"/>
  <c r="D19" i="2"/>
  <c r="D20" i="2"/>
  <c r="F14" i="2"/>
  <c r="J14" i="2"/>
  <c r="E14" i="2"/>
  <c r="I14" i="2"/>
  <c r="H14" i="2"/>
  <c r="G14" i="2"/>
  <c r="F34" i="2" l="1"/>
  <c r="D34" i="2"/>
  <c r="D4" i="2"/>
  <c r="L21" i="2"/>
  <c r="G4" i="2"/>
  <c r="J21" i="2"/>
  <c r="F21" i="2"/>
  <c r="N21" i="2"/>
  <c r="H21" i="2"/>
  <c r="D21" i="2"/>
</calcChain>
</file>

<file path=xl/sharedStrings.xml><?xml version="1.0" encoding="utf-8"?>
<sst xmlns="http://schemas.openxmlformats.org/spreadsheetml/2006/main" count="284" uniqueCount="172">
  <si>
    <t>CASOS DE PRUEBA</t>
  </si>
  <si>
    <t>DATOS GENERALES</t>
  </si>
  <si>
    <t>Tipo de Solicitud</t>
  </si>
  <si>
    <t>Descripción</t>
  </si>
  <si>
    <t>Proveedor Desarrollo</t>
  </si>
  <si>
    <t>Pruebas de Sistemas</t>
  </si>
  <si>
    <t>Pruebas Post Producción</t>
  </si>
  <si>
    <t>Fecha Inicio</t>
  </si>
  <si>
    <t>Fecha Fin</t>
  </si>
  <si>
    <t>Código:</t>
  </si>
  <si>
    <t>Título:</t>
  </si>
  <si>
    <t>Avance Real:</t>
  </si>
  <si>
    <t>Resultado:</t>
  </si>
  <si>
    <t>Ejecutado:</t>
  </si>
  <si>
    <t>1. Casos de Prueba</t>
  </si>
  <si>
    <t>CP Totales</t>
  </si>
  <si>
    <t>CP Ejecutados</t>
  </si>
  <si>
    <t>CP Bloqueado</t>
  </si>
  <si>
    <t>CP Pendiente</t>
  </si>
  <si>
    <t>Acierto</t>
  </si>
  <si>
    <t>Fallo</t>
  </si>
  <si>
    <t>Bloqueado</t>
  </si>
  <si>
    <t>Pendiente</t>
  </si>
  <si>
    <t>No Aplica</t>
  </si>
  <si>
    <t>En Proceso</t>
  </si>
  <si>
    <t>Casos de Prueba</t>
  </si>
  <si>
    <t>Nº</t>
  </si>
  <si>
    <t>%</t>
  </si>
  <si>
    <t>Alta</t>
  </si>
  <si>
    <t>Media</t>
  </si>
  <si>
    <t>Baja</t>
  </si>
  <si>
    <t>TOTAL</t>
  </si>
  <si>
    <t>Severidad (SI)</t>
  </si>
  <si>
    <t>Severidad 1</t>
  </si>
  <si>
    <t>Bloqueante para el sistema</t>
  </si>
  <si>
    <t>Severidad 2</t>
  </si>
  <si>
    <t>Bloqueante para el negocio, flujo crítico interrumpido</t>
  </si>
  <si>
    <t>Severidad 3</t>
  </si>
  <si>
    <t>No bloqueante, flujo alterno interrumpido</t>
  </si>
  <si>
    <t>Severidad 4</t>
  </si>
  <si>
    <t>De carácter estético</t>
  </si>
  <si>
    <t>Prioridad (P)</t>
  </si>
  <si>
    <t>Abrev.</t>
  </si>
  <si>
    <t>A</t>
  </si>
  <si>
    <t>M</t>
  </si>
  <si>
    <t>B</t>
  </si>
  <si>
    <t>Estado (EI)</t>
  </si>
  <si>
    <t>Abierta</t>
  </si>
  <si>
    <t>Corregida</t>
  </si>
  <si>
    <t>Cerrada</t>
  </si>
  <si>
    <t>Incidencia respondida por el AM cuya verificación está en proceso</t>
  </si>
  <si>
    <t xml:space="preserve">Incidencia reportada al AM </t>
  </si>
  <si>
    <t>Incidencia verificada y levantada</t>
  </si>
  <si>
    <t>Estado Testing (ET)</t>
  </si>
  <si>
    <t>Descripión</t>
  </si>
  <si>
    <t>El resultado real es igual a resultado esperado</t>
  </si>
  <si>
    <t>No se cumple el caso esperado</t>
  </si>
  <si>
    <t>No se puede probar el CP, por dependecias de otro CP en Fallo o falta de prerequisitos o desarrollo</t>
  </si>
  <si>
    <t>El CP esta fuera de alcance de las pruebas de esta iteración</t>
  </si>
  <si>
    <t>Resultado</t>
  </si>
  <si>
    <t>SATISFACTORIO</t>
  </si>
  <si>
    <t>Las pruebas pasaron sin problemas</t>
  </si>
  <si>
    <t>SATISFACTORIO con Observaciones</t>
  </si>
  <si>
    <t>Durante las pruebas se realizaron observaciones menores.</t>
  </si>
  <si>
    <t>INSATISFACTORIO</t>
  </si>
  <si>
    <t>Se encontraron Incidencias de Severidad 1 o Severidad 2.</t>
  </si>
  <si>
    <t>CP cuya ejecución está en pendiente</t>
  </si>
  <si>
    <t>El CP cuya ejecución aún no se ha terminado.</t>
  </si>
  <si>
    <t>2. Incidencias</t>
  </si>
  <si>
    <t>Severidad (S)</t>
  </si>
  <si>
    <t>Incidencias Abiertas</t>
  </si>
  <si>
    <t>Incidencias Cerradas</t>
  </si>
  <si>
    <t>TOTALES</t>
  </si>
  <si>
    <t>Funcionalidad</t>
  </si>
  <si>
    <t>Descripción Caso de Prueba</t>
  </si>
  <si>
    <t>Resultado Esperado</t>
  </si>
  <si>
    <t>Resultado Real</t>
  </si>
  <si>
    <t>Estado Testing</t>
  </si>
  <si>
    <t>Prioridad</t>
  </si>
  <si>
    <t>Severidad</t>
  </si>
  <si>
    <t>Estado Incidencia</t>
  </si>
  <si>
    <t>Reejecución</t>
  </si>
  <si>
    <t>Fecha Planificada</t>
  </si>
  <si>
    <t>Fecha Real</t>
  </si>
  <si>
    <t>Duración Caso de Prueba (horas / hombre)</t>
  </si>
  <si>
    <t>Pre-requisitos para la ejecución de la prueba</t>
  </si>
  <si>
    <t>Observaciones Pruebas Testing</t>
  </si>
  <si>
    <t>Revisión</t>
  </si>
  <si>
    <t>CP001</t>
  </si>
  <si>
    <t>Cod. Obs.</t>
  </si>
  <si>
    <t>Caso de Prueba</t>
  </si>
  <si>
    <t>Estado</t>
  </si>
  <si>
    <t>Fecha Detección</t>
  </si>
  <si>
    <t>Fecha Levantamiento</t>
  </si>
  <si>
    <t>Solución</t>
  </si>
  <si>
    <t>Tiempo de Solución</t>
  </si>
  <si>
    <t>MATRIZ DE OBSERVACIONES</t>
  </si>
  <si>
    <t>OBS001</t>
  </si>
  <si>
    <t>Cod. Cons.</t>
  </si>
  <si>
    <t>Fecha Solicitud</t>
  </si>
  <si>
    <t>Fecha Respuesta</t>
  </si>
  <si>
    <t>Descripción de la Consulta</t>
  </si>
  <si>
    <t>Respuesta del Responsable</t>
  </si>
  <si>
    <t>MATRIZ DE CONSULTAS</t>
  </si>
  <si>
    <t>Tiempo de Solución (Dias)</t>
  </si>
  <si>
    <t>Aciertos</t>
  </si>
  <si>
    <t>Fallos</t>
  </si>
  <si>
    <t>Reejecuciones</t>
  </si>
  <si>
    <t>Abiertas</t>
  </si>
  <si>
    <t>Cerradas</t>
  </si>
  <si>
    <t>Totales</t>
  </si>
  <si>
    <t>HISTÓRICO DE EJECUCIÓN</t>
  </si>
  <si>
    <t>HISTÓRICO DE INCIDENCIAS</t>
  </si>
  <si>
    <t>Fecha</t>
  </si>
  <si>
    <t>CP con Fallo</t>
  </si>
  <si>
    <t>1. RESÚMEN DE ESTADOS DE CASOS DE PRUEBA</t>
  </si>
  <si>
    <t>2. HISTÓRICO DE EJECUCIONES DE CASOS DE PRUEBA</t>
  </si>
  <si>
    <t>3. HISTÓRICO DE INCIDENCIAS</t>
  </si>
  <si>
    <t>4. RESÚMEN DE OBSERVACIONES</t>
  </si>
  <si>
    <t>TIEMPO MEDIO DE RESOLUCIÓN Y CIERRE DE INCIDENCIAS</t>
  </si>
  <si>
    <t>DIAS</t>
  </si>
  <si>
    <t>Cuenta de Severidad</t>
  </si>
  <si>
    <t>Cuenta de Prioridad</t>
  </si>
  <si>
    <t>Cuenta de Estado</t>
  </si>
  <si>
    <t>5. RESÚMEN DE CONSULTAS</t>
  </si>
  <si>
    <t>TIEMPO MEDIO DE RESOLUCIÓN Y CIERRE DE CONSULTAS</t>
  </si>
  <si>
    <t>Responsable</t>
  </si>
  <si>
    <t>Cuenta de Responsable</t>
  </si>
  <si>
    <t>Re Ejecuciones</t>
  </si>
  <si>
    <t>AM</t>
  </si>
  <si>
    <t>No AM</t>
  </si>
  <si>
    <t>Código CP</t>
  </si>
  <si>
    <t>Código de REQ</t>
  </si>
  <si>
    <t>Pruebas Funcionales</t>
  </si>
  <si>
    <t>Pruebas de Performance</t>
  </si>
  <si>
    <t>Pruebas de Seguridad</t>
  </si>
  <si>
    <t>Inspección</t>
  </si>
  <si>
    <t>Solicitud Código Proyecto</t>
  </si>
  <si>
    <t>Nombre de la Solicitud</t>
  </si>
  <si>
    <t>Gerente Proyectos Cliente</t>
  </si>
  <si>
    <t>Cod. Req.</t>
  </si>
  <si>
    <t>IT Expert</t>
  </si>
  <si>
    <t>Cliente</t>
  </si>
  <si>
    <t>Empresa QA</t>
  </si>
  <si>
    <t>Responsable Cliente</t>
  </si>
  <si>
    <t>Responsable QA</t>
  </si>
  <si>
    <t>CP002</t>
  </si>
  <si>
    <t>INSPECCIÓN</t>
  </si>
  <si>
    <t>OBS003</t>
  </si>
  <si>
    <t>CON001</t>
  </si>
  <si>
    <t>Grand Total</t>
  </si>
  <si>
    <t>Row Labels</t>
  </si>
  <si>
    <t>(blank)</t>
  </si>
  <si>
    <t>Chris Navarro</t>
  </si>
  <si>
    <t>Victor Pomajuica</t>
  </si>
  <si>
    <t>CP003</t>
  </si>
  <si>
    <t>CP004</t>
  </si>
  <si>
    <t>EDUCATE</t>
  </si>
  <si>
    <t>ANPAOCFYAP</t>
  </si>
  <si>
    <t>José Ramos Ramirez</t>
  </si>
  <si>
    <t>CON002</t>
  </si>
  <si>
    <t>Macroproceso de Contabilidad y Presupuesto</t>
  </si>
  <si>
    <t>Proceso de Codificación de Proyecto</t>
  </si>
  <si>
    <t>Proceso de Elaboración de Informe Financiero para Empresa Financiadora</t>
  </si>
  <si>
    <t>Proceso de Auditoría Interna</t>
  </si>
  <si>
    <t>Descripción 3: Error de redacción.</t>
  </si>
  <si>
    <t>Descripción 3: Error en describir la actividad.</t>
  </si>
  <si>
    <t>Salida 13: ¿qué es hh8?</t>
  </si>
  <si>
    <t>Salida 2: Si existe una necesidad de un Estado Financiero, ¿No se presenta una solicitud de tal?</t>
  </si>
  <si>
    <t>Se modificó la descripción.</t>
  </si>
  <si>
    <t>Se modificó la descripción de la actividad.</t>
  </si>
  <si>
    <t>Sólo se le notifica verbalmente al Contador sobre dicha necesidad.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</si>
</sst>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;@"/>
    <numFmt numFmtId="165" formatCode="[$-409]d\-mmm\-yyyy;@"/>
  </numFmts>
  <fonts count="5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rgb="FFFFFFFF"/>
      <name val="Arial"/>
      <family val="2"/>
    </font>
    <font>
      <b/>
      <sz val="12"/>
      <color rgb="FFFFFFFF"/>
      <name val="Arial"/>
      <family val="2"/>
    </font>
    <font>
      <sz val="10"/>
      <name val="Arial"/>
      <family val="2"/>
    </font>
    <font>
      <b/>
      <sz val="9"/>
      <name val="Andale Mono"/>
    </font>
    <font>
      <b/>
      <sz val="10"/>
      <name val="Arial"/>
      <family val="2"/>
    </font>
    <font>
      <i/>
      <sz val="9"/>
      <name val="Andale Mono"/>
    </font>
    <font>
      <sz val="9"/>
      <name val="Andale Mono"/>
    </font>
    <font>
      <sz val="10"/>
      <color theme="1"/>
      <name val="Tahoma"/>
      <family val="2"/>
    </font>
    <font>
      <b/>
      <sz val="11"/>
      <color rgb="FFFFFFFF"/>
      <name val="Arial"/>
      <family val="2"/>
    </font>
    <font>
      <b/>
      <sz val="11"/>
      <color indexed="61"/>
      <name val="Calibri"/>
      <family val="2"/>
    </font>
    <font>
      <b/>
      <sz val="14"/>
      <color indexed="8"/>
      <name val="Calibri"/>
      <family val="2"/>
    </font>
    <font>
      <b/>
      <sz val="18"/>
      <color indexed="8"/>
      <name val="Calibri"/>
      <family val="2"/>
    </font>
    <font>
      <b/>
      <sz val="9"/>
      <color indexed="9"/>
      <name val="Arial"/>
      <family val="2"/>
    </font>
    <font>
      <b/>
      <sz val="11"/>
      <color indexed="8"/>
      <name val="Calibri"/>
      <family val="2"/>
    </font>
    <font>
      <sz val="11"/>
      <color indexed="8"/>
      <name val="Calibri"/>
      <family val="2"/>
    </font>
    <font>
      <b/>
      <sz val="8"/>
      <color indexed="9"/>
      <name val="Arial"/>
      <family val="2"/>
    </font>
    <font>
      <b/>
      <sz val="8"/>
      <color indexed="8"/>
      <name val="Arial"/>
      <family val="2"/>
    </font>
    <font>
      <sz val="8"/>
      <color indexed="8"/>
      <name val="Arial"/>
      <family val="2"/>
    </font>
    <font>
      <b/>
      <sz val="11"/>
      <color indexed="9"/>
      <name val="Calibri"/>
      <family val="2"/>
    </font>
    <font>
      <b/>
      <sz val="11"/>
      <color indexed="10"/>
      <name val="Calibri"/>
      <family val="2"/>
    </font>
    <font>
      <sz val="11"/>
      <color theme="0"/>
      <name val="Calibri"/>
      <family val="2"/>
    </font>
    <font>
      <b/>
      <sz val="11"/>
      <color indexed="51"/>
      <name val="Calibri"/>
      <family val="2"/>
    </font>
    <font>
      <b/>
      <sz val="11"/>
      <color indexed="58"/>
      <name val="Calibri"/>
      <family val="2"/>
    </font>
    <font>
      <b/>
      <sz val="11"/>
      <color theme="6"/>
      <name val="Calibri"/>
      <family val="2"/>
    </font>
    <font>
      <b/>
      <sz val="11"/>
      <color theme="4"/>
      <name val="Calibri"/>
      <family val="2"/>
    </font>
    <font>
      <b/>
      <sz val="11"/>
      <color indexed="28"/>
      <name val="Calibri"/>
      <family val="2"/>
    </font>
    <font>
      <sz val="10"/>
      <name val="TheSansCorrespondence"/>
      <family val="2"/>
    </font>
    <font>
      <b/>
      <sz val="10"/>
      <color theme="0"/>
      <name val="Arial"/>
      <family val="2"/>
    </font>
    <font>
      <b/>
      <sz val="24"/>
      <color theme="9"/>
      <name val="Calibri"/>
      <family val="2"/>
      <scheme val="minor"/>
    </font>
    <font>
      <b/>
      <sz val="10"/>
      <color indexed="9"/>
      <name val="Arial"/>
      <family val="2"/>
    </font>
    <font>
      <b/>
      <sz val="11"/>
      <color theme="0"/>
      <name val="Calibri"/>
      <family val="2"/>
      <scheme val="minor"/>
    </font>
    <font>
      <b/>
      <sz val="10"/>
      <color indexed="8"/>
      <name val="Arial"/>
      <family val="2"/>
    </font>
    <font>
      <b/>
      <sz val="16"/>
      <name val="Calibri"/>
      <family val="2"/>
      <scheme val="minor"/>
    </font>
    <font>
      <b/>
      <sz val="9"/>
      <color indexed="9"/>
      <name val="Calibri"/>
      <family val="2"/>
    </font>
    <font>
      <b/>
      <sz val="9"/>
      <color indexed="10"/>
      <name val="Calibri"/>
      <family val="2"/>
    </font>
    <font>
      <b/>
      <sz val="9"/>
      <color indexed="8"/>
      <name val="Calibri"/>
      <family val="2"/>
    </font>
    <font>
      <b/>
      <sz val="9"/>
      <color indexed="9"/>
      <name val="Arial Narrow"/>
      <family val="2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Tahoma"/>
      <family val="2"/>
    </font>
    <font>
      <b/>
      <sz val="18"/>
      <color theme="0"/>
      <name val="Calibri"/>
      <family val="2"/>
    </font>
    <font>
      <b/>
      <sz val="9"/>
      <color theme="0"/>
      <name val="Arial"/>
      <family val="2"/>
    </font>
    <font>
      <b/>
      <sz val="8"/>
      <color theme="0"/>
      <name val="Arial"/>
      <family val="2"/>
    </font>
    <font>
      <sz val="10"/>
      <color theme="0"/>
      <name val="Arial"/>
      <family val="2"/>
    </font>
    <font>
      <sz val="8"/>
      <color theme="0"/>
      <name val="Arial"/>
      <family val="2"/>
    </font>
    <font>
      <b/>
      <sz val="11"/>
      <color theme="0"/>
      <name val="Calibri"/>
      <family val="2"/>
    </font>
    <font>
      <b/>
      <sz val="11"/>
      <color theme="3" tint="-0.499984740745262"/>
      <name val="Calibri"/>
      <family val="2"/>
    </font>
    <font>
      <sz val="11"/>
      <color theme="3" tint="-0.499984740745262"/>
      <name val="Calibri"/>
      <family val="2"/>
      <scheme val="minor"/>
    </font>
    <font>
      <b/>
      <sz val="14"/>
      <color theme="3" tint="-0.499984740745262"/>
      <name val="Calibri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</fonts>
  <fills count="41">
    <fill>
      <patternFill patternType="none"/>
    </fill>
    <fill>
      <patternFill patternType="gray125"/>
    </fill>
    <fill>
      <patternFill patternType="solid">
        <fgColor indexed="20"/>
        <bgColor indexed="36"/>
      </patternFill>
    </fill>
    <fill>
      <patternFill patternType="solid">
        <fgColor indexed="50"/>
        <bgColor indexed="55"/>
      </patternFill>
    </fill>
    <fill>
      <patternFill patternType="solid">
        <fgColor rgb="FFC00000"/>
        <bgColor indexed="25"/>
      </patternFill>
    </fill>
    <fill>
      <patternFill patternType="solid">
        <fgColor indexed="51"/>
        <bgColor indexed="52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7"/>
        <bgColor indexed="41"/>
      </patternFill>
    </fill>
    <fill>
      <patternFill patternType="solid">
        <fgColor theme="9" tint="0.39997558519241921"/>
        <bgColor indexed="24"/>
      </patternFill>
    </fill>
    <fill>
      <patternFill patternType="solid">
        <fgColor theme="4" tint="0.79998168889431442"/>
        <bgColor indexed="41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25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36"/>
      </patternFill>
    </fill>
    <fill>
      <patternFill patternType="solid">
        <fgColor theme="3" tint="-0.499984740745262"/>
        <bgColor indexed="36"/>
      </patternFill>
    </fill>
    <fill>
      <patternFill patternType="solid">
        <fgColor theme="3" tint="-0.499984740745262"/>
        <bgColor indexed="27"/>
      </patternFill>
    </fill>
    <fill>
      <patternFill patternType="solid">
        <fgColor theme="3" tint="-0.499984740745262"/>
        <bgColor indexed="52"/>
      </patternFill>
    </fill>
    <fill>
      <patternFill patternType="solid">
        <fgColor theme="3" tint="0.59999389629810485"/>
        <bgColor indexed="41"/>
      </patternFill>
    </fill>
    <fill>
      <patternFill patternType="solid">
        <fgColor theme="3" tint="-0.499984740745262"/>
        <bgColor indexed="25"/>
      </patternFill>
    </fill>
    <fill>
      <patternFill patternType="solid">
        <fgColor theme="3" tint="0.79998168889431442"/>
        <bgColor indexed="27"/>
      </patternFill>
    </fill>
    <fill>
      <patternFill patternType="solid">
        <fgColor theme="3" tint="-0.499984740745262"/>
        <bgColor theme="9"/>
      </patternFill>
    </fill>
    <fill>
      <patternFill patternType="solid">
        <fgColor theme="3" tint="-0.499984740745262"/>
        <bgColor indexed="50"/>
      </patternFill>
    </fill>
  </fills>
  <borders count="37">
    <border>
      <left/>
      <right/>
      <top/>
      <bottom/>
      <diagonal/>
    </border>
    <border>
      <left style="medium">
        <color rgb="FF808080"/>
      </left>
      <right/>
      <top style="medium">
        <color rgb="FF808080"/>
      </top>
      <bottom style="medium">
        <color rgb="FF808080"/>
      </bottom>
      <diagonal/>
    </border>
    <border>
      <left/>
      <right/>
      <top style="medium">
        <color rgb="FF808080"/>
      </top>
      <bottom style="medium">
        <color rgb="FF80808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23"/>
      </left>
      <right/>
      <top style="medium">
        <color indexed="23"/>
      </top>
      <bottom style="medium">
        <color indexed="23"/>
      </bottom>
      <diagonal/>
    </border>
    <border>
      <left style="medium">
        <color indexed="54"/>
      </left>
      <right/>
      <top style="medium">
        <color indexed="54"/>
      </top>
      <bottom style="medium">
        <color indexed="54"/>
      </bottom>
      <diagonal/>
    </border>
    <border>
      <left/>
      <right style="medium">
        <color indexed="54"/>
      </right>
      <top style="medium">
        <color indexed="54"/>
      </top>
      <bottom style="medium">
        <color indexed="54"/>
      </bottom>
      <diagonal/>
    </border>
    <border>
      <left style="medium">
        <color indexed="54"/>
      </left>
      <right/>
      <top/>
      <bottom style="medium">
        <color indexed="54"/>
      </bottom>
      <diagonal/>
    </border>
    <border>
      <left/>
      <right style="medium">
        <color indexed="54"/>
      </right>
      <top/>
      <bottom style="medium">
        <color indexed="54"/>
      </bottom>
      <diagonal/>
    </border>
    <border>
      <left style="medium">
        <color indexed="54"/>
      </left>
      <right/>
      <top/>
      <bottom/>
      <diagonal/>
    </border>
    <border>
      <left/>
      <right style="medium">
        <color indexed="54"/>
      </right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9"/>
      </right>
      <top/>
      <bottom style="thin">
        <color theme="5"/>
      </bottom>
      <diagonal/>
    </border>
    <border>
      <left style="thin">
        <color indexed="9"/>
      </left>
      <right style="thin">
        <color indexed="9"/>
      </right>
      <top/>
      <bottom style="thin">
        <color theme="5"/>
      </bottom>
      <diagonal/>
    </border>
    <border>
      <left style="thin">
        <color theme="9" tint="0.39997558519241921"/>
      </left>
      <right/>
      <top/>
      <bottom style="thin">
        <color theme="9" tint="0.39997558519241921"/>
      </bottom>
      <diagonal/>
    </border>
    <border>
      <left/>
      <right/>
      <top/>
      <bottom style="thin">
        <color theme="9" tint="0.39997558519241921"/>
      </bottom>
      <diagonal/>
    </border>
    <border>
      <left/>
      <right style="thin">
        <color theme="9" tint="0.39997558519241921"/>
      </right>
      <top/>
      <bottom style="thin">
        <color theme="9" tint="0.39997558519241921"/>
      </bottom>
      <diagonal/>
    </border>
    <border>
      <left/>
      <right style="thin">
        <color indexed="22"/>
      </right>
      <top/>
      <bottom style="medium">
        <color indexed="22"/>
      </bottom>
      <diagonal/>
    </border>
    <border>
      <left style="thin">
        <color indexed="22"/>
      </left>
      <right style="thin">
        <color indexed="22"/>
      </right>
      <top/>
      <bottom style="medium">
        <color indexed="22"/>
      </bottom>
      <diagonal/>
    </border>
    <border>
      <left style="thin">
        <color indexed="22"/>
      </left>
      <right/>
      <top/>
      <bottom style="medium">
        <color indexed="22"/>
      </bottom>
      <diagonal/>
    </border>
    <border>
      <left style="medium">
        <color indexed="22"/>
      </left>
      <right style="thin">
        <color indexed="22"/>
      </right>
      <top/>
      <bottom style="medium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/>
      <top/>
      <bottom/>
      <diagonal/>
    </border>
    <border>
      <left style="thin">
        <color indexed="22"/>
      </left>
      <right/>
      <top style="thin">
        <color indexed="22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22"/>
      </right>
      <top style="thin">
        <color indexed="22"/>
      </top>
      <bottom/>
      <diagonal/>
    </border>
    <border>
      <left/>
      <right style="thin">
        <color indexed="22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0" fontId="5" fillId="0" borderId="0"/>
    <xf numFmtId="0" fontId="17" fillId="8" borderId="0" applyNumberFormat="0" applyBorder="0" applyAlignment="0" applyProtection="0"/>
    <xf numFmtId="0" fontId="29" fillId="0" borderId="0" applyNumberFormat="0" applyFill="0" applyBorder="0" applyAlignment="0" applyProtection="0"/>
  </cellStyleXfs>
  <cellXfs count="205">
    <xf numFmtId="0" fontId="0" fillId="0" borderId="0" xfId="0"/>
    <xf numFmtId="0" fontId="5" fillId="0" borderId="3" xfId="2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3" xfId="0" applyBorder="1" applyAlignment="1">
      <alignment vertical="center"/>
    </xf>
    <xf numFmtId="0" fontId="21" fillId="2" borderId="6" xfId="0" applyFont="1" applyFill="1" applyBorder="1" applyAlignment="1">
      <alignment horizontal="center" vertical="top"/>
    </xf>
    <xf numFmtId="0" fontId="21" fillId="2" borderId="7" xfId="0" applyFont="1" applyFill="1" applyBorder="1" applyAlignment="1">
      <alignment horizontal="center" vertical="top"/>
    </xf>
    <xf numFmtId="0" fontId="17" fillId="0" borderId="9" xfId="0" applyFont="1" applyBorder="1" applyAlignment="1">
      <alignment vertical="top" wrapText="1"/>
    </xf>
    <xf numFmtId="0" fontId="0" fillId="0" borderId="4" xfId="0" applyBorder="1" applyAlignment="1">
      <alignment vertical="center"/>
    </xf>
    <xf numFmtId="0" fontId="21" fillId="2" borderId="6" xfId="0" applyFont="1" applyFill="1" applyBorder="1" applyAlignment="1">
      <alignment horizontal="center" vertical="center"/>
    </xf>
    <xf numFmtId="0" fontId="21" fillId="2" borderId="7" xfId="0" applyFont="1" applyFill="1" applyBorder="1" applyAlignment="1">
      <alignment horizontal="center" vertical="center"/>
    </xf>
    <xf numFmtId="0" fontId="23" fillId="2" borderId="9" xfId="0" applyFont="1" applyFill="1" applyBorder="1" applyAlignment="1">
      <alignment vertical="center" wrapText="1"/>
    </xf>
    <xf numFmtId="0" fontId="17" fillId="0" borderId="11" xfId="0" applyFont="1" applyBorder="1" applyAlignment="1">
      <alignment vertical="center" wrapText="1"/>
    </xf>
    <xf numFmtId="0" fontId="17" fillId="0" borderId="7" xfId="0" applyFont="1" applyBorder="1" applyAlignment="1">
      <alignment vertical="center" wrapText="1"/>
    </xf>
    <xf numFmtId="9" fontId="17" fillId="0" borderId="3" xfId="1" applyFont="1" applyFill="1" applyBorder="1" applyAlignment="1" applyProtection="1">
      <alignment vertical="center"/>
    </xf>
    <xf numFmtId="0" fontId="17" fillId="0" borderId="9" xfId="0" applyFont="1" applyBorder="1" applyAlignment="1">
      <alignment vertical="center" wrapText="1"/>
    </xf>
    <xf numFmtId="0" fontId="22" fillId="0" borderId="8" xfId="0" applyFont="1" applyBorder="1" applyAlignment="1">
      <alignment horizontal="center" vertical="center"/>
    </xf>
    <xf numFmtId="0" fontId="17" fillId="0" borderId="9" xfId="0" applyFont="1" applyBorder="1" applyAlignment="1">
      <alignment horizontal="center" vertical="center" wrapText="1"/>
    </xf>
    <xf numFmtId="0" fontId="24" fillId="0" borderId="8" xfId="0" applyFont="1" applyBorder="1" applyAlignment="1">
      <alignment horizontal="center" vertical="center"/>
    </xf>
    <xf numFmtId="0" fontId="17" fillId="0" borderId="7" xfId="0" applyFont="1" applyBorder="1" applyAlignment="1">
      <alignment horizontal="center" vertical="center" wrapText="1"/>
    </xf>
    <xf numFmtId="0" fontId="25" fillId="0" borderId="8" xfId="0" applyFont="1" applyBorder="1" applyAlignment="1">
      <alignment horizontal="center" vertical="center"/>
    </xf>
    <xf numFmtId="0" fontId="27" fillId="0" borderId="8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17" fillId="0" borderId="9" xfId="0" applyFont="1" applyBorder="1" applyAlignment="1">
      <alignment horizontal="left" vertical="center" wrapText="1"/>
    </xf>
    <xf numFmtId="0" fontId="17" fillId="0" borderId="7" xfId="0" applyFont="1" applyBorder="1" applyAlignment="1">
      <alignment horizontal="left" vertical="center" wrapText="1"/>
    </xf>
    <xf numFmtId="0" fontId="25" fillId="0" borderId="8" xfId="0" applyFont="1" applyBorder="1" applyAlignment="1">
      <alignment horizontal="center" vertical="top" wrapText="1"/>
    </xf>
    <xf numFmtId="0" fontId="17" fillId="0" borderId="9" xfId="0" applyFont="1" applyBorder="1" applyAlignment="1">
      <alignment horizontal="left" vertical="top" wrapText="1"/>
    </xf>
    <xf numFmtId="0" fontId="28" fillId="0" borderId="8" xfId="0" applyFont="1" applyBorder="1" applyAlignment="1">
      <alignment horizontal="center" vertical="top" wrapText="1"/>
    </xf>
    <xf numFmtId="0" fontId="17" fillId="0" borderId="7" xfId="0" applyFont="1" applyBorder="1" applyAlignment="1">
      <alignment horizontal="left" vertical="top" wrapText="1"/>
    </xf>
    <xf numFmtId="0" fontId="22" fillId="0" borderId="8" xfId="0" applyFont="1" applyBorder="1" applyAlignment="1">
      <alignment horizontal="center" vertical="top" wrapText="1"/>
    </xf>
    <xf numFmtId="0" fontId="0" fillId="0" borderId="0" xfId="0" applyAlignment="1">
      <alignment vertical="center" wrapText="1"/>
    </xf>
    <xf numFmtId="14" fontId="0" fillId="0" borderId="0" xfId="0" applyNumberFormat="1" applyAlignment="1">
      <alignment vertical="center" wrapText="1"/>
    </xf>
    <xf numFmtId="0" fontId="0" fillId="0" borderId="0" xfId="0" applyAlignment="1" applyProtection="1">
      <alignment vertical="center" wrapText="1"/>
    </xf>
    <xf numFmtId="0" fontId="0" fillId="0" borderId="0" xfId="0" applyNumberFormat="1" applyAlignment="1">
      <alignment vertical="center" wrapText="1"/>
    </xf>
    <xf numFmtId="0" fontId="0" fillId="0" borderId="0" xfId="0" applyNumberFormat="1"/>
    <xf numFmtId="0" fontId="31" fillId="0" borderId="0" xfId="0" applyFont="1" applyAlignment="1"/>
    <xf numFmtId="1" fontId="0" fillId="0" borderId="26" xfId="0" applyNumberFormat="1" applyBorder="1" applyProtection="1">
      <protection locked="0"/>
    </xf>
    <xf numFmtId="1" fontId="0" fillId="0" borderId="27" xfId="0" applyNumberFormat="1" applyBorder="1" applyProtection="1">
      <protection locked="0"/>
    </xf>
    <xf numFmtId="0" fontId="0" fillId="0" borderId="25" xfId="0" applyNumberFormat="1" applyBorder="1" applyProtection="1">
      <protection locked="0"/>
    </xf>
    <xf numFmtId="0" fontId="0" fillId="0" borderId="28" xfId="0" applyNumberFormat="1" applyBorder="1" applyProtection="1">
      <protection locked="0"/>
    </xf>
    <xf numFmtId="0" fontId="19" fillId="0" borderId="3" xfId="0" applyFont="1" applyBorder="1" applyAlignment="1">
      <alignment vertical="center" wrapText="1"/>
    </xf>
    <xf numFmtId="0" fontId="20" fillId="13" borderId="3" xfId="0" applyFont="1" applyFill="1" applyBorder="1" applyAlignment="1">
      <alignment vertical="center" wrapText="1"/>
    </xf>
    <xf numFmtId="9" fontId="20" fillId="14" borderId="3" xfId="1" applyFont="1" applyFill="1" applyBorder="1" applyAlignment="1" applyProtection="1">
      <alignment vertical="center" wrapText="1"/>
    </xf>
    <xf numFmtId="0" fontId="20" fillId="15" borderId="3" xfId="0" applyFont="1" applyFill="1" applyBorder="1" applyAlignment="1">
      <alignment vertical="center" wrapText="1"/>
    </xf>
    <xf numFmtId="9" fontId="20" fillId="16" borderId="3" xfId="1" applyFont="1" applyFill="1" applyBorder="1" applyAlignment="1" applyProtection="1">
      <alignment vertical="center" wrapText="1"/>
    </xf>
    <xf numFmtId="0" fontId="20" fillId="17" borderId="3" xfId="0" applyFont="1" applyFill="1" applyBorder="1" applyAlignment="1">
      <alignment vertical="center" wrapText="1"/>
    </xf>
    <xf numFmtId="9" fontId="20" fillId="18" borderId="3" xfId="1" applyFont="1" applyFill="1" applyBorder="1" applyAlignment="1" applyProtection="1">
      <alignment vertical="center" wrapText="1"/>
    </xf>
    <xf numFmtId="0" fontId="20" fillId="7" borderId="3" xfId="0" applyFont="1" applyFill="1" applyBorder="1" applyAlignment="1">
      <alignment vertical="center" wrapText="1"/>
    </xf>
    <xf numFmtId="9" fontId="20" fillId="19" borderId="3" xfId="1" applyFont="1" applyFill="1" applyBorder="1" applyAlignment="1" applyProtection="1">
      <alignment vertical="center" wrapText="1"/>
    </xf>
    <xf numFmtId="0" fontId="20" fillId="20" borderId="3" xfId="0" applyFont="1" applyFill="1" applyBorder="1" applyAlignment="1">
      <alignment vertical="center" wrapText="1"/>
    </xf>
    <xf numFmtId="9" fontId="20" fillId="21" borderId="3" xfId="1" applyFont="1" applyFill="1" applyBorder="1" applyAlignment="1" applyProtection="1">
      <alignment vertical="center" wrapText="1"/>
    </xf>
    <xf numFmtId="9" fontId="20" fillId="7" borderId="3" xfId="1" applyFont="1" applyFill="1" applyBorder="1" applyAlignment="1" applyProtection="1">
      <alignment vertical="center" wrapText="1"/>
    </xf>
    <xf numFmtId="0" fontId="20" fillId="23" borderId="3" xfId="0" applyFont="1" applyFill="1" applyBorder="1" applyAlignment="1">
      <alignment vertical="center" wrapText="1"/>
    </xf>
    <xf numFmtId="0" fontId="2" fillId="3" borderId="3" xfId="0" applyFont="1" applyFill="1" applyBorder="1" applyAlignment="1">
      <alignment horizontal="center" vertical="center"/>
    </xf>
    <xf numFmtId="0" fontId="33" fillId="4" borderId="3" xfId="0" applyFont="1" applyFill="1" applyBorder="1" applyAlignment="1">
      <alignment horizontal="center" vertical="center"/>
    </xf>
    <xf numFmtId="0" fontId="2" fillId="5" borderId="3" xfId="0" applyFont="1" applyFill="1" applyBorder="1" applyAlignment="1">
      <alignment horizontal="center" vertical="center" wrapText="1"/>
    </xf>
    <xf numFmtId="0" fontId="2" fillId="6" borderId="3" xfId="0" applyFont="1" applyFill="1" applyBorder="1" applyAlignment="1">
      <alignment horizontal="center" vertical="center"/>
    </xf>
    <xf numFmtId="0" fontId="2" fillId="7" borderId="3" xfId="0" applyFont="1" applyFill="1" applyBorder="1" applyAlignment="1">
      <alignment horizontal="center" vertical="center"/>
    </xf>
    <xf numFmtId="0" fontId="16" fillId="8" borderId="3" xfId="3" applyFont="1" applyBorder="1" applyAlignment="1" applyProtection="1">
      <alignment horizontal="center" vertical="center"/>
    </xf>
    <xf numFmtId="0" fontId="34" fillId="12" borderId="3" xfId="0" applyFont="1" applyFill="1" applyBorder="1" applyAlignment="1">
      <alignment vertical="center" wrapText="1"/>
    </xf>
    <xf numFmtId="9" fontId="34" fillId="12" borderId="3" xfId="0" applyNumberFormat="1" applyFont="1" applyFill="1" applyBorder="1" applyAlignment="1">
      <alignment vertical="center" wrapText="1"/>
    </xf>
    <xf numFmtId="2" fontId="2" fillId="24" borderId="31" xfId="0" applyNumberFormat="1" applyFont="1" applyFill="1" applyBorder="1"/>
    <xf numFmtId="0" fontId="2" fillId="24" borderId="33" xfId="0" applyFont="1" applyFill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Fill="1" applyAlignment="1">
      <alignment vertical="center" wrapText="1"/>
    </xf>
    <xf numFmtId="0" fontId="2" fillId="0" borderId="0" xfId="0" applyFont="1" applyAlignment="1">
      <alignment horizontal="center" vertical="center" wrapText="1"/>
    </xf>
    <xf numFmtId="0" fontId="0" fillId="0" borderId="0" xfId="0" applyNumberFormat="1" applyFont="1" applyAlignment="1">
      <alignment vertical="center" wrapText="1"/>
    </xf>
    <xf numFmtId="164" fontId="0" fillId="0" borderId="0" xfId="0" applyNumberFormat="1" applyAlignment="1">
      <alignment vertical="center" wrapText="1"/>
    </xf>
    <xf numFmtId="0" fontId="0" fillId="26" borderId="0" xfId="0" applyFill="1" applyAlignment="1">
      <alignment vertical="center"/>
    </xf>
    <xf numFmtId="0" fontId="14" fillId="26" borderId="0" xfId="0" applyFont="1" applyFill="1" applyAlignment="1">
      <alignment vertical="center"/>
    </xf>
    <xf numFmtId="0" fontId="17" fillId="26" borderId="0" xfId="3" applyFont="1" applyFill="1" applyBorder="1" applyAlignment="1" applyProtection="1">
      <alignment horizontal="center" vertical="center"/>
    </xf>
    <xf numFmtId="0" fontId="0" fillId="26" borderId="0" xfId="0" applyFill="1" applyBorder="1" applyAlignment="1">
      <alignment vertical="center"/>
    </xf>
    <xf numFmtId="9" fontId="17" fillId="26" borderId="0" xfId="1" applyFont="1" applyFill="1" applyBorder="1" applyAlignment="1" applyProtection="1">
      <alignment vertical="center"/>
    </xf>
    <xf numFmtId="0" fontId="13" fillId="26" borderId="0" xfId="0" applyFont="1" applyFill="1" applyBorder="1" applyAlignment="1">
      <alignment horizontal="left" vertical="center"/>
    </xf>
    <xf numFmtId="0" fontId="18" fillId="26" borderId="0" xfId="0" applyFont="1" applyFill="1" applyBorder="1" applyAlignment="1">
      <alignment horizontal="center" vertical="center" wrapText="1"/>
    </xf>
    <xf numFmtId="0" fontId="20" fillId="26" borderId="0" xfId="0" applyFont="1" applyFill="1" applyBorder="1" applyAlignment="1">
      <alignment vertical="center" wrapText="1"/>
    </xf>
    <xf numFmtId="0" fontId="36" fillId="2" borderId="6" xfId="0" applyFont="1" applyFill="1" applyBorder="1" applyAlignment="1">
      <alignment horizontal="center" vertical="center"/>
    </xf>
    <xf numFmtId="0" fontId="37" fillId="2" borderId="8" xfId="0" applyFont="1" applyFill="1" applyBorder="1" applyAlignment="1">
      <alignment horizontal="center" vertical="center"/>
    </xf>
    <xf numFmtId="0" fontId="37" fillId="0" borderId="10" xfId="0" applyFont="1" applyBorder="1" applyAlignment="1">
      <alignment horizontal="center" vertical="center"/>
    </xf>
    <xf numFmtId="0" fontId="38" fillId="0" borderId="6" xfId="0" applyFont="1" applyBorder="1" applyAlignment="1">
      <alignment horizontal="center" vertical="center"/>
    </xf>
    <xf numFmtId="0" fontId="38" fillId="0" borderId="8" xfId="0" applyFont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33" fillId="4" borderId="3" xfId="0" applyFont="1" applyFill="1" applyBorder="1" applyAlignment="1">
      <alignment horizontal="center" vertical="center"/>
    </xf>
    <xf numFmtId="0" fontId="40" fillId="0" borderId="0" xfId="0" applyFont="1" applyAlignment="1">
      <alignment vertical="center" wrapText="1"/>
    </xf>
    <xf numFmtId="0" fontId="41" fillId="0" borderId="0" xfId="0" applyFont="1" applyAlignment="1">
      <alignment vertical="center" wrapText="1"/>
    </xf>
    <xf numFmtId="0" fontId="41" fillId="0" borderId="0" xfId="0" applyNumberFormat="1" applyFont="1" applyAlignment="1" applyProtection="1">
      <alignment vertical="center" wrapText="1"/>
    </xf>
    <xf numFmtId="0" fontId="41" fillId="0" borderId="0" xfId="0" applyNumberFormat="1" applyFont="1" applyAlignment="1">
      <alignment vertical="center" wrapText="1"/>
    </xf>
    <xf numFmtId="164" fontId="0" fillId="0" borderId="0" xfId="0" applyNumberFormat="1" applyAlignment="1">
      <alignment horizontal="center" vertical="center" wrapText="1"/>
    </xf>
    <xf numFmtId="0" fontId="0" fillId="26" borderId="0" xfId="0" applyFill="1" applyAlignment="1">
      <alignment vertical="center" wrapText="1"/>
    </xf>
    <xf numFmtId="0" fontId="12" fillId="26" borderId="0" xfId="0" applyFont="1" applyFill="1" applyAlignment="1">
      <alignment horizontal="right" vertical="center" wrapText="1"/>
    </xf>
    <xf numFmtId="0" fontId="12" fillId="26" borderId="0" xfId="0" applyFont="1" applyFill="1" applyBorder="1" applyAlignment="1">
      <alignment horizontal="left" vertical="center" wrapText="1"/>
    </xf>
    <xf numFmtId="0" fontId="12" fillId="26" borderId="0" xfId="0" applyFont="1" applyFill="1" applyAlignment="1" applyProtection="1">
      <alignment horizontal="right" vertical="center" wrapText="1"/>
    </xf>
    <xf numFmtId="0" fontId="0" fillId="26" borderId="0" xfId="0" applyFill="1" applyAlignment="1" applyProtection="1">
      <alignment vertical="center" wrapText="1"/>
    </xf>
    <xf numFmtId="14" fontId="0" fillId="26" borderId="0" xfId="0" applyNumberFormat="1" applyFill="1" applyAlignment="1">
      <alignment vertical="center" wrapText="1"/>
    </xf>
    <xf numFmtId="0" fontId="40" fillId="26" borderId="0" xfId="0" applyFont="1" applyFill="1" applyAlignment="1">
      <alignment vertical="center" wrapText="1"/>
    </xf>
    <xf numFmtId="0" fontId="41" fillId="26" borderId="0" xfId="0" applyFont="1" applyFill="1" applyAlignment="1">
      <alignment vertical="center" wrapText="1"/>
    </xf>
    <xf numFmtId="0" fontId="38" fillId="3" borderId="8" xfId="0" applyFont="1" applyFill="1" applyBorder="1" applyAlignment="1">
      <alignment horizontal="center" vertical="center"/>
    </xf>
    <xf numFmtId="0" fontId="38" fillId="4" borderId="8" xfId="0" applyFont="1" applyFill="1" applyBorder="1" applyAlignment="1">
      <alignment horizontal="center" vertical="center"/>
    </xf>
    <xf numFmtId="0" fontId="38" fillId="5" borderId="8" xfId="0" applyFont="1" applyFill="1" applyBorder="1" applyAlignment="1">
      <alignment horizontal="center" vertical="center"/>
    </xf>
    <xf numFmtId="0" fontId="38" fillId="9" borderId="8" xfId="0" applyFont="1" applyFill="1" applyBorder="1" applyAlignment="1">
      <alignment horizontal="center" vertical="center"/>
    </xf>
    <xf numFmtId="0" fontId="38" fillId="10" borderId="8" xfId="0" applyFont="1" applyFill="1" applyBorder="1" applyAlignment="1">
      <alignment horizontal="center" vertical="center"/>
    </xf>
    <xf numFmtId="0" fontId="38" fillId="6" borderId="8" xfId="0" applyFont="1" applyFill="1" applyBorder="1" applyAlignment="1">
      <alignment horizontal="center" vertical="center"/>
    </xf>
    <xf numFmtId="0" fontId="6" fillId="31" borderId="3" xfId="2" applyFont="1" applyFill="1" applyBorder="1" applyAlignment="1">
      <alignment vertical="center" wrapText="1"/>
    </xf>
    <xf numFmtId="0" fontId="6" fillId="31" borderId="3" xfId="2" applyFont="1" applyFill="1" applyBorder="1" applyAlignment="1">
      <alignment vertical="center"/>
    </xf>
    <xf numFmtId="0" fontId="6" fillId="31" borderId="3" xfId="2" applyFont="1" applyFill="1" applyBorder="1" applyAlignment="1">
      <alignment horizontal="center" vertical="center" wrapText="1"/>
    </xf>
    <xf numFmtId="0" fontId="2" fillId="27" borderId="3" xfId="0" applyFont="1" applyFill="1" applyBorder="1" applyAlignment="1">
      <alignment vertical="center"/>
    </xf>
    <xf numFmtId="0" fontId="2" fillId="27" borderId="3" xfId="2" applyFont="1" applyFill="1" applyBorder="1" applyAlignment="1">
      <alignment vertical="center"/>
    </xf>
    <xf numFmtId="0" fontId="43" fillId="27" borderId="3" xfId="0" applyFont="1" applyFill="1" applyBorder="1" applyAlignment="1">
      <alignment horizontal="left" vertical="center"/>
    </xf>
    <xf numFmtId="0" fontId="46" fillId="26" borderId="0" xfId="0" applyFont="1" applyFill="1" applyBorder="1" applyAlignment="1">
      <alignment horizontal="center" vertical="center" wrapText="1"/>
    </xf>
    <xf numFmtId="0" fontId="48" fillId="26" borderId="0" xfId="0" applyFont="1" applyFill="1" applyBorder="1" applyAlignment="1">
      <alignment vertical="center" wrapText="1"/>
    </xf>
    <xf numFmtId="0" fontId="44" fillId="26" borderId="0" xfId="0" applyFont="1" applyFill="1" applyBorder="1"/>
    <xf numFmtId="0" fontId="42" fillId="26" borderId="0" xfId="0" applyFont="1" applyFill="1" applyBorder="1" applyAlignment="1">
      <alignment vertical="center"/>
    </xf>
    <xf numFmtId="0" fontId="46" fillId="32" borderId="0" xfId="0" applyFont="1" applyFill="1" applyBorder="1" applyAlignment="1">
      <alignment horizontal="center" vertical="center" wrapText="1"/>
    </xf>
    <xf numFmtId="0" fontId="45" fillId="32" borderId="0" xfId="0" applyFont="1" applyFill="1" applyBorder="1" applyAlignment="1">
      <alignment horizontal="center" vertical="center" wrapText="1"/>
    </xf>
    <xf numFmtId="0" fontId="45" fillId="26" borderId="0" xfId="0" applyFont="1" applyFill="1" applyBorder="1" applyAlignment="1">
      <alignment vertical="center" wrapText="1"/>
    </xf>
    <xf numFmtId="0" fontId="30" fillId="25" borderId="0" xfId="0" applyFont="1" applyFill="1" applyBorder="1" applyAlignment="1">
      <alignment horizontal="center" vertical="center" wrapText="1"/>
    </xf>
    <xf numFmtId="9" fontId="47" fillId="26" borderId="0" xfId="1" applyFont="1" applyFill="1" applyBorder="1" applyAlignment="1" applyProtection="1">
      <alignment horizontal="center" vertical="center" wrapText="1"/>
    </xf>
    <xf numFmtId="0" fontId="47" fillId="26" borderId="0" xfId="0" applyFont="1" applyFill="1" applyBorder="1" applyAlignment="1">
      <alignment horizontal="center" vertical="center" wrapText="1"/>
    </xf>
    <xf numFmtId="0" fontId="47" fillId="26" borderId="0" xfId="0" applyFont="1" applyFill="1" applyBorder="1" applyAlignment="1">
      <alignment vertical="center" wrapText="1"/>
    </xf>
    <xf numFmtId="0" fontId="47" fillId="25" borderId="0" xfId="0" applyFont="1" applyFill="1" applyBorder="1" applyAlignment="1">
      <alignment horizontal="center" vertical="center" wrapText="1"/>
    </xf>
    <xf numFmtId="0" fontId="30" fillId="26" borderId="0" xfId="0" applyFont="1" applyFill="1" applyBorder="1" applyAlignment="1">
      <alignment horizontal="center" vertical="center" wrapText="1"/>
    </xf>
    <xf numFmtId="9" fontId="30" fillId="26" borderId="0" xfId="0" applyNumberFormat="1" applyFont="1" applyFill="1" applyBorder="1" applyAlignment="1">
      <alignment horizontal="center" vertical="center" wrapText="1"/>
    </xf>
    <xf numFmtId="0" fontId="30" fillId="26" borderId="0" xfId="0" applyFont="1" applyFill="1" applyBorder="1" applyAlignment="1">
      <alignment vertical="center" wrapText="1"/>
    </xf>
    <xf numFmtId="0" fontId="15" fillId="33" borderId="5" xfId="0" applyFont="1" applyFill="1" applyBorder="1" applyAlignment="1">
      <alignment horizontal="left" vertical="center" wrapText="1"/>
    </xf>
    <xf numFmtId="0" fontId="49" fillId="34" borderId="4" xfId="0" applyFont="1" applyFill="1" applyBorder="1" applyAlignment="1">
      <alignment horizontal="left" vertical="center"/>
    </xf>
    <xf numFmtId="0" fontId="50" fillId="26" borderId="0" xfId="0" applyFont="1" applyFill="1" applyAlignment="1">
      <alignment horizontal="right" vertical="center"/>
    </xf>
    <xf numFmtId="0" fontId="51" fillId="26" borderId="0" xfId="0" applyFont="1" applyFill="1" applyAlignment="1">
      <alignment vertical="center"/>
    </xf>
    <xf numFmtId="10" fontId="52" fillId="0" borderId="4" xfId="1" applyNumberFormat="1" applyFont="1" applyFill="1" applyBorder="1" applyAlignment="1" applyProtection="1">
      <alignment horizontal="right" vertical="center"/>
    </xf>
    <xf numFmtId="9" fontId="52" fillId="0" borderId="0" xfId="1" applyFont="1" applyFill="1" applyBorder="1" applyAlignment="1" applyProtection="1">
      <alignment horizontal="right" vertical="center"/>
    </xf>
    <xf numFmtId="0" fontId="52" fillId="26" borderId="0" xfId="0" applyFont="1" applyFill="1" applyBorder="1" applyAlignment="1">
      <alignment horizontal="left" vertical="center"/>
    </xf>
    <xf numFmtId="0" fontId="2" fillId="28" borderId="3" xfId="0" applyFont="1" applyFill="1" applyBorder="1" applyAlignment="1">
      <alignment horizontal="center" vertical="center"/>
    </xf>
    <xf numFmtId="0" fontId="16" fillId="36" borderId="3" xfId="3" applyFont="1" applyFill="1" applyBorder="1" applyAlignment="1" applyProtection="1">
      <alignment horizontal="center" vertical="center"/>
    </xf>
    <xf numFmtId="0" fontId="16" fillId="31" borderId="3" xfId="3" applyFont="1" applyFill="1" applyBorder="1" applyAlignment="1" applyProtection="1">
      <alignment horizontal="center" vertical="center" wrapText="1"/>
    </xf>
    <xf numFmtId="0" fontId="33" fillId="35" borderId="3" xfId="0" applyFont="1" applyFill="1" applyBorder="1" applyAlignment="1">
      <alignment horizontal="center" vertical="center" wrapText="1"/>
    </xf>
    <xf numFmtId="0" fontId="33" fillId="29" borderId="3" xfId="0" applyFont="1" applyFill="1" applyBorder="1" applyAlignment="1">
      <alignment horizontal="center" vertical="center"/>
    </xf>
    <xf numFmtId="0" fontId="39" fillId="37" borderId="15" xfId="4" applyFont="1" applyFill="1" applyBorder="1" applyAlignment="1">
      <alignment horizontal="center" vertical="center" wrapText="1"/>
    </xf>
    <xf numFmtId="0" fontId="39" fillId="37" borderId="16" xfId="4" applyFont="1" applyFill="1" applyBorder="1" applyAlignment="1">
      <alignment horizontal="center" vertical="center" wrapText="1"/>
    </xf>
    <xf numFmtId="0" fontId="39" fillId="37" borderId="16" xfId="4" applyFont="1" applyFill="1" applyBorder="1" applyAlignment="1" applyProtection="1">
      <alignment horizontal="center" vertical="center" wrapText="1"/>
    </xf>
    <xf numFmtId="0" fontId="39" fillId="33" borderId="16" xfId="4" applyFont="1" applyFill="1" applyBorder="1" applyAlignment="1">
      <alignment horizontal="center" vertical="center" wrapText="1"/>
    </xf>
    <xf numFmtId="0" fontId="39" fillId="33" borderId="15" xfId="4" applyFont="1" applyFill="1" applyBorder="1" applyAlignment="1">
      <alignment horizontal="center" vertical="center" wrapText="1"/>
    </xf>
    <xf numFmtId="14" fontId="39" fillId="37" borderId="16" xfId="4" applyNumberFormat="1" applyFont="1" applyFill="1" applyBorder="1" applyAlignment="1">
      <alignment horizontal="center" vertical="center" wrapText="1"/>
    </xf>
    <xf numFmtId="164" fontId="39" fillId="37" borderId="16" xfId="4" applyNumberFormat="1" applyFont="1" applyFill="1" applyBorder="1" applyAlignment="1">
      <alignment horizontal="center" vertical="center" wrapText="1"/>
    </xf>
    <xf numFmtId="0" fontId="50" fillId="26" borderId="0" xfId="0" applyFont="1" applyFill="1" applyAlignment="1">
      <alignment horizontal="right" vertical="center" wrapText="1"/>
    </xf>
    <xf numFmtId="0" fontId="50" fillId="38" borderId="4" xfId="0" applyFont="1" applyFill="1" applyBorder="1" applyAlignment="1">
      <alignment horizontal="left" vertical="center" wrapText="1"/>
    </xf>
    <xf numFmtId="0" fontId="50" fillId="26" borderId="0" xfId="0" applyFont="1" applyFill="1" applyAlignment="1" applyProtection="1">
      <alignment horizontal="right" vertical="center" wrapText="1"/>
    </xf>
    <xf numFmtId="0" fontId="30" fillId="39" borderId="17" xfId="0" applyNumberFormat="1" applyFont="1" applyFill="1" applyBorder="1" applyAlignment="1">
      <alignment horizontal="center" vertical="center" wrapText="1"/>
    </xf>
    <xf numFmtId="0" fontId="30" fillId="39" borderId="18" xfId="0" applyNumberFormat="1" applyFont="1" applyFill="1" applyBorder="1" applyAlignment="1">
      <alignment horizontal="center" vertical="center" wrapText="1"/>
    </xf>
    <xf numFmtId="164" fontId="30" fillId="39" borderId="18" xfId="0" applyNumberFormat="1" applyFont="1" applyFill="1" applyBorder="1" applyAlignment="1">
      <alignment horizontal="center" vertical="center" wrapText="1"/>
    </xf>
    <xf numFmtId="0" fontId="30" fillId="39" borderId="19" xfId="0" applyNumberFormat="1" applyFont="1" applyFill="1" applyBorder="1" applyAlignment="1">
      <alignment horizontal="center" vertical="center" wrapText="1"/>
    </xf>
    <xf numFmtId="0" fontId="0" fillId="30" borderId="0" xfId="0" applyFill="1" applyAlignment="1">
      <alignment horizontal="center" vertical="center" wrapText="1"/>
    </xf>
    <xf numFmtId="14" fontId="0" fillId="30" borderId="0" xfId="0" applyNumberFormat="1" applyFill="1" applyAlignment="1">
      <alignment horizontal="center" vertical="center" wrapText="1"/>
    </xf>
    <xf numFmtId="0" fontId="32" fillId="40" borderId="20" xfId="0" applyFont="1" applyFill="1" applyBorder="1" applyAlignment="1">
      <alignment horizontal="center" vertical="center" wrapText="1"/>
    </xf>
    <xf numFmtId="0" fontId="32" fillId="40" borderId="23" xfId="0" applyFont="1" applyFill="1" applyBorder="1" applyAlignment="1">
      <alignment horizontal="center" vertical="center" wrapText="1"/>
    </xf>
    <xf numFmtId="0" fontId="32" fillId="40" borderId="21" xfId="0" applyFont="1" applyFill="1" applyBorder="1" applyAlignment="1">
      <alignment horizontal="center" vertical="center" wrapText="1"/>
    </xf>
    <xf numFmtId="0" fontId="32" fillId="40" borderId="22" xfId="0" applyFont="1" applyFill="1" applyBorder="1" applyAlignment="1">
      <alignment horizontal="center" vertical="center" wrapText="1"/>
    </xf>
    <xf numFmtId="165" fontId="6" fillId="27" borderId="3" xfId="2" applyNumberFormat="1" applyFont="1" applyFill="1" applyBorder="1" applyAlignment="1" applyProtection="1">
      <alignment horizontal="center" vertical="center" wrapText="1"/>
      <protection locked="0"/>
    </xf>
    <xf numFmtId="165" fontId="9" fillId="0" borderId="3" xfId="2" applyNumberFormat="1" applyFont="1" applyFill="1" applyBorder="1" applyAlignment="1" applyProtection="1">
      <alignment horizontal="center" vertical="center" wrapText="1"/>
      <protection locked="0"/>
    </xf>
    <xf numFmtId="165" fontId="0" fillId="0" borderId="0" xfId="0" applyNumberFormat="1" applyAlignment="1">
      <alignment vertical="center" wrapText="1"/>
    </xf>
    <xf numFmtId="165" fontId="41" fillId="0" borderId="0" xfId="0" applyNumberFormat="1" applyFont="1" applyAlignment="1">
      <alignment vertical="center" wrapText="1"/>
    </xf>
    <xf numFmtId="165" fontId="0" fillId="0" borderId="24" xfId="0" applyNumberFormat="1" applyBorder="1" applyProtection="1">
      <protection locked="0"/>
    </xf>
    <xf numFmtId="165" fontId="0" fillId="0" borderId="34" xfId="0" applyNumberFormat="1" applyBorder="1" applyProtection="1">
      <protection locked="0"/>
    </xf>
    <xf numFmtId="165" fontId="0" fillId="0" borderId="35" xfId="0" applyNumberFormat="1" applyBorder="1" applyProtection="1">
      <protection locked="0"/>
    </xf>
    <xf numFmtId="1" fontId="0" fillId="0" borderId="25" xfId="0" applyNumberFormat="1" applyBorder="1"/>
    <xf numFmtId="1" fontId="0" fillId="0" borderId="28" xfId="0" applyNumberFormat="1" applyBorder="1"/>
    <xf numFmtId="0" fontId="0" fillId="22" borderId="0" xfId="0" applyNumberFormat="1" applyFill="1" applyAlignment="1">
      <alignment vertical="center" wrapText="1"/>
    </xf>
    <xf numFmtId="0" fontId="0" fillId="24" borderId="0" xfId="0" applyNumberFormat="1" applyFill="1" applyAlignment="1">
      <alignment vertical="center" wrapText="1"/>
    </xf>
    <xf numFmtId="0" fontId="0" fillId="0" borderId="0" xfId="0" applyAlignment="1">
      <alignment horizontal="center" vertical="center" wrapText="1"/>
    </xf>
    <xf numFmtId="0" fontId="0" fillId="0" borderId="0" xfId="0" applyNumberFormat="1" applyAlignment="1">
      <alignment horizontal="center" vertical="center" wrapText="1"/>
    </xf>
    <xf numFmtId="165" fontId="0" fillId="0" borderId="0" xfId="0" applyNumberFormat="1" applyAlignment="1">
      <alignment horizontal="center" vertical="center" wrapText="1"/>
    </xf>
    <xf numFmtId="0" fontId="0" fillId="0" borderId="0" xfId="0" applyFont="1" applyAlignment="1">
      <alignment vertical="center" wrapText="1"/>
    </xf>
    <xf numFmtId="0" fontId="0" fillId="0" borderId="0" xfId="0" applyAlignment="1">
      <alignment horizontal="left" vertical="center" wrapText="1"/>
    </xf>
    <xf numFmtId="0" fontId="3" fillId="30" borderId="1" xfId="0" applyFont="1" applyFill="1" applyBorder="1" applyAlignment="1">
      <alignment horizontal="center" vertical="center" wrapText="1"/>
    </xf>
    <xf numFmtId="0" fontId="3" fillId="30" borderId="2" xfId="0" applyFont="1" applyFill="1" applyBorder="1" applyAlignment="1">
      <alignment horizontal="center" vertical="center" wrapText="1"/>
    </xf>
    <xf numFmtId="0" fontId="4" fillId="30" borderId="3" xfId="0" applyFont="1" applyFill="1" applyBorder="1" applyAlignment="1">
      <alignment horizontal="center" vertical="center" wrapText="1"/>
    </xf>
    <xf numFmtId="0" fontId="7" fillId="27" borderId="29" xfId="2" applyFont="1" applyFill="1" applyBorder="1" applyAlignment="1">
      <alignment horizontal="left" vertical="center"/>
    </xf>
    <xf numFmtId="0" fontId="7" fillId="27" borderId="36" xfId="2" applyFont="1" applyFill="1" applyBorder="1" applyAlignment="1">
      <alignment horizontal="left" vertical="center"/>
    </xf>
    <xf numFmtId="0" fontId="7" fillId="27" borderId="30" xfId="2" applyFont="1" applyFill="1" applyBorder="1" applyAlignment="1">
      <alignment horizontal="left" vertical="center"/>
    </xf>
    <xf numFmtId="0" fontId="8" fillId="0" borderId="29" xfId="2" applyFont="1" applyFill="1" applyBorder="1" applyAlignment="1">
      <alignment horizontal="left" vertical="center" wrapText="1"/>
    </xf>
    <xf numFmtId="0" fontId="8" fillId="0" borderId="36" xfId="2" applyFont="1" applyFill="1" applyBorder="1" applyAlignment="1">
      <alignment horizontal="left" vertical="center" wrapText="1"/>
    </xf>
    <xf numFmtId="0" fontId="8" fillId="0" borderId="30" xfId="2" applyFont="1" applyFill="1" applyBorder="1" applyAlignment="1">
      <alignment horizontal="left" vertical="center" wrapText="1"/>
    </xf>
    <xf numFmtId="0" fontId="11" fillId="30" borderId="3" xfId="0" applyFont="1" applyFill="1" applyBorder="1" applyAlignment="1">
      <alignment horizontal="center" vertical="center" wrapText="1"/>
    </xf>
    <xf numFmtId="0" fontId="45" fillId="32" borderId="0" xfId="0" applyFont="1" applyFill="1" applyBorder="1" applyAlignment="1">
      <alignment horizontal="center" vertical="center" wrapText="1"/>
    </xf>
    <xf numFmtId="0" fontId="49" fillId="34" borderId="4" xfId="0" applyFont="1" applyFill="1" applyBorder="1" applyAlignment="1">
      <alignment horizontal="left" vertical="center" wrapText="1"/>
    </xf>
    <xf numFmtId="0" fontId="13" fillId="0" borderId="4" xfId="0" applyFont="1" applyBorder="1" applyAlignment="1">
      <alignment horizontal="left" vertical="center"/>
    </xf>
    <xf numFmtId="0" fontId="15" fillId="33" borderId="3" xfId="0" applyFont="1" applyFill="1" applyBorder="1" applyAlignment="1">
      <alignment horizontal="center" vertical="center" wrapText="1"/>
    </xf>
    <xf numFmtId="0" fontId="2" fillId="3" borderId="3" xfId="0" applyFont="1" applyFill="1" applyBorder="1" applyAlignment="1">
      <alignment horizontal="center" vertical="center"/>
    </xf>
    <xf numFmtId="0" fontId="33" fillId="4" borderId="3" xfId="0" applyFont="1" applyFill="1" applyBorder="1" applyAlignment="1">
      <alignment horizontal="center" vertical="center"/>
    </xf>
    <xf numFmtId="0" fontId="2" fillId="5" borderId="3" xfId="0" applyFont="1" applyFill="1" applyBorder="1" applyAlignment="1">
      <alignment horizontal="center" vertical="center" wrapText="1"/>
    </xf>
    <xf numFmtId="0" fontId="2" fillId="6" borderId="29" xfId="0" applyFont="1" applyFill="1" applyBorder="1" applyAlignment="1">
      <alignment horizontal="center" vertical="center"/>
    </xf>
    <xf numFmtId="0" fontId="2" fillId="6" borderId="30" xfId="0" applyFont="1" applyFill="1" applyBorder="1" applyAlignment="1">
      <alignment horizontal="center" vertical="center"/>
    </xf>
    <xf numFmtId="0" fontId="16" fillId="8" borderId="29" xfId="3" applyFont="1" applyBorder="1" applyAlignment="1" applyProtection="1">
      <alignment horizontal="center" vertical="center"/>
    </xf>
    <xf numFmtId="0" fontId="16" fillId="8" borderId="30" xfId="3" applyFont="1" applyBorder="1" applyAlignment="1" applyProtection="1">
      <alignment horizontal="center" vertical="center"/>
    </xf>
    <xf numFmtId="0" fontId="2" fillId="7" borderId="29" xfId="0" applyFont="1" applyFill="1" applyBorder="1" applyAlignment="1">
      <alignment horizontal="center" vertical="center"/>
    </xf>
    <xf numFmtId="0" fontId="2" fillId="7" borderId="30" xfId="0" applyFont="1" applyFill="1" applyBorder="1" applyAlignment="1">
      <alignment horizontal="center" vertical="center"/>
    </xf>
    <xf numFmtId="0" fontId="35" fillId="22" borderId="0" xfId="0" applyFont="1" applyFill="1" applyAlignment="1">
      <alignment horizontal="left"/>
    </xf>
    <xf numFmtId="0" fontId="2" fillId="24" borderId="31" xfId="0" applyFont="1" applyFill="1" applyBorder="1" applyAlignment="1">
      <alignment horizontal="left"/>
    </xf>
    <xf numFmtId="0" fontId="2" fillId="24" borderId="32" xfId="0" applyFont="1" applyFill="1" applyBorder="1" applyAlignment="1">
      <alignment horizontal="left"/>
    </xf>
    <xf numFmtId="0" fontId="2" fillId="24" borderId="33" xfId="0" applyFont="1" applyFill="1" applyBorder="1" applyAlignment="1">
      <alignment horizontal="left"/>
    </xf>
    <xf numFmtId="0" fontId="50" fillId="38" borderId="12" xfId="0" applyFont="1" applyFill="1" applyBorder="1" applyAlignment="1">
      <alignment horizontal="left" vertical="center" wrapText="1"/>
    </xf>
    <xf numFmtId="0" fontId="50" fillId="38" borderId="13" xfId="0" applyFont="1" applyFill="1" applyBorder="1" applyAlignment="1">
      <alignment horizontal="left" vertical="center" wrapText="1"/>
    </xf>
    <xf numFmtId="0" fontId="50" fillId="38" borderId="14" xfId="0" applyFont="1" applyFill="1" applyBorder="1" applyAlignment="1">
      <alignment horizontal="left" vertical="center" wrapText="1"/>
    </xf>
    <xf numFmtId="0" fontId="31" fillId="0" borderId="0" xfId="0" applyNumberFormat="1" applyFont="1" applyAlignment="1">
      <alignment horizontal="center"/>
    </xf>
    <xf numFmtId="0" fontId="31" fillId="0" borderId="0" xfId="0" applyFont="1" applyAlignment="1">
      <alignment horizontal="center"/>
    </xf>
    <xf numFmtId="0" fontId="7" fillId="11" borderId="0" xfId="0" applyFont="1" applyFill="1" applyAlignment="1">
      <alignment horizontal="center"/>
    </xf>
  </cellXfs>
  <cellStyles count="5">
    <cellStyle name="(4) STM-1 (LECT)_x000d__x000a_PL-4579-M-039-99_x000d__x000a_FALTA APE" xfId="4"/>
    <cellStyle name="Excel Built-in 20% - Accent1" xfId="3"/>
    <cellStyle name="Normal" xfId="0" builtinId="0"/>
    <cellStyle name="Normal_Nuevo Formato Matriz de Pruebas - 150909" xfId="2"/>
    <cellStyle name="Porcentaje" xfId="1" builtinId="5"/>
  </cellStyles>
  <dxfs count="72">
    <dxf>
      <numFmt numFmtId="1" formatCode="0"/>
      <border diagonalUp="0" diagonalDown="0">
        <left style="thin">
          <color indexed="22"/>
        </left>
        <right/>
        <top style="thin">
          <color indexed="22"/>
        </top>
        <bottom style="thin">
          <color indexed="22"/>
        </bottom>
      </border>
    </dxf>
    <dxf>
      <numFmt numFmtId="1" formatCode="0"/>
      <border diagonalUp="0" diagonalDown="0">
        <left style="thin">
          <color indexed="22"/>
        </left>
        <right/>
        <top/>
        <bottom style="thin">
          <color indexed="22"/>
        </bottom>
      </border>
      <protection locked="0" hidden="0"/>
    </dxf>
    <dxf>
      <numFmt numFmtId="1" formatCode="0"/>
      <border diagonalUp="0" diagonalDown="0">
        <left style="thin">
          <color indexed="22"/>
        </left>
        <right/>
        <top/>
        <bottom style="thin">
          <color indexed="22"/>
        </bottom>
      </border>
      <protection locked="0" hidden="0"/>
    </dxf>
    <dxf>
      <numFmt numFmtId="165" formatCode="[$-409]d\-mmm\-yyyy;@"/>
      <border diagonalUp="0" diagonalDown="0">
        <left/>
        <right style="thin">
          <color indexed="22"/>
        </right>
        <top/>
        <bottom style="thin">
          <color indexed="22"/>
        </bottom>
      </border>
      <protection locked="0" hidden="0"/>
    </dxf>
    <dxf>
      <border outline="0">
        <left style="medium">
          <color indexed="22"/>
        </left>
        <right style="medium">
          <color indexed="22"/>
        </right>
        <top style="medium">
          <color indexed="22"/>
        </top>
        <bottom style="thin">
          <color indexed="22"/>
        </bottom>
      </border>
    </dxf>
    <dxf>
      <border outline="0">
        <bottom style="medium">
          <color indexed="2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rial"/>
        <scheme val="none"/>
      </font>
      <fill>
        <patternFill patternType="solid">
          <fgColor indexed="50"/>
          <bgColor theme="3" tint="-0.499984740745262"/>
        </patternFill>
      </fill>
      <alignment horizontal="center" vertical="center" textRotation="0" wrapText="1" relativeIndent="0" justifyLastLine="0" shrinkToFit="0" readingOrder="0"/>
      <border diagonalUp="0" diagonalDown="0" outline="0">
        <left style="thin">
          <color indexed="22"/>
        </left>
        <right style="thin">
          <color indexed="22"/>
        </right>
        <top/>
        <bottom/>
      </border>
    </dxf>
    <dxf>
      <numFmt numFmtId="0" formatCode="General"/>
      <border diagonalUp="0" diagonalDown="0">
        <left style="thin">
          <color indexed="22"/>
        </left>
        <right/>
        <top style="thin">
          <color indexed="22"/>
        </top>
        <bottom style="thin">
          <color indexed="22"/>
        </bottom>
      </border>
      <protection locked="0" hidden="0"/>
    </dxf>
    <dxf>
      <numFmt numFmtId="1" formatCode="0"/>
      <border diagonalUp="0" diagonalDown="0">
        <left style="thin">
          <color indexed="22"/>
        </left>
        <right/>
        <top/>
        <bottom style="thin">
          <color indexed="22"/>
        </bottom>
        <vertical/>
        <horizontal/>
      </border>
      <protection locked="0" hidden="0"/>
    </dxf>
    <dxf>
      <numFmt numFmtId="1" formatCode="0"/>
      <border diagonalUp="0" diagonalDown="0">
        <left style="thin">
          <color indexed="22"/>
        </left>
        <right/>
        <top/>
        <bottom style="thin">
          <color indexed="22"/>
        </bottom>
        <vertical/>
        <horizontal/>
      </border>
      <protection locked="0" hidden="0"/>
    </dxf>
    <dxf>
      <numFmt numFmtId="1" formatCode="0"/>
      <border diagonalUp="0" diagonalDown="0">
        <left style="thin">
          <color indexed="22"/>
        </left>
        <right/>
        <top/>
        <bottom style="thin">
          <color indexed="22"/>
        </bottom>
      </border>
      <protection locked="0" hidden="0"/>
    </dxf>
    <dxf>
      <numFmt numFmtId="1" formatCode="0"/>
      <border diagonalUp="0" diagonalDown="0">
        <left style="thin">
          <color indexed="22"/>
        </left>
        <right/>
        <top/>
        <bottom style="thin">
          <color indexed="22"/>
        </bottom>
        <vertical/>
        <horizontal/>
      </border>
      <protection locked="0" hidden="0"/>
    </dxf>
    <dxf>
      <numFmt numFmtId="1" formatCode="0"/>
      <border diagonalUp="0" diagonalDown="0">
        <left style="thin">
          <color indexed="22"/>
        </left>
        <right/>
        <top/>
        <bottom style="thin">
          <color indexed="22"/>
        </bottom>
      </border>
      <protection locked="0" hidden="0"/>
    </dxf>
    <dxf>
      <numFmt numFmtId="1" formatCode="0"/>
      <border diagonalUp="0" diagonalDown="0">
        <left style="thin">
          <color indexed="22"/>
        </left>
        <right/>
        <top/>
        <bottom style="thin">
          <color indexed="22"/>
        </bottom>
      </border>
      <protection locked="0" hidden="0"/>
    </dxf>
    <dxf>
      <numFmt numFmtId="1" formatCode="0"/>
      <border diagonalUp="0" diagonalDown="0">
        <left style="thin">
          <color indexed="22"/>
        </left>
        <right/>
        <top/>
        <bottom style="thin">
          <color indexed="22"/>
        </bottom>
      </border>
      <protection locked="0" hidden="0"/>
    </dxf>
    <dxf>
      <numFmt numFmtId="165" formatCode="[$-409]d\-mmm\-yyyy;@"/>
      <border diagonalUp="0" diagonalDown="0">
        <left/>
        <right style="thin">
          <color indexed="22"/>
        </right>
        <top style="thin">
          <color indexed="22"/>
        </top>
        <bottom style="thin">
          <color indexed="22"/>
        </bottom>
      </border>
      <protection locked="0" hidden="0"/>
    </dxf>
    <dxf>
      <border outline="0">
        <left style="medium">
          <color indexed="22"/>
        </left>
        <right style="medium">
          <color indexed="22"/>
        </right>
        <top style="medium">
          <color indexed="22"/>
        </top>
        <bottom style="thin">
          <color indexed="22"/>
        </bottom>
      </border>
    </dxf>
    <dxf>
      <protection locked="0" hidden="0"/>
    </dxf>
    <dxf>
      <border outline="0">
        <bottom style="medium">
          <color indexed="2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rial"/>
        <scheme val="none"/>
      </font>
      <fill>
        <patternFill patternType="solid">
          <fgColor indexed="50"/>
          <bgColor theme="3" tint="-0.499984740745262"/>
        </patternFill>
      </fill>
      <alignment horizontal="center" vertical="center" textRotation="0" wrapText="1" relativeIndent="0" justifyLastLine="0" shrinkToFit="0" readingOrder="0"/>
      <border diagonalUp="0" diagonalDown="0" outline="0">
        <left style="thin">
          <color indexed="22"/>
        </left>
        <right style="thin">
          <color indexed="22"/>
        </right>
        <top/>
        <bottom/>
      </border>
    </dxf>
    <dxf>
      <numFmt numFmtId="0" formatCode="General"/>
      <alignment horizontal="center" vertical="center" textRotation="0" wrapText="1" indent="0" justifyLastLine="0" shrinkToFit="0" readingOrder="0"/>
    </dxf>
    <dxf>
      <alignment vertical="center" textRotation="0" wrapText="1" justifyLastLine="0" shrinkToFit="0" readingOrder="0"/>
    </dxf>
    <dxf>
      <alignment horizontal="left" vertical="center" textRotation="0" wrapText="1" indent="0" justifyLastLine="0" shrinkToFit="0" readingOrder="0"/>
    </dxf>
    <dxf>
      <numFmt numFmtId="165" formatCode="[$-409]d\-mmm\-yyyy;@"/>
      <alignment horizontal="general" vertical="center" textRotation="0" wrapText="1" relativeIndent="0" justifyLastLine="0" shrinkToFit="0" readingOrder="0"/>
    </dxf>
    <dxf>
      <numFmt numFmtId="165" formatCode="[$-409]d\-mmm\-yyyy;@"/>
      <alignment horizontal="center" vertical="center" textRotation="0" wrapText="1" indent="0" justifyLastLine="0" shrinkToFit="0" readingOrder="0"/>
    </dxf>
    <dxf>
      <alignment vertical="center" textRotation="0" wrapText="1" justifyLastLine="0" shrinkToFit="0" readingOrder="0"/>
    </dxf>
    <dxf>
      <alignment vertical="center" textRotation="0" wrapText="1" justifyLastLine="0" shrinkToFit="0" readingOrder="0"/>
    </dxf>
    <dxf>
      <numFmt numFmtId="0" formatCode="General"/>
      <alignment vertical="center" textRotation="0" wrapText="1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vertical="center" textRotation="0" wrapText="1" justifyLastLine="0" shrinkToFit="0" readingOrder="0"/>
    </dxf>
    <dxf>
      <fill>
        <patternFill patternType="solid">
          <fgColor indexed="64"/>
          <bgColor theme="3" tint="-0.499984740745262"/>
        </patternFill>
      </fill>
      <alignment horizontal="center" vertical="center" textRotation="0" wrapText="1" relativeIndent="0" justifyLastLine="0" shrinkToFit="0" readingOrder="0"/>
    </dxf>
    <dxf>
      <numFmt numFmtId="0" formatCode="General"/>
      <alignment vertical="center" textRotation="0" wrapText="1" justifyLastLine="0" shrinkToFit="0" readingOrder="0"/>
    </dxf>
    <dxf>
      <numFmt numFmtId="0" formatCode="General"/>
      <alignment vertical="center" textRotation="0" wrapText="1" justifyLastLine="0" shrinkToFit="0" readingOrder="0"/>
    </dxf>
    <dxf>
      <numFmt numFmtId="0" formatCode="General"/>
      <alignment vertical="center" textRotation="0" wrapText="1" justifyLastLine="0" shrinkToFit="0" readingOrder="0"/>
    </dxf>
    <dxf>
      <numFmt numFmtId="0" formatCode="General"/>
      <alignment vertical="center" textRotation="0" wrapText="1" justifyLastLine="0" shrinkToFit="0" readingOrder="0"/>
    </dxf>
    <dxf>
      <numFmt numFmtId="164" formatCode="dd/mm/yyyy;@"/>
      <alignment horizontal="center" vertical="center" textRotation="0" wrapText="1" indent="0" justifyLastLine="0" shrinkToFit="0" readingOrder="0"/>
    </dxf>
    <dxf>
      <numFmt numFmtId="165" formatCode="[$-409]d\-mmm\-yyyy;@"/>
      <alignment horizontal="general" vertical="center" textRotation="0" wrapText="1" relativeIndent="0" justifyLastLine="0" shrinkToFit="0" readingOrder="0"/>
    </dxf>
    <dxf>
      <numFmt numFmtId="165" formatCode="[$-409]d\-mmm\-yyyy;@"/>
      <alignment vertical="center" textRotation="0" wrapText="1" justifyLastLine="0" shrinkToFit="0" readingOrder="0"/>
    </dxf>
    <dxf>
      <numFmt numFmtId="0" formatCode="General"/>
      <alignment vertical="center" textRotation="0" wrapText="1" justifyLastLine="0" shrinkToFit="0" readingOrder="0"/>
    </dxf>
    <dxf>
      <numFmt numFmtId="0" formatCode="General"/>
      <alignment vertical="center" textRotation="0" wrapText="1" justifyLastLine="0" shrinkToFit="0" readingOrder="0"/>
    </dxf>
    <dxf>
      <numFmt numFmtId="0" formatCode="General"/>
      <alignment vertical="center" textRotation="0" wrapText="1" justifyLastLine="0" shrinkToFit="0" readingOrder="0"/>
    </dxf>
    <dxf>
      <numFmt numFmtId="0" formatCode="General"/>
      <alignment horizontal="general" vertical="center" textRotation="0" wrapText="1" indent="0" justifyLastLine="0" shrinkToFit="0" readingOrder="0"/>
    </dxf>
    <dxf>
      <font>
        <b val="0"/>
      </font>
      <numFmt numFmtId="0" formatCode="General"/>
      <alignment vertical="center" textRotation="0" wrapText="1" justifyLastLine="0" shrinkToFit="0" readingOrder="0"/>
    </dxf>
    <dxf>
      <border outline="0">
        <top style="thin">
          <color theme="9" tint="0.39997558519241921"/>
        </top>
      </border>
    </dxf>
    <dxf>
      <alignment vertical="center" textRotation="0" wrapText="1" justifyLastLine="0" shrinkToFit="0" readingOrder="0"/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numFmt numFmtId="0" formatCode="General"/>
      <fill>
        <patternFill patternType="solid">
          <fgColor theme="9"/>
          <bgColor theme="3" tint="-0.499984740745262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[$-409]d\-mmm\-yyyy;@"/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[$-409]d\-mmm\-yyyy;@"/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alignment horizontal="general" vertical="center" textRotation="0" wrapText="1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center" textRotation="0" wrapText="1" indent="0" justifyLastLine="0" shrinkToFit="0" readingOrder="0"/>
    </dxf>
    <dxf>
      <font>
        <sz val="8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center" textRotation="0" wrapText="1" indent="0" justifyLastLine="0" shrinkToFit="0" readingOrder="0"/>
    </dxf>
    <dxf>
      <border outline="0">
        <top style="thin">
          <color theme="5"/>
        </top>
      </border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center" textRotation="0" wrapText="1" indent="0" justifyLastLine="0" shrinkToFit="0" readingOrder="0"/>
      <border diagonalUp="0" diagonalDown="0">
        <left style="thin">
          <color indexed="9"/>
        </left>
        <right style="thin">
          <color indexed="9"/>
        </right>
        <top/>
        <bottom/>
      </border>
    </dxf>
    <dxf>
      <border outline="0">
        <bottom style="thin">
          <color theme="5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indexed="9"/>
        <name val="Arial Narrow"/>
        <scheme val="none"/>
      </font>
      <fill>
        <patternFill patternType="solid">
          <fgColor indexed="58"/>
          <bgColor theme="3" tint="-0.499984740745262"/>
        </patternFill>
      </fill>
      <alignment horizontal="center" vertical="center" textRotation="0" wrapText="1" relativeIndent="0" justifyLastLine="0" shrinkToFit="0" readingOrder="0"/>
      <border diagonalUp="0" diagonalDown="0" outline="0">
        <left style="thin">
          <color indexed="9"/>
        </left>
        <right style="thin">
          <color indexed="9"/>
        </right>
        <top/>
        <bottom/>
      </border>
    </dxf>
    <dxf>
      <font>
        <b/>
        <i val="0"/>
        <color theme="6" tint="-0.499984740745262"/>
      </font>
      <fill>
        <patternFill patternType="solid">
          <fgColor indexed="44"/>
          <bgColor theme="6" tint="0.79998168889431442"/>
        </patternFill>
      </fill>
    </dxf>
    <dxf>
      <font>
        <b/>
        <i val="0"/>
        <color theme="9" tint="-0.499984740745262"/>
      </font>
      <fill>
        <patternFill patternType="solid">
          <fgColor indexed="22"/>
          <bgColor theme="9" tint="0.79998168889431442"/>
        </patternFill>
      </fill>
    </dxf>
    <dxf>
      <font>
        <b/>
        <i val="0"/>
        <color rgb="FFFF0000"/>
      </font>
      <fill>
        <patternFill patternType="solid">
          <fgColor indexed="46"/>
          <bgColor theme="5" tint="0.79998168889431442"/>
        </patternFill>
      </fill>
    </dxf>
  </dxfs>
  <tableStyles count="0" defaultTableStyle="TableStyleMedium9" defaultPivotStyle="PivotStyleLight16"/>
  <colors>
    <mruColors>
      <color rgb="FFFFFF66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pivotCacheDefinition" Target="pivotCache/pivotCacheDefinition6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P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s-ES" sz="1600"/>
            </a:pPr>
            <a:r>
              <a:rPr lang="es-ES" sz="1600"/>
              <a:t>Distribución Porcentual de los Estados de Casos de Prueba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21306389798620512"/>
          <c:y val="0.20151813899974841"/>
          <c:w val="0.5014249413513493"/>
          <c:h val="0.77617833387264945"/>
        </c:manualLayout>
      </c:layout>
      <c:pieChart>
        <c:varyColors val="1"/>
        <c:ser>
          <c:idx val="0"/>
          <c:order val="0"/>
          <c:explosion val="6"/>
          <c:dLbls>
            <c:spPr>
              <a:solidFill>
                <a:schemeClr val="tx1"/>
              </a:solidFill>
            </c:spPr>
            <c:txPr>
              <a:bodyPr/>
              <a:lstStyle/>
              <a:p>
                <a:pPr>
                  <a:defRPr lang="es-ES" b="1">
                    <a:solidFill>
                      <a:schemeClr val="bg1"/>
                    </a:solidFill>
                  </a:defRPr>
                </a:pPr>
                <a:endParaRPr lang="es-PE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strRef>
              <c:f>Resumen!$E$12:$J$12</c:f>
              <c:strCache>
                <c:ptCount val="6"/>
                <c:pt idx="0">
                  <c:v>Acierto</c:v>
                </c:pt>
                <c:pt idx="1">
                  <c:v>Fallo</c:v>
                </c:pt>
                <c:pt idx="2">
                  <c:v>Bloqueado</c:v>
                </c:pt>
                <c:pt idx="3">
                  <c:v>Pendiente</c:v>
                </c:pt>
                <c:pt idx="4">
                  <c:v>No Aplica</c:v>
                </c:pt>
                <c:pt idx="5">
                  <c:v>En Proceso</c:v>
                </c:pt>
              </c:strCache>
            </c:strRef>
          </c:cat>
          <c:val>
            <c:numRef>
              <c:f>Resumen!$E$14:$J$14</c:f>
              <c:numCache>
                <c:formatCode>0%</c:formatCode>
                <c:ptCount val="6"/>
                <c:pt idx="0">
                  <c:v>0.25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0.75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  <c:txPr>
        <a:bodyPr/>
        <a:lstStyle/>
        <a:p>
          <a:pPr>
            <a:defRPr lang="es-ES"/>
          </a:pPr>
          <a:endParaRPr lang="es-PE"/>
        </a:p>
      </c:txPr>
    </c:legend>
    <c:plotVisOnly val="1"/>
    <c:dispBlanksAs val="gap"/>
    <c:showDLblsOverMax val="0"/>
  </c:chart>
  <c:printSettings>
    <c:headerFooter/>
    <c:pageMargins b="0.75000000000000655" l="0.70000000000000062" r="0.70000000000000062" t="0.7500000000000065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P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s-ES"/>
            </a:pPr>
            <a:r>
              <a:rPr lang="es-ES"/>
              <a:t>Distribución Porcentual de los Estados de las Incidencias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explosion val="4"/>
          <c:dLbls>
            <c:spPr>
              <a:solidFill>
                <a:schemeClr val="tx1"/>
              </a:solidFill>
            </c:spPr>
            <c:txPr>
              <a:bodyPr/>
              <a:lstStyle/>
              <a:p>
                <a:pPr>
                  <a:defRPr lang="es-ES" b="1">
                    <a:solidFill>
                      <a:schemeClr val="bg1"/>
                    </a:solidFill>
                  </a:defRPr>
                </a:pPr>
                <a:endParaRPr lang="es-PE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multiLvlStrRef>
              <c:f>(Resumen!$C$28,Resumen!$E$28)</c:f>
            </c:multiLvlStrRef>
          </c:cat>
          <c:val>
            <c:numRef>
              <c:f>(Resumen!$C$34,Resumen!$E$34)</c:f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  <c:txPr>
        <a:bodyPr/>
        <a:lstStyle/>
        <a:p>
          <a:pPr rtl="0">
            <a:defRPr lang="es-ES"/>
          </a:pPr>
          <a:endParaRPr lang="es-PE"/>
        </a:p>
      </c:txPr>
    </c:legend>
    <c:plotVisOnly val="1"/>
    <c:dispBlanksAs val="gap"/>
    <c:showDLblsOverMax val="0"/>
  </c:chart>
  <c:printSettings>
    <c:headerFooter/>
    <c:pageMargins b="0.75000000000000655" l="0.70000000000000062" r="0.70000000000000062" t="0.7500000000000065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P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HistoricoAvance!$C$3</c:f>
              <c:strCache>
                <c:ptCount val="1"/>
                <c:pt idx="0">
                  <c:v>Aciertos</c:v>
                </c:pt>
              </c:strCache>
            </c:strRef>
          </c:tx>
          <c:spPr>
            <a:ln w="50800"/>
          </c:spPr>
          <c:cat>
            <c:numRef>
              <c:f>HistoricoAvance!$B$4:$B$8</c:f>
              <c:numCache>
                <c:formatCode>[$-409]d\-mmm\-yyyy;@</c:formatCode>
                <c:ptCount val="5"/>
                <c:pt idx="0">
                  <c:v>40658</c:v>
                </c:pt>
              </c:numCache>
            </c:numRef>
          </c:cat>
          <c:val>
            <c:numRef>
              <c:f>HistoricoAvance!$C$4:$C$8</c:f>
              <c:numCache>
                <c:formatCode>0</c:formatCode>
                <c:ptCount val="5"/>
              </c:numCache>
            </c:numRef>
          </c:val>
          <c:smooth val="0"/>
        </c:ser>
        <c:ser>
          <c:idx val="1"/>
          <c:order val="1"/>
          <c:tx>
            <c:strRef>
              <c:f>HistoricoAvance!$D$3</c:f>
              <c:strCache>
                <c:ptCount val="1"/>
                <c:pt idx="0">
                  <c:v>Fallos</c:v>
                </c:pt>
              </c:strCache>
            </c:strRef>
          </c:tx>
          <c:spPr>
            <a:ln w="50800"/>
          </c:spPr>
          <c:cat>
            <c:numRef>
              <c:f>HistoricoAvance!$B$4:$B$8</c:f>
              <c:numCache>
                <c:formatCode>[$-409]d\-mmm\-yyyy;@</c:formatCode>
                <c:ptCount val="5"/>
                <c:pt idx="0">
                  <c:v>40658</c:v>
                </c:pt>
              </c:numCache>
            </c:numRef>
          </c:cat>
          <c:val>
            <c:numRef>
              <c:f>HistoricoAvance!$D$4:$D$8</c:f>
              <c:numCache>
                <c:formatCode>0</c:formatCode>
                <c:ptCount val="5"/>
              </c:numCache>
            </c:numRef>
          </c:val>
          <c:smooth val="0"/>
        </c:ser>
        <c:ser>
          <c:idx val="2"/>
          <c:order val="2"/>
          <c:tx>
            <c:strRef>
              <c:f>HistoricoAvance!$E$3</c:f>
              <c:strCache>
                <c:ptCount val="1"/>
                <c:pt idx="0">
                  <c:v>Bloqueado</c:v>
                </c:pt>
              </c:strCache>
            </c:strRef>
          </c:tx>
          <c:cat>
            <c:numRef>
              <c:f>HistoricoAvance!$B$4:$B$8</c:f>
              <c:numCache>
                <c:formatCode>[$-409]d\-mmm\-yyyy;@</c:formatCode>
                <c:ptCount val="5"/>
                <c:pt idx="0">
                  <c:v>40658</c:v>
                </c:pt>
              </c:numCache>
            </c:numRef>
          </c:cat>
          <c:val>
            <c:numRef>
              <c:f>HistoricoAvance!$E$4:$E$8</c:f>
              <c:numCache>
                <c:formatCode>0</c:formatCode>
                <c:ptCount val="5"/>
              </c:numCache>
            </c:numRef>
          </c:val>
          <c:smooth val="0"/>
        </c:ser>
        <c:ser>
          <c:idx val="3"/>
          <c:order val="3"/>
          <c:tx>
            <c:strRef>
              <c:f>HistoricoAvance!$F$3</c:f>
              <c:strCache>
                <c:ptCount val="1"/>
                <c:pt idx="0">
                  <c:v>Pendiente</c:v>
                </c:pt>
              </c:strCache>
            </c:strRef>
          </c:tx>
          <c:cat>
            <c:numRef>
              <c:f>HistoricoAvance!$B$4:$B$8</c:f>
              <c:numCache>
                <c:formatCode>[$-409]d\-mmm\-yyyy;@</c:formatCode>
                <c:ptCount val="5"/>
                <c:pt idx="0">
                  <c:v>40658</c:v>
                </c:pt>
              </c:numCache>
            </c:numRef>
          </c:cat>
          <c:val>
            <c:numRef>
              <c:f>HistoricoAvance!$F$4:$F$8</c:f>
              <c:numCache>
                <c:formatCode>0</c:formatCode>
                <c:ptCount val="5"/>
              </c:numCache>
            </c:numRef>
          </c:val>
          <c:smooth val="0"/>
        </c:ser>
        <c:ser>
          <c:idx val="4"/>
          <c:order val="4"/>
          <c:tx>
            <c:strRef>
              <c:f>HistoricoAvance!$G$3</c:f>
              <c:strCache>
                <c:ptCount val="1"/>
                <c:pt idx="0">
                  <c:v>No Aplica</c:v>
                </c:pt>
              </c:strCache>
            </c:strRef>
          </c:tx>
          <c:cat>
            <c:numRef>
              <c:f>HistoricoAvance!$B$4:$B$8</c:f>
              <c:numCache>
                <c:formatCode>[$-409]d\-mmm\-yyyy;@</c:formatCode>
                <c:ptCount val="5"/>
                <c:pt idx="0">
                  <c:v>40658</c:v>
                </c:pt>
              </c:numCache>
            </c:numRef>
          </c:cat>
          <c:val>
            <c:numRef>
              <c:f>HistoricoAvance!$G$4:$G$8</c:f>
              <c:numCache>
                <c:formatCode>0</c:formatCode>
                <c:ptCount val="5"/>
              </c:numCache>
            </c:numRef>
          </c:val>
          <c:smooth val="0"/>
        </c:ser>
        <c:ser>
          <c:idx val="5"/>
          <c:order val="5"/>
          <c:tx>
            <c:strRef>
              <c:f>HistoricoAvance!$H$3</c:f>
              <c:strCache>
                <c:ptCount val="1"/>
                <c:pt idx="0">
                  <c:v>En Proceso</c:v>
                </c:pt>
              </c:strCache>
            </c:strRef>
          </c:tx>
          <c:cat>
            <c:numRef>
              <c:f>HistoricoAvance!$B$4:$B$8</c:f>
              <c:numCache>
                <c:formatCode>[$-409]d\-mmm\-yyyy;@</c:formatCode>
                <c:ptCount val="5"/>
                <c:pt idx="0">
                  <c:v>40658</c:v>
                </c:pt>
              </c:numCache>
            </c:numRef>
          </c:cat>
          <c:val>
            <c:numRef>
              <c:f>HistoricoAvance!$H$4:$H$8</c:f>
              <c:numCache>
                <c:formatCode>0</c:formatCode>
                <c:ptCount val="5"/>
              </c:numCache>
            </c:numRef>
          </c:val>
          <c:smooth val="0"/>
        </c:ser>
        <c:ser>
          <c:idx val="6"/>
          <c:order val="6"/>
          <c:tx>
            <c:strRef>
              <c:f>HistoricoAvance!$I$3</c:f>
              <c:strCache>
                <c:ptCount val="1"/>
                <c:pt idx="0">
                  <c:v>Reejecuciones</c:v>
                </c:pt>
              </c:strCache>
            </c:strRef>
          </c:tx>
          <c:cat>
            <c:numRef>
              <c:f>HistoricoAvance!$B$4:$B$8</c:f>
              <c:numCache>
                <c:formatCode>[$-409]d\-mmm\-yyyy;@</c:formatCode>
                <c:ptCount val="5"/>
                <c:pt idx="0">
                  <c:v>40658</c:v>
                </c:pt>
              </c:numCache>
            </c:numRef>
          </c:cat>
          <c:val>
            <c:numRef>
              <c:f>HistoricoAvance!$I$4:$I$8</c:f>
              <c:numCache>
                <c:formatCode>0</c:formatCode>
                <c:ptCount val="5"/>
              </c:numCache>
            </c:numRef>
          </c:val>
          <c:smooth val="0"/>
        </c:ser>
        <c:ser>
          <c:idx val="7"/>
          <c:order val="7"/>
          <c:tx>
            <c:strRef>
              <c:f>HistoricoAvance!$J$3</c:f>
              <c:strCache>
                <c:ptCount val="1"/>
                <c:pt idx="0">
                  <c:v>Totales</c:v>
                </c:pt>
              </c:strCache>
            </c:strRef>
          </c:tx>
          <c:spPr>
            <a:ln w="50800" cmpd="sng">
              <a:solidFill>
                <a:schemeClr val="tx1"/>
              </a:solidFill>
            </a:ln>
          </c:spPr>
          <c:cat>
            <c:numRef>
              <c:f>HistoricoAvance!$B$4:$B$8</c:f>
              <c:numCache>
                <c:formatCode>[$-409]d\-mmm\-yyyy;@</c:formatCode>
                <c:ptCount val="5"/>
                <c:pt idx="0">
                  <c:v>40658</c:v>
                </c:pt>
              </c:numCache>
            </c:numRef>
          </c:cat>
          <c:val>
            <c:numRef>
              <c:f>HistoricoAvance!$J$4:$J$8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6931968"/>
        <c:axId val="136933760"/>
      </c:lineChart>
      <c:dateAx>
        <c:axId val="136931968"/>
        <c:scaling>
          <c:orientation val="minMax"/>
        </c:scaling>
        <c:delete val="0"/>
        <c:axPos val="b"/>
        <c:numFmt formatCode="[$-409]d\-mmm\-yyyy;@" sourceLinked="1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PE"/>
          </a:p>
        </c:txPr>
        <c:crossAx val="136933760"/>
        <c:crosses val="autoZero"/>
        <c:auto val="1"/>
        <c:lblOffset val="100"/>
        <c:baseTimeUnit val="days"/>
      </c:dateAx>
      <c:valAx>
        <c:axId val="136933760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PE"/>
          </a:p>
        </c:txPr>
        <c:crossAx val="13693196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s-ES"/>
          </a:pPr>
          <a:endParaRPr lang="es-PE"/>
        </a:p>
      </c:txPr>
    </c:legend>
    <c:plotVisOnly val="1"/>
    <c:dispBlanksAs val="gap"/>
    <c:showDLblsOverMax val="0"/>
  </c:chart>
  <c:printSettings>
    <c:headerFooter/>
    <c:pageMargins b="0.75000000000000655" l="0.70000000000000062" r="0.70000000000000062" t="0.7500000000000065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P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HistoricoAvance!$M$3</c:f>
              <c:strCache>
                <c:ptCount val="1"/>
                <c:pt idx="0">
                  <c:v>Abiertas</c:v>
                </c:pt>
              </c:strCache>
            </c:strRef>
          </c:tx>
          <c:spPr>
            <a:ln w="50800">
              <a:solidFill>
                <a:schemeClr val="accent2"/>
              </a:solidFill>
            </a:ln>
          </c:spPr>
          <c:cat>
            <c:numRef>
              <c:f>HistoricoAvance!$L$4:$L$8</c:f>
              <c:numCache>
                <c:formatCode>[$-409]d\-mmm\-yyyy;@</c:formatCode>
                <c:ptCount val="5"/>
                <c:pt idx="0">
                  <c:v>40658</c:v>
                </c:pt>
              </c:numCache>
            </c:numRef>
          </c:cat>
          <c:val>
            <c:numRef>
              <c:f>HistoricoAvance!$M$4:$M$8</c:f>
              <c:numCache>
                <c:formatCode>0</c:formatCode>
                <c:ptCount val="5"/>
              </c:numCache>
            </c:numRef>
          </c:val>
          <c:smooth val="0"/>
        </c:ser>
        <c:ser>
          <c:idx val="1"/>
          <c:order val="1"/>
          <c:tx>
            <c:strRef>
              <c:f>HistoricoAvance!$N$3</c:f>
              <c:strCache>
                <c:ptCount val="1"/>
                <c:pt idx="0">
                  <c:v>Cerradas</c:v>
                </c:pt>
              </c:strCache>
            </c:strRef>
          </c:tx>
          <c:spPr>
            <a:ln w="50800">
              <a:solidFill>
                <a:schemeClr val="accent1"/>
              </a:solidFill>
            </a:ln>
          </c:spPr>
          <c:cat>
            <c:numRef>
              <c:f>HistoricoAvance!$L$4:$L$8</c:f>
              <c:numCache>
                <c:formatCode>[$-409]d\-mmm\-yyyy;@</c:formatCode>
                <c:ptCount val="5"/>
                <c:pt idx="0">
                  <c:v>40658</c:v>
                </c:pt>
              </c:numCache>
            </c:numRef>
          </c:cat>
          <c:val>
            <c:numRef>
              <c:f>HistoricoAvance!$N$4:$N$8</c:f>
              <c:numCache>
                <c:formatCode>0</c:formatCode>
                <c:ptCount val="5"/>
              </c:numCache>
            </c:numRef>
          </c:val>
          <c:smooth val="0"/>
        </c:ser>
        <c:ser>
          <c:idx val="2"/>
          <c:order val="2"/>
          <c:tx>
            <c:strRef>
              <c:f>HistoricoAvance!$O$3</c:f>
              <c:strCache>
                <c:ptCount val="1"/>
                <c:pt idx="0">
                  <c:v>Totales</c:v>
                </c:pt>
              </c:strCache>
            </c:strRef>
          </c:tx>
          <c:cat>
            <c:numRef>
              <c:f>HistoricoAvance!$L$4:$L$8</c:f>
              <c:numCache>
                <c:formatCode>[$-409]d\-mmm\-yyyy;@</c:formatCode>
                <c:ptCount val="5"/>
                <c:pt idx="0">
                  <c:v>40658</c:v>
                </c:pt>
              </c:numCache>
            </c:numRef>
          </c:cat>
          <c:val>
            <c:numRef>
              <c:f>HistoricoAvance!$O$4:$O$8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9400704"/>
        <c:axId val="139402240"/>
      </c:lineChart>
      <c:dateAx>
        <c:axId val="139400704"/>
        <c:scaling>
          <c:orientation val="minMax"/>
        </c:scaling>
        <c:delete val="0"/>
        <c:axPos val="b"/>
        <c:numFmt formatCode="[$-409]d\-mmm\-yyyy;@" sourceLinked="1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PE"/>
          </a:p>
        </c:txPr>
        <c:crossAx val="139402240"/>
        <c:crosses val="autoZero"/>
        <c:auto val="1"/>
        <c:lblOffset val="100"/>
        <c:baseTimeUnit val="days"/>
      </c:dateAx>
      <c:valAx>
        <c:axId val="139402240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PE"/>
          </a:p>
        </c:txPr>
        <c:crossAx val="13940070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s-ES"/>
          </a:pPr>
          <a:endParaRPr lang="es-PE"/>
        </a:p>
      </c:txPr>
    </c:legend>
    <c:plotVisOnly val="1"/>
    <c:dispBlanksAs val="gap"/>
    <c:showDLblsOverMax val="0"/>
  </c:chart>
  <c:printSettings>
    <c:headerFooter/>
    <c:pageMargins b="0.75000000000000677" l="0.70000000000000062" r="0.70000000000000062" t="0.75000000000000677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P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[CP4-ANPAOCFYAP - EDUCATE 8-6-11 v1.0.xlsm]CuadrosResumen!Tabla dinámica1</c:name>
    <c:fmtId val="0"/>
  </c:pivotSource>
  <c:chart>
    <c:title>
      <c:tx>
        <c:rich>
          <a:bodyPr/>
          <a:lstStyle/>
          <a:p>
            <a:pPr>
              <a:defRPr lang="es-ES"/>
            </a:pPr>
            <a:r>
              <a:rPr lang="en-US"/>
              <a:t>Distribución</a:t>
            </a:r>
            <a:r>
              <a:rPr lang="en-US" baseline="0"/>
              <a:t> por Severidad</a:t>
            </a:r>
            <a:endParaRPr lang="en-US"/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 lang="es-ES"/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CuadrosResumen!$C$70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dLbls>
            <c:spPr/>
            <c:txPr>
              <a:bodyPr/>
              <a:lstStyle/>
              <a:p>
                <a:pPr>
                  <a:defRPr lang="es-ES"/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CuadrosResumen!$B$71:$B$75</c:f>
              <c:strCache>
                <c:ptCount val="4"/>
                <c:pt idx="0">
                  <c:v>Severidad 1</c:v>
                </c:pt>
                <c:pt idx="1">
                  <c:v>Severidad 2</c:v>
                </c:pt>
                <c:pt idx="2">
                  <c:v>Severidad 3</c:v>
                </c:pt>
                <c:pt idx="3">
                  <c:v>Severidad 4</c:v>
                </c:pt>
              </c:strCache>
            </c:strRef>
          </c:cat>
          <c:val>
            <c:numRef>
              <c:f>CuadrosResumen!$C$71:$C$75</c:f>
              <c:numCache>
                <c:formatCode>General</c:formatCode>
                <c:ptCount val="4"/>
                <c:pt idx="0">
                  <c:v>5</c:v>
                </c:pt>
                <c:pt idx="1">
                  <c:v>3</c:v>
                </c:pt>
                <c:pt idx="2">
                  <c:v>19</c:v>
                </c:pt>
                <c:pt idx="3">
                  <c:v>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9428992"/>
        <c:axId val="139430528"/>
      </c:barChart>
      <c:catAx>
        <c:axId val="139428992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PE"/>
          </a:p>
        </c:txPr>
        <c:crossAx val="139430528"/>
        <c:crosses val="autoZero"/>
        <c:auto val="1"/>
        <c:lblAlgn val="ctr"/>
        <c:lblOffset val="100"/>
        <c:noMultiLvlLbl val="0"/>
      </c:catAx>
      <c:valAx>
        <c:axId val="1394305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PE"/>
          </a:p>
        </c:txPr>
        <c:crossAx val="13942899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644" l="0.70000000000000062" r="0.70000000000000062" t="0.75000000000000644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P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[CP4-ANPAOCFYAP - EDUCATE 8-6-11 v1.0.xlsm]CuadrosResumen!Tabla dinámica2</c:name>
    <c:fmtId val="0"/>
  </c:pivotSource>
  <c:chart>
    <c:title>
      <c:tx>
        <c:rich>
          <a:bodyPr/>
          <a:lstStyle/>
          <a:p>
            <a:pPr>
              <a:defRPr lang="es-ES"/>
            </a:pPr>
            <a:r>
              <a:rPr lang="en-US"/>
              <a:t>Distribución por Prioridad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 lang="es-ES"/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CuadrosResumen!$H$70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dLbls>
            <c:spPr/>
            <c:txPr>
              <a:bodyPr/>
              <a:lstStyle/>
              <a:p>
                <a:pPr>
                  <a:defRPr lang="es-ES"/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CuadrosResumen!$G$71:$G$72</c:f>
              <c:strCache>
                <c:ptCount val="1"/>
                <c:pt idx="0">
                  <c:v>Alta</c:v>
                </c:pt>
              </c:strCache>
            </c:strRef>
          </c:cat>
          <c:val>
            <c:numRef>
              <c:f>CuadrosResumen!$H$71:$H$72</c:f>
              <c:numCache>
                <c:formatCode>General</c:formatCode>
                <c:ptCount val="1"/>
                <c:pt idx="0">
                  <c:v>31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9443584"/>
        <c:axId val="140514432"/>
      </c:barChart>
      <c:catAx>
        <c:axId val="139443584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PE"/>
          </a:p>
        </c:txPr>
        <c:crossAx val="140514432"/>
        <c:crosses val="autoZero"/>
        <c:auto val="1"/>
        <c:lblAlgn val="ctr"/>
        <c:lblOffset val="100"/>
        <c:noMultiLvlLbl val="0"/>
      </c:catAx>
      <c:valAx>
        <c:axId val="1405144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PE"/>
          </a:p>
        </c:txPr>
        <c:crossAx val="13944358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644" l="0.70000000000000062" r="0.70000000000000062" t="0.75000000000000644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P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[CP4-ANPAOCFYAP - EDUCATE 8-6-11 v1.0.xlsm]CuadrosResumen!Tabla dinámica3</c:name>
    <c:fmtId val="0"/>
  </c:pivotSource>
  <c:chart>
    <c:title>
      <c:overlay val="0"/>
      <c:txPr>
        <a:bodyPr/>
        <a:lstStyle/>
        <a:p>
          <a:pPr>
            <a:defRPr lang="es-ES"/>
          </a:pPr>
          <a:endParaRPr lang="es-PE"/>
        </a:p>
      </c:txPr>
    </c:title>
    <c:autoTitleDeleted val="0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 lang="es-ES"/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CuadrosResumen!$M$70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dLbls>
            <c:spPr/>
            <c:txPr>
              <a:bodyPr/>
              <a:lstStyle/>
              <a:p>
                <a:pPr>
                  <a:defRPr lang="es-ES"/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CuadrosResumen!$L$71:$L$72</c:f>
              <c:strCache>
                <c:ptCount val="1"/>
                <c:pt idx="0">
                  <c:v>Cerrada</c:v>
                </c:pt>
              </c:strCache>
            </c:strRef>
          </c:cat>
          <c:val>
            <c:numRef>
              <c:f>CuadrosResumen!$M$71:$M$72</c:f>
              <c:numCache>
                <c:formatCode>General</c:formatCode>
                <c:ptCount val="1"/>
                <c:pt idx="0">
                  <c:v>31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0547584"/>
        <c:axId val="140549120"/>
      </c:barChart>
      <c:catAx>
        <c:axId val="140547584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PE"/>
          </a:p>
        </c:txPr>
        <c:crossAx val="140549120"/>
        <c:crosses val="autoZero"/>
        <c:auto val="1"/>
        <c:lblAlgn val="ctr"/>
        <c:lblOffset val="100"/>
        <c:noMultiLvlLbl val="0"/>
      </c:catAx>
      <c:valAx>
        <c:axId val="1405491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PE"/>
          </a:p>
        </c:txPr>
        <c:crossAx val="14054758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644" l="0.70000000000000062" r="0.70000000000000062" t="0.75000000000000644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P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[CP4-ANPAOCFYAP - EDUCATE 8-6-11 v1.0.xlsm]CuadrosResumen!Tabla dinámica5</c:name>
    <c:fmtId val="0"/>
  </c:pivotSource>
  <c:chart>
    <c:title>
      <c:tx>
        <c:rich>
          <a:bodyPr/>
          <a:lstStyle/>
          <a:p>
            <a:pPr>
              <a:defRPr lang="es-ES"/>
            </a:pPr>
            <a:r>
              <a:rPr lang="en-US"/>
              <a:t>Distribución por Responsable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 lang="es-ES"/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CuadrosResumen!$C$91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dLbls>
            <c:spPr/>
            <c:txPr>
              <a:bodyPr/>
              <a:lstStyle/>
              <a:p>
                <a:pPr>
                  <a:defRPr lang="es-ES"/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CuadrosResumen!$B$92:$B$93</c:f>
              <c:strCache>
                <c:ptCount val="1"/>
                <c:pt idx="0">
                  <c:v>(en blanco)</c:v>
                </c:pt>
              </c:strCache>
            </c:strRef>
          </c:cat>
          <c:val>
            <c:numRef>
              <c:f>CuadrosResumen!$C$92:$C$93</c:f>
              <c:numCache>
                <c:formatCode>General</c:formatCode>
                <c:ptCount val="1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0563584"/>
        <c:axId val="140565120"/>
      </c:barChart>
      <c:catAx>
        <c:axId val="140563584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PE"/>
          </a:p>
        </c:txPr>
        <c:crossAx val="140565120"/>
        <c:crosses val="autoZero"/>
        <c:auto val="1"/>
        <c:lblAlgn val="ctr"/>
        <c:lblOffset val="100"/>
        <c:noMultiLvlLbl val="0"/>
      </c:catAx>
      <c:valAx>
        <c:axId val="1405651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PE"/>
          </a:p>
        </c:txPr>
        <c:crossAx val="14056358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633" l="0.70000000000000062" r="0.70000000000000062" t="0.750000000000006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P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[CP4-ANPAOCFYAP - EDUCATE 8-6-11 v1.0.xlsm]CuadrosResumen!Tabla dinámica6</c:name>
    <c:fmtId val="0"/>
  </c:pivotSource>
  <c:chart>
    <c:title>
      <c:tx>
        <c:rich>
          <a:bodyPr/>
          <a:lstStyle/>
          <a:p>
            <a:pPr>
              <a:defRPr lang="es-ES"/>
            </a:pPr>
            <a:r>
              <a:rPr lang="es-ES"/>
              <a:t>Distribución por Prioridad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 lang="es-ES"/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CuadrosResumen!$H$91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dLbls>
            <c:spPr/>
            <c:txPr>
              <a:bodyPr/>
              <a:lstStyle/>
              <a:p>
                <a:pPr>
                  <a:defRPr lang="es-ES"/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CuadrosResumen!$G$92:$G$93</c:f>
              <c:strCache>
                <c:ptCount val="1"/>
                <c:pt idx="0">
                  <c:v>Alta</c:v>
                </c:pt>
              </c:strCache>
            </c:strRef>
          </c:cat>
          <c:val>
            <c:numRef>
              <c:f>CuadrosResumen!$H$92:$H$93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0930048"/>
        <c:axId val="140944128"/>
      </c:barChart>
      <c:catAx>
        <c:axId val="140930048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PE"/>
          </a:p>
        </c:txPr>
        <c:crossAx val="140944128"/>
        <c:crosses val="autoZero"/>
        <c:auto val="1"/>
        <c:lblAlgn val="ctr"/>
        <c:lblOffset val="100"/>
        <c:noMultiLvlLbl val="0"/>
      </c:catAx>
      <c:valAx>
        <c:axId val="1409441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PE"/>
          </a:p>
        </c:txPr>
        <c:crossAx val="1409300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633" l="0.70000000000000062" r="0.70000000000000062" t="0.750000000000006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P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[CP4-ANPAOCFYAP - EDUCATE 8-6-11 v1.0.xlsm]CuadrosResumen!Tabla dinámica7</c:name>
    <c:fmtId val="0"/>
  </c:pivotSource>
  <c:chart>
    <c:title>
      <c:tx>
        <c:rich>
          <a:bodyPr/>
          <a:lstStyle/>
          <a:p>
            <a:pPr>
              <a:defRPr lang="es-ES"/>
            </a:pPr>
            <a:r>
              <a:rPr lang="en-US"/>
              <a:t>Distribución</a:t>
            </a:r>
            <a:r>
              <a:rPr lang="en-US" baseline="0"/>
              <a:t> por Estado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1"/>
        <c:marker>
          <c:symbol val="none"/>
        </c:marker>
        <c:dLbl>
          <c:idx val="0"/>
          <c:spPr/>
          <c:txPr>
            <a:bodyPr/>
            <a:lstStyle/>
            <a:p>
              <a:pPr>
                <a:defRPr lang="es-ES"/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CuadrosResumen!$M$91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dLbls>
            <c:spPr/>
            <c:txPr>
              <a:bodyPr/>
              <a:lstStyle/>
              <a:p>
                <a:pPr>
                  <a:defRPr lang="es-ES"/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CuadrosResumen!$L$92:$L$93</c:f>
              <c:strCache>
                <c:ptCount val="1"/>
                <c:pt idx="0">
                  <c:v>Cerrada</c:v>
                </c:pt>
              </c:strCache>
            </c:strRef>
          </c:cat>
          <c:val>
            <c:numRef>
              <c:f>CuadrosResumen!$M$92:$M$93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1440512"/>
        <c:axId val="141442048"/>
      </c:barChart>
      <c:catAx>
        <c:axId val="141440512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PE"/>
          </a:p>
        </c:txPr>
        <c:crossAx val="141442048"/>
        <c:crosses val="autoZero"/>
        <c:auto val="1"/>
        <c:lblAlgn val="ctr"/>
        <c:lblOffset val="100"/>
        <c:noMultiLvlLbl val="0"/>
      </c:catAx>
      <c:valAx>
        <c:axId val="1414420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PE"/>
          </a:p>
        </c:txPr>
        <c:crossAx val="14144051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633" l="0.70000000000000062" r="0.70000000000000062" t="0.75000000000000633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355600</xdr:colOff>
      <xdr:row>1</xdr:row>
      <xdr:rowOff>25400</xdr:rowOff>
    </xdr:from>
    <xdr:to>
      <xdr:col>1</xdr:col>
      <xdr:colOff>457200</xdr:colOff>
      <xdr:row>5</xdr:row>
      <xdr:rowOff>135913</xdr:rowOff>
    </xdr:to>
    <xdr:pic>
      <xdr:nvPicPr>
        <xdr:cNvPr id="2" name="Picture 1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55600" y="101600"/>
          <a:ext cx="850900" cy="69471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190499</xdr:rowOff>
    </xdr:from>
    <xdr:to>
      <xdr:col>8</xdr:col>
      <xdr:colOff>0</xdr:colOff>
      <xdr:row>20</xdr:row>
      <xdr:rowOff>47624</xdr:rowOff>
    </xdr:to>
    <xdr:graphicFrame macro="">
      <xdr:nvGraphicFramePr>
        <xdr:cNvPr id="3" name="2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2</xdr:row>
      <xdr:rowOff>0</xdr:rowOff>
    </xdr:from>
    <xdr:to>
      <xdr:col>15</xdr:col>
      <xdr:colOff>523875</xdr:colOff>
      <xdr:row>20</xdr:row>
      <xdr:rowOff>57150</xdr:rowOff>
    </xdr:to>
    <xdr:graphicFrame macro="">
      <xdr:nvGraphicFramePr>
        <xdr:cNvPr id="5" name="4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23</xdr:row>
      <xdr:rowOff>9525</xdr:rowOff>
    </xdr:from>
    <xdr:to>
      <xdr:col>16</xdr:col>
      <xdr:colOff>0</xdr:colOff>
      <xdr:row>42</xdr:row>
      <xdr:rowOff>9525</xdr:rowOff>
    </xdr:to>
    <xdr:graphicFrame macro="">
      <xdr:nvGraphicFramePr>
        <xdr:cNvPr id="6" name="5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45</xdr:row>
      <xdr:rowOff>0</xdr:rowOff>
    </xdr:from>
    <xdr:to>
      <xdr:col>16</xdr:col>
      <xdr:colOff>0</xdr:colOff>
      <xdr:row>64</xdr:row>
      <xdr:rowOff>0</xdr:rowOff>
    </xdr:to>
    <xdr:graphicFrame macro="">
      <xdr:nvGraphicFramePr>
        <xdr:cNvPr id="7" name="6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9525</xdr:colOff>
      <xdr:row>68</xdr:row>
      <xdr:rowOff>180974</xdr:rowOff>
    </xdr:from>
    <xdr:to>
      <xdr:col>5</xdr:col>
      <xdr:colOff>9525</xdr:colOff>
      <xdr:row>84</xdr:row>
      <xdr:rowOff>171449</xdr:rowOff>
    </xdr:to>
    <xdr:graphicFrame macro="">
      <xdr:nvGraphicFramePr>
        <xdr:cNvPr id="8" name="7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228600</xdr:colOff>
      <xdr:row>68</xdr:row>
      <xdr:rowOff>180974</xdr:rowOff>
    </xdr:from>
    <xdr:to>
      <xdr:col>10</xdr:col>
      <xdr:colOff>561975</xdr:colOff>
      <xdr:row>84</xdr:row>
      <xdr:rowOff>171449</xdr:rowOff>
    </xdr:to>
    <xdr:graphicFrame macro="">
      <xdr:nvGraphicFramePr>
        <xdr:cNvPr id="9" name="8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9525</xdr:colOff>
      <xdr:row>68</xdr:row>
      <xdr:rowOff>180974</xdr:rowOff>
    </xdr:from>
    <xdr:to>
      <xdr:col>15</xdr:col>
      <xdr:colOff>209550</xdr:colOff>
      <xdr:row>84</xdr:row>
      <xdr:rowOff>171449</xdr:rowOff>
    </xdr:to>
    <xdr:graphicFrame macro="">
      <xdr:nvGraphicFramePr>
        <xdr:cNvPr id="10" name="9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9525</xdr:colOff>
      <xdr:row>89</xdr:row>
      <xdr:rowOff>180974</xdr:rowOff>
    </xdr:from>
    <xdr:to>
      <xdr:col>5</xdr:col>
      <xdr:colOff>0</xdr:colOff>
      <xdr:row>105</xdr:row>
      <xdr:rowOff>171449</xdr:rowOff>
    </xdr:to>
    <xdr:graphicFrame macro="">
      <xdr:nvGraphicFramePr>
        <xdr:cNvPr id="11" name="10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6</xdr:col>
      <xdr:colOff>9525</xdr:colOff>
      <xdr:row>89</xdr:row>
      <xdr:rowOff>190499</xdr:rowOff>
    </xdr:from>
    <xdr:to>
      <xdr:col>10</xdr:col>
      <xdr:colOff>457200</xdr:colOff>
      <xdr:row>106</xdr:row>
      <xdr:rowOff>9524</xdr:rowOff>
    </xdr:to>
    <xdr:graphicFrame macro="">
      <xdr:nvGraphicFramePr>
        <xdr:cNvPr id="12" name="1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761999</xdr:colOff>
      <xdr:row>89</xdr:row>
      <xdr:rowOff>171450</xdr:rowOff>
    </xdr:from>
    <xdr:to>
      <xdr:col>15</xdr:col>
      <xdr:colOff>180974</xdr:colOff>
      <xdr:row>106</xdr:row>
      <xdr:rowOff>0</xdr:rowOff>
    </xdr:to>
    <xdr:graphicFrame macro="">
      <xdr:nvGraphicFramePr>
        <xdr:cNvPr id="13" name="12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347381</xdr:colOff>
      <xdr:row>0</xdr:row>
      <xdr:rowOff>0</xdr:rowOff>
    </xdr:from>
    <xdr:to>
      <xdr:col>2</xdr:col>
      <xdr:colOff>1712082</xdr:colOff>
      <xdr:row>2</xdr:row>
      <xdr:rowOff>717176</xdr:rowOff>
    </xdr:to>
    <xdr:pic>
      <xdr:nvPicPr>
        <xdr:cNvPr id="2" name="Picture 1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57616" y="0"/>
          <a:ext cx="1364701" cy="109817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104775</xdr:rowOff>
        </xdr:from>
        <xdr:to>
          <xdr:col>5</xdr:col>
          <xdr:colOff>9525</xdr:colOff>
          <xdr:row>0</xdr:row>
          <xdr:rowOff>342900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Actualizar Observaciones en la Iteración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38100</xdr:rowOff>
        </xdr:from>
        <xdr:to>
          <xdr:col>15</xdr:col>
          <xdr:colOff>0</xdr:colOff>
          <xdr:row>0</xdr:row>
          <xdr:rowOff>276225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Registrar Nuevo Histórico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aniel" refreshedDate="40655.53451539352" createdVersion="4" refreshedVersion="4" minRefreshableVersion="3" recordCount="31">
  <cacheSource type="worksheet">
    <worksheetSource name="Observaciones[[Severidad]]"/>
  </cacheSource>
  <cacheFields count="1">
    <cacheField name="Severidad" numFmtId="0">
      <sharedItems count="4">
        <s v="Severidad 3"/>
        <s v="Severidad 1"/>
        <s v="Severidad 4"/>
        <s v="Severidad 2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daniel" refreshedDate="40655.534989351851" createdVersion="4" refreshedVersion="4" minRefreshableVersion="3" recordCount="31">
  <cacheSource type="worksheet">
    <worksheetSource name="Observaciones[[Prioridad]]"/>
  </cacheSource>
  <cacheFields count="1">
    <cacheField name="Prioridad" numFmtId="0">
      <sharedItems count="1">
        <s v="Alt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daniel" refreshedDate="40655.535258564814" createdVersion="4" refreshedVersion="4" minRefreshableVersion="3" recordCount="31">
  <cacheSource type="worksheet">
    <worksheetSource name="Observaciones[[Estado]]"/>
  </cacheSource>
  <cacheFields count="1">
    <cacheField name="Estado" numFmtId="0">
      <sharedItems count="1">
        <s v="Cerrad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daniel" refreshedDate="40655.535699305554" createdVersion="4" refreshedVersion="4" minRefreshableVersion="3" recordCount="2">
  <cacheSource type="worksheet">
    <worksheetSource name="Consultas[[Prioridad]]"/>
  </cacheSource>
  <cacheFields count="1">
    <cacheField name="Prioridad" numFmtId="0">
      <sharedItems count="2">
        <s v="Alta"/>
        <e v="#N/A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daniel" refreshedDate="40655.535894097222" createdVersion="4" refreshedVersion="4" minRefreshableVersion="3" recordCount="2">
  <cacheSource type="worksheet">
    <worksheetSource name="Consultas[[Estado]]"/>
  </cacheSource>
  <cacheFields count="1">
    <cacheField name="Estado" numFmtId="0">
      <sharedItems count="1">
        <s v="Cerrad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r:id="rId1" refreshedBy="daniel" refreshedDate="40655.567430671297" createdVersion="4" refreshedVersion="4" minRefreshableVersion="3" recordCount="2">
  <cacheSource type="worksheet">
    <worksheetSource name="Consultas[[Responsable]]"/>
  </cacheSource>
  <cacheFields count="1">
    <cacheField name="Responsable" numFmtId="0">
      <sharedItems containsNonDate="0" containsBlank="1" count="2">
        <m/>
        <s v="Empresa QA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1">
  <r>
    <x v="0"/>
  </r>
  <r>
    <x v="0"/>
  </r>
  <r>
    <x v="1"/>
  </r>
  <r>
    <x v="1"/>
  </r>
  <r>
    <x v="2"/>
  </r>
  <r>
    <x v="0"/>
  </r>
  <r>
    <x v="0"/>
  </r>
  <r>
    <x v="1"/>
  </r>
  <r>
    <x v="0"/>
  </r>
  <r>
    <x v="2"/>
  </r>
  <r>
    <x v="0"/>
  </r>
  <r>
    <x v="1"/>
  </r>
  <r>
    <x v="0"/>
  </r>
  <r>
    <x v="3"/>
  </r>
  <r>
    <x v="1"/>
  </r>
  <r>
    <x v="0"/>
  </r>
  <r>
    <x v="0"/>
  </r>
  <r>
    <x v="0"/>
  </r>
  <r>
    <x v="3"/>
  </r>
  <r>
    <x v="0"/>
  </r>
  <r>
    <x v="0"/>
  </r>
  <r>
    <x v="3"/>
  </r>
  <r>
    <x v="0"/>
  </r>
  <r>
    <x v="0"/>
  </r>
  <r>
    <x v="2"/>
  </r>
  <r>
    <x v="0"/>
  </r>
  <r>
    <x v="0"/>
  </r>
  <r>
    <x v="0"/>
  </r>
  <r>
    <x v="0"/>
  </r>
  <r>
    <x v="2"/>
  </r>
  <r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1"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31"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">
  <r>
    <x v="0"/>
  </r>
  <r>
    <x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2">
  <r>
    <x v="0"/>
  </r>
  <r>
    <x v="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count="2">
  <r>
    <x v="0"/>
  </r>
  <r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pivotTable1.xml><?xml version="1.0" encoding="utf-8"?>
<pivotTableDefinition xmlns="http://schemas.openxmlformats.org/spreadsheetml/2006/main" name="Tabla dinámica2" cacheId="1" applyNumberFormats="0" applyBorderFormats="0" applyFontFormats="0" applyPatternFormats="0" applyAlignmentFormats="0" applyWidthHeightFormats="1" dataCaption="Valores" updatedVersion="4" minRefreshableVersion="3" showCalcMbrs="0" useAutoFormatting="1" itemPrintTitles="1" createdVersion="3" indent="0" outline="1" outlineData="1" multipleFieldFilters="0" chartFormat="1">
  <location ref="G70:H72" firstHeaderRow="1" firstDataRow="1" firstDataCol="1"/>
  <pivotFields count="1">
    <pivotField axis="axisRow" dataField="1" showAll="0">
      <items count="2">
        <item x="0"/>
        <item t="default"/>
      </items>
    </pivotField>
  </pivotFields>
  <rowFields count="1">
    <field x="0"/>
  </rowFields>
  <rowItems count="2">
    <i>
      <x/>
    </i>
    <i t="grand">
      <x/>
    </i>
  </rowItems>
  <colItems count="1">
    <i/>
  </colItems>
  <dataFields count="1">
    <dataField name="Cuenta de Prioridad" fld="0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Tabla dinámica7" cacheId="4" applyNumberFormats="0" applyBorderFormats="0" applyFontFormats="0" applyPatternFormats="0" applyAlignmentFormats="0" applyWidthHeightFormats="1" dataCaption="Valores" updatedVersion="4" minRefreshableVersion="3" showCalcMbrs="0" useAutoFormatting="1" itemPrintTitles="1" createdVersion="3" indent="0" outline="1" outlineData="1" multipleFieldFilters="0" chartFormat="1">
  <location ref="L91:M93" firstHeaderRow="1" firstDataRow="1" firstDataCol="1"/>
  <pivotFields count="1">
    <pivotField axis="axisRow" dataField="1" showAll="0">
      <items count="2">
        <item x="0"/>
        <item t="default"/>
      </items>
    </pivotField>
  </pivotFields>
  <rowFields count="1">
    <field x="0"/>
  </rowFields>
  <rowItems count="2">
    <i>
      <x/>
    </i>
    <i t="grand">
      <x/>
    </i>
  </rowItems>
  <colItems count="1">
    <i/>
  </colItems>
  <dataFields count="1">
    <dataField name="Cuenta de Estado" fld="0" subtotal="count" baseField="0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Tabla dinámica6" cacheId="3" applyNumberFormats="0" applyBorderFormats="0" applyFontFormats="0" applyPatternFormats="0" applyAlignmentFormats="0" applyWidthHeightFormats="1" dataCaption="Valores" updatedVersion="4" minRefreshableVersion="3" showCalcMbrs="0" useAutoFormatting="1" itemPrintTitles="1" createdVersion="3" indent="0" outline="1" outlineData="1" multipleFieldFilters="0" chartFormat="1">
  <location ref="G91:H93" firstHeaderRow="1" firstDataRow="1" firstDataCol="1"/>
  <pivotFields count="1">
    <pivotField axis="axisRow" dataField="1" showAll="0">
      <items count="3">
        <item m="1" x="1"/>
        <item x="0"/>
        <item t="default"/>
      </items>
    </pivotField>
  </pivotFields>
  <rowFields count="1">
    <field x="0"/>
  </rowFields>
  <rowItems count="2">
    <i>
      <x v="1"/>
    </i>
    <i t="grand">
      <x/>
    </i>
  </rowItems>
  <colItems count="1">
    <i/>
  </colItems>
  <dataFields count="1">
    <dataField name="Cuenta de Prioridad" fld="0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Tabla dinámica1" cacheId="0" applyNumberFormats="0" applyBorderFormats="0" applyFontFormats="0" applyPatternFormats="0" applyAlignmentFormats="0" applyWidthHeightFormats="1" dataCaption="Valores" updatedVersion="4" minRefreshableVersion="3" showCalcMbrs="0" useAutoFormatting="1" itemPrintTitles="1" createdVersion="3" indent="0" outline="1" outlineData="1" multipleFieldFilters="0" chartFormat="1">
  <location ref="B70:C75" firstHeaderRow="1" firstDataRow="1" firstDataCol="1"/>
  <pivotFields count="1">
    <pivotField axis="axisRow" dataField="1" showAll="0">
      <items count="5">
        <item x="1"/>
        <item x="3"/>
        <item x="0"/>
        <item x="2"/>
        <item t="default"/>
      </items>
    </pivotField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Cuenta de Severidad" fld="0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="http://schemas.openxmlformats.org/spreadsheetml/2006/main" name="Tabla dinámica3" cacheId="2" applyNumberFormats="0" applyBorderFormats="0" applyFontFormats="0" applyPatternFormats="0" applyAlignmentFormats="0" applyWidthHeightFormats="1" dataCaption="Valores" updatedVersion="4" minRefreshableVersion="3" showCalcMbrs="0" useAutoFormatting="1" itemPrintTitles="1" createdVersion="3" indent="0" outline="1" outlineData="1" multipleFieldFilters="0" chartFormat="1">
  <location ref="L70:M72" firstHeaderRow="1" firstDataRow="1" firstDataCol="1"/>
  <pivotFields count="1">
    <pivotField axis="axisRow" dataField="1" showAll="0">
      <items count="2">
        <item x="0"/>
        <item t="default"/>
      </items>
    </pivotField>
  </pivotFields>
  <rowFields count="1">
    <field x="0"/>
  </rowFields>
  <rowItems count="2">
    <i>
      <x/>
    </i>
    <i t="grand">
      <x/>
    </i>
  </rowItems>
  <colItems count="1">
    <i/>
  </colItems>
  <dataFields count="1">
    <dataField name="Cuenta de Estado" fld="0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="http://schemas.openxmlformats.org/spreadsheetml/2006/main" name="Tabla dinámica5" cacheId="5" applyNumberFormats="0" applyBorderFormats="0" applyFontFormats="0" applyPatternFormats="0" applyAlignmentFormats="0" applyWidthHeightFormats="1" dataCaption="Valores" updatedVersion="4" minRefreshableVersion="3" showCalcMbrs="0" useAutoFormatting="1" itemPrintTitles="1" createdVersion="3" indent="0" outline="1" outlineData="1" multipleFieldFilters="0" chartFormat="1">
  <location ref="B91:C93" firstHeaderRow="1" firstDataRow="1" firstDataCol="1"/>
  <pivotFields count="1">
    <pivotField axis="axisRow" dataField="1" showAll="0">
      <items count="3">
        <item x="0"/>
        <item m="1" x="1"/>
        <item t="default"/>
      </items>
    </pivotField>
  </pivotFields>
  <rowFields count="1">
    <field x="0"/>
  </rowFields>
  <rowItems count="2">
    <i>
      <x/>
    </i>
    <i t="grand">
      <x/>
    </i>
  </rowItems>
  <colItems count="1">
    <i/>
  </colItems>
  <dataFields count="1">
    <dataField name="Cuenta de Responsable" fld="0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CasoPrueba" displayName="CasoPrueba" ref="A4:Q8" totalsRowShown="0" headerRowDxfId="68" dataDxfId="66" headerRowBorderDxfId="67" tableBorderDxfId="65">
  <autoFilter ref="A4:Q8"/>
  <tableColumns count="17">
    <tableColumn id="1" name="Código de REQ" dataDxfId="64"/>
    <tableColumn id="2" name="Código CP" dataDxfId="63"/>
    <tableColumn id="3" name="Funcionalidad" dataDxfId="62"/>
    <tableColumn id="4" name="Descripción Caso de Prueba" dataDxfId="61"/>
    <tableColumn id="5" name="Resultado Esperado" dataDxfId="60"/>
    <tableColumn id="6" name="Resultado Real" dataDxfId="59">
      <calculatedColumnFormula>IF(CasoPrueba[[#This Row],[Estado Testing]]=Resumen!$P$28,"OK",IF(CasoPrueba[[#This Row],[Estado Testing]]=Resumen!$P$29,"NO OK",IF((CasoPrueba[[#This Row],[Estado Testing]]=Resumen!$P$30)+(CasoPrueba[[#This Row],[Estado Testing]]=Resumen!$P$31),"OBSERVADO","")))</calculatedColumnFormula>
    </tableColumn>
    <tableColumn id="7" name="Estado Testing" dataDxfId="58"/>
    <tableColumn id="8" name="Prioridad" dataDxfId="57"/>
    <tableColumn id="9" name="Severidad" dataDxfId="56"/>
    <tableColumn id="10" name="Estado Incidencia" dataDxfId="55"/>
    <tableColumn id="11" name="Reejecución" dataDxfId="54"/>
    <tableColumn id="12" name="Fecha Planificada" dataDxfId="53">
      <calculatedColumnFormula>General!$A$10</calculatedColumnFormula>
    </tableColumn>
    <tableColumn id="13" name="Fecha Real" dataDxfId="52"/>
    <tableColumn id="14" name="Duración Caso de Prueba (horas / hombre)" dataDxfId="51"/>
    <tableColumn id="16" name="Pre-requisitos para la ejecución de la prueba" dataDxfId="50"/>
    <tableColumn id="17" name="Observaciones Pruebas Testing" dataDxfId="49"/>
    <tableColumn id="18" name="Revisión" dataDxfId="48">
      <calculatedColumnFormula>CONCATENATE(General!$B$7,", ",General!$B$6)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2" name="Observaciones" displayName="Observaciones" ref="A2:L4" totalsRowShown="0" headerRowDxfId="47" dataDxfId="45" headerRowBorderDxfId="46" tableBorderDxfId="44">
  <autoFilter ref="A2:L4"/>
  <tableColumns count="12">
    <tableColumn id="1" name="Cod. Obs." dataDxfId="43"/>
    <tableColumn id="2" name="Caso de Prueba" dataDxfId="42"/>
    <tableColumn id="3" name="Prioridad" dataDxfId="41">
      <calculatedColumnFormula>VLOOKUP(Observaciones[Caso de Prueba],CasoPrueba[[#All],[Código CP]:[Prioridad]],7,TRUE)</calculatedColumnFormula>
    </tableColumn>
    <tableColumn id="4" name="Severidad" dataDxfId="40"/>
    <tableColumn id="5" name="Estado" dataDxfId="39"/>
    <tableColumn id="6" name="Fecha Detección" dataDxfId="38"/>
    <tableColumn id="7" name="Fecha Levantamiento" dataDxfId="37"/>
    <tableColumn id="8" name="Responsable" dataDxfId="36"/>
    <tableColumn id="9" name="Descripción" dataDxfId="35"/>
    <tableColumn id="10" name="Solución" dataDxfId="34"/>
    <tableColumn id="11" name="Tiempo de Solución (Dias)" dataDxfId="33">
      <calculatedColumnFormula>IF((Observaciones[[#This Row],[Fecha Levantamiento]]-Observaciones[[#This Row],[Fecha Detección]])&gt;=0,Observaciones[[#This Row],[Fecha Levantamiento]]-Observaciones[[#This Row],[Fecha Detección]]+1,0)</calculatedColumnFormula>
    </tableColumn>
    <tableColumn id="13" name="Cod. Req." dataDxfId="32">
      <calculatedColumnFormula>LOOKUP(Observaciones[[#This Row],[Caso de Prueba]],CasoPrueba[Código CP],CasoPrueba[Código de REQ])</calculatedColumn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" name="Consultas" displayName="Consultas" ref="A2:J4" totalsRowShown="0" headerRowDxfId="31" dataDxfId="30">
  <autoFilter ref="A2:J4"/>
  <tableColumns count="10">
    <tableColumn id="1" name="Cod. Cons." dataDxfId="29"/>
    <tableColumn id="2" name="Caso de Prueba" dataDxfId="28"/>
    <tableColumn id="3" name="Prioridad" dataDxfId="27">
      <calculatedColumnFormula>VLOOKUP(Consultas[[#This Row],[Caso de Prueba]],CasoPrueba[[#All],[Código CP]:[Prioridad]],7,TRUE)</calculatedColumnFormula>
    </tableColumn>
    <tableColumn id="4" name="Estado" dataDxfId="26"/>
    <tableColumn id="10" name="Responsable" dataDxfId="25"/>
    <tableColumn id="5" name="Fecha Solicitud" dataDxfId="24"/>
    <tableColumn id="6" name="Fecha Respuesta" dataDxfId="23"/>
    <tableColumn id="7" name="Descripción de la Consulta" dataDxfId="22"/>
    <tableColumn id="8" name="Respuesta del Responsable" dataDxfId="21"/>
    <tableColumn id="9" name="Tiempo de Solución" dataDxfId="20">
      <calculatedColumnFormula>IF((Consultas[[#This Row],[Fecha Respuesta]]-Consultas[[#This Row],[Fecha Solicitud]])&gt;=0,(Consultas[[#This Row],[Fecha Respuesta]]-Consultas[[#This Row],[Fecha Solicitud]])+1,0)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4" name="HistóricoEjecuciones" displayName="HistóricoEjecuciones" ref="B3:J8" totalsRowShown="0" headerRowDxfId="19" dataDxfId="17" headerRowBorderDxfId="18" tableBorderDxfId="16">
  <sortState ref="B11:G12">
    <sortCondition ref="C6:C8"/>
  </sortState>
  <tableColumns count="9">
    <tableColumn id="1" name="Fecha" dataDxfId="15"/>
    <tableColumn id="2" name="Aciertos" dataDxfId="14"/>
    <tableColumn id="3" name="Fallos" dataDxfId="13"/>
    <tableColumn id="4" name="Bloqueado" dataDxfId="12"/>
    <tableColumn id="7" name="Pendiente" dataDxfId="11"/>
    <tableColumn id="5" name="No Aplica" dataDxfId="10"/>
    <tableColumn id="8" name="En Proceso" dataDxfId="9"/>
    <tableColumn id="9" name="Reejecuciones" dataDxfId="8"/>
    <tableColumn id="6" name="Totales" dataDxfId="7">
      <calculatedColumnFormula>SUM(HistóricoEjecuciones[[#This Row],[Aciertos]:[En Proceso]])</calculatedColumnFormula>
    </tableColumn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5" name="HistoricoIncidencias" displayName="HistoricoIncidencias" ref="L3:O8" totalsRowShown="0" headerRowDxfId="6" headerRowBorderDxfId="5" tableBorderDxfId="4">
  <tableColumns count="4">
    <tableColumn id="1" name="Fecha" dataDxfId="3"/>
    <tableColumn id="2" name="Abiertas" dataDxfId="2"/>
    <tableColumn id="4" name="Cerradas" dataDxfId="1"/>
    <tableColumn id="5" name="Totales" dataDxfId="0">
      <calculatedColumnFormula>HistoricoIncidencias[[#This Row],[Abiertas]]+HistoricoIncidencias[[#This Row],[Cerradas]]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XFB11"/>
  <sheetViews>
    <sheetView workbookViewId="0">
      <selection activeCell="B6" sqref="B6"/>
    </sheetView>
  </sheetViews>
  <sheetFormatPr baseColWidth="10" defaultColWidth="0" defaultRowHeight="15" zeroHeight="1"/>
  <cols>
    <col min="1" max="4" width="39.7109375" style="3" customWidth="1"/>
    <col min="5" max="16381" width="11.42578125" style="3" hidden="1"/>
    <col min="16382" max="16382" width="23" style="3" hidden="1"/>
    <col min="16383" max="16384" width="19.28515625" style="3" hidden="1"/>
  </cols>
  <sheetData>
    <row r="1" spans="1:4 16382:16382" ht="27" thickBot="1">
      <c r="A1" s="172" t="s">
        <v>0</v>
      </c>
      <c r="B1" s="173"/>
      <c r="C1" s="173"/>
      <c r="D1" s="173"/>
      <c r="XFB1" s="3" t="s">
        <v>133</v>
      </c>
    </row>
    <row r="2" spans="1:4 16382:16382" ht="19.5" customHeight="1">
      <c r="A2" s="174" t="s">
        <v>1</v>
      </c>
      <c r="B2" s="174"/>
      <c r="C2" s="174"/>
      <c r="D2" s="174"/>
      <c r="XFB2" s="3" t="s">
        <v>134</v>
      </c>
    </row>
    <row r="3" spans="1:4 16382:16382" ht="19.5" customHeight="1">
      <c r="A3" s="103" t="s">
        <v>137</v>
      </c>
      <c r="B3" s="106" t="s">
        <v>158</v>
      </c>
      <c r="C3" s="103" t="s">
        <v>2</v>
      </c>
      <c r="D3" s="107" t="s">
        <v>136</v>
      </c>
      <c r="XFB3" s="3" t="s">
        <v>135</v>
      </c>
    </row>
    <row r="4" spans="1:4 16382:16382" ht="19.5" customHeight="1">
      <c r="A4" s="104" t="s">
        <v>138</v>
      </c>
      <c r="B4" s="175" t="s">
        <v>161</v>
      </c>
      <c r="C4" s="176"/>
      <c r="D4" s="177"/>
      <c r="XFB4" s="3" t="s">
        <v>136</v>
      </c>
    </row>
    <row r="5" spans="1:4 16382:16382" ht="120" customHeight="1">
      <c r="A5" s="103" t="s">
        <v>3</v>
      </c>
      <c r="B5" s="178" t="s">
        <v>161</v>
      </c>
      <c r="C5" s="179"/>
      <c r="D5" s="180"/>
    </row>
    <row r="6" spans="1:4 16382:16382" ht="19.5" customHeight="1">
      <c r="A6" s="103" t="s">
        <v>144</v>
      </c>
      <c r="B6" s="108" t="s">
        <v>154</v>
      </c>
      <c r="C6" s="103" t="s">
        <v>4</v>
      </c>
      <c r="D6" s="1" t="s">
        <v>157</v>
      </c>
    </row>
    <row r="7" spans="1:4 16382:16382" ht="19.5" customHeight="1">
      <c r="A7" s="103" t="s">
        <v>145</v>
      </c>
      <c r="B7" s="106" t="s">
        <v>153</v>
      </c>
      <c r="C7" s="103" t="s">
        <v>139</v>
      </c>
      <c r="D7" s="2" t="s">
        <v>159</v>
      </c>
    </row>
    <row r="8" spans="1:4 16382:16382" ht="19.5" customHeight="1">
      <c r="A8" s="181" t="s">
        <v>5</v>
      </c>
      <c r="B8" s="181"/>
      <c r="C8" s="181" t="s">
        <v>6</v>
      </c>
      <c r="D8" s="181"/>
    </row>
    <row r="9" spans="1:4 16382:16382" ht="19.5" customHeight="1">
      <c r="A9" s="105" t="s">
        <v>7</v>
      </c>
      <c r="B9" s="105" t="s">
        <v>8</v>
      </c>
      <c r="C9" s="105" t="s">
        <v>7</v>
      </c>
      <c r="D9" s="105" t="s">
        <v>8</v>
      </c>
    </row>
    <row r="10" spans="1:4 16382:16382" ht="19.5" customHeight="1">
      <c r="A10" s="156">
        <v>40702</v>
      </c>
      <c r="B10" s="156"/>
      <c r="C10" s="157"/>
      <c r="D10" s="157"/>
    </row>
    <row r="11" spans="1:4 16382:16382" hidden="1"/>
  </sheetData>
  <mergeCells count="6">
    <mergeCell ref="A1:D1"/>
    <mergeCell ref="A2:D2"/>
    <mergeCell ref="B4:D4"/>
    <mergeCell ref="B5:D5"/>
    <mergeCell ref="A8:B8"/>
    <mergeCell ref="C8:D8"/>
  </mergeCells>
  <dataValidations count="1">
    <dataValidation type="list" allowBlank="1" showInputMessage="1" showErrorMessage="1" sqref="D3">
      <formula1>$XFB$1:$XFB$4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R38"/>
  <sheetViews>
    <sheetView zoomScale="124" zoomScaleNormal="124" workbookViewId="0">
      <pane ySplit="7" topLeftCell="A8" activePane="bottomLeft" state="frozen"/>
      <selection pane="bottomLeft" activeCell="F13" sqref="F13"/>
    </sheetView>
  </sheetViews>
  <sheetFormatPr baseColWidth="10" defaultColWidth="0" defaultRowHeight="15" zeroHeight="1"/>
  <cols>
    <col min="1" max="1" width="11.28515625" style="3" customWidth="1"/>
    <col min="2" max="2" width="16.85546875" style="3" customWidth="1"/>
    <col min="3" max="3" width="11.42578125" style="3" customWidth="1"/>
    <col min="4" max="4" width="15.5703125" style="3" bestFit="1" customWidth="1"/>
    <col min="5" max="5" width="7.7109375" style="3" bestFit="1" customWidth="1"/>
    <col min="6" max="6" width="10.5703125" style="3" bestFit="1" customWidth="1"/>
    <col min="7" max="7" width="11" style="3" bestFit="1" customWidth="1"/>
    <col min="8" max="8" width="13.140625" style="3" bestFit="1" customWidth="1"/>
    <col min="9" max="10" width="11.42578125" style="3" customWidth="1"/>
    <col min="11" max="11" width="13.28515625" style="3" customWidth="1"/>
    <col min="12" max="12" width="8.5703125" style="3" customWidth="1"/>
    <col min="13" max="13" width="5.85546875" style="3" customWidth="1"/>
    <col min="14" max="14" width="6.5703125" style="3" customWidth="1"/>
    <col min="15" max="15" width="6.42578125" style="3" customWidth="1"/>
    <col min="16" max="16" width="20" style="3" hidden="1" customWidth="1"/>
    <col min="17" max="17" width="37.7109375" style="3" hidden="1" customWidth="1"/>
    <col min="18" max="18" width="5.85546875" style="3" customWidth="1"/>
    <col min="19" max="16384" width="11.42578125" style="3" hidden="1"/>
  </cols>
  <sheetData>
    <row r="1" spans="1:18" ht="6" customHeight="1">
      <c r="A1" s="69"/>
      <c r="B1" s="69"/>
      <c r="C1" s="69"/>
      <c r="F1" s="69"/>
      <c r="P1" s="69"/>
      <c r="Q1" s="69"/>
      <c r="R1" s="69"/>
    </row>
    <row r="2" spans="1:18">
      <c r="A2" s="69"/>
      <c r="B2" s="69"/>
      <c r="C2" s="126" t="s">
        <v>9</v>
      </c>
      <c r="D2" s="125" t="str">
        <f>General!$B$3</f>
        <v>ANPAOCFYAP</v>
      </c>
      <c r="E2" s="69"/>
      <c r="F2" s="126" t="s">
        <v>10</v>
      </c>
      <c r="G2" s="183" t="str">
        <f>General!$B$4</f>
        <v>Macroproceso de Contabilidad y Presupuesto</v>
      </c>
      <c r="H2" s="183"/>
      <c r="I2" s="183"/>
      <c r="J2" s="183"/>
      <c r="K2" s="183"/>
      <c r="L2" s="183"/>
      <c r="M2" s="183"/>
      <c r="N2" s="183"/>
      <c r="O2" s="183"/>
      <c r="P2" s="69"/>
      <c r="Q2" s="69"/>
      <c r="R2" s="69"/>
    </row>
    <row r="3" spans="1:18" ht="6" customHeight="1">
      <c r="A3" s="69"/>
      <c r="B3" s="69"/>
      <c r="C3" s="127"/>
      <c r="E3" s="69"/>
      <c r="F3" s="127"/>
      <c r="G3" s="69"/>
      <c r="H3" s="69"/>
      <c r="I3" s="69"/>
      <c r="J3" s="69"/>
      <c r="K3" s="69"/>
      <c r="L3" s="69"/>
      <c r="M3" s="69"/>
      <c r="N3" s="69"/>
      <c r="O3" s="69"/>
      <c r="P3" s="69"/>
      <c r="Q3" s="69"/>
      <c r="R3" s="69"/>
    </row>
    <row r="4" spans="1:18" ht="18.75">
      <c r="A4" s="69"/>
      <c r="B4" s="69"/>
      <c r="C4" s="126" t="s">
        <v>11</v>
      </c>
      <c r="D4" s="128">
        <f>$E$14+$I$14</f>
        <v>0.25</v>
      </c>
      <c r="E4" s="127"/>
      <c r="F4" s="126" t="s">
        <v>12</v>
      </c>
      <c r="G4" s="184" t="str">
        <f>IF(SUM($C$30:$C$31)&gt;0,P37,IF((SUM($C$30:$C$31)=0)*(SUM($C$32:$C$33)),$P$36,IF($C$34=0,$P$35,$P$35)))</f>
        <v>INSATISFACTORIO</v>
      </c>
      <c r="H4" s="184"/>
      <c r="I4" s="184"/>
      <c r="J4" s="184"/>
      <c r="K4" s="184"/>
      <c r="L4" s="184"/>
      <c r="M4" s="184"/>
      <c r="N4" s="184"/>
      <c r="O4" s="184"/>
      <c r="P4" s="69"/>
      <c r="Q4" s="69"/>
      <c r="R4" s="69"/>
    </row>
    <row r="5" spans="1:18" ht="6" customHeight="1">
      <c r="A5" s="69"/>
      <c r="B5" s="69"/>
      <c r="C5" s="126"/>
      <c r="D5" s="129"/>
      <c r="E5" s="126"/>
      <c r="F5" s="130"/>
      <c r="G5" s="74"/>
      <c r="H5" s="74"/>
      <c r="I5" s="74"/>
      <c r="J5" s="74"/>
      <c r="K5" s="74"/>
      <c r="L5" s="74"/>
      <c r="M5" s="74"/>
      <c r="N5" s="74"/>
      <c r="O5" s="74"/>
      <c r="P5" s="69"/>
      <c r="Q5" s="69"/>
      <c r="R5" s="69"/>
    </row>
    <row r="6" spans="1:18" ht="18.75">
      <c r="A6" s="69"/>
      <c r="B6" s="69"/>
      <c r="C6" s="126" t="s">
        <v>13</v>
      </c>
      <c r="D6" s="128">
        <f>$C$11/$C$10</f>
        <v>1</v>
      </c>
      <c r="E6" s="127"/>
      <c r="F6" s="127"/>
      <c r="G6" s="69"/>
      <c r="H6" s="69"/>
      <c r="I6" s="69"/>
      <c r="J6" s="69"/>
      <c r="K6" s="69"/>
      <c r="L6" s="69"/>
      <c r="M6" s="69"/>
      <c r="N6" s="69"/>
      <c r="O6" s="69"/>
      <c r="P6" s="69"/>
      <c r="Q6" s="69"/>
      <c r="R6" s="69"/>
    </row>
    <row r="7" spans="1:18" ht="4.5" customHeight="1">
      <c r="A7" s="69"/>
      <c r="B7" s="69"/>
      <c r="C7" s="69"/>
      <c r="E7" s="69"/>
      <c r="F7" s="69"/>
      <c r="G7" s="69"/>
      <c r="H7" s="69"/>
      <c r="I7" s="69"/>
      <c r="J7" s="69"/>
      <c r="K7" s="69"/>
      <c r="L7" s="69"/>
      <c r="M7" s="69"/>
      <c r="N7" s="69"/>
      <c r="O7" s="69"/>
      <c r="P7" s="69"/>
      <c r="Q7" s="69"/>
      <c r="R7" s="69"/>
    </row>
    <row r="8" spans="1:18" ht="23.25">
      <c r="A8" s="70" t="s">
        <v>14</v>
      </c>
      <c r="B8" s="69"/>
      <c r="C8" s="69"/>
      <c r="D8" s="69"/>
      <c r="E8" s="69"/>
      <c r="F8" s="69"/>
      <c r="G8" s="69"/>
      <c r="H8" s="69"/>
      <c r="I8" s="69"/>
      <c r="J8" s="69"/>
      <c r="K8" s="69"/>
      <c r="L8" s="69"/>
      <c r="M8" s="69"/>
      <c r="N8" s="69"/>
      <c r="O8" s="69"/>
      <c r="P8" s="69"/>
      <c r="Q8" s="69"/>
      <c r="R8" s="69"/>
    </row>
    <row r="9" spans="1:18" ht="4.5" customHeight="1" thickBot="1">
      <c r="A9" s="69"/>
      <c r="B9" s="69"/>
      <c r="C9" s="69"/>
      <c r="D9" s="69"/>
      <c r="E9" s="69"/>
      <c r="F9" s="69"/>
      <c r="G9" s="69"/>
      <c r="H9" s="69"/>
      <c r="I9" s="69"/>
      <c r="J9" s="69"/>
      <c r="K9" s="69"/>
      <c r="L9" s="69"/>
      <c r="M9" s="69"/>
      <c r="N9" s="69"/>
      <c r="O9" s="69"/>
      <c r="P9" s="69"/>
      <c r="Q9" s="69"/>
      <c r="R9" s="69"/>
    </row>
    <row r="10" spans="1:18" ht="15.75" thickBot="1">
      <c r="A10" s="69"/>
      <c r="B10" s="124" t="s">
        <v>15</v>
      </c>
      <c r="C10" s="8">
        <f>ROWS(CasoPrueba[])</f>
        <v>4</v>
      </c>
      <c r="D10" s="69"/>
      <c r="E10" s="69"/>
      <c r="F10" s="69"/>
      <c r="G10" s="69"/>
      <c r="H10" s="69"/>
      <c r="I10" s="69"/>
      <c r="J10" s="69"/>
      <c r="K10" s="69"/>
      <c r="L10" s="69"/>
      <c r="M10" s="69"/>
      <c r="N10" s="69"/>
      <c r="O10" s="69"/>
      <c r="P10" s="77" t="s">
        <v>32</v>
      </c>
      <c r="Q10" s="10" t="s">
        <v>3</v>
      </c>
      <c r="R10" s="69"/>
    </row>
    <row r="11" spans="1:18" ht="15.75" thickBot="1">
      <c r="A11" s="69"/>
      <c r="B11" s="124" t="s">
        <v>16</v>
      </c>
      <c r="C11" s="8">
        <f>$C$10-$C$12</f>
        <v>4</v>
      </c>
      <c r="D11" s="69"/>
      <c r="E11" s="69"/>
      <c r="F11" s="69"/>
      <c r="G11" s="69"/>
      <c r="H11" s="69"/>
      <c r="I11" s="69"/>
      <c r="J11" s="69"/>
      <c r="K11" s="69"/>
      <c r="L11" s="69"/>
      <c r="M11" s="69"/>
      <c r="N11" s="69"/>
      <c r="O11" s="69"/>
      <c r="P11" s="78" t="s">
        <v>33</v>
      </c>
      <c r="Q11" s="11" t="s">
        <v>34</v>
      </c>
      <c r="R11" s="69"/>
    </row>
    <row r="12" spans="1:18" ht="30.75" thickBot="1">
      <c r="A12" s="69"/>
      <c r="B12" s="124" t="s">
        <v>18</v>
      </c>
      <c r="C12" s="8">
        <f>COUNTIF(CasoPrueba[[#All],[Estado Testing]],$P$27)</f>
        <v>0</v>
      </c>
      <c r="D12" s="69"/>
      <c r="E12" s="82" t="s">
        <v>19</v>
      </c>
      <c r="F12" s="83" t="s">
        <v>20</v>
      </c>
      <c r="G12" s="134" t="s">
        <v>21</v>
      </c>
      <c r="H12" s="135" t="s">
        <v>22</v>
      </c>
      <c r="I12" s="131" t="s">
        <v>23</v>
      </c>
      <c r="J12" s="132" t="s">
        <v>24</v>
      </c>
      <c r="K12" s="133" t="s">
        <v>128</v>
      </c>
      <c r="L12" s="71"/>
      <c r="M12" s="69"/>
      <c r="N12" s="69"/>
      <c r="O12" s="69"/>
      <c r="P12" s="79" t="s">
        <v>35</v>
      </c>
      <c r="Q12" s="12" t="s">
        <v>36</v>
      </c>
      <c r="R12" s="69"/>
    </row>
    <row r="13" spans="1:18" ht="30.75" thickBot="1">
      <c r="A13" s="69"/>
      <c r="B13" s="124" t="s">
        <v>114</v>
      </c>
      <c r="C13" s="8">
        <f>COUNTIF(CasoPrueba[[#All],[Estado Testing]],$P$29)</f>
        <v>0</v>
      </c>
      <c r="D13" s="69"/>
      <c r="E13" s="4">
        <f>COUNTIF(CasoPrueba[[#All],[Estado Testing]],$P$28)</f>
        <v>1</v>
      </c>
      <c r="F13" s="4">
        <f>COUNTIF(CasoPrueba[[#All],[Estado Testing]],$P$29)</f>
        <v>0</v>
      </c>
      <c r="G13" s="4">
        <f>COUNTIF(CasoPrueba[[#All],[Estado Testing]],$P$30)</f>
        <v>0</v>
      </c>
      <c r="H13" s="4">
        <f>COUNTIF(CasoPrueba[[#All],[Estado Testing]],$P$27)</f>
        <v>0</v>
      </c>
      <c r="I13" s="4">
        <f>COUNTIF(CasoPrueba[[#All],[Estado Testing]],$P$31)</f>
        <v>0</v>
      </c>
      <c r="J13" s="4">
        <f>COUNTIF(CasoPrueba[[#All],[Estado Testing]],$P$32)</f>
        <v>3</v>
      </c>
      <c r="K13" s="4">
        <f>SUM(CasoPrueba[[#All],[Reejecución]])</f>
        <v>0</v>
      </c>
      <c r="L13" s="72"/>
      <c r="M13" s="69"/>
      <c r="N13" s="69"/>
      <c r="O13" s="69"/>
      <c r="P13" s="80" t="s">
        <v>37</v>
      </c>
      <c r="Q13" s="13" t="s">
        <v>38</v>
      </c>
      <c r="R13" s="69"/>
    </row>
    <row r="14" spans="1:18" ht="15.75" thickBot="1">
      <c r="A14" s="69"/>
      <c r="B14" s="124" t="s">
        <v>17</v>
      </c>
      <c r="C14" s="8">
        <f>COUNTIF(CasoPrueba[[#All],[Estado Testing]],$P$30)</f>
        <v>0</v>
      </c>
      <c r="D14" s="69"/>
      <c r="E14" s="14">
        <f t="shared" ref="E14:J14" si="0">E13/$C$10</f>
        <v>0.25</v>
      </c>
      <c r="F14" s="14">
        <f t="shared" si="0"/>
        <v>0</v>
      </c>
      <c r="G14" s="14">
        <f t="shared" si="0"/>
        <v>0</v>
      </c>
      <c r="H14" s="14">
        <f t="shared" si="0"/>
        <v>0</v>
      </c>
      <c r="I14" s="14">
        <f t="shared" si="0"/>
        <v>0</v>
      </c>
      <c r="J14" s="14">
        <f t="shared" si="0"/>
        <v>0.75</v>
      </c>
      <c r="K14" s="14">
        <f>K13/C10</f>
        <v>0</v>
      </c>
      <c r="L14" s="73"/>
      <c r="M14" s="69"/>
      <c r="N14" s="69"/>
      <c r="O14" s="69"/>
      <c r="P14" s="81" t="s">
        <v>39</v>
      </c>
      <c r="Q14" s="15" t="s">
        <v>40</v>
      </c>
      <c r="R14" s="69"/>
    </row>
    <row r="15" spans="1:18" ht="9" customHeight="1">
      <c r="A15" s="69"/>
      <c r="B15" s="69"/>
      <c r="C15" s="69"/>
      <c r="D15" s="69"/>
      <c r="E15" s="69"/>
      <c r="F15" s="69"/>
      <c r="G15" s="69"/>
      <c r="H15" s="69"/>
      <c r="I15" s="69"/>
      <c r="J15" s="69"/>
      <c r="K15" s="69"/>
      <c r="L15" s="69"/>
      <c r="M15" s="69"/>
      <c r="N15" s="69"/>
      <c r="O15" s="69"/>
      <c r="P15" s="69"/>
      <c r="Q15" s="69"/>
      <c r="R15" s="69"/>
    </row>
    <row r="16" spans="1:18" ht="15.75" hidden="1" thickBot="1">
      <c r="A16" s="69"/>
      <c r="B16" s="185" t="s">
        <v>25</v>
      </c>
      <c r="C16" s="186" t="s">
        <v>19</v>
      </c>
      <c r="D16" s="186"/>
      <c r="E16" s="187" t="s">
        <v>20</v>
      </c>
      <c r="F16" s="187"/>
      <c r="G16" s="188" t="s">
        <v>21</v>
      </c>
      <c r="H16" s="188"/>
      <c r="I16" s="189" t="s">
        <v>22</v>
      </c>
      <c r="J16" s="190"/>
      <c r="K16" s="193" t="s">
        <v>23</v>
      </c>
      <c r="L16" s="194"/>
      <c r="M16" s="191" t="s">
        <v>24</v>
      </c>
      <c r="N16" s="192"/>
      <c r="O16" s="69"/>
      <c r="P16" s="9" t="s">
        <v>41</v>
      </c>
      <c r="Q16" s="10" t="s">
        <v>42</v>
      </c>
      <c r="R16" s="69"/>
    </row>
    <row r="17" spans="1:18" ht="15.75" hidden="1" thickBot="1">
      <c r="A17" s="69"/>
      <c r="B17" s="185"/>
      <c r="C17" s="53" t="s">
        <v>26</v>
      </c>
      <c r="D17" s="53" t="s">
        <v>27</v>
      </c>
      <c r="E17" s="54" t="s">
        <v>26</v>
      </c>
      <c r="F17" s="54" t="s">
        <v>27</v>
      </c>
      <c r="G17" s="55" t="s">
        <v>26</v>
      </c>
      <c r="H17" s="55" t="s">
        <v>27</v>
      </c>
      <c r="I17" s="56" t="s">
        <v>26</v>
      </c>
      <c r="J17" s="56" t="s">
        <v>27</v>
      </c>
      <c r="K17" s="57" t="s">
        <v>26</v>
      </c>
      <c r="L17" s="57" t="s">
        <v>27</v>
      </c>
      <c r="M17" s="58" t="s">
        <v>26</v>
      </c>
      <c r="N17" s="58" t="s">
        <v>27</v>
      </c>
      <c r="O17" s="69"/>
      <c r="P17" s="16" t="s">
        <v>28</v>
      </c>
      <c r="Q17" s="17" t="s">
        <v>43</v>
      </c>
      <c r="R17" s="69"/>
    </row>
    <row r="18" spans="1:18" ht="15.75" hidden="1" thickBot="1">
      <c r="A18" s="69"/>
      <c r="B18" s="40" t="s">
        <v>28</v>
      </c>
      <c r="C18" s="41">
        <f>COUNTIFS(CasoPrueba[[#All],[Estado Testing]],$P$28,CasoPrueba[[#All],[Prioridad]],$P$17)</f>
        <v>1</v>
      </c>
      <c r="D18" s="42">
        <f>C18/$C$10</f>
        <v>0.25</v>
      </c>
      <c r="E18" s="43">
        <f>COUNTIFS(CasoPrueba[[#All],[Estado Testing]],$P$29,CasoPrueba[[#All],[Prioridad]],$P$17)</f>
        <v>0</v>
      </c>
      <c r="F18" s="44">
        <f>E18/$C$10</f>
        <v>0</v>
      </c>
      <c r="G18" s="45">
        <f>COUNTIFS(CasoPrueba[[#All],[Estado Testing]],$P$30,CasoPrueba[[#All],[Prioridad]],$P$17)</f>
        <v>0</v>
      </c>
      <c r="H18" s="46">
        <f>G18/$C$10</f>
        <v>0</v>
      </c>
      <c r="I18" s="47">
        <f>COUNTIFS(CasoPrueba[[#All],[Estado Testing]],$P$27,CasoPrueba[[#All],[Prioridad]],$P$17)</f>
        <v>0</v>
      </c>
      <c r="J18" s="48">
        <f>I18/$C$10</f>
        <v>0</v>
      </c>
      <c r="K18" s="49">
        <f>COUNTIFS(CasoPrueba[[#All],[Estado Testing]],$P$31,CasoPrueba[[#All],[Prioridad]],$P$17)</f>
        <v>0</v>
      </c>
      <c r="L18" s="51">
        <f>K18/$C$10</f>
        <v>0</v>
      </c>
      <c r="M18" s="52">
        <f>COUNTIFS(CasoPrueba[[#All],[Estado Testing]],$P$29,CasoPrueba[[#All],[Prioridad]],$P$17)</f>
        <v>0</v>
      </c>
      <c r="N18" s="50">
        <f>M18/$C$10</f>
        <v>0</v>
      </c>
      <c r="O18" s="69"/>
      <c r="P18" s="18" t="s">
        <v>29</v>
      </c>
      <c r="Q18" s="19" t="s">
        <v>44</v>
      </c>
      <c r="R18" s="69"/>
    </row>
    <row r="19" spans="1:18" ht="15.75" hidden="1" thickBot="1">
      <c r="A19" s="69"/>
      <c r="B19" s="40" t="s">
        <v>29</v>
      </c>
      <c r="C19" s="41">
        <f>COUNTIFS(CasoPrueba[[#All],[Estado Testing]],$P$28,CasoPrueba[[#All],[Prioridad]],$P$18)</f>
        <v>0</v>
      </c>
      <c r="D19" s="42">
        <f t="shared" ref="D19:F20" si="1">C19/$C$10</f>
        <v>0</v>
      </c>
      <c r="E19" s="43">
        <f>COUNTIFS(CasoPrueba[[#All],[Estado Testing]],$P$29,CasoPrueba[[#All],[Prioridad]],$P$18)</f>
        <v>0</v>
      </c>
      <c r="F19" s="44">
        <f t="shared" si="1"/>
        <v>0</v>
      </c>
      <c r="G19" s="45">
        <f>COUNTIFS(CasoPrueba[[#All],[Estado Testing]],$P$30,CasoPrueba[[#All],[Prioridad]],$P$18)</f>
        <v>0</v>
      </c>
      <c r="H19" s="46">
        <f>G19/$C$10</f>
        <v>0</v>
      </c>
      <c r="I19" s="47">
        <f>COUNTIFS(CasoPrueba[[#All],[Estado Testing]],$P$27,CasoPrueba[[#All],[Prioridad]],$P$18)</f>
        <v>0</v>
      </c>
      <c r="J19" s="48">
        <f>I19/$C$10</f>
        <v>0</v>
      </c>
      <c r="K19" s="49">
        <f>COUNTIFS(CasoPrueba[[#All],[Estado Testing]],$P$31,CasoPrueba[[#All],[Prioridad]],$P$18)</f>
        <v>0</v>
      </c>
      <c r="L19" s="51">
        <f>K19/$C$10</f>
        <v>0</v>
      </c>
      <c r="M19" s="52">
        <f>COUNTIFS(CasoPrueba[[#All],[Estado Testing]],$P$29,CasoPrueba[[#All],[Prioridad]],$P$18)</f>
        <v>0</v>
      </c>
      <c r="N19" s="50">
        <f>M19/$C$10</f>
        <v>0</v>
      </c>
      <c r="O19" s="69"/>
      <c r="P19" s="20" t="s">
        <v>30</v>
      </c>
      <c r="Q19" s="19" t="s">
        <v>45</v>
      </c>
      <c r="R19" s="69"/>
    </row>
    <row r="20" spans="1:18" ht="15.75" hidden="1" thickBot="1">
      <c r="A20" s="69"/>
      <c r="B20" s="40" t="s">
        <v>30</v>
      </c>
      <c r="C20" s="41">
        <f>COUNTIFS(CasoPrueba[[#All],[Estado Testing]],$P$28,CasoPrueba[[#All],[Prioridad]],$P$19)</f>
        <v>0</v>
      </c>
      <c r="D20" s="42">
        <f t="shared" si="1"/>
        <v>0</v>
      </c>
      <c r="E20" s="43">
        <f>COUNTIFS(CasoPrueba[[#All],[Estado Testing]],$P$29,CasoPrueba[[#All],[Prioridad]],$P$19)</f>
        <v>0</v>
      </c>
      <c r="F20" s="44">
        <f t="shared" si="1"/>
        <v>0</v>
      </c>
      <c r="G20" s="45">
        <f>COUNTIFS(CasoPrueba[[#All],[Estado Testing]],$P$30,CasoPrueba[[#All],[Prioridad]],$P$19)</f>
        <v>0</v>
      </c>
      <c r="H20" s="46">
        <f>G20/$C$10</f>
        <v>0</v>
      </c>
      <c r="I20" s="47">
        <f>COUNTIFS(CasoPrueba[[#All],[Estado Testing]],$P$27,CasoPrueba[[#All],[Prioridad]],$P$19)</f>
        <v>0</v>
      </c>
      <c r="J20" s="48">
        <f>I20/$C$10</f>
        <v>0</v>
      </c>
      <c r="K20" s="49">
        <f>COUNTIFS(CasoPrueba[[#All],[Estado Testing]],$P$31,CasoPrueba[[#All],[Prioridad]],$P$19)</f>
        <v>0</v>
      </c>
      <c r="L20" s="51">
        <f>K20/$C$10</f>
        <v>0</v>
      </c>
      <c r="M20" s="52">
        <f>COUNTIFS(CasoPrueba[[#All],[Estado Testing]],$P$29,CasoPrueba[[#All],[Prioridad]],$P$19)</f>
        <v>0</v>
      </c>
      <c r="N20" s="50">
        <f>M20/$C$10</f>
        <v>0</v>
      </c>
      <c r="O20" s="69"/>
      <c r="P20" s="69"/>
      <c r="Q20" s="69"/>
      <c r="R20" s="69"/>
    </row>
    <row r="21" spans="1:18" ht="15.75" hidden="1" thickBot="1">
      <c r="A21" s="69"/>
      <c r="B21" s="59" t="s">
        <v>31</v>
      </c>
      <c r="C21" s="59">
        <f>SUM(C18:C20)</f>
        <v>1</v>
      </c>
      <c r="D21" s="60">
        <f t="shared" ref="D21:N21" si="2">SUM(D18:D20)</f>
        <v>0.25</v>
      </c>
      <c r="E21" s="59">
        <f t="shared" si="2"/>
        <v>0</v>
      </c>
      <c r="F21" s="60">
        <f t="shared" si="2"/>
        <v>0</v>
      </c>
      <c r="G21" s="59">
        <f t="shared" si="2"/>
        <v>0</v>
      </c>
      <c r="H21" s="60">
        <f t="shared" si="2"/>
        <v>0</v>
      </c>
      <c r="I21" s="59">
        <f t="shared" si="2"/>
        <v>0</v>
      </c>
      <c r="J21" s="60">
        <f t="shared" si="2"/>
        <v>0</v>
      </c>
      <c r="K21" s="59">
        <f>SUM(K18:K20)</f>
        <v>0</v>
      </c>
      <c r="L21" s="60">
        <f>SUM(L18:L20)</f>
        <v>0</v>
      </c>
      <c r="M21" s="59">
        <f t="shared" si="2"/>
        <v>0</v>
      </c>
      <c r="N21" s="60">
        <f t="shared" si="2"/>
        <v>0</v>
      </c>
      <c r="O21" s="69"/>
      <c r="P21" s="9" t="s">
        <v>46</v>
      </c>
      <c r="Q21" s="10" t="s">
        <v>3</v>
      </c>
      <c r="R21" s="69"/>
    </row>
    <row r="22" spans="1:18" ht="15.75" hidden="1" thickBot="1">
      <c r="A22" s="69"/>
      <c r="B22" s="69"/>
      <c r="C22" s="69"/>
      <c r="D22" s="69"/>
      <c r="E22" s="69"/>
      <c r="F22" s="69"/>
      <c r="G22" s="69"/>
      <c r="H22" s="69"/>
      <c r="I22" s="69"/>
      <c r="J22" s="69"/>
      <c r="K22" s="69"/>
      <c r="L22" s="69"/>
      <c r="M22" s="69"/>
      <c r="N22" s="69"/>
      <c r="O22" s="69"/>
      <c r="P22" s="16" t="s">
        <v>47</v>
      </c>
      <c r="Q22" s="23" t="s">
        <v>51</v>
      </c>
      <c r="R22" s="69"/>
    </row>
    <row r="23" spans="1:18" ht="30.75" hidden="1" thickBot="1">
      <c r="A23" s="69"/>
      <c r="B23" s="69"/>
      <c r="C23" s="69"/>
      <c r="D23" s="69"/>
      <c r="E23" s="69"/>
      <c r="F23" s="69"/>
      <c r="G23" s="69"/>
      <c r="H23" s="69"/>
      <c r="I23" s="69"/>
      <c r="J23" s="69"/>
      <c r="K23" s="69"/>
      <c r="L23" s="69"/>
      <c r="M23" s="69"/>
      <c r="N23" s="69"/>
      <c r="O23" s="69"/>
      <c r="P23" s="21" t="s">
        <v>48</v>
      </c>
      <c r="Q23" s="24" t="s">
        <v>50</v>
      </c>
      <c r="R23" s="69"/>
    </row>
    <row r="24" spans="1:18" ht="15.75" hidden="1" thickBot="1">
      <c r="A24" s="69"/>
      <c r="B24" s="69"/>
      <c r="C24" s="69"/>
      <c r="D24" s="69"/>
      <c r="E24" s="69"/>
      <c r="F24" s="69"/>
      <c r="G24" s="69"/>
      <c r="H24" s="69"/>
      <c r="I24" s="69"/>
      <c r="J24" s="69"/>
      <c r="K24" s="69"/>
      <c r="L24" s="69"/>
      <c r="M24" s="69"/>
      <c r="N24" s="69"/>
      <c r="O24" s="69"/>
      <c r="P24" s="22" t="s">
        <v>49</v>
      </c>
      <c r="Q24" s="24" t="s">
        <v>52</v>
      </c>
      <c r="R24" s="69"/>
    </row>
    <row r="25" spans="1:18" ht="9" hidden="1" customHeight="1" thickBot="1">
      <c r="A25" s="69"/>
      <c r="B25" s="69"/>
      <c r="C25" s="69"/>
      <c r="D25" s="69"/>
      <c r="E25" s="69"/>
      <c r="F25" s="69"/>
      <c r="G25" s="69"/>
      <c r="H25" s="69"/>
      <c r="I25" s="69"/>
      <c r="J25" s="69"/>
      <c r="K25" s="69"/>
      <c r="L25" s="69"/>
      <c r="M25" s="69"/>
      <c r="N25" s="69"/>
      <c r="O25" s="69"/>
      <c r="P25" s="69"/>
      <c r="Q25" s="69"/>
      <c r="R25" s="69"/>
    </row>
    <row r="26" spans="1:18" ht="24" hidden="1" thickBot="1">
      <c r="A26" s="111" t="s">
        <v>68</v>
      </c>
      <c r="B26" s="112"/>
      <c r="C26" s="112"/>
      <c r="D26" s="112"/>
      <c r="E26" s="112"/>
      <c r="F26" s="112"/>
      <c r="G26" s="112"/>
      <c r="H26" s="112"/>
      <c r="I26" s="112"/>
      <c r="J26" s="112"/>
      <c r="K26" s="112"/>
      <c r="L26" s="112"/>
      <c r="M26" s="69"/>
      <c r="N26" s="69"/>
      <c r="O26" s="69"/>
      <c r="P26" s="5" t="s">
        <v>53</v>
      </c>
      <c r="Q26" s="6" t="s">
        <v>54</v>
      </c>
      <c r="R26" s="69"/>
    </row>
    <row r="27" spans="1:18" ht="18" hidden="1" customHeight="1" thickBot="1">
      <c r="A27" s="112"/>
      <c r="B27" s="112"/>
      <c r="C27" s="112"/>
      <c r="D27" s="112"/>
      <c r="E27" s="112"/>
      <c r="F27" s="112"/>
      <c r="G27" s="112"/>
      <c r="H27" s="112"/>
      <c r="I27" s="112"/>
      <c r="J27" s="112"/>
      <c r="K27" s="112"/>
      <c r="L27" s="112"/>
      <c r="M27" s="69"/>
      <c r="N27" s="69"/>
      <c r="O27" s="69"/>
      <c r="P27" s="102" t="s">
        <v>22</v>
      </c>
      <c r="Q27" s="7" t="s">
        <v>66</v>
      </c>
      <c r="R27" s="69"/>
    </row>
    <row r="28" spans="1:18" ht="30.75" hidden="1" customHeight="1" thickBot="1">
      <c r="A28" s="112"/>
      <c r="B28" s="182" t="s">
        <v>69</v>
      </c>
      <c r="C28" s="182" t="s">
        <v>70</v>
      </c>
      <c r="D28" s="182"/>
      <c r="E28" s="182" t="s">
        <v>71</v>
      </c>
      <c r="F28" s="182"/>
      <c r="G28" s="112"/>
      <c r="H28" s="112"/>
      <c r="I28" s="112"/>
      <c r="J28" s="112"/>
      <c r="K28" s="112"/>
      <c r="L28" s="112"/>
      <c r="M28" s="69"/>
      <c r="N28" s="69"/>
      <c r="O28" s="69"/>
      <c r="P28" s="97" t="s">
        <v>19</v>
      </c>
      <c r="Q28" s="13" t="s">
        <v>55</v>
      </c>
      <c r="R28" s="69"/>
    </row>
    <row r="29" spans="1:18" ht="15.75" hidden="1" thickBot="1">
      <c r="A29" s="112"/>
      <c r="B29" s="182"/>
      <c r="C29" s="113" t="s">
        <v>26</v>
      </c>
      <c r="D29" s="113" t="s">
        <v>27</v>
      </c>
      <c r="E29" s="113" t="s">
        <v>26</v>
      </c>
      <c r="F29" s="113" t="s">
        <v>27</v>
      </c>
      <c r="G29" s="112"/>
      <c r="H29" s="114" t="s">
        <v>41</v>
      </c>
      <c r="I29" s="114" t="s">
        <v>28</v>
      </c>
      <c r="J29" s="114" t="s">
        <v>29</v>
      </c>
      <c r="K29" s="114" t="s">
        <v>30</v>
      </c>
      <c r="L29" s="109"/>
      <c r="M29" s="75"/>
      <c r="N29" s="69"/>
      <c r="O29" s="69"/>
      <c r="P29" s="98" t="s">
        <v>20</v>
      </c>
      <c r="Q29" s="13" t="s">
        <v>56</v>
      </c>
      <c r="R29" s="69"/>
    </row>
    <row r="30" spans="1:18" ht="33" hidden="1" customHeight="1" thickBot="1">
      <c r="A30" s="112"/>
      <c r="B30" s="115" t="s">
        <v>33</v>
      </c>
      <c r="C30" s="116">
        <f>COUNTIFS(Observaciones[[#All],[Estado]],Resumen!$P$22,Observaciones[[#All],[Severidad]],Resumen!$P$11)+COUNTIFS(Observaciones[[#All],[Estado]],$P$23,Observaciones[[#All],[Severidad]],Resumen!$P$11)</f>
        <v>1</v>
      </c>
      <c r="D30" s="117">
        <f>C30/$C$10</f>
        <v>0.25</v>
      </c>
      <c r="E30" s="118">
        <f>COUNTIFS(Observaciones[[#All],[Estado]],Resumen!$P$24,Observaciones[[#All],[Severidad]],Resumen!$P$11)</f>
        <v>0</v>
      </c>
      <c r="F30" s="117">
        <f>E30/$C$10</f>
        <v>0</v>
      </c>
      <c r="G30" s="112"/>
      <c r="H30" s="115" t="s">
        <v>33</v>
      </c>
      <c r="I30" s="119">
        <f>COUNTIFS(Observaciones[[#All],[Severidad]],Resumen!$P$11,Observaciones[[#All],[Prioridad]],Resumen!$P$17)</f>
        <v>1</v>
      </c>
      <c r="J30" s="119">
        <f>COUNTIFS(Observaciones[[#All],[Severidad]],Resumen!$P$11,Observaciones[[#All],[Prioridad]],Resumen!$P$18)</f>
        <v>0</v>
      </c>
      <c r="K30" s="119">
        <f>COUNTIFS(Observaciones[[#All],[Severidad]],Resumen!$P$11,Observaciones[[#All],[Prioridad]],Resumen!$P$19)</f>
        <v>0</v>
      </c>
      <c r="L30" s="110"/>
      <c r="M30" s="76"/>
      <c r="N30" s="69"/>
      <c r="O30" s="69"/>
      <c r="P30" s="99" t="s">
        <v>21</v>
      </c>
      <c r="Q30" s="13" t="s">
        <v>57</v>
      </c>
      <c r="R30" s="69"/>
    </row>
    <row r="31" spans="1:18" ht="33" hidden="1" customHeight="1" thickBot="1">
      <c r="A31" s="112"/>
      <c r="B31" s="115" t="s">
        <v>35</v>
      </c>
      <c r="C31" s="116">
        <f>COUNTIFS(Observaciones[[#All],[Estado]],Resumen!$P$22,Observaciones[[#All],[Severidad]],Resumen!$P$12)+COUNTIFS(Observaciones[[#All],[Estado]],$P$23,Observaciones[[#All],[Severidad]],Resumen!$P$12)</f>
        <v>0</v>
      </c>
      <c r="D31" s="117">
        <f>C31/$C$10</f>
        <v>0</v>
      </c>
      <c r="E31" s="118">
        <f>COUNTIFS(Observaciones[[#All],[Estado]],Resumen!$P$24,Observaciones[[#All],[Severidad]],Resumen!$P$12)</f>
        <v>0</v>
      </c>
      <c r="F31" s="117">
        <f>E31/$C$10</f>
        <v>0</v>
      </c>
      <c r="G31" s="112"/>
      <c r="H31" s="115" t="s">
        <v>35</v>
      </c>
      <c r="I31" s="119">
        <f>COUNTIFS(Observaciones[[#All],[Severidad]],Resumen!$P$12,Observaciones[[#All],[Prioridad]],Resumen!$P$17)</f>
        <v>0</v>
      </c>
      <c r="J31" s="119">
        <f>COUNTIFS(Observaciones[[#All],[Severidad]],Resumen!$P$12,Observaciones[[#All],[Prioridad]],Resumen!$P$18)</f>
        <v>0</v>
      </c>
      <c r="K31" s="119">
        <f>COUNTIFS(Observaciones[[#All],[Severidad]],Resumen!$P$12,Observaciones[[#All],[Prioridad]],Resumen!$P$19)</f>
        <v>0</v>
      </c>
      <c r="L31" s="110"/>
      <c r="M31" s="76"/>
      <c r="N31" s="69"/>
      <c r="O31" s="69"/>
      <c r="P31" s="100" t="s">
        <v>23</v>
      </c>
      <c r="Q31" s="13" t="s">
        <v>58</v>
      </c>
      <c r="R31" s="69"/>
    </row>
    <row r="32" spans="1:18" ht="33" hidden="1" customHeight="1" thickBot="1">
      <c r="A32" s="112"/>
      <c r="B32" s="115" t="s">
        <v>37</v>
      </c>
      <c r="C32" s="120">
        <f>COUNTIFS(Observaciones[[#All],[Estado]],Resumen!$P$22,Observaciones[[#All],[Severidad]],Resumen!$P$13)+COUNTIFS(Observaciones[[#All],[Estado]],$P$23,Observaciones[[#All],[Severidad]],Resumen!$P$13)</f>
        <v>0</v>
      </c>
      <c r="D32" s="117">
        <f>C32/$C$10</f>
        <v>0</v>
      </c>
      <c r="E32" s="118">
        <f>COUNTIFS(Observaciones[[#All],[Estado]],Resumen!$P$24,Observaciones[[#All],[Severidad]],Resumen!$P$13)</f>
        <v>0</v>
      </c>
      <c r="F32" s="117">
        <f>E32/$C$10</f>
        <v>0</v>
      </c>
      <c r="G32" s="112"/>
      <c r="H32" s="115" t="s">
        <v>37</v>
      </c>
      <c r="I32" s="119">
        <f>COUNTIFS(Observaciones[[#All],[Severidad]],Resumen!$P$13,Observaciones[[#All],[Prioridad]],Resumen!$P$17)</f>
        <v>0</v>
      </c>
      <c r="J32" s="119">
        <f>COUNTIFS(Observaciones[[#All],[Severidad]],Resumen!$P$13,Observaciones[[#All],[Prioridad]],Resumen!$P$18)</f>
        <v>0</v>
      </c>
      <c r="K32" s="119">
        <f>COUNTIFS(Observaciones[[#All],[Severidad]],Resumen!$P$13,Observaciones[[#All],[Prioridad]],Resumen!$P$19)</f>
        <v>0</v>
      </c>
      <c r="L32" s="110"/>
      <c r="M32" s="76"/>
      <c r="N32" s="69"/>
      <c r="O32" s="69"/>
      <c r="P32" s="101" t="s">
        <v>24</v>
      </c>
      <c r="Q32" s="13" t="s">
        <v>67</v>
      </c>
    </row>
    <row r="33" spans="1:18" ht="15.75" hidden="1" thickBot="1">
      <c r="A33" s="112"/>
      <c r="B33" s="115" t="s">
        <v>39</v>
      </c>
      <c r="C33" s="120">
        <f>COUNTIFS(Observaciones[[#All],[Estado]],Resumen!$P$22,Observaciones[[#All],[Severidad]],Resumen!$P$14)+COUNTIFS(Observaciones[[#All],[Estado]],$P$23,Observaciones[[#All],[Severidad]],Resumen!$P$14)</f>
        <v>1</v>
      </c>
      <c r="D33" s="117">
        <f>C33/$C$10</f>
        <v>0.25</v>
      </c>
      <c r="E33" s="118">
        <f>COUNTIFS(Observaciones[[#All],[Estado]],Resumen!$P$24,Observaciones[[#All],[Severidad]],Resumen!$P$14)</f>
        <v>0</v>
      </c>
      <c r="F33" s="117">
        <f>E33/$C$10</f>
        <v>0</v>
      </c>
      <c r="G33" s="112"/>
      <c r="H33" s="115" t="s">
        <v>39</v>
      </c>
      <c r="I33" s="119">
        <f>COUNTIFS(Observaciones[[#All],[Severidad]],Resumen!$P$14,Observaciones[[#All],[Prioridad]],Resumen!$P$17)</f>
        <v>1</v>
      </c>
      <c r="J33" s="119">
        <f>COUNTIFS(Observaciones[[#All],[Severidad]],Resumen!$P$14,Observaciones[[#All],[Prioridad]],Resumen!$P$18)</f>
        <v>0</v>
      </c>
      <c r="K33" s="119">
        <f>COUNTIFS(Observaciones[[#All],[Severidad]],Resumen!$P$14,Observaciones[[#All],[Prioridad]],Resumen!$P$19)</f>
        <v>0</v>
      </c>
      <c r="L33" s="110"/>
      <c r="M33" s="76"/>
      <c r="N33" s="69"/>
      <c r="O33" s="69"/>
      <c r="P33" s="69"/>
      <c r="Q33" s="69"/>
      <c r="R33" s="69"/>
    </row>
    <row r="34" spans="1:18" ht="15.75" hidden="1" thickBot="1">
      <c r="A34" s="112"/>
      <c r="B34" s="115" t="s">
        <v>72</v>
      </c>
      <c r="C34" s="121">
        <f>SUM(C30:C33)</f>
        <v>2</v>
      </c>
      <c r="D34" s="122">
        <f>SUM(D30:D33)</f>
        <v>0.5</v>
      </c>
      <c r="E34" s="121">
        <f>SUM(E30:E33)</f>
        <v>0</v>
      </c>
      <c r="F34" s="122">
        <f>SUM(F30:F33)</f>
        <v>0</v>
      </c>
      <c r="G34" s="112"/>
      <c r="H34" s="115" t="s">
        <v>72</v>
      </c>
      <c r="I34" s="123">
        <f>SUM(I30:I33)</f>
        <v>2</v>
      </c>
      <c r="J34" s="123">
        <f>SUM(J30:J33)</f>
        <v>0</v>
      </c>
      <c r="K34" s="123">
        <f>SUM(K30:K33)</f>
        <v>0</v>
      </c>
      <c r="L34" s="110"/>
      <c r="M34" s="76"/>
      <c r="N34" s="69"/>
      <c r="O34" s="69"/>
      <c r="P34" s="9" t="s">
        <v>59</v>
      </c>
      <c r="Q34" s="10" t="s">
        <v>3</v>
      </c>
      <c r="R34" s="69"/>
    </row>
    <row r="35" spans="1:18" ht="33" hidden="1" customHeight="1" thickBot="1">
      <c r="A35" s="112"/>
      <c r="B35" s="112"/>
      <c r="C35" s="112"/>
      <c r="D35" s="112"/>
      <c r="E35" s="112"/>
      <c r="F35" s="112"/>
      <c r="G35" s="112"/>
      <c r="H35" s="112"/>
      <c r="I35" s="112"/>
      <c r="J35" s="112"/>
      <c r="K35" s="112"/>
      <c r="L35" s="112"/>
      <c r="M35" s="69"/>
      <c r="N35" s="69"/>
      <c r="O35" s="69"/>
      <c r="P35" s="25" t="s">
        <v>60</v>
      </c>
      <c r="Q35" s="26" t="s">
        <v>61</v>
      </c>
      <c r="R35" s="69"/>
    </row>
    <row r="36" spans="1:18" ht="33" hidden="1" customHeight="1" thickBot="1">
      <c r="A36" s="69"/>
      <c r="B36" s="69"/>
      <c r="C36" s="69"/>
      <c r="D36" s="69"/>
      <c r="E36" s="69"/>
      <c r="F36" s="69"/>
      <c r="G36" s="69"/>
      <c r="H36" s="69"/>
      <c r="I36" s="69"/>
      <c r="J36" s="69"/>
      <c r="K36" s="69"/>
      <c r="L36" s="69"/>
      <c r="M36" s="69"/>
      <c r="N36" s="69"/>
      <c r="O36" s="69"/>
      <c r="P36" s="27" t="s">
        <v>62</v>
      </c>
      <c r="Q36" s="28" t="s">
        <v>63</v>
      </c>
      <c r="R36" s="69"/>
    </row>
    <row r="37" spans="1:18" ht="33" hidden="1" customHeight="1" thickBot="1">
      <c r="A37" s="69"/>
      <c r="B37" s="69"/>
      <c r="C37" s="69"/>
      <c r="D37" s="69"/>
      <c r="E37" s="69"/>
      <c r="F37" s="69"/>
      <c r="G37" s="69"/>
      <c r="H37" s="69"/>
      <c r="I37" s="69"/>
      <c r="J37" s="69"/>
      <c r="K37" s="69"/>
      <c r="L37" s="69"/>
      <c r="M37" s="69"/>
      <c r="N37" s="69"/>
      <c r="O37" s="69"/>
      <c r="P37" s="29" t="s">
        <v>64</v>
      </c>
      <c r="Q37" s="28" t="s">
        <v>65</v>
      </c>
      <c r="R37" s="69"/>
    </row>
    <row r="38" spans="1:18" hidden="1">
      <c r="A38" s="69"/>
      <c r="B38" s="69"/>
      <c r="C38" s="69"/>
      <c r="D38" s="69"/>
      <c r="E38" s="69"/>
      <c r="F38" s="69"/>
      <c r="G38" s="69"/>
      <c r="H38" s="69"/>
      <c r="I38" s="69"/>
      <c r="J38" s="69"/>
      <c r="K38" s="69"/>
      <c r="L38" s="69"/>
      <c r="M38" s="69"/>
      <c r="N38" s="69"/>
      <c r="O38" s="69"/>
      <c r="P38" s="69"/>
      <c r="Q38" s="69"/>
      <c r="R38" s="69"/>
    </row>
  </sheetData>
  <mergeCells count="12">
    <mergeCell ref="B28:B29"/>
    <mergeCell ref="C28:D28"/>
    <mergeCell ref="E28:F28"/>
    <mergeCell ref="G2:O2"/>
    <mergeCell ref="G4:O4"/>
    <mergeCell ref="B16:B17"/>
    <mergeCell ref="C16:D16"/>
    <mergeCell ref="E16:F16"/>
    <mergeCell ref="G16:H16"/>
    <mergeCell ref="I16:J16"/>
    <mergeCell ref="M16:N16"/>
    <mergeCell ref="K16:L16"/>
  </mergeCells>
  <conditionalFormatting sqref="G4:O4">
    <cfRule type="expression" dxfId="71" priority="1" stopIfTrue="1">
      <formula>NOT(ISERROR(SEARCH("INSATISFACTORIO",G4)))</formula>
    </cfRule>
    <cfRule type="expression" dxfId="70" priority="2" stopIfTrue="1">
      <formula>NOT(ISERROR(SEARCH("SATISFACTORIO con Observaciones",G4)))</formula>
    </cfRule>
    <cfRule type="expression" dxfId="69" priority="3" stopIfTrue="1">
      <formula>NOT(ISERROR(SEARCH("SATISFACTORIO",G4)))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R93"/>
  <sheetViews>
    <sheetView topLeftCell="A85" workbookViewId="0">
      <selection activeCell="E86" sqref="E86"/>
    </sheetView>
  </sheetViews>
  <sheetFormatPr baseColWidth="10" defaultColWidth="11.42578125" defaultRowHeight="15"/>
  <cols>
    <col min="1" max="1" width="4.28515625" customWidth="1"/>
    <col min="2" max="2" width="13.140625" customWidth="1"/>
    <col min="3" max="3" width="22.140625" customWidth="1"/>
    <col min="4" max="5" width="11.28515625" customWidth="1"/>
    <col min="6" max="6" width="3.5703125" customWidth="1"/>
    <col min="7" max="7" width="13.140625" customWidth="1"/>
    <col min="8" max="8" width="18.85546875" bestFit="1" customWidth="1"/>
    <col min="9" max="9" width="5.140625" customWidth="1"/>
    <col min="12" max="12" width="13.140625" customWidth="1"/>
    <col min="13" max="13" width="16.42578125" bestFit="1" customWidth="1"/>
    <col min="17" max="17" width="8.140625" customWidth="1"/>
  </cols>
  <sheetData>
    <row r="1" spans="1:18" ht="21">
      <c r="A1" s="195" t="s">
        <v>115</v>
      </c>
      <c r="B1" s="195"/>
      <c r="C1" s="195"/>
      <c r="D1" s="195"/>
      <c r="E1" s="195"/>
      <c r="F1" s="195"/>
      <c r="G1" s="195"/>
      <c r="H1" s="195"/>
      <c r="I1" s="195"/>
      <c r="J1" s="195"/>
      <c r="K1" s="195"/>
      <c r="L1" s="195"/>
      <c r="M1" s="195"/>
      <c r="N1" s="195"/>
      <c r="O1" s="195"/>
      <c r="P1" s="195"/>
      <c r="Q1" s="195"/>
      <c r="R1" s="195"/>
    </row>
    <row r="22" spans="1:18" ht="21">
      <c r="A22" s="195" t="s">
        <v>116</v>
      </c>
      <c r="B22" s="195"/>
      <c r="C22" s="195"/>
      <c r="D22" s="195"/>
      <c r="E22" s="195"/>
      <c r="F22" s="195"/>
      <c r="G22" s="195"/>
      <c r="H22" s="195"/>
      <c r="I22" s="195"/>
      <c r="J22" s="195"/>
      <c r="K22" s="195"/>
      <c r="L22" s="195"/>
      <c r="M22" s="195"/>
      <c r="N22" s="195"/>
      <c r="O22" s="195"/>
      <c r="P22" s="195"/>
      <c r="Q22" s="195"/>
      <c r="R22" s="195"/>
    </row>
    <row r="44" spans="1:18" ht="21">
      <c r="A44" s="195" t="s">
        <v>117</v>
      </c>
      <c r="B44" s="195"/>
      <c r="C44" s="195"/>
      <c r="D44" s="195"/>
      <c r="E44" s="195"/>
      <c r="F44" s="195"/>
      <c r="G44" s="195"/>
      <c r="H44" s="195"/>
      <c r="I44" s="195"/>
      <c r="J44" s="195"/>
      <c r="K44" s="195"/>
      <c r="L44" s="195"/>
      <c r="M44" s="195"/>
      <c r="N44" s="195"/>
      <c r="O44" s="195"/>
      <c r="P44" s="195"/>
      <c r="Q44" s="195"/>
      <c r="R44" s="195"/>
    </row>
    <row r="66" spans="1:18" ht="21">
      <c r="A66" s="195" t="s">
        <v>118</v>
      </c>
      <c r="B66" s="195"/>
      <c r="C66" s="195"/>
      <c r="D66" s="195"/>
      <c r="E66" s="195"/>
      <c r="F66" s="195"/>
      <c r="G66" s="195"/>
      <c r="H66" s="195"/>
      <c r="I66" s="195"/>
      <c r="J66" s="195"/>
      <c r="K66" s="195"/>
      <c r="L66" s="195"/>
      <c r="M66" s="195"/>
      <c r="N66" s="195"/>
      <c r="O66" s="195"/>
      <c r="P66" s="195"/>
      <c r="Q66" s="195"/>
      <c r="R66" s="195"/>
    </row>
    <row r="67" spans="1:18" ht="15.75" thickBot="1"/>
    <row r="68" spans="1:18" ht="15.75" thickBot="1">
      <c r="B68" s="196" t="s">
        <v>119</v>
      </c>
      <c r="C68" s="197"/>
      <c r="D68" s="197"/>
      <c r="E68" s="197"/>
      <c r="F68" s="198"/>
      <c r="G68" s="61">
        <f>AVERAGE(Observaciones[[#All],[Tiempo de Solución (Dias)]])</f>
        <v>0</v>
      </c>
      <c r="H68" s="62" t="s">
        <v>120</v>
      </c>
    </row>
    <row r="70" spans="1:18">
      <c r="B70" s="63" t="s">
        <v>151</v>
      </c>
      <c r="C70" t="s">
        <v>121</v>
      </c>
      <c r="G70" s="63" t="s">
        <v>151</v>
      </c>
      <c r="H70" t="s">
        <v>122</v>
      </c>
      <c r="L70" s="63" t="s">
        <v>151</v>
      </c>
      <c r="M70" t="s">
        <v>123</v>
      </c>
    </row>
    <row r="71" spans="1:18">
      <c r="B71" s="64" t="s">
        <v>33</v>
      </c>
      <c r="C71" s="34">
        <v>5</v>
      </c>
      <c r="G71" s="64" t="s">
        <v>28</v>
      </c>
      <c r="H71" s="34">
        <v>31</v>
      </c>
      <c r="L71" s="64" t="s">
        <v>49</v>
      </c>
      <c r="M71" s="34">
        <v>31</v>
      </c>
    </row>
    <row r="72" spans="1:18">
      <c r="B72" s="64" t="s">
        <v>35</v>
      </c>
      <c r="C72" s="34">
        <v>3</v>
      </c>
      <c r="G72" s="64" t="s">
        <v>150</v>
      </c>
      <c r="H72" s="34">
        <v>31</v>
      </c>
      <c r="L72" s="64" t="s">
        <v>150</v>
      </c>
      <c r="M72" s="34">
        <v>31</v>
      </c>
    </row>
    <row r="73" spans="1:18">
      <c r="B73" s="64" t="s">
        <v>37</v>
      </c>
      <c r="C73" s="34">
        <v>19</v>
      </c>
    </row>
    <row r="74" spans="1:18">
      <c r="B74" s="64" t="s">
        <v>39</v>
      </c>
      <c r="C74" s="34">
        <v>4</v>
      </c>
    </row>
    <row r="75" spans="1:18">
      <c r="B75" s="64" t="s">
        <v>150</v>
      </c>
      <c r="C75" s="34">
        <v>31</v>
      </c>
    </row>
    <row r="87" spans="1:18" ht="21">
      <c r="A87" s="195" t="s">
        <v>124</v>
      </c>
      <c r="B87" s="195"/>
      <c r="C87" s="195"/>
      <c r="D87" s="195"/>
      <c r="E87" s="195"/>
      <c r="F87" s="195"/>
      <c r="G87" s="195"/>
      <c r="H87" s="195"/>
      <c r="I87" s="195"/>
      <c r="J87" s="195"/>
      <c r="K87" s="195"/>
      <c r="L87" s="195"/>
      <c r="M87" s="195"/>
      <c r="N87" s="195"/>
      <c r="O87" s="195"/>
      <c r="P87" s="195"/>
      <c r="Q87" s="195"/>
      <c r="R87" s="195"/>
    </row>
    <row r="88" spans="1:18" ht="15.75" thickBot="1"/>
    <row r="89" spans="1:18" ht="15.75" thickBot="1">
      <c r="B89" s="196" t="s">
        <v>125</v>
      </c>
      <c r="C89" s="197"/>
      <c r="D89" s="197"/>
      <c r="E89" s="197"/>
      <c r="F89" s="198"/>
      <c r="G89" s="61">
        <f>AVERAGE(Consultas[[#All],[Tiempo de Solución]])</f>
        <v>0</v>
      </c>
      <c r="H89" s="62" t="s">
        <v>120</v>
      </c>
    </row>
    <row r="91" spans="1:18">
      <c r="B91" s="63" t="s">
        <v>151</v>
      </c>
      <c r="C91" t="s">
        <v>127</v>
      </c>
      <c r="G91" s="63" t="s">
        <v>151</v>
      </c>
      <c r="H91" t="s">
        <v>122</v>
      </c>
      <c r="L91" s="63" t="s">
        <v>151</v>
      </c>
      <c r="M91" t="s">
        <v>123</v>
      </c>
    </row>
    <row r="92" spans="1:18">
      <c r="B92" s="64" t="s">
        <v>152</v>
      </c>
      <c r="C92" s="34"/>
      <c r="G92" s="64" t="s">
        <v>28</v>
      </c>
      <c r="H92" s="34">
        <v>2</v>
      </c>
      <c r="L92" s="64" t="s">
        <v>49</v>
      </c>
      <c r="M92" s="34">
        <v>2</v>
      </c>
    </row>
    <row r="93" spans="1:18">
      <c r="B93" s="64" t="s">
        <v>150</v>
      </c>
      <c r="C93" s="34"/>
      <c r="G93" s="64" t="s">
        <v>150</v>
      </c>
      <c r="H93" s="34">
        <v>2</v>
      </c>
      <c r="L93" s="64" t="s">
        <v>150</v>
      </c>
      <c r="M93" s="34">
        <v>2</v>
      </c>
    </row>
  </sheetData>
  <mergeCells count="7">
    <mergeCell ref="A87:R87"/>
    <mergeCell ref="B89:F89"/>
    <mergeCell ref="A1:R1"/>
    <mergeCell ref="A22:R22"/>
    <mergeCell ref="A44:R44"/>
    <mergeCell ref="A66:R66"/>
    <mergeCell ref="B68:F68"/>
  </mergeCells>
  <pageMargins left="0.7" right="0.7" top="0.75" bottom="0.75" header="0.3" footer="0.3"/>
  <drawing r:id="rId7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W8"/>
  <sheetViews>
    <sheetView zoomScaleNormal="100" workbookViewId="0">
      <selection activeCell="C8" sqref="C8"/>
    </sheetView>
  </sheetViews>
  <sheetFormatPr baseColWidth="10" defaultColWidth="0" defaultRowHeight="15"/>
  <cols>
    <col min="1" max="1" width="9.28515625" style="30" customWidth="1"/>
    <col min="2" max="2" width="8.85546875" style="30" customWidth="1"/>
    <col min="3" max="3" width="36.7109375" style="30" customWidth="1"/>
    <col min="4" max="4" width="45.85546875" style="30" customWidth="1"/>
    <col min="5" max="5" width="23.140625" style="30" customWidth="1"/>
    <col min="6" max="6" width="14.42578125" style="32" bestFit="1" customWidth="1"/>
    <col min="7" max="7" width="12.5703125" style="30" customWidth="1"/>
    <col min="8" max="8" width="11.42578125" style="30" customWidth="1"/>
    <col min="9" max="10" width="14.5703125" style="30" customWidth="1"/>
    <col min="11" max="11" width="11.42578125" style="30" customWidth="1"/>
    <col min="12" max="12" width="14.42578125" style="31" customWidth="1"/>
    <col min="13" max="13" width="11.42578125" style="30" customWidth="1"/>
    <col min="14" max="14" width="12.140625" style="30" customWidth="1"/>
    <col min="15" max="15" width="22.42578125" style="30" customWidth="1"/>
    <col min="16" max="16" width="53.28515625" style="30" customWidth="1"/>
    <col min="17" max="17" width="23.5703125" style="30" customWidth="1"/>
    <col min="18" max="18" width="5" style="30" customWidth="1"/>
    <col min="19" max="23" width="0" style="30" hidden="1" customWidth="1"/>
    <col min="24" max="16384" width="11.42578125" style="30" hidden="1"/>
  </cols>
  <sheetData>
    <row r="1" spans="1:18">
      <c r="A1" s="89"/>
      <c r="B1" s="89"/>
      <c r="C1" s="89"/>
      <c r="D1" s="89"/>
      <c r="E1" s="89"/>
      <c r="F1" s="93"/>
      <c r="G1" s="89"/>
      <c r="H1" s="89"/>
      <c r="I1" s="89"/>
      <c r="J1" s="89"/>
      <c r="K1" s="89"/>
      <c r="L1" s="94"/>
      <c r="M1" s="89"/>
      <c r="N1" s="89"/>
      <c r="O1" s="89"/>
      <c r="P1" s="89"/>
      <c r="Q1" s="89"/>
      <c r="R1" s="89"/>
    </row>
    <row r="2" spans="1:18" ht="15" customHeight="1">
      <c r="A2" s="89"/>
      <c r="B2" s="89"/>
      <c r="C2" s="89"/>
      <c r="D2" s="143" t="s">
        <v>9</v>
      </c>
      <c r="E2" s="144" t="str">
        <f>General!$B$3</f>
        <v>ANPAOCFYAP</v>
      </c>
      <c r="F2" s="145" t="s">
        <v>10</v>
      </c>
      <c r="G2" s="199" t="str">
        <f>General!$B$4</f>
        <v>Macroproceso de Contabilidad y Presupuesto</v>
      </c>
      <c r="H2" s="200"/>
      <c r="I2" s="200"/>
      <c r="J2" s="200"/>
      <c r="K2" s="200"/>
      <c r="L2" s="200"/>
      <c r="M2" s="200"/>
      <c r="N2" s="201"/>
      <c r="O2" s="89"/>
      <c r="P2" s="89"/>
      <c r="Q2" s="89"/>
      <c r="R2" s="89"/>
    </row>
    <row r="3" spans="1:18" s="65" customFormat="1" ht="58.5" customHeight="1">
      <c r="A3" s="89"/>
      <c r="B3" s="89"/>
      <c r="C3" s="89"/>
      <c r="D3" s="90"/>
      <c r="E3" s="91"/>
      <c r="F3" s="92"/>
      <c r="G3" s="91"/>
      <c r="H3" s="91"/>
      <c r="I3" s="91"/>
      <c r="J3" s="91"/>
      <c r="K3" s="91"/>
      <c r="L3" s="91"/>
      <c r="M3" s="91"/>
      <c r="N3" s="91"/>
      <c r="O3" s="89"/>
      <c r="P3" s="89"/>
      <c r="Q3" s="89"/>
      <c r="R3" s="89"/>
    </row>
    <row r="4" spans="1:18" s="84" customFormat="1" ht="40.5" customHeight="1">
      <c r="A4" s="136" t="s">
        <v>132</v>
      </c>
      <c r="B4" s="137" t="s">
        <v>131</v>
      </c>
      <c r="C4" s="137" t="s">
        <v>73</v>
      </c>
      <c r="D4" s="137" t="s">
        <v>74</v>
      </c>
      <c r="E4" s="137" t="s">
        <v>75</v>
      </c>
      <c r="F4" s="138" t="s">
        <v>76</v>
      </c>
      <c r="G4" s="137" t="s">
        <v>77</v>
      </c>
      <c r="H4" s="137" t="s">
        <v>78</v>
      </c>
      <c r="I4" s="139" t="s">
        <v>79</v>
      </c>
      <c r="J4" s="139" t="s">
        <v>80</v>
      </c>
      <c r="K4" s="140" t="s">
        <v>81</v>
      </c>
      <c r="L4" s="141" t="s">
        <v>82</v>
      </c>
      <c r="M4" s="142" t="s">
        <v>83</v>
      </c>
      <c r="N4" s="137" t="s">
        <v>84</v>
      </c>
      <c r="O4" s="137" t="s">
        <v>85</v>
      </c>
      <c r="P4" s="137" t="s">
        <v>86</v>
      </c>
      <c r="Q4" s="137" t="s">
        <v>87</v>
      </c>
      <c r="R4" s="95"/>
    </row>
    <row r="5" spans="1:18" s="85" customFormat="1" ht="15" customHeight="1">
      <c r="A5" s="85" t="s">
        <v>147</v>
      </c>
      <c r="B5" s="85" t="s">
        <v>88</v>
      </c>
      <c r="C5" s="85" t="s">
        <v>161</v>
      </c>
      <c r="D5" s="85" t="s">
        <v>162</v>
      </c>
      <c r="F5" s="86" t="str">
        <f>IF(CasoPrueba[[#This Row],[Estado Testing]]=Resumen!$P$28,"OK",IF(CasoPrueba[[#This Row],[Estado Testing]]=Resumen!$P$29,"NO OK",IF((CasoPrueba[[#This Row],[Estado Testing]]=Resumen!$P$30)+(CasoPrueba[[#This Row],[Estado Testing]]=Resumen!$P$31),"OBSERVADO","")))</f>
        <v/>
      </c>
      <c r="G5" s="85" t="s">
        <v>24</v>
      </c>
      <c r="H5" s="85" t="s">
        <v>28</v>
      </c>
      <c r="I5" s="87"/>
      <c r="L5" s="159">
        <f>General!$A$10</f>
        <v>40702</v>
      </c>
      <c r="M5" s="159"/>
      <c r="N5" s="85">
        <v>1.5</v>
      </c>
      <c r="P5" s="87"/>
      <c r="Q5" s="87" t="str">
        <f>CONCATENATE(General!$B$7,", ",General!$B$6)</f>
        <v>Chris Navarro, Victor Pomajuica</v>
      </c>
      <c r="R5" s="96"/>
    </row>
    <row r="6" spans="1:18">
      <c r="A6" s="85" t="s">
        <v>147</v>
      </c>
      <c r="B6" s="85" t="s">
        <v>146</v>
      </c>
      <c r="C6" s="85" t="s">
        <v>162</v>
      </c>
      <c r="D6" s="85" t="s">
        <v>162</v>
      </c>
      <c r="E6" s="85"/>
      <c r="F6" s="86" t="str">
        <f>IF(CasoPrueba[[#This Row],[Estado Testing]]=Resumen!$P$28,"OK",IF(CasoPrueba[[#This Row],[Estado Testing]]=Resumen!$P$29,"NO OK",IF((CasoPrueba[[#This Row],[Estado Testing]]=Resumen!$P$30)+(CasoPrueba[[#This Row],[Estado Testing]]=Resumen!$P$31),"OBSERVADO","")))</f>
        <v>OK</v>
      </c>
      <c r="G6" s="85" t="s">
        <v>19</v>
      </c>
      <c r="H6" s="85" t="s">
        <v>28</v>
      </c>
      <c r="I6" s="87"/>
      <c r="J6" s="85"/>
      <c r="K6" s="85"/>
      <c r="L6" s="159">
        <f>General!$A$10</f>
        <v>40702</v>
      </c>
      <c r="M6" s="159"/>
      <c r="N6" s="85">
        <v>2</v>
      </c>
      <c r="O6" s="85"/>
      <c r="P6" s="87"/>
      <c r="Q6" s="87" t="str">
        <f>CONCATENATE(General!$B$7,", ",General!$B$6)</f>
        <v>Chris Navarro, Victor Pomajuica</v>
      </c>
    </row>
    <row r="7" spans="1:18" ht="22.5">
      <c r="A7" s="85" t="s">
        <v>147</v>
      </c>
      <c r="B7" s="85" t="s">
        <v>155</v>
      </c>
      <c r="C7" s="85" t="s">
        <v>163</v>
      </c>
      <c r="D7" s="85" t="s">
        <v>163</v>
      </c>
      <c r="E7" s="85"/>
      <c r="F7" s="86" t="str">
        <f>IF(CasoPrueba[[#This Row],[Estado Testing]]=Resumen!$P$28,"OK",IF(CasoPrueba[[#This Row],[Estado Testing]]=Resumen!$P$29,"NO OK",IF((CasoPrueba[[#This Row],[Estado Testing]]=Resumen!$P$30)+(CasoPrueba[[#This Row],[Estado Testing]]=Resumen!$P$31),"OBSERVADO","")))</f>
        <v/>
      </c>
      <c r="G7" s="87" t="s">
        <v>24</v>
      </c>
      <c r="H7" s="85" t="s">
        <v>28</v>
      </c>
      <c r="I7" s="87"/>
      <c r="J7" s="85"/>
      <c r="K7" s="85"/>
      <c r="L7" s="159">
        <f>General!$A$10</f>
        <v>40702</v>
      </c>
      <c r="M7" s="159"/>
      <c r="N7" s="85"/>
      <c r="O7" s="85"/>
      <c r="P7" s="87"/>
      <c r="Q7" s="87" t="str">
        <f>CONCATENATE(General!$B$7,", ",General!$B$6)</f>
        <v>Chris Navarro, Victor Pomajuica</v>
      </c>
    </row>
    <row r="8" spans="1:18">
      <c r="A8" s="85" t="s">
        <v>147</v>
      </c>
      <c r="B8" s="85" t="s">
        <v>156</v>
      </c>
      <c r="C8" s="85" t="s">
        <v>164</v>
      </c>
      <c r="D8" s="85" t="s">
        <v>164</v>
      </c>
      <c r="E8" s="85"/>
      <c r="F8" s="86" t="str">
        <f>IF(CasoPrueba[[#This Row],[Estado Testing]]=Resumen!$P$28,"OK",IF(CasoPrueba[[#This Row],[Estado Testing]]=Resumen!$P$29,"NO OK",IF((CasoPrueba[[#This Row],[Estado Testing]]=Resumen!$P$30)+(CasoPrueba[[#This Row],[Estado Testing]]=Resumen!$P$31),"OBSERVADO","")))</f>
        <v/>
      </c>
      <c r="G8" s="87" t="s">
        <v>24</v>
      </c>
      <c r="H8" s="85" t="s">
        <v>28</v>
      </c>
      <c r="I8" s="87"/>
      <c r="J8" s="85"/>
      <c r="K8" s="85"/>
      <c r="L8" s="159">
        <f>General!$A$10</f>
        <v>40702</v>
      </c>
      <c r="M8" s="159"/>
      <c r="N8" s="85"/>
      <c r="O8" s="85"/>
      <c r="P8" s="87"/>
      <c r="Q8" s="87" t="str">
        <f>CONCATENATE(General!$B$7,", ",General!$B$6)</f>
        <v>Chris Navarro, Victor Pomajuica</v>
      </c>
    </row>
  </sheetData>
  <scenarios current="0" show="0">
    <scenario name="Registro de Incidencia" locked="1" count="1" user="oecastillom" comment="Creado por oecastillom el 09/02/2011">
      <inputCells r="J5" val="&quot;Abierta&quot;"/>
    </scenario>
  </scenarios>
  <mergeCells count="1">
    <mergeCell ref="G2:N2"/>
  </mergeCells>
  <pageMargins left="0.7" right="0.7" top="0.75" bottom="0.75" header="0.3" footer="0.3"/>
  <pageSetup paperSize="9"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Resumen!$P$27:$P$32</xm:f>
          </x14:formula1>
          <xm:sqref>G5:G8</xm:sqref>
        </x14:dataValidation>
        <x14:dataValidation type="list" allowBlank="1" showInputMessage="1" showErrorMessage="1">
          <x14:formula1>
            <xm:f>Resumen!$P$17:$P$19</xm:f>
          </x14:formula1>
          <xm:sqref>H5:H8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A1:XFC4"/>
  <sheetViews>
    <sheetView tabSelected="1" topLeftCell="D1" zoomScaleNormal="100" workbookViewId="0">
      <selection activeCell="J5" sqref="J5"/>
    </sheetView>
  </sheetViews>
  <sheetFormatPr baseColWidth="10" defaultColWidth="0" defaultRowHeight="15"/>
  <cols>
    <col min="1" max="1" width="12.7109375" style="67" customWidth="1"/>
    <col min="2" max="5" width="12.7109375" style="33" customWidth="1"/>
    <col min="6" max="7" width="12.7109375" style="68" customWidth="1"/>
    <col min="8" max="8" width="13.28515625" style="88" customWidth="1"/>
    <col min="9" max="9" width="52.28515625" style="33" bestFit="1" customWidth="1"/>
    <col min="10" max="10" width="40.42578125" style="33" customWidth="1"/>
    <col min="11" max="11" width="12.7109375" style="30" customWidth="1"/>
    <col min="12" max="12" width="13.85546875" style="30" customWidth="1"/>
    <col min="13" max="16383" width="11.42578125" style="30" hidden="1"/>
    <col min="16384" max="16384" width="3.7109375" style="30" hidden="1" customWidth="1"/>
  </cols>
  <sheetData>
    <row r="1" spans="1:14" customFormat="1" ht="31.5">
      <c r="A1" s="202" t="s">
        <v>96</v>
      </c>
      <c r="B1" s="202"/>
      <c r="C1" s="202"/>
      <c r="D1" s="202"/>
      <c r="E1" s="202"/>
      <c r="F1" s="202"/>
      <c r="G1" s="202"/>
      <c r="H1" s="202"/>
      <c r="I1" s="202"/>
      <c r="J1" s="202"/>
      <c r="K1" s="202"/>
      <c r="N1" s="30" t="s">
        <v>129</v>
      </c>
    </row>
    <row r="2" spans="1:14" s="66" customFormat="1" ht="38.25">
      <c r="A2" s="146" t="s">
        <v>89</v>
      </c>
      <c r="B2" s="147" t="s">
        <v>90</v>
      </c>
      <c r="C2" s="147" t="s">
        <v>78</v>
      </c>
      <c r="D2" s="147" t="s">
        <v>79</v>
      </c>
      <c r="E2" s="147" t="s">
        <v>91</v>
      </c>
      <c r="F2" s="148" t="s">
        <v>92</v>
      </c>
      <c r="G2" s="148" t="s">
        <v>93</v>
      </c>
      <c r="H2" s="148" t="s">
        <v>126</v>
      </c>
      <c r="I2" s="147" t="s">
        <v>3</v>
      </c>
      <c r="J2" s="147" t="s">
        <v>94</v>
      </c>
      <c r="K2" s="149" t="s">
        <v>104</v>
      </c>
      <c r="L2" s="149" t="s">
        <v>140</v>
      </c>
      <c r="N2" s="30" t="s">
        <v>130</v>
      </c>
    </row>
    <row r="3" spans="1:14">
      <c r="A3" s="67" t="s">
        <v>97</v>
      </c>
      <c r="B3" s="170" t="s">
        <v>88</v>
      </c>
      <c r="C3" s="33" t="str">
        <f>VLOOKUP(Observaciones[Caso de Prueba],CasoPrueba[[#All],[Código CP]:[Prioridad]],7,TRUE)</f>
        <v>Alta</v>
      </c>
      <c r="D3" s="33" t="s">
        <v>39</v>
      </c>
      <c r="E3" s="33" t="s">
        <v>47</v>
      </c>
      <c r="F3" s="158">
        <v>40702</v>
      </c>
      <c r="G3" s="158"/>
      <c r="I3" s="166" t="s">
        <v>165</v>
      </c>
      <c r="J3" s="33" t="s">
        <v>169</v>
      </c>
      <c r="K3" s="33">
        <f>IF((Observaciones[[#This Row],[Fecha Levantamiento]]-Observaciones[[#This Row],[Fecha Detección]])&gt;=0,Observaciones[[#This Row],[Fecha Levantamiento]]-Observaciones[[#This Row],[Fecha Detección]]+1,0)</f>
        <v>0</v>
      </c>
      <c r="L3" s="33" t="str">
        <f>LOOKUP(Observaciones[[#This Row],[Caso de Prueba]],CasoPrueba[Código CP],CasoPrueba[Código de REQ])</f>
        <v>INSPECCIÓN</v>
      </c>
    </row>
    <row r="4" spans="1:14" ht="30.75" customHeight="1">
      <c r="A4" s="67" t="s">
        <v>148</v>
      </c>
      <c r="B4" s="33" t="s">
        <v>155</v>
      </c>
      <c r="C4" s="33" t="str">
        <f>VLOOKUP(Observaciones[Caso de Prueba],CasoPrueba[[#All],[Código CP]:[Prioridad]],7,TRUE)</f>
        <v>Alta</v>
      </c>
      <c r="D4" s="33" t="s">
        <v>33</v>
      </c>
      <c r="E4" s="33" t="s">
        <v>47</v>
      </c>
      <c r="F4" s="158">
        <v>40702</v>
      </c>
      <c r="G4" s="158"/>
      <c r="I4" s="165" t="s">
        <v>166</v>
      </c>
      <c r="J4" s="33" t="s">
        <v>169</v>
      </c>
      <c r="K4" s="33">
        <f>IF((Observaciones[[#This Row],[Fecha Levantamiento]]-Observaciones[[#This Row],[Fecha Detección]])&gt;=0,Observaciones[[#This Row],[Fecha Levantamiento]]-Observaciones[[#This Row],[Fecha Detección]]+1,0)</f>
        <v>0</v>
      </c>
      <c r="L4" s="33" t="str">
        <f>LOOKUP(Observaciones[[#This Row],[Caso de Prueba]],CasoPrueba[Código CP],CasoPrueba[Código de REQ])</f>
        <v>INSPECCIÓN</v>
      </c>
    </row>
  </sheetData>
  <mergeCells count="1">
    <mergeCell ref="A1:K1"/>
  </mergeCells>
  <dataValidations count="1">
    <dataValidation type="list" allowBlank="1" showInputMessage="1" showErrorMessage="1" sqref="H3:H4">
      <formula1>$N$1:$N$2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actualizarObservaciones">
                <anchor moveWithCells="1">
                  <from>
                    <xdr:col>0</xdr:col>
                    <xdr:colOff>47625</xdr:colOff>
                    <xdr:row>0</xdr:row>
                    <xdr:rowOff>104775</xdr:rowOff>
                  </from>
                  <to>
                    <xdr:col>5</xdr:col>
                    <xdr:colOff>9525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Resumen!$P$11:$P$14</xm:f>
          </x14:formula1>
          <xm:sqref>D3:D4</xm:sqref>
        </x14:dataValidation>
        <x14:dataValidation type="list" allowBlank="1" showInputMessage="1" showErrorMessage="1">
          <x14:formula1>
            <xm:f>Resumen!$P$22:$P$24</xm:f>
          </x14:formula1>
          <xm:sqref>E3:E4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XFD5"/>
  <sheetViews>
    <sheetView zoomScale="90" zoomScaleNormal="90" workbookViewId="0">
      <selection activeCell="F10" sqref="F10"/>
    </sheetView>
  </sheetViews>
  <sheetFormatPr baseColWidth="10" defaultColWidth="0" defaultRowHeight="15"/>
  <cols>
    <col min="1" max="4" width="13.28515625" style="30" customWidth="1"/>
    <col min="5" max="5" width="18.28515625" style="30" customWidth="1"/>
    <col min="6" max="7" width="13.28515625" style="31" customWidth="1"/>
    <col min="8" max="9" width="38.140625" style="30" customWidth="1"/>
    <col min="10" max="10" width="13.28515625" style="167" customWidth="1"/>
    <col min="11" max="11" width="11.42578125" style="30" customWidth="1"/>
    <col min="12" max="16384" width="0" style="30" hidden="1"/>
  </cols>
  <sheetData>
    <row r="1" spans="1:13 16384:16384" customFormat="1" ht="31.5">
      <c r="A1" s="203" t="s">
        <v>103</v>
      </c>
      <c r="B1" s="203"/>
      <c r="C1" s="203"/>
      <c r="D1" s="203"/>
      <c r="E1" s="203"/>
      <c r="F1" s="203"/>
      <c r="G1" s="203"/>
      <c r="H1" s="203"/>
      <c r="I1" s="203"/>
      <c r="J1" s="203"/>
      <c r="K1" s="35"/>
      <c r="L1" s="35"/>
      <c r="M1" t="s">
        <v>141</v>
      </c>
      <c r="XFD1" s="30"/>
    </row>
    <row r="2" spans="1:13 16384:16384" ht="39.75" customHeight="1">
      <c r="A2" s="150" t="s">
        <v>98</v>
      </c>
      <c r="B2" s="150" t="s">
        <v>90</v>
      </c>
      <c r="C2" s="150" t="s">
        <v>78</v>
      </c>
      <c r="D2" s="150" t="s">
        <v>91</v>
      </c>
      <c r="E2" s="150" t="s">
        <v>126</v>
      </c>
      <c r="F2" s="151" t="s">
        <v>99</v>
      </c>
      <c r="G2" s="151" t="s">
        <v>100</v>
      </c>
      <c r="H2" s="150" t="s">
        <v>101</v>
      </c>
      <c r="I2" s="150" t="s">
        <v>102</v>
      </c>
      <c r="J2" s="150" t="s">
        <v>95</v>
      </c>
      <c r="M2" s="30" t="s">
        <v>142</v>
      </c>
    </row>
    <row r="3" spans="1:13 16384:16384" ht="21" customHeight="1">
      <c r="A3" s="167" t="s">
        <v>149</v>
      </c>
      <c r="B3" s="167" t="s">
        <v>155</v>
      </c>
      <c r="C3" s="168" t="str">
        <f>VLOOKUP(Consultas[[#This Row],[Caso de Prueba]],CasoPrueba[[#All],[Código CP]:[Prioridad]],7,TRUE)</f>
        <v>Alta</v>
      </c>
      <c r="D3" s="167" t="s">
        <v>47</v>
      </c>
      <c r="E3" s="167"/>
      <c r="F3" s="169">
        <v>40702</v>
      </c>
      <c r="G3" s="169"/>
      <c r="H3" s="171" t="s">
        <v>167</v>
      </c>
      <c r="I3" s="167" t="s">
        <v>170</v>
      </c>
      <c r="J3" s="168">
        <f>IF((Consultas[[#This Row],[Fecha Respuesta]]-Consultas[[#This Row],[Fecha Solicitud]])&gt;=0,(Consultas[[#This Row],[Fecha Respuesta]]-Consultas[[#This Row],[Fecha Solicitud]])+1,0)</f>
        <v>0</v>
      </c>
      <c r="M3" s="30" t="s">
        <v>143</v>
      </c>
    </row>
    <row r="4" spans="1:13 16384:16384" ht="45">
      <c r="A4" s="167" t="s">
        <v>160</v>
      </c>
      <c r="B4" s="167" t="s">
        <v>156</v>
      </c>
      <c r="C4" s="168" t="str">
        <f>VLOOKUP(Consultas[[#This Row],[Caso de Prueba]],CasoPrueba[[#All],[Código CP]:[Prioridad]],7,TRUE)</f>
        <v>Alta</v>
      </c>
      <c r="D4" s="30" t="s">
        <v>47</v>
      </c>
      <c r="F4" s="169">
        <v>40702</v>
      </c>
      <c r="G4" s="158"/>
      <c r="H4" s="165" t="s">
        <v>168</v>
      </c>
      <c r="I4" s="30" t="s">
        <v>171</v>
      </c>
      <c r="J4" s="168">
        <f>IF((Consultas[[#This Row],[Fecha Respuesta]]-Consultas[[#This Row],[Fecha Solicitud]])&gt;=0,(Consultas[[#This Row],[Fecha Respuesta]]-Consultas[[#This Row],[Fecha Solicitud]])+1,0)</f>
        <v>0</v>
      </c>
    </row>
    <row r="5" spans="1:13 16384:16384">
      <c r="C5" s="167"/>
    </row>
  </sheetData>
  <mergeCells count="1">
    <mergeCell ref="A1:J1"/>
  </mergeCells>
  <dataValidations count="1">
    <dataValidation type="list" allowBlank="1" showInputMessage="1" showErrorMessage="1" sqref="E3:E4">
      <formula1>$M$1:$M$3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Resumen!$P$22:$P$24</xm:f>
          </x14:formula1>
          <xm:sqref>D3:D4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/>
  <dimension ref="A1:P8"/>
  <sheetViews>
    <sheetView zoomScale="85" zoomScaleNormal="85" workbookViewId="0">
      <selection activeCell="I10" sqref="I9:I10"/>
    </sheetView>
  </sheetViews>
  <sheetFormatPr baseColWidth="10" defaultColWidth="0" defaultRowHeight="15"/>
  <cols>
    <col min="1" max="1" width="4.42578125" customWidth="1"/>
    <col min="2" max="4" width="11.42578125" customWidth="1"/>
    <col min="5" max="5" width="11.85546875" bestFit="1" customWidth="1"/>
    <col min="6" max="8" width="11.42578125" customWidth="1"/>
    <col min="9" max="9" width="14.140625" customWidth="1"/>
    <col min="10" max="10" width="8.85546875" customWidth="1"/>
    <col min="11" max="16" width="11.42578125" customWidth="1"/>
    <col min="17" max="16384" width="11.42578125" hidden="1"/>
  </cols>
  <sheetData>
    <row r="1" spans="2:15" ht="27" customHeight="1"/>
    <row r="2" spans="2:15">
      <c r="B2" s="204" t="s">
        <v>111</v>
      </c>
      <c r="C2" s="204"/>
      <c r="D2" s="204"/>
      <c r="E2" s="204"/>
      <c r="F2" s="204"/>
      <c r="G2" s="204"/>
      <c r="H2" s="204"/>
      <c r="I2" s="204"/>
      <c r="J2" s="204"/>
      <c r="L2" s="204" t="s">
        <v>112</v>
      </c>
      <c r="M2" s="204"/>
      <c r="N2" s="204"/>
      <c r="O2" s="204"/>
    </row>
    <row r="3" spans="2:15" ht="26.25" thickBot="1">
      <c r="B3" s="152" t="s">
        <v>113</v>
      </c>
      <c r="C3" s="154" t="s">
        <v>105</v>
      </c>
      <c r="D3" s="154" t="s">
        <v>106</v>
      </c>
      <c r="E3" s="154" t="s">
        <v>21</v>
      </c>
      <c r="F3" s="154" t="s">
        <v>22</v>
      </c>
      <c r="G3" s="154" t="s">
        <v>23</v>
      </c>
      <c r="H3" s="155" t="s">
        <v>24</v>
      </c>
      <c r="I3" s="155" t="s">
        <v>107</v>
      </c>
      <c r="J3" s="155" t="s">
        <v>110</v>
      </c>
      <c r="L3" s="152" t="s">
        <v>113</v>
      </c>
      <c r="M3" s="153" t="s">
        <v>108</v>
      </c>
      <c r="N3" s="154" t="s">
        <v>109</v>
      </c>
      <c r="O3" s="155" t="s">
        <v>110</v>
      </c>
    </row>
    <row r="4" spans="2:15">
      <c r="B4" s="160">
        <v>40658</v>
      </c>
      <c r="C4" s="36"/>
      <c r="D4" s="36"/>
      <c r="E4" s="36"/>
      <c r="F4" s="36"/>
      <c r="G4" s="36"/>
      <c r="H4" s="36"/>
      <c r="I4" s="36"/>
      <c r="J4" s="38">
        <f>SUM(HistóricoEjecuciones[[#This Row],[Aciertos]:[En Proceso]])</f>
        <v>0</v>
      </c>
      <c r="L4" s="160">
        <v>40658</v>
      </c>
      <c r="M4" s="36"/>
      <c r="N4" s="36"/>
      <c r="O4" s="163">
        <f>HistoricoIncidencias[[#This Row],[Abiertas]]+HistoricoIncidencias[[#This Row],[Cerradas]]</f>
        <v>0</v>
      </c>
    </row>
    <row r="5" spans="2:15">
      <c r="B5" s="161"/>
      <c r="C5" s="37"/>
      <c r="D5" s="37"/>
      <c r="E5" s="37"/>
      <c r="F5" s="37"/>
      <c r="G5" s="37"/>
      <c r="H5" s="37"/>
      <c r="I5" s="37"/>
      <c r="J5" s="39">
        <f>SUM(HistóricoEjecuciones[[#This Row],[Aciertos]:[En Proceso]])</f>
        <v>0</v>
      </c>
      <c r="L5" s="162"/>
      <c r="M5" s="37"/>
      <c r="N5" s="37"/>
      <c r="O5" s="164">
        <f>HistoricoIncidencias[[#This Row],[Abiertas]]+HistoricoIncidencias[[#This Row],[Cerradas]]</f>
        <v>0</v>
      </c>
    </row>
    <row r="6" spans="2:15">
      <c r="B6" s="161"/>
      <c r="C6" s="37"/>
      <c r="D6" s="37"/>
      <c r="E6" s="37"/>
      <c r="F6" s="37"/>
      <c r="G6" s="37"/>
      <c r="H6" s="37"/>
      <c r="I6" s="37"/>
      <c r="J6" s="39">
        <f>SUM(HistóricoEjecuciones[[#This Row],[Aciertos]:[En Proceso]])</f>
        <v>0</v>
      </c>
      <c r="L6" s="162"/>
      <c r="M6" s="37"/>
      <c r="N6" s="37"/>
      <c r="O6" s="164">
        <f>HistoricoIncidencias[[#This Row],[Abiertas]]+HistoricoIncidencias[[#This Row],[Cerradas]]</f>
        <v>0</v>
      </c>
    </row>
    <row r="7" spans="2:15">
      <c r="B7" s="161"/>
      <c r="C7" s="37"/>
      <c r="D7" s="37"/>
      <c r="E7" s="37"/>
      <c r="F7" s="37"/>
      <c r="G7" s="37"/>
      <c r="H7" s="37"/>
      <c r="I7" s="37"/>
      <c r="J7" s="39">
        <f>SUM(HistóricoEjecuciones[[#This Row],[Aciertos]:[En Proceso]])</f>
        <v>0</v>
      </c>
      <c r="L7" s="162"/>
      <c r="M7" s="37"/>
      <c r="N7" s="37"/>
      <c r="O7" s="164">
        <f>HistoricoIncidencias[[#This Row],[Abiertas]]+HistoricoIncidencias[[#This Row],[Cerradas]]</f>
        <v>0</v>
      </c>
    </row>
    <row r="8" spans="2:15">
      <c r="B8" s="161"/>
      <c r="C8" s="37"/>
      <c r="D8" s="37"/>
      <c r="E8" s="37"/>
      <c r="F8" s="37"/>
      <c r="G8" s="37"/>
      <c r="H8" s="37"/>
      <c r="I8" s="37"/>
      <c r="J8" s="39">
        <f>SUM(HistóricoEjecuciones[[#This Row],[Aciertos]:[En Proceso]])</f>
        <v>0</v>
      </c>
      <c r="L8" s="162"/>
      <c r="M8" s="37"/>
      <c r="N8" s="37"/>
      <c r="O8" s="164">
        <f>HistoricoIncidencias[[#This Row],[Abiertas]]+HistoricoIncidencias[[#This Row],[Cerradas]]</f>
        <v>0</v>
      </c>
    </row>
  </sheetData>
  <mergeCells count="2">
    <mergeCell ref="B2:J2"/>
    <mergeCell ref="L2:O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insertarNuevoHistorico">
                <anchor moveWithCells="1">
                  <from>
                    <xdr:col>1</xdr:col>
                    <xdr:colOff>0</xdr:colOff>
                    <xdr:row>0</xdr:row>
                    <xdr:rowOff>38100</xdr:rowOff>
                  </from>
                  <to>
                    <xdr:col>15</xdr:col>
                    <xdr:colOff>0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General</vt:lpstr>
      <vt:lpstr>Resumen</vt:lpstr>
      <vt:lpstr>CuadrosResumen</vt:lpstr>
      <vt:lpstr>Iteracion</vt:lpstr>
      <vt:lpstr>Observaciones</vt:lpstr>
      <vt:lpstr>Consultas</vt:lpstr>
      <vt:lpstr>HistoricoAvance</vt:lpstr>
    </vt:vector>
  </TitlesOfParts>
  <Company>Delaware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oecastillom</dc:creator>
  <cp:lastModifiedBy>doc</cp:lastModifiedBy>
  <dcterms:created xsi:type="dcterms:W3CDTF">2011-02-09T13:28:15Z</dcterms:created>
  <dcterms:modified xsi:type="dcterms:W3CDTF">2011-06-11T16:58:09Z</dcterms:modified>
</cp:coreProperties>
</file>