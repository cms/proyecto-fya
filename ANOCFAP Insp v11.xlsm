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12" r:id="rId9"/>
    <pivotCache cacheId="13" r:id="rId10"/>
    <pivotCache cacheId="14" r:id="rId11"/>
    <pivotCache cacheId="15" r:id="rId12"/>
    <pivotCache cacheId="16" r:id="rId13"/>
    <pivotCache cacheId="17" r:id="rId14"/>
  </pivotCaches>
</workbook>
</file>

<file path=xl/calcChain.xml><?xml version="1.0" encoding="utf-8"?>
<calcChain xmlns="http://schemas.openxmlformats.org/spreadsheetml/2006/main">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40" i="3"/>
  <c r="Q39" i="3"/>
  <c r="Q38" i="3"/>
  <c r="Q37" i="3"/>
  <c r="Q36" i="3"/>
  <c r="Q35" i="3"/>
  <c r="Q33" i="3"/>
  <c r="Q29" i="3"/>
  <c r="Q26" i="3"/>
  <c r="Q25" i="3"/>
  <c r="Q24" i="3"/>
  <c r="Q22" i="3"/>
  <c r="Q21" i="3"/>
  <c r="Q20" i="3"/>
  <c r="Q19" i="3"/>
  <c r="Q8" i="3"/>
  <c r="Q6"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5" i="3" l="1"/>
  <c r="F21" i="3"/>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<sst xmlns="http://schemas.openxmlformats.org/spreadsheetml/2006/main" count="3196" uniqueCount="1159">
  <si>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</si>
  <si>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</si>
  <si>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</si>
  <si>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</si>
  <si>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</si>
  <si>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</si>
  <si>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</si>
  <si>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</si>
  <si>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</si>
  <si>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</si>
  <si>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</si>
  <si>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</si>
  <si>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</si>
  <si>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</si>
  <si>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</si>
  <si>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</si>
  <si>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</si>
  <si>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</si>
  <si>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</si>
  <si>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</si>
  <si>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</si>
  <si>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</si>
  <si>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</si>
  <si>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</si>
  <si>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</si>
  <si>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</si>
  <si>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</si>
  <si>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</si>
  <si>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</si>
  <si>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</si>
  <si>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</si>
  <si>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</si>
  <si>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</si>
  <si>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</si>
  <si>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</si>
  <si>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</si>
  <si>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</si>
  <si>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</si>
  <si>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</si>
  <si>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</si>
  <si>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</si>
  <si>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</si>
  <si>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</si>
  <si>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</si>
  <si>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</si>
  <si>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</si>
  <si>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</si>
  <si>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</si>
  <si>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</si>
  <si>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</si>
  <si>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</si>
  <si>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</si>
  <si>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</si>
  <si>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</si>
  <si>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</si>
  <si>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</si>
  <si>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</si>
  <si>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</si>
  <si>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</si>
  <si>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</si>
  <si>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</si>
  <si>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</si>
  <si>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</si>
  <si>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</si>
  <si>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</si>
  <si>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</si>
  <si>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</si>
  <si>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</si>
  <si>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</si>
  <si>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</si>
  <si>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</si>
  <si>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</si>
  <si>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</si>
  <si>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</si>
  <si>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</si>
  <si>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</si>
  <si>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</si>
  <si>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</si>
  <si>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</si>
  <si>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</si>
  <si>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</si>
  <si>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</si>
  <si>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</si>
  <si>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</si>
  <si>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</si>
  <si>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</si>
  <si>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</si>
  <si>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</si>
  <si>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</si>
  <si>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</si>
  <si>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</si>
  <si>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</si>
  <si>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</si>
  <si>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</si>
  <si>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</si>
  <si>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</si>
  <si>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</si>
  <si>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</si>
  <si>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</si>
  <si>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</si>
  <si>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</si>
  <si>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</si>
  <si>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</si>
  <si>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</si>
  <si>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</si>
  <si>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</si>
  <si>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</si>
  <si>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</si>
  <si>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</si>
  <si>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</si>
  <si>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</si>
  <si>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</si>
  <si>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</si>
  <si>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</si>
  <si>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</si>
  <si>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</si>
  <si>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</si>
  <si>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</si>
  <si>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</si>
  <si>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</si>
  <si>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</si>
  <si>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</si>
  <si>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</si>
  <si>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</si>
  <si>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</si>
  <si>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</si>
  <si>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</si>
  <si>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</si>
  <si>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</si>
  <si>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</si>
  <si>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</si>
  <si>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</si>
  <si>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</si>
  <si>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</si>
  <si>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</si>
  <si>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</si>
  <si>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</si>
  <si>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</si>
  <si>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</si>
  <si>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</si>
  <si>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</si>
  <si>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</si>
  <si>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</si>
  <si>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</si>
  <si>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</si>
  <si>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</si>
  <si>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</si>
  <si>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</si>
  <si>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</si>
  <si>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</si>
  <si>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</si>
  <si>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</si>
  <si>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</si>
  <si>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</si>
  <si>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</si>
  <si>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</si>
  <si>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</si>
  <si>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</si>
  <si>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</si>
  <si>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</si>
  <si>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</si>
  <si>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</si>
  <si>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</si>
  <si>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</si>
  <si>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</si>
  <si>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</si>
  <si>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</si>
  <si>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</si>
  <si>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</si>
  <si>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</si>
  <si>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</si>
  <si>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</si>
  <si>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</si>
  <si>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</si>
  <si>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</si>
  <si>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</si>
  <si>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</si>
  <si>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</si>
  <si>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</si>
  <si>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</si>
  <si>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</si>
  <si>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</si>
  <si>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</si>
  <si>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</si>
  <si>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</si>
  <si>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</si>
  <si>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</si>
  <si>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</si>
  <si>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</si>
  <si>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</si>
  <si>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</si>
  <si>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</si>
  <si>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</si>
  <si>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</si>
  <si>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</si>
  <si>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</si>
  <si>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</si>
  <si>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</si>
  <si>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</si>
  <si>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</si>
  <si>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</si>
  <si>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</si>
  <si>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</si>
  <si>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</si>
  <si>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</si>
  <si>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</si>
  <si>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</si>
  <si>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</si>
  <si>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</si>
  <si>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</si>
  <si>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</si>
  <si>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</si>
  <si>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</si>
  <si>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</si>
  <si>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</si>
  <si>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</si>
  <si>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</si>
  <si>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</si>
  <si>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</si>
  <si>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</si>
  <si>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</si>
  <si>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</si>
  <si>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</si>
  <si>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</si>
  <si>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</si>
  <si>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</si>
  <si>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</si>
  <si>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</si>
  <si>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</si>
  <si>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</si>
  <si>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</si>
  <si>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</si>
  <si>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</si>
  <si>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</si>
  <si>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</si>
  <si>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</si>
  <si>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</si>
  <si>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</si>
  <si>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</si>
  <si>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</si>
  <si>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</si>
  <si>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</si>
  <si>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</si>
  <si>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</si>
  <si>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</si>
  <si>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</si>
  <si>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</si>
  <si>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</si>
  <si>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</si>
  <si>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</si>
  <si>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</si>
  <si>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</si>
  <si>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</si>
  <si>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</si>
  <si>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</si>
  <si>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</si>
  <si>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</si>
  <si>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</si>
  <si>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</si>
  <si>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</si>
  <si>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</si>
  <si>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</si>
  <si>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</si>
  <si>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</si>
  <si>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</si>
  <si>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</si>
  <si>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</si>
  <si>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</si>
  <si>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</si>
  <si>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</si>
  <si>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</si>
  <si>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</si>
  <si>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</si>
  <si>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</si>
  <si>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</si>
  <si>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</si>
  <si>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</si>
  <si>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</si>
  <si>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</si>
  <si>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</si>
  <si>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</si>
  <si>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</si>
  <si>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</si>
  <si>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</si>
  <si>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</si>
  <si>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</si>
  <si>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</si>
  <si>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</si>
  <si>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</si>
  <si>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</si>
  <si>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</si>
  <si>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</si>
  <si>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</si>
  <si>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</si>
  <si>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</si>
  <si>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</si>
  <si>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</si>
  <si>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</si>
  <si>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</si>
  <si>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</si>
  <si>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</si>
  <si>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</si>
  <si>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</si>
  <si>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</si>
  <si>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</si>
  <si>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</si>
  <si>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</si>
  <si>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</si>
  <si>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</si>
  <si>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</si>
  <si>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</si>
  <si>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</si>
  <si>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</si>
  <si>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</si>
  <si>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</si>
  <si>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</si>
  <si>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</si>
  <si>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</si>
  <si>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</si>
  <si>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</si>
  <si>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</si>
  <si>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</si>
  <si>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</si>
  <si>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</si>
  <si>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</si>
  <si>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</si>
  <si>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</si>
  <si>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</si>
  <si>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</si>
  <si>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</si>
  <si>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</si>
  <si>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</si>
  <si>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</si>
  <si>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</si>
  <si>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</si>
  <si>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</si>
  <si>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</si>
  <si>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</si>
  <si>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</si>
  <si>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</si>
  <si>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</si>
  <si>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</si>
  <si>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</si>
  <si>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</si>
  <si>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</si>
  <si>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</si>
  <si>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</si>
  <si>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</si>
  <si>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</si>
  <si>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</si>
  <si>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</si>
  <si>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</si>
  <si>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</si>
  <si>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</si>
  <si>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</si>
  <si>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</si>
  <si>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</si>
  <si>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</si>
  <si>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</si>
  <si>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</si>
  <si>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</si>
  <si>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</si>
  <si>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</si>
  <si>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</si>
  <si>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</si>
  <si>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</si>
  <si>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</si>
  <si>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</si>
  <si>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</si>
  <si>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</si>
  <si>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</si>
  <si>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</si>
  <si>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</si>
  <si>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</si>
  <si>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</si>
  <si>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</si>
  <si>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</si>
  <si>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</si>
  <si>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</si>
  <si>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</si>
  <si>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</si>
  <si>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</si>
  <si>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</si>
  <si>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</si>
  <si>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</si>
  <si>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</si>
  <si>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</si>
  <si>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</si>
  <si>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</si>
  <si>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</si>
  <si>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</si>
  <si>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</si>
  <si>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</si>
  <si>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</si>
  <si>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</si>
  <si>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</si>
  <si>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</si>
  <si>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</si>
  <si>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</si>
  <si>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</si>
  <si>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</si>
  <si>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</si>
  <si>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</si>
  <si>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</si>
  <si>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</si>
  <si>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</si>
  <si>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</si>
  <si>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</si>
  <si>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</si>
  <si>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</si>
  <si>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</si>
  <si>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</si>
  <si>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</si>
  <si>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</si>
  <si>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</si>
  <si>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</si>
  <si>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</si>
  <si>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</si>
  <si>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</si>
  <si>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</si>
  <si>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</si>
  <si>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</si>
  <si>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</si>
  <si>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</si>
  <si>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</si>
  <si>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</si>
  <si>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</si>
  <si>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</si>
  <si>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</si>
  <si>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</si>
  <si>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</si>
  <si>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</si>
  <si>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</si>
  <si>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</si>
  <si>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</si>
  <si>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</si>
  <si>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</si>
  <si>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</si>
  <si>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</si>
  <si>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</si>
  <si>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</si>
  <si>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</si>
  <si>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</si>
  <si>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</si>
  <si>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</si>
  <si>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</si>
  <si>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</si>
  <si>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</si>
  <si>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</si>
  <si>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</si>
  <si>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</si>
  <si>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</si>
  <si>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</si>
  <si>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</si>
  <si>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</si>
  <si>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</si>
  <si>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</si>
  <si>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</si>
  <si>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</si>
  <si>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</si>
  <si>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</si>
  <si>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</si>
  <si>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</si>
  <si>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</si>
  <si>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</si>
  <si>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</si>
  <si>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</si>
  <si>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</si>
  <si>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</si>
  <si>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</si>
  <si>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</si>
  <si>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</si>
  <si>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</si>
  <si>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</si>
  <si>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</si>
  <si>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</si>
  <si>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</si>
  <si>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</si>
  <si>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</si>
  <si>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</si>
  <si>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</si>
  <si>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</si>
  <si>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</si>
  <si>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</si>
  <si>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</si>
  <si>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</si>
  <si>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</si>
  <si>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</si>
  <si>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</si>
  <si>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</si>
  <si>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</si>
  <si>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</si>
  <si>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</si>
  <si>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</si>
  <si>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</si>
  <si>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</si>
  <si>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</si>
  <si>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</si>
  <si>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</si>
  <si>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</si>
  <si>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</si>
  <si>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</si>
  <si>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</si>
  <si>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</si>
  <si>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</si>
  <si>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</si>
  <si>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</si>
  <si>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</si>
  <si>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</si>
  <si>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</si>
  <si>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</si>
  <si>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</si>
  <si>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</si>
  <si>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</si>
  <si>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</si>
  <si>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</si>
  <si>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</si>
  <si>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</si>
  <si>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</si>
  <si>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</si>
  <si>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</si>
  <si>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</si>
  <si>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</si>
  <si>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</si>
  <si>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</si>
  <si>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</si>
  <si>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</si>
  <si>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</si>
  <si>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</si>
  <si>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</si>
  <si>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</si>
  <si>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</si>
  <si>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</si>
  <si>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</si>
  <si>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</si>
  <si>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</si>
  <si>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</si>
  <si>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</si>
  <si>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</si>
  <si>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</si>
  <si>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</si>
  <si>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</si>
  <si>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</si>
  <si>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</si>
  <si>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</si>
  <si>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</si>
  <si>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</si>
  <si>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</si>
  <si>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</si>
  <si>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</si>
  <si>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</si>
  <si>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</si>
  <si>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</si>
  <si>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</si>
  <si>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</si>
  <si>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</si>
  <si>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</si>
  <si>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</si>
  <si>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</si>
  <si>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</si>
  <si>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</si>
  <si>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</si>
  <si>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</si>
  <si>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</si>
  <si>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</si>
  <si>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</si>
  <si>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</si>
  <si>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</si>
  <si>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</si>
  <si>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</si>
  <si>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</si>
  <si>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</si>
  <si>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</si>
  <si>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</si>
  <si>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</si>
  <si>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</si>
  <si>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</si>
  <si>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</si>
  <si>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</si>
  <si>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</si>
  <si>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</si>
  <si>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</si>
  <si>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</si>
  <si>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</si>
  <si>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</si>
  <si>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</si>
  <si>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</si>
  <si>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</si>
  <si>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</si>
  <si>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</si>
  <si>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</si>
  <si>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</si>
  <si>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</si>
  <si>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</si>
  <si>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</si>
  <si>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</si>
  <si>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</si>
  <si>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</si>
  <si>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</si>
  <si>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</si>
  <si>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</si>
  <si>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</si>
  <si>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</si>
  <si>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</si>
  <si>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</si>
  <si>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</si>
  <si>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</si>
  <si>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</si>
  <si>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</si>
  <si>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</si>
  <si>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</si>
  <si>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</si>
  <si>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</si>
  <si>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</si>
  <si>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</si>
  <si>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</si>
  <si>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</si>
  <si>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</si>
  <si>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</si>
  <si>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</si>
  <si>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</si>
  <si>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</si>
  <si>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</si>
  <si>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</si>
  <si>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</si>
  <si>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</si>
  <si>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</si>
  <si>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</si>
  <si>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</si>
  <si>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</si>
  <si>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</si>
  <si>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</si>
  <si>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</si>
  <si>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</si>
  <si>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</si>
  <si>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</si>
  <si>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</si>
  <si>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</si>
  <si>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</si>
  <si>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</si>
  <si>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</si>
  <si>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</si>
  <si>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</si>
  <si>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</si>
  <si>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</si>
  <si>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</si>
  <si>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</si>
  <si>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</si>
  <si>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</si>
  <si>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</si>
  <si>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</si>
  <si>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</si>
  <si>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</si>
  <si>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</si>
  <si>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</si>
  <si>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</si>
  <si>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</si>
  <si>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</si>
  <si>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</si>
  <si>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</si>
  <si>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</si>
  <si>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</si>
  <si>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</si>
  <si>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</si>
  <si>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</si>
  <si>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</si>
  <si>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</si>
  <si>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</si>
  <si>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</si>
  <si>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</si>
  <si>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</si>
  <si>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</si>
  <si>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</si>
  <si>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</si>
  <si>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</si>
  <si>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</si>
  <si>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</si>
  <si>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</si>
  <si>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</si>
  <si>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</si>
  <si>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</si>
  <si>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</si>
  <si>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</si>
  <si>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</si>
  <si>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</si>
  <si>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</si>
  <si>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</si>
  <si>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</si>
  <si>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</si>
  <si>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</si>
  <si>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</si>
  <si>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</si>
  <si>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</si>
  <si>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</si>
  <si>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</si>
  <si>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</si>
  <si>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</si>
  <si>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</si>
  <si>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</si>
  <si>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</si>
  <si>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</si>
  <si>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</si>
  <si>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</si>
  <si>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</si>
  <si>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</si>
  <si>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</si>
  <si>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</si>
  <si>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</si>
  <si>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</si>
  <si>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</si>
  <si>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</si>
  <si>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</si>
  <si>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</si>
  <si>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</si>
  <si>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</si>
  <si>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</si>
  <si>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</si>
  <si>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</si>
  <si>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</si>
  <si>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</si>
  <si>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</si>
  <si>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</si>
  <si>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</si>
  <si>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</si>
  <si>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</si>
  <si>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</si>
  <si>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</si>
  <si>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</si>
  <si>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</si>
  <si>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</si>
  <si>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</si>
  <si>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</si>
  <si>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</si>
  <si>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</si>
  <si>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</si>
  <si>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</si>
  <si>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</si>
  <si>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</si>
  <si>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</si>
  <si>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</si>
  <si>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</si>
  <si>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</si>
  <si>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</si>
  <si>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</si>
  <si>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</si>
  <si>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</si>
  <si>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</si>
  <si>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</si>
  <si>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</si>
  <si>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</si>
  <si>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</si>
  <si>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</si>
  <si>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</si>
  <si>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</si>
  <si>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</si>
  <si>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</si>
  <si>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</si>
  <si>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</si>
  <si>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</si>
  <si>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</si>
  <si>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</si>
  <si>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</si>
  <si>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</si>
  <si>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</si>
  <si>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</si>
  <si>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</si>
  <si>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</si>
  <si>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</si>
  <si>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</si>
  <si>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</si>
  <si>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</si>
  <si>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</si>
  <si>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</si>
  <si>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</si>
  <si>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</si>
  <si>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</si>
  <si>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</si>
  <si>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</si>
  <si>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</si>
  <si>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</si>
  <si>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</si>
  <si>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</si>
  <si>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</si>
  <si>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</si>
  <si>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</si>
  <si>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</si>
  <si>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</si>
  <si>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</si>
  <si>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</si>
  <si>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</si>
  <si>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</si>
  <si>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</si>
  <si>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</si>
  <si>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</si>
  <si>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</si>
  <si>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</si>
  <si>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</si>
  <si>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</si>
  <si>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</si>
  <si>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</si>
  <si>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</si>
  <si>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</si>
  <si>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</si>
  <si>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</si>
  <si>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</si>
  <si>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</si>
  <si>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</si>
  <si>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</si>
  <si>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</si>
  <si>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</si>
  <si>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</si>
  <si>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</si>
  <si>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</si>
  <si>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</si>
  <si>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</si>
  <si>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</si>
  <si>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</si>
  <si>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</si>
  <si>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</si>
  <si>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</si>
  <si>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</si>
  <si>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</si>
  <si>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</si>
  <si>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</si>
  <si>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</si>
  <si>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</si>
  <si>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</si>
  <si>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</si>
  <si>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</si>
  <si>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</si>
  <si>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</si>
  <si>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</si>
  <si>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</si>
  <si>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</si>
  <si>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</si>
  <si>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</si>
  <si>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</si>
  <si>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</si>
  <si>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</si>
  <si>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</si>
  <si>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</si>
  <si>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</si>
  <si>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</si>
  <si>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</si>
  <si>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</si>
  <si>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</si>
  <si>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</si>
  <si>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</si>
  <si>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</si>
  <si>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</si>
  <si>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</si>
  <si>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</si>
  <si>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</si>
  <si>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</si>
  <si>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</si>
  <si>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</si>
  <si>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</si>
  <si>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</si>
  <si>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</si>
  <si>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</si>
  <si>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</si>
  <si>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</si>
  <si>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</si>
  <si>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</si>
  <si>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</si>
  <si>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</si>
  <si>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</si>
  <si>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</si>
  <si>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</si>
  <si>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</si>
  <si>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</si>
  <si>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</si>
  <si>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</si>
  <si>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</si>
  <si>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</si>
  <si>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</si>
  <si>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</si>
  <si>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</si>
  <si>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</si>
  <si>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</si>
  <si>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</si>
  <si>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</si>
  <si>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</si>
  <si>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</si>
  <si>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</si>
  <si>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</si>
  <si>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</si>
  <si>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</si>
  <si>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</si>
  <si>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</si>
  <si>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</si>
  <si>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</si>
  <si>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</si>
  <si>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</si>
  <si>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</si>
  <si>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</si>
  <si>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</si>
  <si>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</si>
  <si>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</si>
  <si>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</si>
  <si>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</si>
  <si>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</si>
  <si>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</si>
  <si>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</si>
  <si>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</si>
  <si>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</si>
  <si>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</si>
  <si>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</si>
  <si>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</si>
  <si>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</si>
  <si>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</si>
  <si>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</si>
  <si>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</si>
  <si>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</si>
  <si>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</si>
  <si>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</si>
  <si>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</si>
  <si>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</si>
  <si>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</si>
  <si>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</si>
  <si>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</si>
  <si>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</si>
  <si>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</si>
  <si>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</si>
  <si>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</si>
  <si>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</si>
  <si>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</si>
  <si>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</si>
  <si>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</si>
  <si>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</si>
  <si>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</si>
  <si>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</si>
  <si>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</si>
  <si>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</si>
  <si>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</si>
  <si>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</si>
  <si>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</si>
  <si>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</si>
  <si>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</si>
  <si>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</si>
  <si>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</si>
  <si>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</si>
  <si>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</si>
  <si>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</si>
  <si>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</si>
  <si>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</si>
  <si>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</si>
  <si>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</si>
  <si>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</si>
  <si>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</si>
  <si>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</si>
  <si>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</si>
  <si>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</si>
  <si>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</si>
  <si>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</si>
  <si>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</si>
  <si>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</si>
  <si>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</si>
  <si>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</si>
  <si>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</si>
  <si>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</si>
  <si>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</si>
  <si>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</si>
  <si>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</si>
  <si>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</si>
  <si>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</si>
  <si>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</si>
  <si>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</si>
  <si>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</si>
  <si>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</si>
  <si>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</si>
  <si>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</si>
  <si>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</si>
  <si>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</si>
  <si>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</si>
  <si>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</si>
  <si>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</si>
  <si>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</si>
  <si>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</si>
  <si>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</si>
  <si>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</si>
  <si>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</si>
  <si>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</si>
  <si>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</si>
  <si>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</si>
  <si>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</si>
  <si>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</si>
  <si>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</si>
  <si>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</si>
  <si>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</si>
  <si>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</si>
  <si>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</si>
  <si>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</si>
  <si>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</si>
  <si>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</si>
  <si>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</si>
  <si>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</si>
  <si>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</si>
  <si>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</si>
  <si>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</si>
  <si>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</si>
  <si>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</si>
  <si>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</si>
  <si>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</si>
  <si>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</si>
  <si>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</si>
  <si>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</si>
  <si>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</si>
  <si>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</si>
  <si>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</si>
  <si>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</si>
  <si>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</si>
  <si>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</si>
  <si>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</si>
  <si>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</si>
  <si>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</si>
  <si>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</si>
  <si>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</si>
  <si>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</si>
  <si>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</si>
  <si>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</si>
  <si>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</si>
  <si>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</si>
  <si>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</si>
  <si>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</si>
  <si>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</si>
  <si>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</si>
  <si>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</si>
  <si>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</si>
  <si>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</si>
  <si>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</si>
  <si>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</si>
  <si>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</si>
  <si>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</si>
  <si>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</si>
  <si>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</si>
  <si>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</si>
  <si>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</si>
  <si>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</si>
  <si>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</si>
  <si>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</si>
  <si>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</si>
  <si>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</si>
  <si>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</si>
  <si>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</si>
  <si>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</si>
  <si>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</si>
  <si>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</si>
  <si>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</si>
  <si>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</si>
  <si>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</si>
  <si>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</si>
  <si>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</si>
  <si>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</si>
  <si>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</si>
  <si>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</si>
  <si>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</si>
  <si>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</si>
  <si>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</si>
  <si>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</si>
  <si>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</si>
  <si>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</si>
  <si>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</si>
  <si>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</si>
  <si>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</si>
  <si>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</si>
  <si>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</si>
  <si>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</si>
  <si>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</si>
  <si>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</si>
  <si>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</si>
  <si>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</si>
  <si>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</si>
  <si>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</si>
  <si>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</si>
  <si>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</si>
  <si>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</si>
  <si>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</si>
  <si>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</si>
  <si>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</si>
  <si>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</si>
  <si>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</si>
  <si>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</si>
  <si>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</si>
  <si>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</si>
  <si>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</si>
  <si>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</si>
  <si>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</si>
  <si>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</si>
  <si>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</si>
  <si>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</si>
  <si>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</si>
  <si>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</si>
  <si>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</si>
  <si>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</si>
  <si>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</si>
  <si>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</si>
  <si>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</si>
  <si>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</si>
  <si>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</si>
  <si>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</si>
  <si>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</si>
  <si>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</si>
  <si>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</si>
  <si>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</si>
  <si>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</si>
  <si>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</si>
  <si>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</si>
  <si>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</si>
  <si>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</si>
  <si>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</si>
  <si>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</si>
  <si>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</si>
  <si>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</si>
  <si>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</si>
  <si>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</si>
  <si>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</si>
  <si>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</si>
  <si>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</si>
  <si>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</si>
  <si>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</si>
  <si>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</si>
  <si>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</si>
  <si>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</si>
  <si>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</si>
  <si>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</si>
  <si>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</si>
  <si>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</si>
  <si>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</si>
  <si>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</si>
  <si>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</si>
  <si>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</si>
  <si>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</si>
  <si>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</si>
  <si>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</si>
  <si>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</si>
  <si>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</si>
  <si>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</si>
  <si>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</si>
  <si>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</si>
  <si>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</si>
  <si>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</si>
  <si>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[OBS370]Respecto a la OBS342, falta cambiar el nombre del evento y de los gateways. Actividades 11, 12 y 14._x000D_
</t>
  </si>
  <si>
    <t xml:space="preserve">[OBS371]La actividad 13 no debería tener un dato de salida ya que al no tener un conector, se perdería dicho dato. O en todo caso agregar un conector saliente._x000D_
</t>
  </si>
  <si>
    <t xml:space="preserve">[OBS372]Respecto a la OBS348, Se le debe cambiar el nombre al Gateway 2 a infinitivo en el diagrama también._x000D_
</t>
  </si>
  <si>
    <t xml:space="preserve">[OBS376]Hay dos diagramas en el documento._x000D_
[OBS377]Verificar el responsable del inicio._x000D_
[OBS378]No hay relación entre los datos de las actividades 3, 4 y 5_x000D_
[OBS379]La actividad 5 no debería tener datos de entrada._x000D_
[OBS380]El dato de entrada "Informe trimestral" de la actividad 6 no está en acorde con el flujo._x000D_
</t>
  </si>
  <si>
    <t>Se modificaron los nombres de los gateways.</t>
  </si>
  <si>
    <t>Se asume que el error es del Caso de Prueba CP003. Conector agregado.</t>
  </si>
  <si>
    <t>Se modificó el nombre del gateway.</t>
  </si>
  <si>
    <t>Se cambió de evento.</t>
  </si>
  <si>
    <t>Se corrigió la enumeración.</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</si>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</sst>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23"/>
          <c:y val="0.20151813899974841"/>
          <c:w val="0.50142494135134486"/>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0.86111111111111116</c:v>
                </c:pt>
                <c:pt idx="1">
                  <c:v>0.1111111111111111</c:v>
                </c:pt>
                <c:pt idx="2">
                  <c:v>0</c:v>
                </c:pt>
                <c:pt idx="3">
                  <c:v>2.7777777777777776E-2</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01" l="0.70000000000000062" r="0.70000000000000062" t="0.75000000000001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HistoricoAvance!$C$4:$C$14</c:f>
              <c:numCache>
                <c:formatCode>0</c:formatCode>
                <c:ptCount val="11"/>
                <c:pt idx="0">
                  <c:v>0</c:v>
                </c:pt>
                <c:pt idx="1">
                  <c:v>0</c:v>
                </c:pt>
                <c:pt idx="2">
                  <c:v>5</c:v>
                </c:pt>
                <c:pt idx="3">
                  <c:v>14</c:v>
                </c:pt>
                <c:pt idx="4">
                  <c:v>15</c:v>
                </c:pt>
                <c:pt idx="5">
                  <c:v>15</c:v>
                </c:pt>
                <c:pt idx="6">
                  <c:v>15</c:v>
                </c:pt>
                <c:pt idx="7">
                  <c:v>16</c:v>
                </c:pt>
                <c:pt idx="8">
                  <c:v>15</c:v>
                </c:pt>
                <c:pt idx="9">
                  <c:v>13</c:v>
                </c:pt>
                <c:pt idx="10">
                  <c:v>31</c:v>
                </c:pt>
              </c:numCache>
            </c:numRef>
          </c:val>
          <c:smooth val="0"/>
        </c:ser>
        <c:ser>
          <c:idx val="1"/>
          <c:order val="1"/>
          <c:tx>
            <c:strRef>
              <c:f>HistoricoAvance!$D$3</c:f>
              <c:strCache>
                <c:ptCount val="1"/>
                <c:pt idx="0">
                  <c:v>Fallos</c:v>
                </c:pt>
              </c:strCache>
            </c:strRef>
          </c:tx>
          <c:spPr>
            <a:ln w="50800"/>
          </c:spPr>
          <c:cat>
            <c:numRef>
              <c:f>HistoricoAvance!$B$4:$B$14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HistoricoAvance!$D$4:$D$14</c:f>
              <c:numCache>
                <c:formatCode>0</c:formatCode>
                <c:ptCount val="11"/>
                <c:pt idx="0">
                  <c:v>10</c:v>
                </c:pt>
                <c:pt idx="1">
                  <c:v>15</c:v>
                </c:pt>
                <c:pt idx="2">
                  <c:v>10</c:v>
                </c:pt>
                <c:pt idx="3">
                  <c:v>1</c:v>
                </c:pt>
                <c:pt idx="4">
                  <c:v>10</c:v>
                </c:pt>
                <c:pt idx="5">
                  <c:v>10</c:v>
                </c:pt>
                <c:pt idx="6">
                  <c:v>20</c:v>
                </c:pt>
                <c:pt idx="7">
                  <c:v>19</c:v>
                </c:pt>
                <c:pt idx="8">
                  <c:v>20</c:v>
                </c:pt>
                <c:pt idx="9">
                  <c:v>22</c:v>
                </c:pt>
                <c:pt idx="10">
                  <c:v>4</c:v>
                </c:pt>
              </c:numCache>
            </c:numRef>
          </c:val>
          <c:smooth val="0"/>
        </c:ser>
        <c:ser>
          <c:idx val="2"/>
          <c:order val="2"/>
          <c:tx>
            <c:strRef>
              <c:f>HistoricoAvance!$E$3</c:f>
              <c:strCache>
                <c:ptCount val="1"/>
                <c:pt idx="0">
                  <c:v>Bloqueado</c:v>
                </c:pt>
              </c:strCache>
            </c:strRef>
          </c:tx>
          <c:cat>
            <c:numRef>
              <c:f>HistoricoAvance!$B$4:$B$14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HistoricoAvance!$E$4:$E$14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3"/>
          <c:order val="3"/>
          <c:tx>
            <c:strRef>
              <c:f>HistoricoAvance!$F$3</c:f>
              <c:strCache>
                <c:ptCount val="1"/>
                <c:pt idx="0">
                  <c:v>Pendiente</c:v>
                </c:pt>
              </c:strCache>
            </c:strRef>
          </c:tx>
          <c:cat>
            <c:numRef>
              <c:f>HistoricoAvance!$B$4:$B$14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HistoricoAvance!$F$4:$F$14</c:f>
              <c:numCache>
                <c:formatCode>0</c:formatCode>
                <c:ptCount val="11"/>
                <c:pt idx="0">
                  <c:v>0</c:v>
                </c:pt>
                <c:pt idx="1">
                  <c:v>0</c:v>
                </c:pt>
                <c:pt idx="2">
                  <c:v>0</c:v>
                </c:pt>
                <c:pt idx="3">
                  <c:v>0</c:v>
                </c:pt>
                <c:pt idx="4">
                  <c:v>0</c:v>
                </c:pt>
                <c:pt idx="5">
                  <c:v>0</c:v>
                </c:pt>
                <c:pt idx="6">
                  <c:v>0</c:v>
                </c:pt>
                <c:pt idx="7">
                  <c:v>0</c:v>
                </c:pt>
                <c:pt idx="8">
                  <c:v>0</c:v>
                </c:pt>
                <c:pt idx="9">
                  <c:v>1</c:v>
                </c:pt>
                <c:pt idx="10">
                  <c:v>1</c:v>
                </c:pt>
              </c:numCache>
            </c:numRef>
          </c:val>
          <c:smooth val="0"/>
        </c:ser>
        <c:ser>
          <c:idx val="4"/>
          <c:order val="4"/>
          <c:tx>
            <c:strRef>
              <c:f>HistoricoAvance!$G$3</c:f>
              <c:strCache>
                <c:ptCount val="1"/>
                <c:pt idx="0">
                  <c:v>No Aplica</c:v>
                </c:pt>
              </c:strCache>
            </c:strRef>
          </c:tx>
          <c:cat>
            <c:numRef>
              <c:f>HistoricoAvance!$B$4:$B$14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HistoricoAvance!$G$4:$G$14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5"/>
          <c:order val="5"/>
          <c:tx>
            <c:strRef>
              <c:f>HistoricoAvance!$H$3</c:f>
              <c:strCache>
                <c:ptCount val="1"/>
                <c:pt idx="0">
                  <c:v>En Proceso</c:v>
                </c:pt>
              </c:strCache>
            </c:strRef>
          </c:tx>
          <c:cat>
            <c:numRef>
              <c:f>HistoricoAvance!$B$4:$B$14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HistoricoAvance!$H$4:$H$14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6"/>
          <c:order val="6"/>
          <c:tx>
            <c:strRef>
              <c:f>HistoricoAvance!$I$3</c:f>
              <c:strCache>
                <c:ptCount val="1"/>
                <c:pt idx="0">
                  <c:v>Reejecuciones</c:v>
                </c:pt>
              </c:strCache>
            </c:strRef>
          </c:tx>
          <c:cat>
            <c:numRef>
              <c:f>HistoricoAvance!$B$4:$B$14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HistoricoAvance!$I$4:$I$14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HistoricoAvance!$J$4:$J$14</c:f>
              <c:numCache>
                <c:formatCode>General</c:formatCode>
                <c:ptCount val="11"/>
                <c:pt idx="0">
                  <c:v>10</c:v>
                </c:pt>
                <c:pt idx="1">
                  <c:v>15</c:v>
                </c:pt>
                <c:pt idx="2">
                  <c:v>15</c:v>
                </c:pt>
                <c:pt idx="3">
                  <c:v>15</c:v>
                </c:pt>
                <c:pt idx="4">
                  <c:v>25</c:v>
                </c:pt>
                <c:pt idx="5">
                  <c:v>25</c:v>
                </c:pt>
                <c:pt idx="6">
                  <c:v>35</c:v>
                </c:pt>
                <c:pt idx="7">
                  <c:v>35</c:v>
                </c:pt>
                <c:pt idx="8">
                  <c:v>35</c:v>
                </c:pt>
                <c:pt idx="9">
                  <c:v>36</c:v>
                </c:pt>
                <c:pt idx="10">
                  <c:v>36</c:v>
                </c:pt>
              </c:numCache>
            </c:numRef>
          </c:val>
          <c:smooth val="0"/>
        </c:ser>
        <c:dLbls>
          <c:showLegendKey val="0"/>
          <c:showVal val="0"/>
          <c:showCatName val="0"/>
          <c:showSerName val="0"/>
          <c:showPercent val="0"/>
          <c:showBubbleSize val="0"/>
        </c:dLbls>
        <c:marker val="1"/>
        <c:smooth val="0"/>
        <c:axId val="159587712"/>
        <c:axId val="159593600"/>
      </c:lineChart>
      <c:dateAx>
        <c:axId val="159587712"/>
        <c:scaling>
          <c:orientation val="minMax"/>
        </c:scaling>
        <c:delete val="0"/>
        <c:axPos val="b"/>
        <c:numFmt formatCode="m/d/yyyy" sourceLinked="1"/>
        <c:majorTickMark val="out"/>
        <c:minorTickMark val="none"/>
        <c:tickLblPos val="nextTo"/>
        <c:txPr>
          <a:bodyPr/>
          <a:lstStyle/>
          <a:p>
            <a:pPr>
              <a:defRPr lang="es-ES"/>
            </a:pPr>
            <a:endParaRPr lang="es-PE"/>
          </a:p>
        </c:txPr>
        <c:crossAx val="159593600"/>
        <c:crosses val="autoZero"/>
        <c:auto val="1"/>
        <c:lblOffset val="100"/>
        <c:baseTimeUnit val="days"/>
      </c:dateAx>
      <c:valAx>
        <c:axId val="15959360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5958771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HistoricoAvance!$M$4:$M$14</c:f>
              <c:numCache>
                <c:formatCode>0</c:formatCode>
                <c:ptCount val="11"/>
                <c:pt idx="0">
                  <c:v>55</c:v>
                </c:pt>
                <c:pt idx="1">
                  <c:v>101</c:v>
                </c:pt>
                <c:pt idx="2">
                  <c:v>19</c:v>
                </c:pt>
                <c:pt idx="3">
                  <c:v>3</c:v>
                </c:pt>
                <c:pt idx="4">
                  <c:v>92</c:v>
                </c:pt>
                <c:pt idx="5">
                  <c:v>21</c:v>
                </c:pt>
                <c:pt idx="6">
                  <c:v>63</c:v>
                </c:pt>
                <c:pt idx="7">
                  <c:v>87</c:v>
                </c:pt>
                <c:pt idx="8">
                  <c:v>111</c:v>
                </c:pt>
                <c:pt idx="9">
                  <c:v>36</c:v>
                </c:pt>
                <c:pt idx="10">
                  <c:v>11</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HistoricoAvance!$N$4:$N$14</c:f>
              <c:numCache>
                <c:formatCode>0</c:formatCode>
                <c:ptCount val="11"/>
                <c:pt idx="0">
                  <c:v>0</c:v>
                </c:pt>
                <c:pt idx="1">
                  <c:v>0</c:v>
                </c:pt>
                <c:pt idx="2">
                  <c:v>101</c:v>
                </c:pt>
                <c:pt idx="3">
                  <c:v>120</c:v>
                </c:pt>
                <c:pt idx="4">
                  <c:v>123</c:v>
                </c:pt>
                <c:pt idx="5">
                  <c:v>215</c:v>
                </c:pt>
                <c:pt idx="6">
                  <c:v>215</c:v>
                </c:pt>
                <c:pt idx="7">
                  <c:v>215</c:v>
                </c:pt>
                <c:pt idx="8">
                  <c:v>215</c:v>
                </c:pt>
                <c:pt idx="9">
                  <c:v>333</c:v>
                </c:pt>
                <c:pt idx="10">
                  <c:v>369</c:v>
                </c:pt>
              </c:numCache>
            </c:numRef>
          </c:val>
          <c:smooth val="0"/>
        </c:ser>
        <c:ser>
          <c:idx val="2"/>
          <c:order val="2"/>
          <c:tx>
            <c:strRef>
              <c:f>HistoricoAvance!$O$3</c:f>
              <c:strCache>
                <c:ptCount val="1"/>
                <c:pt idx="0">
                  <c:v>Totales</c:v>
                </c:pt>
              </c:strCache>
            </c:strRef>
          </c:tx>
          <c:cat>
            <c:numRef>
              <c:f>HistoricoAvance!$L$4:$L$14</c:f>
              <c:numCache>
                <c:formatCode>m/d/yyyy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HistoricoAvance!$O$4:$O$14</c:f>
              <c:numCache>
                <c:formatCode>General</c:formatCode>
                <c:ptCount val="11"/>
                <c:pt idx="0">
                  <c:v>55</c:v>
                </c:pt>
                <c:pt idx="1">
                  <c:v>101</c:v>
                </c:pt>
                <c:pt idx="2">
                  <c:v>120</c:v>
                </c:pt>
                <c:pt idx="3">
                  <c:v>123</c:v>
                </c:pt>
                <c:pt idx="4">
                  <c:v>215</c:v>
                </c:pt>
                <c:pt idx="5">
                  <c:v>236</c:v>
                </c:pt>
                <c:pt idx="6">
                  <c:v>278</c:v>
                </c:pt>
                <c:pt idx="7">
                  <c:v>302</c:v>
                </c:pt>
                <c:pt idx="8">
                  <c:v>326</c:v>
                </c:pt>
                <c:pt idx="9">
                  <c:v>369</c:v>
                </c:pt>
                <c:pt idx="10">
                  <c:v>380</c:v>
                </c:pt>
              </c:numCache>
            </c:numRef>
          </c:val>
          <c:smooth val="0"/>
        </c:ser>
        <c:dLbls>
          <c:showLegendKey val="0"/>
          <c:showVal val="0"/>
          <c:showCatName val="0"/>
          <c:showSerName val="0"/>
          <c:showPercent val="0"/>
          <c:showBubbleSize val="0"/>
        </c:dLbls>
        <c:marker val="1"/>
        <c:smooth val="0"/>
        <c:axId val="159611136"/>
        <c:axId val="159621120"/>
      </c:lineChart>
      <c:dateAx>
        <c:axId val="159611136"/>
        <c:scaling>
          <c:orientation val="minMax"/>
        </c:scaling>
        <c:delete val="0"/>
        <c:axPos val="b"/>
        <c:numFmt formatCode="m/d/yyyy" sourceLinked="1"/>
        <c:majorTickMark val="out"/>
        <c:minorTickMark val="none"/>
        <c:tickLblPos val="nextTo"/>
        <c:txPr>
          <a:bodyPr/>
          <a:lstStyle/>
          <a:p>
            <a:pPr>
              <a:defRPr lang="es-ES"/>
            </a:pPr>
            <a:endParaRPr lang="es-PE"/>
          </a:p>
        </c:txPr>
        <c:crossAx val="159621120"/>
        <c:crosses val="autoZero"/>
        <c:auto val="1"/>
        <c:lblOffset val="100"/>
        <c:baseTimeUnit val="days"/>
      </c:dateAx>
      <c:valAx>
        <c:axId val="15962112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5961113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59650176"/>
        <c:axId val="159651712"/>
      </c:barChart>
      <c:catAx>
        <c:axId val="159650176"/>
        <c:scaling>
          <c:orientation val="minMax"/>
        </c:scaling>
        <c:delete val="0"/>
        <c:axPos val="b"/>
        <c:majorTickMark val="out"/>
        <c:minorTickMark val="none"/>
        <c:tickLblPos val="nextTo"/>
        <c:txPr>
          <a:bodyPr/>
          <a:lstStyle/>
          <a:p>
            <a:pPr>
              <a:defRPr lang="es-ES"/>
            </a:pPr>
            <a:endParaRPr lang="es-PE"/>
          </a:p>
        </c:txPr>
        <c:crossAx val="159651712"/>
        <c:crosses val="autoZero"/>
        <c:auto val="1"/>
        <c:lblAlgn val="ctr"/>
        <c:lblOffset val="100"/>
        <c:noMultiLvlLbl val="0"/>
      </c:catAx>
      <c:valAx>
        <c:axId val="15965171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9650176"/>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59680768"/>
        <c:axId val="159698944"/>
      </c:barChart>
      <c:catAx>
        <c:axId val="159680768"/>
        <c:scaling>
          <c:orientation val="minMax"/>
        </c:scaling>
        <c:delete val="0"/>
        <c:axPos val="b"/>
        <c:majorTickMark val="out"/>
        <c:minorTickMark val="none"/>
        <c:tickLblPos val="nextTo"/>
        <c:txPr>
          <a:bodyPr/>
          <a:lstStyle/>
          <a:p>
            <a:pPr>
              <a:defRPr lang="es-ES"/>
            </a:pPr>
            <a:endParaRPr lang="es-PE"/>
          </a:p>
        </c:txPr>
        <c:crossAx val="159698944"/>
        <c:crosses val="autoZero"/>
        <c:auto val="1"/>
        <c:lblAlgn val="ctr"/>
        <c:lblOffset val="100"/>
        <c:noMultiLvlLbl val="0"/>
      </c:catAx>
      <c:valAx>
        <c:axId val="1596989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9680768"/>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59719808"/>
        <c:axId val="159721344"/>
      </c:barChart>
      <c:catAx>
        <c:axId val="159719808"/>
        <c:scaling>
          <c:orientation val="minMax"/>
        </c:scaling>
        <c:delete val="0"/>
        <c:axPos val="b"/>
        <c:majorTickMark val="out"/>
        <c:minorTickMark val="none"/>
        <c:tickLblPos val="nextTo"/>
        <c:txPr>
          <a:bodyPr/>
          <a:lstStyle/>
          <a:p>
            <a:pPr>
              <a:defRPr lang="es-ES"/>
            </a:pPr>
            <a:endParaRPr lang="es-PE"/>
          </a:p>
        </c:txPr>
        <c:crossAx val="159721344"/>
        <c:crosses val="autoZero"/>
        <c:auto val="1"/>
        <c:lblAlgn val="ctr"/>
        <c:lblOffset val="100"/>
        <c:noMultiLvlLbl val="0"/>
      </c:catAx>
      <c:valAx>
        <c:axId val="1597213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9719808"/>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59766784"/>
        <c:axId val="159772672"/>
      </c:barChart>
      <c:catAx>
        <c:axId val="159766784"/>
        <c:scaling>
          <c:orientation val="minMax"/>
        </c:scaling>
        <c:delete val="0"/>
        <c:axPos val="b"/>
        <c:majorTickMark val="out"/>
        <c:minorTickMark val="none"/>
        <c:tickLblPos val="nextTo"/>
        <c:txPr>
          <a:bodyPr/>
          <a:lstStyle/>
          <a:p>
            <a:pPr>
              <a:defRPr lang="es-ES"/>
            </a:pPr>
            <a:endParaRPr lang="es-PE"/>
          </a:p>
        </c:txPr>
        <c:crossAx val="159772672"/>
        <c:crosses val="autoZero"/>
        <c:auto val="1"/>
        <c:lblAlgn val="ctr"/>
        <c:lblOffset val="100"/>
        <c:noMultiLvlLbl val="0"/>
      </c:catAx>
      <c:valAx>
        <c:axId val="15977267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9766784"/>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59789440"/>
        <c:axId val="159790976"/>
      </c:barChart>
      <c:catAx>
        <c:axId val="159789440"/>
        <c:scaling>
          <c:orientation val="minMax"/>
        </c:scaling>
        <c:delete val="0"/>
        <c:axPos val="b"/>
        <c:majorTickMark val="out"/>
        <c:minorTickMark val="none"/>
        <c:tickLblPos val="nextTo"/>
        <c:txPr>
          <a:bodyPr/>
          <a:lstStyle/>
          <a:p>
            <a:pPr>
              <a:defRPr lang="es-ES"/>
            </a:pPr>
            <a:endParaRPr lang="es-PE"/>
          </a:p>
        </c:txPr>
        <c:crossAx val="159790976"/>
        <c:crosses val="autoZero"/>
        <c:auto val="1"/>
        <c:lblAlgn val="ctr"/>
        <c:lblOffset val="100"/>
        <c:noMultiLvlLbl val="0"/>
      </c:catAx>
      <c:valAx>
        <c:axId val="1597909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9789440"/>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59808128"/>
        <c:axId val="159818112"/>
      </c:barChart>
      <c:catAx>
        <c:axId val="159808128"/>
        <c:scaling>
          <c:orientation val="minMax"/>
        </c:scaling>
        <c:delete val="0"/>
        <c:axPos val="b"/>
        <c:majorTickMark val="out"/>
        <c:minorTickMark val="none"/>
        <c:tickLblPos val="nextTo"/>
        <c:txPr>
          <a:bodyPr/>
          <a:lstStyle/>
          <a:p>
            <a:pPr>
              <a:defRPr lang="es-ES"/>
            </a:pPr>
            <a:endParaRPr lang="es-PE"/>
          </a:p>
        </c:txPr>
        <c:crossAx val="159818112"/>
        <c:crosses val="autoZero"/>
        <c:auto val="1"/>
        <c:lblAlgn val="ctr"/>
        <c:lblOffset val="100"/>
        <c:noMultiLvlLbl val="0"/>
      </c:catAx>
      <c:valAx>
        <c:axId val="15981811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9808128"/>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1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1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1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1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1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0" totalsRowShown="0" headerRowDxfId="71" dataDxfId="69" headerRowBorderDxfId="70" tableBorderDxfId="68">
  <autoFilter ref="A4:Q40"/>
  <tableColumns count="17">
    <tableColumn id="1" name="Código de REQ" dataDxfId="67"/>
    <tableColumn id="2" name="Código CP" dataDxfId="66"/>
    <tableColumn id="3" name="Funcionalidad" dataDxfId="65"/>
    <tableColumn id="4" name="Descripción Caso de Prueba" dataDxfId="64"/>
    <tableColumn id="5" name="Resultado Esperado" dataDxfId="63"/>
    <tableColumn id="6" name="Resultado Real" dataDxfId="62">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61"/>
    <tableColumn id="8" name="Prioridad" dataDxfId="60"/>
    <tableColumn id="9" name="Severidad" dataDxfId="59"/>
    <tableColumn id="10" name="Estado Incidencia" dataDxfId="58"/>
    <tableColumn id="11" name="Reejecución" dataDxfId="57"/>
    <tableColumn id="12" name="Fecha Planificada" dataDxfId="56">
      <calculatedColumnFormula>General!$A$10</calculatedColumnFormula>
    </tableColumn>
    <tableColumn id="13" name="Fecha Real" dataDxfId="55"/>
    <tableColumn id="14" name="Duración Caso de Prueba (horas / hombre)" dataDxfId="54"/>
    <tableColumn id="16" name="Pre-requisitos para la ejecución de la prueba" dataDxfId="53"/>
    <tableColumn id="17" name="Observaciones Pruebas Testing" dataDxfId="52"/>
    <tableColumn id="18" name="Revisión" dataDxfId="51">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82" totalsRowShown="0" headerRowDxfId="50" dataDxfId="48" headerRowBorderDxfId="49" tableBorderDxfId="47">
  <sortState ref="A243:N304">
    <sortCondition ref="J2:J361"/>
  </sortState>
  <tableColumns count="12">
    <tableColumn id="1" name="Cod. Obs." dataDxfId="46"/>
    <tableColumn id="2" name="Caso de Prueba" dataDxfId="45"/>
    <tableColumn id="3" name="Prioridad" dataDxfId="44">
      <calculatedColumnFormula>VLOOKUP(Observaciones[Caso de Prueba],CasoPrueba[[#All],[Código CP]:[Prioridad]],7,TRUE)</calculatedColumnFormula>
    </tableColumn>
    <tableColumn id="4" name="Severidad" dataDxfId="43"/>
    <tableColumn id="5" name="Estado" dataDxfId="42"/>
    <tableColumn id="6" name="Fecha Detección" dataDxfId="41"/>
    <tableColumn id="7" name="Fecha Levantamiento" dataDxfId="40"/>
    <tableColumn id="8" name="Responsable" dataDxfId="39"/>
    <tableColumn id="9" name="Descripción" dataDxfId="38"/>
    <tableColumn id="10" name="Solución" dataDxfId="37"/>
    <tableColumn id="11" name="Tiempo de Solución (Dias)" dataDxfId="36">
      <calculatedColumnFormula>IF((Observaciones[[#This Row],[Fecha Levantamiento]]-Observaciones[[#This Row],[Fecha Detección]])&gt;=0,Observaciones[[#This Row],[Fecha Levantamiento]]-Observaciones[[#This Row],[Fecha Detección]]+1,0)</calculatedColumnFormula>
    </tableColumn>
    <tableColumn id="13" name="Cod. Req." dataDxfId="35">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4" dataDxfId="33">
  <autoFilter ref="A2:J3"/>
  <tableColumns count="10">
    <tableColumn id="1" name="Cod. Cons." dataDxfId="32"/>
    <tableColumn id="2" name="Caso de Prueba" dataDxfId="31"/>
    <tableColumn id="3" name="Prioridad" dataDxfId="30">
      <calculatedColumnFormula>VLOOKUP(Consultas[[#This Row],[Caso de Prueba]],CasoPrueba[[#All],[Código CP]:[Prioridad]],7,TRUE)</calculatedColumnFormula>
    </tableColumn>
    <tableColumn id="4" name="Estado" dataDxfId="29"/>
    <tableColumn id="10" name="Responsable" dataDxfId="28"/>
    <tableColumn id="5" name="Fecha Solicitud" dataDxfId="27"/>
    <tableColumn id="6" name="Fecha Respuesta" dataDxfId="26"/>
    <tableColumn id="7" name="Descripción de la Consulta" dataDxfId="25"/>
    <tableColumn id="8" name="Respuesta del Responsable" dataDxfId="24"/>
    <tableColumn id="9" name="Tiempo de Solución" dataDxfId="23">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4" totalsRowShown="0" headerRowDxfId="22" headerRowBorderDxfId="21" tableBorderDxfId="20">
  <tableColumns count="4">
    <tableColumn id="1" name="Fecha" dataDxfId="19"/>
    <tableColumn id="2" name="Abiertas" dataDxfId="18"/>
    <tableColumn id="4" name="Cerradas" dataDxfId="17"/>
    <tableColumn id="5" name="Totales" dataDxfId="16">
      <calculatedColumnFormula>SUM([1]!HistoricoIncidencias[[#This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4" totalsRowShown="0" headerRowDxfId="15" dataDxfId="13" headerRowBorderDxfId="14" tableBorderDxfId="12">
  <tableColumns count="9">
    <tableColumn id="1" name="Fecha" dataDxfId="11"/>
    <tableColumn id="2" name="Aciertos" dataDxfId="10"/>
    <tableColumn id="3" name="Fallos" dataDxfId="9"/>
    <tableColumn id="4" name="Bloqueado" dataDxfId="8"/>
    <tableColumn id="7" name="Pendiente" dataDxfId="7"/>
    <tableColumn id="5" name="No Aplica" dataDxfId="6"/>
    <tableColumn id="8" name="En Proceso" dataDxfId="5"/>
    <tableColumn id="9" name="Reejecuciones" dataDxfId="4"/>
    <tableColumn id="6" name="Totales" dataDxfId="3">
      <calculatedColumnFormula>SUM([1]!HistóricoEjecuciones[[#This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F14" sqref="F1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0.86111111111111116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0.97222222222222221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36</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1</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4</v>
      </c>
      <c r="D13" s="74"/>
      <c r="E13" s="5">
        <f>COUNTIF(CasoPrueba[[#All],[Estado Testing]],$P$28)</f>
        <v>31</v>
      </c>
      <c r="F13" s="5">
        <f>COUNTIF(CasoPrueba[[#All],[Estado Testing]],$P$29)</f>
        <v>4</v>
      </c>
      <c r="G13" s="5">
        <f>COUNTIF(CasoPrueba[[#All],[Estado Testing]],$P$30)</f>
        <v>0</v>
      </c>
      <c r="H13" s="5">
        <f>COUNTIF(CasoPrueba[[#All],[Estado Testing]],$P$27)</f>
        <v>1</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0.86111111111111116</v>
      </c>
      <c r="F14" s="15">
        <f t="shared" si="0"/>
        <v>0.1111111111111111</v>
      </c>
      <c r="G14" s="15">
        <f t="shared" si="0"/>
        <v>0</v>
      </c>
      <c r="H14" s="15">
        <f t="shared" si="0"/>
        <v>2.7777777777777776E-2</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31</v>
      </c>
      <c r="D18" s="45">
        <f>C18/$C$10</f>
        <v>0.86111111111111116</v>
      </c>
      <c r="E18" s="46">
        <f>COUNTIFS(CasoPrueba[[#All],[Estado Testing]],$P$29,CasoPrueba[[#All],[Prioridad]],$P$17)</f>
        <v>4</v>
      </c>
      <c r="F18" s="47">
        <f>E18/$C$10</f>
        <v>0.1111111111111111</v>
      </c>
      <c r="G18" s="48">
        <f>COUNTIFS(CasoPrueba[[#All],[Estado Testing]],$P$30,CasoPrueba[[#All],[Prioridad]],$P$17)</f>
        <v>0</v>
      </c>
      <c r="H18" s="49">
        <f>G18/$C$10</f>
        <v>0</v>
      </c>
      <c r="I18" s="50">
        <f>COUNTIFS(CasoPrueba[[#All],[Estado Testing]],$P$27,CasoPrueba[[#All],[Prioridad]],$P$17)</f>
        <v>1</v>
      </c>
      <c r="J18" s="51">
        <f>I18/$C$10</f>
        <v>2.7777777777777776E-2</v>
      </c>
      <c r="K18" s="52">
        <f>COUNTIFS(CasoPrueba[[#All],[Estado Testing]],$P$31,CasoPrueba[[#All],[Prioridad]],$P$17)</f>
        <v>0</v>
      </c>
      <c r="L18" s="54">
        <f>K18/$C$10</f>
        <v>0</v>
      </c>
      <c r="M18" s="55">
        <f>COUNTIFS(CasoPrueba[[#All],[Estado Testing]],$P$29,CasoPrueba[[#All],[Prioridad]],$P$17)</f>
        <v>4</v>
      </c>
      <c r="N18" s="53">
        <f>M18/$C$10</f>
        <v>0.1111111111111111</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31</v>
      </c>
      <c r="D21" s="63">
        <f t="shared" ref="D21:N21" si="2">SUM(D18:D20)</f>
        <v>0.86111111111111116</v>
      </c>
      <c r="E21" s="62">
        <f t="shared" si="2"/>
        <v>4</v>
      </c>
      <c r="F21" s="63">
        <f t="shared" si="2"/>
        <v>0.1111111111111111</v>
      </c>
      <c r="G21" s="62">
        <f t="shared" si="2"/>
        <v>0</v>
      </c>
      <c r="H21" s="63">
        <f t="shared" si="2"/>
        <v>0</v>
      </c>
      <c r="I21" s="62">
        <f t="shared" si="2"/>
        <v>1</v>
      </c>
      <c r="J21" s="63">
        <f t="shared" si="2"/>
        <v>2.7777777777777776E-2</v>
      </c>
      <c r="K21" s="62">
        <f>SUM(K18:K20)</f>
        <v>0</v>
      </c>
      <c r="L21" s="63">
        <f>SUM(L18:L20)</f>
        <v>0</v>
      </c>
      <c r="M21" s="62">
        <f t="shared" si="2"/>
        <v>4</v>
      </c>
      <c r="N21" s="63">
        <f t="shared" si="2"/>
        <v>0.1111111111111111</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1</v>
      </c>
      <c r="D30" s="124">
        <f>C30/$C$10</f>
        <v>2.7777777777777776E-2</v>
      </c>
      <c r="E30" s="125">
        <f>COUNTIFS(Observaciones[[#All],[Estado]],Resumen!$P$24,Observaciones[[#All],[Severidad]],Resumen!$P$11)</f>
        <v>83</v>
      </c>
      <c r="F30" s="124">
        <f>E30/$C$10</f>
        <v>2.3055555555555554</v>
      </c>
      <c r="G30" s="119"/>
      <c r="H30" s="122" t="s">
        <v>33</v>
      </c>
      <c r="I30" s="126">
        <f>COUNTIFS(Observaciones[[#All],[Severidad]],Resumen!$P$11,Observaciones[[#All],[Prioridad]],Resumen!$P$17)</f>
        <v>84</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117</v>
      </c>
      <c r="F31" s="124">
        <f>E31/$C$10</f>
        <v>3.25</v>
      </c>
      <c r="G31" s="119"/>
      <c r="H31" s="122" t="s">
        <v>35</v>
      </c>
      <c r="I31" s="126">
        <f>COUNTIFS(Observaciones[[#All],[Severidad]],Resumen!$P$12,Observaciones[[#All],[Prioridad]],Resumen!$P$17)</f>
        <v>117</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7</v>
      </c>
      <c r="D32" s="124">
        <f>C32/$C$10</f>
        <v>0.19444444444444445</v>
      </c>
      <c r="E32" s="125">
        <f>COUNTIFS(Observaciones[[#All],[Estado]],Resumen!$P$24,Observaciones[[#All],[Severidad]],Resumen!$P$13)</f>
        <v>77</v>
      </c>
      <c r="F32" s="124">
        <f>E32/$C$10</f>
        <v>2.1388888888888888</v>
      </c>
      <c r="G32" s="119"/>
      <c r="H32" s="122" t="s">
        <v>37</v>
      </c>
      <c r="I32" s="126">
        <f>COUNTIFS(Observaciones[[#All],[Severidad]],Resumen!$P$13,Observaciones[[#All],[Prioridad]],Resumen!$P$17)</f>
        <v>84</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3</v>
      </c>
      <c r="D33" s="124">
        <f>C33/$C$10</f>
        <v>8.3333333333333329E-2</v>
      </c>
      <c r="E33" s="125">
        <f>COUNTIFS(Observaciones[[#All],[Estado]],Resumen!$P$24,Observaciones[[#All],[Severidad]],Resumen!$P$14)</f>
        <v>92</v>
      </c>
      <c r="F33" s="124">
        <f>E33/$C$10</f>
        <v>2.5555555555555554</v>
      </c>
      <c r="G33" s="119"/>
      <c r="H33" s="122" t="s">
        <v>39</v>
      </c>
      <c r="I33" s="126">
        <f>COUNTIFS(Observaciones[[#All],[Severidad]],Resumen!$P$14,Observaciones[[#All],[Prioridad]],Resumen!$P$17)</f>
        <v>95</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11</v>
      </c>
      <c r="D34" s="129">
        <f>SUM(D30:D33)</f>
        <v>0.30555555555555552</v>
      </c>
      <c r="E34" s="128">
        <f>SUM(E30:E33)</f>
        <v>369</v>
      </c>
      <c r="F34" s="129">
        <f>SUM(F30:F33)</f>
        <v>10.25</v>
      </c>
      <c r="G34" s="119"/>
      <c r="H34" s="122" t="s">
        <v>72</v>
      </c>
      <c r="I34" s="130">
        <f>SUM(I30:I33)</f>
        <v>380</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2" priority="1" stopIfTrue="1">
      <formula>NOT(ISERROR(SEARCH("INSATISFACTORIO",G4)))</formula>
    </cfRule>
    <cfRule type="expression" dxfId="1" priority="2" stopIfTrue="1">
      <formula>NOT(ISERROR(SEARCH("SATISFACTORIO con Observaciones",G4)))</formula>
    </cfRule>
    <cfRule type="expression" dxfId="0"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7.8759894459102906</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0"/>
  <sheetViews>
    <sheetView zoomScale="85" zoomScaleNormal="85" workbookViewId="0">
      <selection activeCell="C18" sqref="C18:D19"/>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28</v>
      </c>
      <c r="J5" s="90" t="s">
        <v>47</v>
      </c>
      <c r="L5" s="93">
        <f>General!$A$10</f>
        <v>0</v>
      </c>
      <c r="M5" s="93">
        <v>40637</v>
      </c>
      <c r="N5" s="90">
        <v>1</v>
      </c>
      <c r="P5" s="92" t="s">
        <v>1142</v>
      </c>
      <c r="Q5" s="90" t="str">
        <f>CONCATENATE(General!$B$7," ",General!$B$6)</f>
        <v>Nicolay García José Ramos Ramírez</v>
      </c>
      <c r="R5" s="102"/>
    </row>
    <row r="6" spans="1:18" ht="4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162</v>
      </c>
      <c r="J6" s="90" t="s">
        <v>47</v>
      </c>
      <c r="K6" s="90"/>
      <c r="L6" s="93">
        <f>General!$A$10</f>
        <v>0</v>
      </c>
      <c r="M6" s="93"/>
      <c r="N6" s="90"/>
      <c r="O6" s="90"/>
      <c r="P6" s="92" t="s">
        <v>1143</v>
      </c>
      <c r="Q6" s="90" t="str">
        <f>CONCATENATE(General!$B$7," ",General!$B$6)</f>
        <v>Nicolay García José Ramos Ramírez</v>
      </c>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1090</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NO OK</v>
      </c>
      <c r="G8" s="90" t="s">
        <v>20</v>
      </c>
      <c r="H8" s="90" t="s">
        <v>28</v>
      </c>
      <c r="I8" s="92" t="s">
        <v>30</v>
      </c>
      <c r="J8" s="90" t="s">
        <v>47</v>
      </c>
      <c r="K8" s="90"/>
      <c r="L8" s="93">
        <f>General!$A$10</f>
        <v>0</v>
      </c>
      <c r="M8" s="93"/>
      <c r="N8" s="90"/>
      <c r="O8" s="90"/>
      <c r="P8" s="92" t="s">
        <v>1144</v>
      </c>
      <c r="Q8" s="90" t="str">
        <f>CONCATENATE(General!$B$7," ",General!$B$6)</f>
        <v>Nicolay García José Ramos Ramírez</v>
      </c>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1091</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1092</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1093</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1094</v>
      </c>
      <c r="Q12" s="90"/>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1095</v>
      </c>
      <c r="Q13" s="90"/>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t="s">
        <v>1096</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1097</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1098</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1099</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1100</v>
      </c>
      <c r="Q18" s="90"/>
    </row>
    <row r="19" spans="1:17" ht="78.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1145</v>
      </c>
      <c r="Q19" s="90" t="str">
        <f>CONCATENATE(General!$B$7," ",General!$B$6)</f>
        <v>Nicolay García José Ramos Ramírez</v>
      </c>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1064</v>
      </c>
      <c r="Q23" s="90"/>
    </row>
    <row r="24" spans="1:17" ht="112.5">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OK</v>
      </c>
      <c r="G27" s="92" t="s">
        <v>19</v>
      </c>
      <c r="H27" s="90" t="s">
        <v>28</v>
      </c>
      <c r="I27" s="92"/>
      <c r="J27" s="90"/>
      <c r="K27" s="90"/>
      <c r="L27" s="93">
        <f>General!$A$10</f>
        <v>0</v>
      </c>
      <c r="M27" s="93"/>
      <c r="N27" s="90"/>
      <c r="O27" s="90"/>
      <c r="P27" s="92" t="s">
        <v>1065</v>
      </c>
      <c r="Q27" s="90"/>
    </row>
    <row r="28" spans="1:17" ht="22.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OK</v>
      </c>
      <c r="G28" s="92" t="s">
        <v>19</v>
      </c>
      <c r="H28" s="90" t="s">
        <v>28</v>
      </c>
      <c r="I28" s="92"/>
      <c r="J28" s="90"/>
      <c r="K28" s="90"/>
      <c r="L28" s="93">
        <f>General!$A$10</f>
        <v>0</v>
      </c>
      <c r="M28" s="93"/>
      <c r="N28" s="90"/>
      <c r="O28" s="90"/>
      <c r="P28" s="92" t="s">
        <v>1066</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8"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1039</v>
      </c>
      <c r="Q30" s="90"/>
    </row>
    <row r="31" spans="1:17" ht="30">
      <c r="A31" s="90" t="s">
        <v>159</v>
      </c>
      <c r="B31" s="168"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1040</v>
      </c>
      <c r="Q31" s="90"/>
    </row>
    <row r="32" spans="1:17" ht="56.25">
      <c r="A32" s="90" t="s">
        <v>159</v>
      </c>
      <c r="B32" s="168"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1067</v>
      </c>
      <c r="Q32" s="90"/>
    </row>
    <row r="33" spans="1:17" ht="168.75">
      <c r="A33" s="90" t="s">
        <v>159</v>
      </c>
      <c r="B33" s="168"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8"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1041</v>
      </c>
      <c r="Q34" s="90"/>
    </row>
    <row r="35" spans="1:17" ht="180">
      <c r="A35" s="90" t="s">
        <v>159</v>
      </c>
      <c r="B35" s="168"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8"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8" t="s">
        <v>904</v>
      </c>
      <c r="C37" s="90" t="s">
        <v>170</v>
      </c>
      <c r="D37" s="169"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1022</v>
      </c>
      <c r="Q37" s="90" t="str">
        <f>CONCATENATE(General!$B$7," ",General!$B$6)</f>
        <v>Nicolay García José Ramos Ramírez</v>
      </c>
    </row>
    <row r="38" spans="1:17" ht="202.5">
      <c r="A38" s="90" t="s">
        <v>159</v>
      </c>
      <c r="B38" s="168" t="s">
        <v>905</v>
      </c>
      <c r="C38" s="90" t="s">
        <v>170</v>
      </c>
      <c r="D38" s="169"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1023</v>
      </c>
      <c r="Q38" s="90" t="str">
        <f>CONCATENATE(General!$B$7," ",General!$B$6)</f>
        <v>Nicolay García José Ramos Ramírez</v>
      </c>
    </row>
    <row r="39" spans="1:17" ht="90">
      <c r="A39" s="90" t="s">
        <v>159</v>
      </c>
      <c r="B39" s="168" t="s">
        <v>906</v>
      </c>
      <c r="C39" s="90" t="s">
        <v>170</v>
      </c>
      <c r="D39" s="169"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8"/>
      <c r="L39" s="172">
        <f>General!$A$10</f>
        <v>0</v>
      </c>
      <c r="M39" s="172"/>
      <c r="N39" s="168"/>
      <c r="O39" s="168"/>
      <c r="P39" s="171" t="s">
        <v>1024</v>
      </c>
      <c r="Q39" s="90" t="str">
        <f>CONCATENATE(General!$B$7," ",General!$B$6)</f>
        <v>Nicolay García José Ramos Ramírez</v>
      </c>
    </row>
    <row r="40" spans="1:17" ht="22.5">
      <c r="A40" s="168" t="s">
        <v>159</v>
      </c>
      <c r="B40" s="168" t="s">
        <v>906</v>
      </c>
      <c r="C40" s="90" t="s">
        <v>170</v>
      </c>
      <c r="D40" s="169" t="s">
        <v>1101</v>
      </c>
      <c r="E40" s="90" t="s">
        <v>160</v>
      </c>
      <c r="F40" s="91" t="str">
        <f>IF(CasoPrueba[[#This Row],[Estado Testing]]=Resumen!$P$28,"OK",IF(CasoPrueba[[#This Row],[Estado Testing]]=Resumen!$P$29,"NO OK",IF((CasoPrueba[[#This Row],[Estado Testing]]=Resumen!$P$30)+(CasoPrueba[[#This Row],[Estado Testing]]=Resumen!$P$31),"OBSERVADO","")))</f>
        <v/>
      </c>
      <c r="G40" s="92" t="s">
        <v>22</v>
      </c>
      <c r="H40" s="90" t="s">
        <v>28</v>
      </c>
      <c r="I40" s="92"/>
      <c r="J40" s="90"/>
      <c r="K40" s="168"/>
      <c r="L40" s="172">
        <f>General!$A$10</f>
        <v>0</v>
      </c>
      <c r="M40" s="172"/>
      <c r="N40" s="168"/>
      <c r="O40" s="168"/>
      <c r="P40" s="171"/>
      <c r="Q40"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O382"/>
  <sheetViews>
    <sheetView tabSelected="1" topLeftCell="A374" zoomScale="85" zoomScaleNormal="85" workbookViewId="0">
      <selection activeCell="B374" sqref="B374"/>
    </sheetView>
  </sheetViews>
  <sheetFormatPr baseColWidth="10" defaultColWidth="0" defaultRowHeight="15"/>
  <cols>
    <col min="1" max="1" width="12.7109375" style="72" customWidth="1"/>
    <col min="2" max="6" width="12.7109375" style="34" customWidth="1"/>
    <col min="7" max="8" width="12.7109375" style="73" customWidth="1"/>
    <col min="9" max="9" width="13.28515625" style="94" customWidth="1"/>
    <col min="10" max="10" width="41.5703125" style="34" customWidth="1"/>
    <col min="11" max="11" width="40.42578125" style="34" customWidth="1"/>
    <col min="12" max="12" width="12.7109375" style="31" customWidth="1"/>
    <col min="13" max="13" width="13.85546875" style="31" customWidth="1"/>
    <col min="14" max="16384" width="11.42578125" style="31" hidden="1"/>
  </cols>
  <sheetData>
    <row r="1" spans="1:15" customFormat="1" ht="31.5">
      <c r="A1" s="201" t="s">
        <v>96</v>
      </c>
      <c r="B1" s="201"/>
      <c r="C1" s="201"/>
      <c r="D1" s="201"/>
      <c r="E1" s="201"/>
      <c r="F1" s="201"/>
      <c r="G1" s="201"/>
      <c r="H1" s="201"/>
      <c r="I1" s="201"/>
      <c r="J1" s="201"/>
      <c r="K1" s="201"/>
      <c r="L1" s="201"/>
      <c r="O1" s="31" t="s">
        <v>132</v>
      </c>
    </row>
    <row r="2" spans="1:15"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5" ht="150">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5" ht="90">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5" ht="75">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5" ht="105">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5" ht="30">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5" ht="90">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5" ht="120">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5" ht="165">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5" ht="105">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5" ht="165">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5" ht="180">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5" ht="90">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5" ht="225">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5" ht="150">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105">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120">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75">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90">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150">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90">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105">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45">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150">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75">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105">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165">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120">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t="45">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90">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150">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75">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120">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120">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180">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90">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90">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165">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120">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75">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75">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150">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75">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90">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165">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t="45">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150">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75">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90">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150">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75">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75">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135">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180">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195">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75">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150">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75">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105">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90">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120">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t="45">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150">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75">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180">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150">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150">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75">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150">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75">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75">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t="45">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165">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75">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90">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135">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t="45">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90">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135">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135">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180">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165">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90">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105">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150">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120">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120">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225">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90">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150">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165">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150">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120">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210">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90">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135">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135">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135">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90">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t="60">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120">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135">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165">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105">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165">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105">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120">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135">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L112" s="34"/>
    </row>
    <row r="113" spans="1:12" ht="409.5">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105">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60">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150">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60">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135">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360">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390">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105">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105">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105">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135">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300">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120">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105">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75">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180">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180">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150">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150">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135">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360">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195">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135">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t="45">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120">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180">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75">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105">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300">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90">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150">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120">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105">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135">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135">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300">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240">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255">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90">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150">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150">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270">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105">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105">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300">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105">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120">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150">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120">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165">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120">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135">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240">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195">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105">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285">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150">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75">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135">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75">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135">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120">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105">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60">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195">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135">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135">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240">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195">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90">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195">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120">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300">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165">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165">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105">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150">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135">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105">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150">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165">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105">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120">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195">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105">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75">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195">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105">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180">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105">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180">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90">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330">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150">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195">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150">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150">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150">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
        <v>1149</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300">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
        <v>1150</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195">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195">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195">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96">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105">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90">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90">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315">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150">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195">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150">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210">
      <c r="A239" s="166"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customHeight="1">
      <c r="A240" s="166"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150">
      <c r="A241" s="166"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360">
      <c r="A242" s="166"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195">
      <c r="A243" s="166"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300">
      <c r="A244" s="166"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165">
      <c r="A245" s="166"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270">
      <c r="A246" s="166"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135">
      <c r="A247" s="166"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90">
      <c r="A248" s="166"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customHeight="1">
      <c r="A249" s="166"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255">
      <c r="A250" s="166"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120">
      <c r="A251" s="166"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105">
      <c r="A252" s="166"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195">
      <c r="A253" s="166"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195">
      <c r="A254" s="166"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105">
      <c r="A255" s="166"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300">
      <c r="A256" s="166"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150">
      <c r="A257" s="166"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customHeight="1">
      <c r="A258" s="166"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75">
      <c r="A259" s="166"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150">
      <c r="A260" s="166"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customHeight="1">
      <c r="A261" s="166"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105">
      <c r="A262" s="166"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105">
      <c r="A263" s="166"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120">
      <c r="A264" s="166"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150">
      <c r="A265" s="166"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165">
      <c r="A266" s="166"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135">
      <c r="A267" s="166"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300">
      <c r="A268" s="166"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150">
      <c r="A269" s="166"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150">
      <c r="A270" s="166"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105">
      <c r="A271" s="166"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150">
      <c r="A272" s="166"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75">
      <c r="A273" s="166"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90">
      <c r="A274" s="166"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75">
      <c r="A275" s="166"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150">
      <c r="A276" s="166"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195">
      <c r="A277" s="166"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120">
      <c r="A278" s="166"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300">
      <c r="A279" s="166"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150">
      <c r="A280" s="166"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105">
      <c r="A281" s="166"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120">
      <c r="A282" s="166"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195">
      <c r="A283" s="166"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120">
      <c r="A284" s="166"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300">
      <c r="A285" s="166"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150">
      <c r="A286" s="166"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105">
      <c r="A287" s="166"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150">
      <c r="A288" s="166"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75">
      <c r="A289" s="166"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60">
      <c r="A290" s="166"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105">
      <c r="A291" s="166"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90">
      <c r="A292" s="166"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300">
      <c r="A293" s="166"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150">
      <c r="A294" s="166"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90">
      <c r="A295" s="166"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120">
      <c r="A296" s="166"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135">
      <c r="A297" s="166"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120">
      <c r="A298" s="166"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195">
      <c r="A299" s="166"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225">
      <c r="A300" s="166"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300">
      <c r="A301" s="166"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150">
      <c r="A302" s="166"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t="60">
      <c r="A303" s="166"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135">
      <c r="A304" s="166"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105">
      <c r="A305" s="166" t="s">
        <v>746</v>
      </c>
      <c r="B305" s="164" t="s">
        <v>904</v>
      </c>
      <c r="C305" s="164" t="str">
        <f>VLOOKUP(Observaciones[Caso de Prueba],CasoPrueba[[#All],[Código CP]:[Prioridad]],7,TRUE)</f>
        <v>Alta</v>
      </c>
      <c r="D305" s="164" t="s">
        <v>162</v>
      </c>
      <c r="E305" s="34" t="s">
        <v>49</v>
      </c>
      <c r="F305" s="165">
        <v>40845</v>
      </c>
      <c r="G305" s="165">
        <v>40847</v>
      </c>
      <c r="H305" s="94" t="s">
        <v>132</v>
      </c>
      <c r="I305" s="164" t="s">
        <v>1003</v>
      </c>
      <c r="J305" s="164" t="s">
        <v>1042</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150">
      <c r="A306" s="166" t="s">
        <v>747</v>
      </c>
      <c r="B306" s="164" t="s">
        <v>904</v>
      </c>
      <c r="C306" s="164" t="str">
        <f>VLOOKUP(Observaciones[Caso de Prueba],CasoPrueba[[#All],[Código CP]:[Prioridad]],7,TRUE)</f>
        <v>Alta</v>
      </c>
      <c r="D306" s="34" t="s">
        <v>28</v>
      </c>
      <c r="E306" s="34" t="s">
        <v>49</v>
      </c>
      <c r="F306" s="165">
        <v>40845</v>
      </c>
      <c r="G306" s="165">
        <v>40847</v>
      </c>
      <c r="H306" s="94" t="s">
        <v>132</v>
      </c>
      <c r="I306" s="34" t="s">
        <v>871</v>
      </c>
      <c r="J306" s="164" t="s">
        <v>986</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150">
      <c r="A307" s="166" t="s">
        <v>748</v>
      </c>
      <c r="B307" s="164" t="s">
        <v>904</v>
      </c>
      <c r="C307" s="164" t="str">
        <f>VLOOKUP(Observaciones[Caso de Prueba],CasoPrueba[[#All],[Código CP]:[Prioridad]],7,TRUE)</f>
        <v>Alta</v>
      </c>
      <c r="D307" s="164" t="s">
        <v>29</v>
      </c>
      <c r="E307" s="34" t="s">
        <v>49</v>
      </c>
      <c r="F307" s="165">
        <v>40845</v>
      </c>
      <c r="G307" s="165">
        <v>40847</v>
      </c>
      <c r="H307" s="94" t="s">
        <v>132</v>
      </c>
      <c r="I307" s="164" t="s">
        <v>1004</v>
      </c>
      <c r="J307" s="164" t="s">
        <v>1043</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60">
      <c r="A308" s="166" t="s">
        <v>749</v>
      </c>
      <c r="B308" s="164" t="s">
        <v>904</v>
      </c>
      <c r="C308" s="164" t="str">
        <f>VLOOKUP(Observaciones[Caso de Prueba],CasoPrueba[[#All],[Código CP]:[Prioridad]],7,TRUE)</f>
        <v>Alta</v>
      </c>
      <c r="D308" s="164" t="s">
        <v>162</v>
      </c>
      <c r="E308" s="34" t="s">
        <v>49</v>
      </c>
      <c r="F308" s="165">
        <v>40845</v>
      </c>
      <c r="G308" s="165">
        <v>40847</v>
      </c>
      <c r="H308" s="94" t="s">
        <v>132</v>
      </c>
      <c r="I308" s="164" t="s">
        <v>1005</v>
      </c>
      <c r="J308" s="164" t="s">
        <v>1044</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225">
      <c r="A309" s="166" t="s">
        <v>750</v>
      </c>
      <c r="B309" s="164" t="s">
        <v>904</v>
      </c>
      <c r="C309" s="164" t="str">
        <f>VLOOKUP(Observaciones[Caso de Prueba],CasoPrueba[[#All],[Código CP]:[Prioridad]],7,TRUE)</f>
        <v>Alta</v>
      </c>
      <c r="D309" s="164" t="s">
        <v>30</v>
      </c>
      <c r="E309" s="34" t="s">
        <v>49</v>
      </c>
      <c r="F309" s="165">
        <v>40845</v>
      </c>
      <c r="G309" s="165">
        <v>40847</v>
      </c>
      <c r="H309" s="94" t="s">
        <v>132</v>
      </c>
      <c r="I309" s="164" t="s">
        <v>1006</v>
      </c>
      <c r="J309" s="164" t="s">
        <v>1045</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105">
      <c r="A310" s="166" t="s">
        <v>751</v>
      </c>
      <c r="B310" s="164" t="s">
        <v>904</v>
      </c>
      <c r="C310" s="164" t="str">
        <f>VLOOKUP(Observaciones[Caso de Prueba],CasoPrueba[[#All],[Código CP]:[Prioridad]],7,TRUE)</f>
        <v>Alta</v>
      </c>
      <c r="D310" s="164" t="s">
        <v>162</v>
      </c>
      <c r="E310" s="34" t="s">
        <v>49</v>
      </c>
      <c r="F310" s="165">
        <v>40845</v>
      </c>
      <c r="G310" s="165">
        <v>40847</v>
      </c>
      <c r="H310" s="94" t="s">
        <v>132</v>
      </c>
      <c r="I310" s="164" t="s">
        <v>1007</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135">
      <c r="A311" s="166" t="s">
        <v>752</v>
      </c>
      <c r="B311" s="164" t="s">
        <v>904</v>
      </c>
      <c r="C311" s="164" t="str">
        <f>VLOOKUP(Observaciones[Caso de Prueba],CasoPrueba[[#All],[Código CP]:[Prioridad]],7,TRUE)</f>
        <v>Alta</v>
      </c>
      <c r="D311" s="164" t="s">
        <v>29</v>
      </c>
      <c r="E311" s="34" t="s">
        <v>49</v>
      </c>
      <c r="F311" s="165">
        <v>40845</v>
      </c>
      <c r="G311" s="165">
        <v>40847</v>
      </c>
      <c r="H311" s="94" t="s">
        <v>132</v>
      </c>
      <c r="I311" s="164" t="s">
        <v>1008</v>
      </c>
      <c r="J311" s="164" t="s">
        <v>1046</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customHeight="1">
      <c r="A312" s="166" t="s">
        <v>753</v>
      </c>
      <c r="B312" s="164" t="s">
        <v>904</v>
      </c>
      <c r="C312" s="164" t="str">
        <f>VLOOKUP(Observaciones[Caso de Prueba],CasoPrueba[[#All],[Código CP]:[Prioridad]],7,TRUE)</f>
        <v>Alta</v>
      </c>
      <c r="D312" s="164" t="s">
        <v>162</v>
      </c>
      <c r="E312" s="34" t="s">
        <v>49</v>
      </c>
      <c r="F312" s="165">
        <v>40845</v>
      </c>
      <c r="G312" s="165">
        <v>40847</v>
      </c>
      <c r="H312" s="94" t="s">
        <v>132</v>
      </c>
      <c r="I312" s="164" t="s">
        <v>1009</v>
      </c>
      <c r="J312" s="164" t="s">
        <v>1047</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195">
      <c r="A313" s="166" t="s">
        <v>754</v>
      </c>
      <c r="B313" s="164" t="s">
        <v>904</v>
      </c>
      <c r="C313" s="164" t="str">
        <f>VLOOKUP(Observaciones[Caso de Prueba],CasoPrueba[[#All],[Código CP]:[Prioridad]],7,TRUE)</f>
        <v>Alta</v>
      </c>
      <c r="D313" s="164" t="s">
        <v>162</v>
      </c>
      <c r="E313" s="34" t="s">
        <v>49</v>
      </c>
      <c r="F313" s="165">
        <v>40845</v>
      </c>
      <c r="G313" s="165">
        <v>40847</v>
      </c>
      <c r="H313" s="94" t="s">
        <v>132</v>
      </c>
      <c r="I313" s="164" t="s">
        <v>1010</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90">
      <c r="A314" s="166" t="s">
        <v>755</v>
      </c>
      <c r="B314" s="164" t="s">
        <v>904</v>
      </c>
      <c r="C314" s="34" t="str">
        <f>VLOOKUP(Observaciones[Caso de Prueba],CasoPrueba[[#All],[Código CP]:[Prioridad]],7,TRUE)</f>
        <v>Alta</v>
      </c>
      <c r="D314" s="34" t="s">
        <v>30</v>
      </c>
      <c r="E314" s="34" t="s">
        <v>49</v>
      </c>
      <c r="F314" s="165">
        <v>40845</v>
      </c>
      <c r="G314" s="165">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195">
      <c r="A315" s="166" t="s">
        <v>756</v>
      </c>
      <c r="B315" s="164" t="s">
        <v>905</v>
      </c>
      <c r="C315" s="34" t="str">
        <f>VLOOKUP(Observaciones[Caso de Prueba],CasoPrueba[[#All],[Código CP]:[Prioridad]],7,TRUE)</f>
        <v>Alta</v>
      </c>
      <c r="D315" s="34" t="s">
        <v>28</v>
      </c>
      <c r="E315" s="34" t="s">
        <v>49</v>
      </c>
      <c r="F315" s="165">
        <v>40845</v>
      </c>
      <c r="G315" s="165">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75">
      <c r="A316" s="166" t="s">
        <v>757</v>
      </c>
      <c r="B316" s="164" t="s">
        <v>905</v>
      </c>
      <c r="C316" s="34" t="str">
        <f>VLOOKUP(Observaciones[Caso de Prueba],CasoPrueba[[#All],[Código CP]:[Prioridad]],7,TRUE)</f>
        <v>Alta</v>
      </c>
      <c r="D316" s="164" t="s">
        <v>162</v>
      </c>
      <c r="E316" s="34" t="s">
        <v>49</v>
      </c>
      <c r="F316" s="165">
        <v>40845</v>
      </c>
      <c r="G316" s="165">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180">
      <c r="A317" s="166" t="s">
        <v>758</v>
      </c>
      <c r="B317" s="164" t="s">
        <v>905</v>
      </c>
      <c r="C317" s="34" t="str">
        <f>VLOOKUP(Observaciones[Caso de Prueba],CasoPrueba[[#All],[Código CP]:[Prioridad]],7,TRUE)</f>
        <v>Alta</v>
      </c>
      <c r="D317" s="34" t="s">
        <v>28</v>
      </c>
      <c r="E317" s="34" t="s">
        <v>49</v>
      </c>
      <c r="F317" s="165">
        <v>40845</v>
      </c>
      <c r="G317" s="165">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240">
      <c r="A318" s="166" t="s">
        <v>759</v>
      </c>
      <c r="B318" s="164" t="s">
        <v>905</v>
      </c>
      <c r="C318" s="34" t="str">
        <f>VLOOKUP(Observaciones[Caso de Prueba],CasoPrueba[[#All],[Código CP]:[Prioridad]],7,TRUE)</f>
        <v>Alta</v>
      </c>
      <c r="D318" s="34" t="s">
        <v>29</v>
      </c>
      <c r="E318" s="34" t="s">
        <v>49</v>
      </c>
      <c r="F318" s="165">
        <v>40845</v>
      </c>
      <c r="G318" s="165">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225">
      <c r="A319" s="166" t="s">
        <v>760</v>
      </c>
      <c r="B319" s="164" t="s">
        <v>905</v>
      </c>
      <c r="C319" s="34" t="str">
        <f>VLOOKUP(Observaciones[Caso de Prueba],CasoPrueba[[#All],[Código CP]:[Prioridad]],7,TRUE)</f>
        <v>Alta</v>
      </c>
      <c r="D319" s="34" t="s">
        <v>28</v>
      </c>
      <c r="E319" s="34" t="s">
        <v>49</v>
      </c>
      <c r="F319" s="165">
        <v>40845</v>
      </c>
      <c r="G319" s="165">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60">
      <c r="A320" s="166" t="s">
        <v>761</v>
      </c>
      <c r="B320" s="164" t="s">
        <v>905</v>
      </c>
      <c r="C320" s="34" t="str">
        <f>VLOOKUP(Observaciones[Caso de Prueba],CasoPrueba[[#All],[Código CP]:[Prioridad]],7,TRUE)</f>
        <v>Alta</v>
      </c>
      <c r="D320" s="34" t="s">
        <v>30</v>
      </c>
      <c r="E320" s="34" t="s">
        <v>49</v>
      </c>
      <c r="F320" s="165">
        <v>40845</v>
      </c>
      <c r="G320" s="165">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90">
      <c r="A321" s="166" t="s">
        <v>762</v>
      </c>
      <c r="B321" s="164" t="s">
        <v>905</v>
      </c>
      <c r="C321" s="34" t="str">
        <f>VLOOKUP(Observaciones[Caso de Prueba],CasoPrueba[[#All],[Código CP]:[Prioridad]],7,TRUE)</f>
        <v>Alta</v>
      </c>
      <c r="D321" s="34" t="s">
        <v>162</v>
      </c>
      <c r="E321" s="34" t="s">
        <v>49</v>
      </c>
      <c r="F321" s="165">
        <v>40845</v>
      </c>
      <c r="G321" s="165">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255">
      <c r="A322" s="166" t="s">
        <v>763</v>
      </c>
      <c r="B322" s="164" t="s">
        <v>905</v>
      </c>
      <c r="C322" s="34" t="str">
        <f>VLOOKUP(Observaciones[Caso de Prueba],CasoPrueba[[#All],[Código CP]:[Prioridad]],7,TRUE)</f>
        <v>Alta</v>
      </c>
      <c r="D322" s="34" t="s">
        <v>29</v>
      </c>
      <c r="E322" s="34" t="s">
        <v>49</v>
      </c>
      <c r="F322" s="165">
        <v>40845</v>
      </c>
      <c r="G322" s="165">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75">
      <c r="A323" s="166" t="s">
        <v>764</v>
      </c>
      <c r="B323" s="164" t="s">
        <v>905</v>
      </c>
      <c r="C323" s="34" t="str">
        <f>VLOOKUP(Observaciones[Caso de Prueba],CasoPrueba[[#All],[Código CP]:[Prioridad]],7,TRUE)</f>
        <v>Alta</v>
      </c>
      <c r="D323" s="34" t="s">
        <v>162</v>
      </c>
      <c r="E323" s="34" t="s">
        <v>49</v>
      </c>
      <c r="F323" s="165">
        <v>40845</v>
      </c>
      <c r="G323" s="165">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195">
      <c r="A324" s="166" t="s">
        <v>765</v>
      </c>
      <c r="B324" s="164" t="s">
        <v>906</v>
      </c>
      <c r="C324" s="34" t="str">
        <f>VLOOKUP(Observaciones[Caso de Prueba],CasoPrueba[[#All],[Código CP]:[Prioridad]],7,TRUE)</f>
        <v>Alta</v>
      </c>
      <c r="D324" s="34" t="s">
        <v>28</v>
      </c>
      <c r="E324" s="34" t="s">
        <v>49</v>
      </c>
      <c r="F324" s="165">
        <v>40845</v>
      </c>
      <c r="G324" s="165">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75">
      <c r="A325" s="166" t="s">
        <v>766</v>
      </c>
      <c r="B325" s="164" t="s">
        <v>906</v>
      </c>
      <c r="C325" s="34" t="str">
        <f>VLOOKUP(Observaciones[Caso de Prueba],CasoPrueba[[#All],[Código CP]:[Prioridad]],7,TRUE)</f>
        <v>Alta</v>
      </c>
      <c r="D325" s="164" t="s">
        <v>162</v>
      </c>
      <c r="E325" s="34" t="s">
        <v>49</v>
      </c>
      <c r="F325" s="165">
        <v>40845</v>
      </c>
      <c r="G325" s="165">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180">
      <c r="A326" s="166" t="s">
        <v>767</v>
      </c>
      <c r="B326" s="164" t="s">
        <v>906</v>
      </c>
      <c r="C326" s="34" t="str">
        <f>VLOOKUP(Observaciones[Caso de Prueba],CasoPrueba[[#All],[Código CP]:[Prioridad]],7,TRUE)</f>
        <v>Alta</v>
      </c>
      <c r="D326" s="34" t="s">
        <v>28</v>
      </c>
      <c r="E326" s="34" t="s">
        <v>49</v>
      </c>
      <c r="F326" s="165">
        <v>40845</v>
      </c>
      <c r="G326" s="165">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75">
      <c r="A327" s="166" t="s">
        <v>768</v>
      </c>
      <c r="B327" s="164" t="s">
        <v>906</v>
      </c>
      <c r="C327" s="34" t="str">
        <f>VLOOKUP(Observaciones[Caso de Prueba],CasoPrueba[[#All],[Código CP]:[Prioridad]],7,TRUE)</f>
        <v>Alta</v>
      </c>
      <c r="D327" s="34" t="s">
        <v>162</v>
      </c>
      <c r="E327" s="34" t="s">
        <v>49</v>
      </c>
      <c r="F327" s="165">
        <v>40845</v>
      </c>
      <c r="G327" s="165">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60">
      <c r="A328" s="166" t="s">
        <v>769</v>
      </c>
      <c r="B328" s="164" t="s">
        <v>906</v>
      </c>
      <c r="C328" s="34" t="str">
        <f>VLOOKUP(Observaciones[Caso de Prueba],CasoPrueba[[#All],[Código CP]:[Prioridad]],7,TRUE)</f>
        <v>Alta</v>
      </c>
      <c r="D328" s="34" t="s">
        <v>29</v>
      </c>
      <c r="E328" s="34" t="s">
        <v>49</v>
      </c>
      <c r="F328" s="165">
        <v>40845</v>
      </c>
      <c r="G328" s="165">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60">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60">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195">
      <c r="A332" s="166" t="s">
        <v>773</v>
      </c>
      <c r="B332" s="34" t="s">
        <v>619</v>
      </c>
      <c r="C332" s="34" t="str">
        <f>VLOOKUP(Observaciones[Caso de Prueba],CasoPrueba[[#All],[Código CP]:[Prioridad]],7,TRUE)</f>
        <v>Alta</v>
      </c>
      <c r="D332" s="34" t="s">
        <v>30</v>
      </c>
      <c r="E332" s="34" t="s">
        <v>49</v>
      </c>
      <c r="F332" s="165">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75">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210">
      <c r="A334" s="166" t="s">
        <v>775</v>
      </c>
      <c r="B334" s="34" t="s">
        <v>653</v>
      </c>
      <c r="C334" s="34" t="str">
        <f>VLOOKUP(Observaciones[Caso de Prueba],CasoPrueba[[#All],[Código CP]:[Prioridad]],7,TRUE)</f>
        <v>Alta</v>
      </c>
      <c r="D334" s="34" t="s">
        <v>29</v>
      </c>
      <c r="E334" s="34" t="s">
        <v>49</v>
      </c>
      <c r="F334" s="165">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105">
      <c r="A335" s="166" t="s">
        <v>776</v>
      </c>
      <c r="B335" s="34" t="s">
        <v>653</v>
      </c>
      <c r="C335" s="34" t="str">
        <f>VLOOKUP(Observaciones[Caso de Prueba],CasoPrueba[[#All],[Código CP]:[Prioridad]],7,TRUE)</f>
        <v>Alta</v>
      </c>
      <c r="D335" s="34" t="s">
        <v>29</v>
      </c>
      <c r="E335" s="34" t="s">
        <v>49</v>
      </c>
      <c r="F335" s="165">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75">
      <c r="A336" s="166" t="s">
        <v>777</v>
      </c>
      <c r="B336" s="34" t="s">
        <v>887</v>
      </c>
      <c r="C336" s="34" t="str">
        <f>VLOOKUP(Observaciones[Caso de Prueba],CasoPrueba[[#All],[Código CP]:[Prioridad]],7,TRUE)</f>
        <v>Alta</v>
      </c>
      <c r="D336" s="34" t="s">
        <v>162</v>
      </c>
      <c r="E336" s="34" t="s">
        <v>49</v>
      </c>
      <c r="F336" s="73">
        <v>40848</v>
      </c>
      <c r="G336" s="73">
        <v>40850</v>
      </c>
      <c r="H336" s="94" t="s">
        <v>132</v>
      </c>
      <c r="I336" s="34" t="s">
        <v>1035</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90">
      <c r="A337" s="166" t="s">
        <v>778</v>
      </c>
      <c r="B337" s="34" t="s">
        <v>887</v>
      </c>
      <c r="C337" s="34" t="str">
        <f>VLOOKUP(Observaciones[Caso de Prueba],CasoPrueba[[#All],[Código CP]:[Prioridad]],7,TRUE)</f>
        <v>Alta</v>
      </c>
      <c r="D337" s="34" t="s">
        <v>30</v>
      </c>
      <c r="E337" s="34" t="s">
        <v>49</v>
      </c>
      <c r="F337" s="73">
        <v>40848</v>
      </c>
      <c r="G337" s="73">
        <v>40850</v>
      </c>
      <c r="H337" s="94" t="s">
        <v>132</v>
      </c>
      <c r="I337" s="34" t="s">
        <v>1036</v>
      </c>
      <c r="J337" s="34" t="s">
        <v>1102</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60">
      <c r="A338" s="166" t="s">
        <v>779</v>
      </c>
      <c r="B338" s="34" t="s">
        <v>888</v>
      </c>
      <c r="C338" s="34" t="str">
        <f>VLOOKUP(Observaciones[Caso de Prueba],CasoPrueba[[#All],[Código CP]:[Prioridad]],7,TRUE)</f>
        <v>Alta</v>
      </c>
      <c r="D338" s="34" t="s">
        <v>30</v>
      </c>
      <c r="E338" s="34" t="s">
        <v>49</v>
      </c>
      <c r="F338" s="73">
        <v>40848</v>
      </c>
      <c r="G338" s="73">
        <v>40850</v>
      </c>
      <c r="H338" s="94" t="s">
        <v>132</v>
      </c>
      <c r="I338" s="34" t="s">
        <v>1014</v>
      </c>
      <c r="J338" s="34" t="s">
        <v>1103</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390">
      <c r="A339" s="164" t="s">
        <v>780</v>
      </c>
      <c r="B339" s="34" t="s">
        <v>889</v>
      </c>
      <c r="C339" s="34" t="str">
        <f>VLOOKUP(Observaciones[Caso de Prueba],CasoPrueba[[#All],[Código CP]:[Prioridad]],7,TRUE)</f>
        <v>Alta</v>
      </c>
      <c r="D339" s="34" t="s">
        <v>30</v>
      </c>
      <c r="E339" s="34" t="s">
        <v>49</v>
      </c>
      <c r="F339" s="73">
        <v>40848</v>
      </c>
      <c r="G339" s="73">
        <v>40850</v>
      </c>
      <c r="H339" s="94" t="s">
        <v>132</v>
      </c>
      <c r="I339" s="34" t="s">
        <v>1063</v>
      </c>
      <c r="J339" s="34" t="s">
        <v>1104</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105">
      <c r="A340" s="166" t="s">
        <v>781</v>
      </c>
      <c r="B340" s="34" t="s">
        <v>891</v>
      </c>
      <c r="C340" s="34" t="str">
        <f>VLOOKUP(Observaciones[Caso de Prueba],CasoPrueba[[#All],[Código CP]:[Prioridad]],7,TRUE)</f>
        <v>Alta</v>
      </c>
      <c r="D340" s="34" t="s">
        <v>162</v>
      </c>
      <c r="E340" s="34" t="s">
        <v>49</v>
      </c>
      <c r="F340" s="73">
        <v>40848</v>
      </c>
      <c r="G340" s="73">
        <v>40850</v>
      </c>
      <c r="H340" s="94" t="s">
        <v>132</v>
      </c>
      <c r="I340" s="34" t="s">
        <v>1038</v>
      </c>
      <c r="J340" s="34" t="s">
        <v>1105</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165">
      <c r="A341" s="166" t="s">
        <v>782</v>
      </c>
      <c r="B341" s="164" t="s">
        <v>614</v>
      </c>
      <c r="C341" s="34" t="str">
        <f>VLOOKUP(Observaciones[Caso de Prueba],CasoPrueba[[#All],[Código CP]:[Prioridad]],7,TRUE)</f>
        <v>Alta</v>
      </c>
      <c r="D341" s="34" t="s">
        <v>30</v>
      </c>
      <c r="E341" s="34" t="s">
        <v>49</v>
      </c>
      <c r="F341" s="73">
        <v>40848</v>
      </c>
      <c r="G341" s="73">
        <v>40850</v>
      </c>
      <c r="H341" s="94" t="s">
        <v>132</v>
      </c>
      <c r="I341" s="34" t="s">
        <v>1060</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75">
      <c r="A342" s="166" t="s">
        <v>783</v>
      </c>
      <c r="B342" s="34" t="s">
        <v>619</v>
      </c>
      <c r="C342" s="34" t="str">
        <f>VLOOKUP(Observaciones[Caso de Prueba],CasoPrueba[[#All],[Código CP]:[Prioridad]],7,TRUE)</f>
        <v>Alta</v>
      </c>
      <c r="D342" s="34" t="s">
        <v>162</v>
      </c>
      <c r="E342" s="34" t="s">
        <v>49</v>
      </c>
      <c r="F342" s="73">
        <v>40848</v>
      </c>
      <c r="G342" s="73">
        <v>40850</v>
      </c>
      <c r="H342" s="94" t="s">
        <v>132</v>
      </c>
      <c r="I342" s="34" t="s">
        <v>1061</v>
      </c>
      <c r="J342" s="34" t="s">
        <v>1044</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60">
      <c r="A343" s="166" t="s">
        <v>784</v>
      </c>
      <c r="B343" s="34" t="s">
        <v>653</v>
      </c>
      <c r="C343" s="34" t="str">
        <f>VLOOKUP(Observaciones[Caso de Prueba],CasoPrueba[[#All],[Código CP]:[Prioridad]],7,TRUE)</f>
        <v>Alta</v>
      </c>
      <c r="D343" s="34" t="s">
        <v>162</v>
      </c>
      <c r="E343" s="34" t="s">
        <v>49</v>
      </c>
      <c r="F343" s="73">
        <v>40848</v>
      </c>
      <c r="G343" s="73">
        <v>40850</v>
      </c>
      <c r="H343" s="94" t="s">
        <v>132</v>
      </c>
      <c r="I343" s="34" t="s">
        <v>1062</v>
      </c>
      <c r="J343" s="34" t="s">
        <v>1106</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150">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977</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195">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1107</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150">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955</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300">
      <c r="A347" s="166" t="s">
        <v>788</v>
      </c>
      <c r="B347" s="34" t="s">
        <v>152</v>
      </c>
      <c r="C347" s="34" t="str">
        <f>VLOOKUP(Observaciones[Caso de Prueba],CasoPrueba[[#All],[Código CP]:[Prioridad]],7,TRUE)</f>
        <v>Alta</v>
      </c>
      <c r="D347" s="34" t="s">
        <v>28</v>
      </c>
      <c r="E347" s="34" t="s">
        <v>49</v>
      </c>
      <c r="F347" s="73">
        <v>40848</v>
      </c>
      <c r="G347" s="73">
        <v>40850</v>
      </c>
      <c r="H347" s="94" t="s">
        <v>132</v>
      </c>
      <c r="I347" s="34" t="s">
        <v>1068</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t="60">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1108</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195">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1109</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165">
      <c r="A350" s="166" t="s">
        <v>791</v>
      </c>
      <c r="B350" s="34" t="s">
        <v>153</v>
      </c>
      <c r="C350" s="34" t="str">
        <f>VLOOKUP(Observaciones[Caso de Prueba],CasoPrueba[[#All],[Código CP]:[Prioridad]],7,TRUE)</f>
        <v>Alta</v>
      </c>
      <c r="D350" s="34" t="s">
        <v>30</v>
      </c>
      <c r="E350" s="34" t="s">
        <v>49</v>
      </c>
      <c r="F350" s="73">
        <v>40848</v>
      </c>
      <c r="G350" s="73">
        <v>40850</v>
      </c>
      <c r="H350" s="94" t="s">
        <v>132</v>
      </c>
      <c r="I350" s="34" t="s">
        <v>1069</v>
      </c>
      <c r="J350" s="34" t="s">
        <v>955</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195">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1110</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195">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1111</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165">
      <c r="A353" s="166" t="s">
        <v>794</v>
      </c>
      <c r="B353" s="34" t="s">
        <v>155</v>
      </c>
      <c r="C353" s="34" t="str">
        <f>VLOOKUP(Observaciones[Caso de Prueba],CasoPrueba[[#All],[Código CP]:[Prioridad]],7,TRUE)</f>
        <v>Alta</v>
      </c>
      <c r="D353" s="34" t="s">
        <v>28</v>
      </c>
      <c r="E353" s="34" t="s">
        <v>49</v>
      </c>
      <c r="F353" s="73">
        <v>40848</v>
      </c>
      <c r="G353" s="73">
        <v>40850</v>
      </c>
      <c r="H353" s="94" t="s">
        <v>132</v>
      </c>
      <c r="I353" s="34" t="s">
        <v>1085</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285">
      <c r="A354" s="166" t="s">
        <v>795</v>
      </c>
      <c r="B354" s="34" t="s">
        <v>155</v>
      </c>
      <c r="C354" s="34" t="str">
        <f>VLOOKUP(Observaciones[Caso de Prueba],CasoPrueba[[#All],[Código CP]:[Prioridad]],7,TRUE)</f>
        <v>Alta</v>
      </c>
      <c r="D354" s="34" t="s">
        <v>28</v>
      </c>
      <c r="E354" s="34" t="s">
        <v>49</v>
      </c>
      <c r="F354" s="73">
        <v>40848</v>
      </c>
      <c r="G354" s="73">
        <v>40850</v>
      </c>
      <c r="H354" s="94" t="s">
        <v>132</v>
      </c>
      <c r="I354" s="34" t="s">
        <v>1081</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195">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1112</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195">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1113</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195">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1114</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195">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1115</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150">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1001</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195">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1001</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180">
      <c r="A361" s="166" t="s">
        <v>802</v>
      </c>
      <c r="B361" s="34" t="s">
        <v>173</v>
      </c>
      <c r="C361" s="34" t="str">
        <f>VLOOKUP(Observaciones[Caso de Prueba],CasoPrueba[[#All],[Código CP]:[Prioridad]],7,TRUE)</f>
        <v>Alta</v>
      </c>
      <c r="D361" s="34" t="s">
        <v>28</v>
      </c>
      <c r="E361" s="34" t="s">
        <v>49</v>
      </c>
      <c r="F361" s="73">
        <v>40848</v>
      </c>
      <c r="G361" s="73">
        <v>40850</v>
      </c>
      <c r="H361" s="94" t="s">
        <v>132</v>
      </c>
      <c r="I361" s="34" t="s">
        <v>1082</v>
      </c>
      <c r="J361" s="34" t="s">
        <v>1001</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195">
      <c r="A362" s="166" t="s">
        <v>1070</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1001</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75">
      <c r="A363" s="166" t="s">
        <v>1071</v>
      </c>
      <c r="B363" s="34" t="s">
        <v>174</v>
      </c>
      <c r="C363" s="34" t="str">
        <f>VLOOKUP(Observaciones[Caso de Prueba],CasoPrueba[[#All],[Código CP]:[Prioridad]],7,TRUE)</f>
        <v>Alta</v>
      </c>
      <c r="D363" s="34" t="s">
        <v>28</v>
      </c>
      <c r="E363" s="34" t="s">
        <v>49</v>
      </c>
      <c r="F363" s="73">
        <v>40848</v>
      </c>
      <c r="G363" s="73">
        <v>40850</v>
      </c>
      <c r="H363" s="94" t="s">
        <v>132</v>
      </c>
      <c r="I363" s="34" t="s">
        <v>1083</v>
      </c>
      <c r="J363" s="34" t="s">
        <v>1116</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165">
      <c r="A364" s="166" t="s">
        <v>1072</v>
      </c>
      <c r="B364" s="34" t="s">
        <v>174</v>
      </c>
      <c r="C364" s="34" t="str">
        <f>VLOOKUP(Observaciones[Caso de Prueba],CasoPrueba[[#All],[Código CP]:[Prioridad]],7,TRUE)</f>
        <v>Alta</v>
      </c>
      <c r="D364" s="34" t="s">
        <v>28</v>
      </c>
      <c r="E364" s="34" t="s">
        <v>49</v>
      </c>
      <c r="F364" s="73">
        <v>40848</v>
      </c>
      <c r="G364" s="73">
        <v>40850</v>
      </c>
      <c r="H364" s="94" t="s">
        <v>132</v>
      </c>
      <c r="I364" s="34" t="s">
        <v>1084</v>
      </c>
      <c r="J364" s="34" t="s">
        <v>1117</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195">
      <c r="A365" s="166" t="s">
        <v>1073</v>
      </c>
      <c r="B365" s="34" t="s">
        <v>175</v>
      </c>
      <c r="C365" s="34" t="str">
        <f>VLOOKUP(Observaciones[Caso de Prueba],CasoPrueba[[#All],[Código CP]:[Prioridad]],7,TRUE)</f>
        <v>Alta</v>
      </c>
      <c r="D365" s="34" t="s">
        <v>28</v>
      </c>
      <c r="E365" s="34" t="s">
        <v>49</v>
      </c>
      <c r="F365" s="73">
        <v>40848</v>
      </c>
      <c r="G365" s="73">
        <v>40850</v>
      </c>
      <c r="H365" s="94" t="s">
        <v>132</v>
      </c>
      <c r="I365" s="34" t="s">
        <v>597</v>
      </c>
      <c r="J365" s="34" t="s">
        <v>1118</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t="60">
      <c r="A366" s="166" t="s">
        <v>1074</v>
      </c>
      <c r="B366" s="34" t="s">
        <v>175</v>
      </c>
      <c r="C366" s="34" t="str">
        <f>VLOOKUP(Observaciones[Caso de Prueba],CasoPrueba[[#All],[Código CP]:[Prioridad]],7,TRUE)</f>
        <v>Alta</v>
      </c>
      <c r="D366" s="34" t="s">
        <v>28</v>
      </c>
      <c r="E366" s="34" t="s">
        <v>49</v>
      </c>
      <c r="F366" s="73">
        <v>40848</v>
      </c>
      <c r="G366" s="73">
        <v>40850</v>
      </c>
      <c r="H366" s="94" t="s">
        <v>132</v>
      </c>
      <c r="I366" s="34" t="s">
        <v>1086</v>
      </c>
      <c r="J366" s="34" t="s">
        <v>1119</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180">
      <c r="A367" s="166" t="s">
        <v>1075</v>
      </c>
      <c r="B367" s="34" t="s">
        <v>175</v>
      </c>
      <c r="C367" s="34" t="str">
        <f>VLOOKUP(Observaciones[Caso de Prueba],CasoPrueba[[#All],[Código CP]:[Prioridad]],7,TRUE)</f>
        <v>Alta</v>
      </c>
      <c r="D367" s="34" t="s">
        <v>28</v>
      </c>
      <c r="E367" s="34" t="s">
        <v>49</v>
      </c>
      <c r="F367" s="73">
        <v>40848</v>
      </c>
      <c r="G367" s="73">
        <v>40850</v>
      </c>
      <c r="H367" s="94" t="s">
        <v>132</v>
      </c>
      <c r="I367" s="34" t="s">
        <v>1087</v>
      </c>
      <c r="J367" s="34" t="s">
        <v>1117</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375">
      <c r="A368" s="166" t="s">
        <v>1076</v>
      </c>
      <c r="B368" s="34" t="s">
        <v>175</v>
      </c>
      <c r="C368" s="34" t="str">
        <f>VLOOKUP(Observaciones[Caso de Prueba],CasoPrueba[[#All],[Código CP]:[Prioridad]],7,TRUE)</f>
        <v>Alta</v>
      </c>
      <c r="D368" s="34" t="s">
        <v>28</v>
      </c>
      <c r="E368" s="34" t="s">
        <v>49</v>
      </c>
      <c r="F368" s="73">
        <v>40848</v>
      </c>
      <c r="G368" s="73">
        <v>40850</v>
      </c>
      <c r="H368" s="94" t="s">
        <v>132</v>
      </c>
      <c r="I368" s="34" t="s">
        <v>1088</v>
      </c>
      <c r="J368" s="34" t="s">
        <v>1120</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195">
      <c r="A369" s="166" t="s">
        <v>1077</v>
      </c>
      <c r="B369" s="34" t="s">
        <v>176</v>
      </c>
      <c r="C369" s="34" t="str">
        <f>VLOOKUP(Observaciones[Caso de Prueba],CasoPrueba[[#All],[Código CP]:[Prioridad]],7,TRUE)</f>
        <v>Alta</v>
      </c>
      <c r="D369" s="34" t="s">
        <v>28</v>
      </c>
      <c r="E369" s="34" t="s">
        <v>49</v>
      </c>
      <c r="F369" s="73">
        <v>40848</v>
      </c>
      <c r="G369" s="73">
        <v>40850</v>
      </c>
      <c r="H369" s="94" t="s">
        <v>132</v>
      </c>
      <c r="I369" s="34" t="s">
        <v>597</v>
      </c>
      <c r="J369" s="34" t="s">
        <v>1118</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t="60">
      <c r="A370" s="166" t="s">
        <v>1078</v>
      </c>
      <c r="B370" s="34" t="s">
        <v>176</v>
      </c>
      <c r="C370" s="34" t="str">
        <f>VLOOKUP(Observaciones[Caso de Prueba],CasoPrueba[[#All],[Código CP]:[Prioridad]],7,TRUE)</f>
        <v>Alta</v>
      </c>
      <c r="D370" s="34" t="s">
        <v>28</v>
      </c>
      <c r="E370" s="34" t="s">
        <v>49</v>
      </c>
      <c r="F370" s="73">
        <v>40848</v>
      </c>
      <c r="G370" s="73">
        <v>40850</v>
      </c>
      <c r="H370" s="94" t="s">
        <v>132</v>
      </c>
      <c r="I370" s="34" t="s">
        <v>1086</v>
      </c>
      <c r="J370" s="34" t="s">
        <v>1119</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165">
      <c r="A371" s="166" t="s">
        <v>1079</v>
      </c>
      <c r="B371" s="34" t="s">
        <v>176</v>
      </c>
      <c r="C371" s="34" t="str">
        <f>VLOOKUP(Observaciones[Caso de Prueba],CasoPrueba[[#All],[Código CP]:[Prioridad]],7,TRUE)</f>
        <v>Alta</v>
      </c>
      <c r="D371" s="34" t="s">
        <v>28</v>
      </c>
      <c r="E371" s="34" t="s">
        <v>49</v>
      </c>
      <c r="F371" s="73">
        <v>40848</v>
      </c>
      <c r="G371" s="73">
        <v>40850</v>
      </c>
      <c r="H371" s="94" t="s">
        <v>132</v>
      </c>
      <c r="I371" s="34" t="s">
        <v>1089</v>
      </c>
      <c r="J371" s="34" t="s">
        <v>1121</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120">
      <c r="A372" s="166" t="s">
        <v>1080</v>
      </c>
      <c r="B372" s="34" t="s">
        <v>88</v>
      </c>
      <c r="C372" s="34" t="str">
        <f>VLOOKUP(Observaciones[Caso de Prueba],CasoPrueba[[#All],[Código CP]:[Prioridad]],7,TRUE)</f>
        <v>Alta</v>
      </c>
      <c r="D372" s="34" t="s">
        <v>28</v>
      </c>
      <c r="E372" s="34" t="s">
        <v>47</v>
      </c>
      <c r="F372" s="73">
        <v>40852</v>
      </c>
      <c r="H372" s="94" t="s">
        <v>132</v>
      </c>
      <c r="I372" s="34" t="s">
        <v>1127</v>
      </c>
      <c r="J372" s="34" t="s">
        <v>1146</v>
      </c>
      <c r="K372" s="34">
        <f>IF((Observaciones[[#This Row],[Fecha Levantamiento]]-Observaciones[[#This Row],[Fecha Detección]])&gt;=0,Observaciones[[#This Row],[Fecha Levantamiento]]-Observaciones[[#This Row],[Fecha Detección]]+1,0)</f>
        <v>0</v>
      </c>
      <c r="L372" s="34" t="str">
        <f>LOOKUP(Observaciones[[#This Row],[Caso de Prueba]],CasoPrueba[Código CP],CasoPrueba[Código de REQ])</f>
        <v>INSPECCIÓN</v>
      </c>
    </row>
    <row r="373" spans="1:12" ht="195">
      <c r="A373" s="166" t="s">
        <v>1122</v>
      </c>
      <c r="B373" s="34" t="s">
        <v>151</v>
      </c>
      <c r="C373" s="34" t="str">
        <f>VLOOKUP(Observaciones[Caso de Prueba],CasoPrueba[[#All],[Código CP]:[Prioridad]],7,TRUE)</f>
        <v>Alta</v>
      </c>
      <c r="D373" s="34" t="s">
        <v>162</v>
      </c>
      <c r="E373" s="34" t="s">
        <v>47</v>
      </c>
      <c r="F373" s="73">
        <v>40852</v>
      </c>
      <c r="H373" s="94" t="s">
        <v>132</v>
      </c>
      <c r="I373" s="34" t="s">
        <v>880</v>
      </c>
      <c r="J373" s="34" t="s">
        <v>1147</v>
      </c>
      <c r="K373" s="34">
        <f>IF((Observaciones[[#This Row],[Fecha Levantamiento]]-Observaciones[[#This Row],[Fecha Detección]])&gt;=0,Observaciones[[#This Row],[Fecha Levantamiento]]-Observaciones[[#This Row],[Fecha Detección]]+1,0)</f>
        <v>0</v>
      </c>
      <c r="L373" s="34" t="str">
        <f>LOOKUP(Observaciones[[#This Row],[Caso de Prueba]],CasoPrueba[Código CP],CasoPrueba[Código de REQ])</f>
        <v>INSPECCIÓN</v>
      </c>
    </row>
    <row r="374" spans="1:12" ht="120">
      <c r="A374" s="166" t="s">
        <v>1123</v>
      </c>
      <c r="B374" s="34" t="s">
        <v>153</v>
      </c>
      <c r="C374" s="34" t="str">
        <f>VLOOKUP(Observaciones[Caso de Prueba],CasoPrueba[[#All],[Código CP]:[Prioridad]],7,TRUE)</f>
        <v>Alta</v>
      </c>
      <c r="D374" s="34" t="s">
        <v>30</v>
      </c>
      <c r="E374" s="34" t="s">
        <v>47</v>
      </c>
      <c r="F374" s="73">
        <v>40852</v>
      </c>
      <c r="H374" s="94" t="s">
        <v>132</v>
      </c>
      <c r="I374" s="34" t="s">
        <v>1126</v>
      </c>
      <c r="J374" s="34" t="s">
        <v>1148</v>
      </c>
      <c r="K374" s="34">
        <f>IF((Observaciones[[#This Row],[Fecha Levantamiento]]-Observaciones[[#This Row],[Fecha Detección]])&gt;=0,Observaciones[[#This Row],[Fecha Levantamiento]]-Observaciones[[#This Row],[Fecha Detección]]+1,0)</f>
        <v>0</v>
      </c>
      <c r="L374" s="34" t="str">
        <f>LOOKUP(Observaciones[[#This Row],[Caso de Prueba]],CasoPrueba[Código CP],CasoPrueba[Código de REQ])</f>
        <v>INSPECCIÓN</v>
      </c>
    </row>
    <row r="375" spans="1:12" ht="150">
      <c r="A375" s="166" t="s">
        <v>1124</v>
      </c>
      <c r="B375" s="34" t="s">
        <v>175</v>
      </c>
      <c r="C375" s="34" t="str">
        <f>VLOOKUP(Observaciones[Caso de Prueba],CasoPrueba[[#All],[Código CP]:[Prioridad]],7,TRUE)</f>
        <v>Alta</v>
      </c>
      <c r="D375" s="34" t="s">
        <v>30</v>
      </c>
      <c r="E375" s="34" t="s">
        <v>47</v>
      </c>
      <c r="F375" s="73">
        <v>40852</v>
      </c>
      <c r="H375" s="94" t="s">
        <v>132</v>
      </c>
      <c r="I375" s="34" t="s">
        <v>1128</v>
      </c>
      <c r="J375" s="34" t="s">
        <v>1151</v>
      </c>
      <c r="K375" s="34">
        <f>IF((Observaciones[[#This Row],[Fecha Levantamiento]]-Observaciones[[#This Row],[Fecha Detección]])&gt;=0,Observaciones[[#This Row],[Fecha Levantamiento]]-Observaciones[[#This Row],[Fecha Detección]]+1,0)</f>
        <v>0</v>
      </c>
      <c r="L375" s="34" t="str">
        <f>LOOKUP(Observaciones[[#This Row],[Caso de Prueba]],CasoPrueba[Código CP],CasoPrueba[Código de REQ])</f>
        <v>INSPECCIÓN</v>
      </c>
    </row>
    <row r="376" spans="1:12" ht="75">
      <c r="A376" s="166" t="s">
        <v>1125</v>
      </c>
      <c r="B376" s="34" t="s">
        <v>175</v>
      </c>
      <c r="C376" s="34" t="str">
        <f>VLOOKUP(Observaciones[Caso de Prueba],CasoPrueba[[#All],[Código CP]:[Prioridad]],7,TRUE)</f>
        <v>Alta</v>
      </c>
      <c r="D376" s="34" t="s">
        <v>30</v>
      </c>
      <c r="E376" s="34" t="s">
        <v>47</v>
      </c>
      <c r="F376" s="73">
        <v>40852</v>
      </c>
      <c r="H376" s="94" t="s">
        <v>132</v>
      </c>
      <c r="I376" s="34" t="s">
        <v>1129</v>
      </c>
      <c r="J376" s="34" t="s">
        <v>1152</v>
      </c>
      <c r="K376" s="34">
        <f>IF((Observaciones[[#This Row],[Fecha Levantamiento]]-Observaciones[[#This Row],[Fecha Detección]])&gt;=0,Observaciones[[#This Row],[Fecha Levantamiento]]-Observaciones[[#This Row],[Fecha Detección]]+1,0)</f>
        <v>0</v>
      </c>
      <c r="L376" s="34" t="str">
        <f>LOOKUP(Observaciones[[#This Row],[Caso de Prueba]],CasoPrueba[Código CP],CasoPrueba[Código de REQ])</f>
        <v>INSPECCIÓN</v>
      </c>
    </row>
    <row r="377" spans="1:12" ht="135">
      <c r="A377" s="166" t="s">
        <v>1130</v>
      </c>
      <c r="B377" s="34" t="s">
        <v>175</v>
      </c>
      <c r="C377" s="34" t="str">
        <f>VLOOKUP(Observaciones[Caso de Prueba],CasoPrueba[[#All],[Código CP]:[Prioridad]],7,TRUE)</f>
        <v>Alta</v>
      </c>
      <c r="D377" s="34" t="s">
        <v>30</v>
      </c>
      <c r="E377" s="34" t="s">
        <v>47</v>
      </c>
      <c r="F377" s="73">
        <v>40852</v>
      </c>
      <c r="G377" s="165"/>
      <c r="H377" s="94" t="s">
        <v>132</v>
      </c>
      <c r="I377" s="164" t="s">
        <v>1136</v>
      </c>
      <c r="J377" s="34" t="s">
        <v>1153</v>
      </c>
      <c r="K377" s="164">
        <f>IF((Observaciones[[#This Row],[Fecha Levantamiento]]-Observaciones[[#This Row],[Fecha Detección]])&gt;=0,Observaciones[[#This Row],[Fecha Levantamiento]]-Observaciones[[#This Row],[Fecha Detección]]+1,0)</f>
        <v>0</v>
      </c>
      <c r="L377" s="164" t="str">
        <f>LOOKUP(Observaciones[[#This Row],[Caso de Prueba]],CasoPrueba[Código CP],CasoPrueba[Código de REQ])</f>
        <v>INSPECCIÓN</v>
      </c>
    </row>
    <row r="378" spans="1:12" ht="60">
      <c r="A378" s="166" t="s">
        <v>1131</v>
      </c>
      <c r="B378" s="34" t="s">
        <v>176</v>
      </c>
      <c r="C378" s="34" t="str">
        <f>VLOOKUP(Observaciones[Caso de Prueba],CasoPrueba[[#All],[Código CP]:[Prioridad]],7,TRUE)</f>
        <v>Alta</v>
      </c>
      <c r="D378" s="34" t="s">
        <v>162</v>
      </c>
      <c r="E378" s="34" t="s">
        <v>47</v>
      </c>
      <c r="F378" s="73">
        <v>40852</v>
      </c>
      <c r="G378" s="165"/>
      <c r="H378" s="94" t="s">
        <v>132</v>
      </c>
      <c r="I378" s="34" t="s">
        <v>1137</v>
      </c>
      <c r="J378" s="34" t="s">
        <v>1154</v>
      </c>
      <c r="K378" s="34">
        <f>IF((Observaciones[[#This Row],[Fecha Levantamiento]]-Observaciones[[#This Row],[Fecha Detección]])&gt;=0,Observaciones[[#This Row],[Fecha Levantamiento]]-Observaciones[[#This Row],[Fecha Detección]]+1,0)</f>
        <v>0</v>
      </c>
      <c r="L378" s="34" t="str">
        <f>LOOKUP(Observaciones[[#This Row],[Caso de Prueba]],CasoPrueba[Código CP],CasoPrueba[Código de REQ])</f>
        <v>INSPECCIÓN</v>
      </c>
    </row>
    <row r="379" spans="1:12" ht="45">
      <c r="A379" s="166" t="s">
        <v>1132</v>
      </c>
      <c r="B379" s="34" t="s">
        <v>176</v>
      </c>
      <c r="C379" s="34" t="str">
        <f>VLOOKUP(Observaciones[Caso de Prueba],CasoPrueba[[#All],[Código CP]:[Prioridad]],7,TRUE)</f>
        <v>Alta</v>
      </c>
      <c r="D379" s="34" t="s">
        <v>162</v>
      </c>
      <c r="E379" s="34" t="s">
        <v>47</v>
      </c>
      <c r="F379" s="73">
        <v>40852</v>
      </c>
      <c r="G379" s="165"/>
      <c r="H379" s="94" t="s">
        <v>132</v>
      </c>
      <c r="I379" s="34" t="s">
        <v>1138</v>
      </c>
      <c r="J379" s="34" t="s">
        <v>1155</v>
      </c>
      <c r="K379" s="34">
        <f>IF((Observaciones[[#This Row],[Fecha Levantamiento]]-Observaciones[[#This Row],[Fecha Detección]])&gt;=0,Observaciones[[#This Row],[Fecha Levantamiento]]-Observaciones[[#This Row],[Fecha Detección]]+1,0)</f>
        <v>0</v>
      </c>
      <c r="L379" s="34" t="str">
        <f>LOOKUP(Observaciones[[#This Row],[Caso de Prueba]],CasoPrueba[Código CP],CasoPrueba[Código de REQ])</f>
        <v>INSPECCIÓN</v>
      </c>
    </row>
    <row r="380" spans="1:12" ht="90">
      <c r="A380" s="166" t="s">
        <v>1133</v>
      </c>
      <c r="B380" s="34" t="s">
        <v>176</v>
      </c>
      <c r="C380" s="34" t="str">
        <f>VLOOKUP(Observaciones[Caso de Prueba],CasoPrueba[[#All],[Código CP]:[Prioridad]],7,TRUE)</f>
        <v>Alta</v>
      </c>
      <c r="D380" s="34" t="s">
        <v>30</v>
      </c>
      <c r="E380" s="34" t="s">
        <v>47</v>
      </c>
      <c r="F380" s="73">
        <v>40852</v>
      </c>
      <c r="G380" s="165"/>
      <c r="H380" s="94" t="s">
        <v>132</v>
      </c>
      <c r="I380" s="34" t="s">
        <v>1139</v>
      </c>
      <c r="J380" s="34" t="s">
        <v>1156</v>
      </c>
      <c r="K380" s="34">
        <f>IF((Observaciones[[#This Row],[Fecha Levantamiento]]-Observaciones[[#This Row],[Fecha Detección]])&gt;=0,Observaciones[[#This Row],[Fecha Levantamiento]]-Observaciones[[#This Row],[Fecha Detección]]+1,0)</f>
        <v>0</v>
      </c>
      <c r="L380" s="34" t="str">
        <f>LOOKUP(Observaciones[[#This Row],[Caso de Prueba]],CasoPrueba[Código CP],CasoPrueba[Código de REQ])</f>
        <v>INSPECCIÓN</v>
      </c>
    </row>
    <row r="381" spans="1:12" ht="60">
      <c r="A381" s="166" t="s">
        <v>1134</v>
      </c>
      <c r="B381" s="34" t="s">
        <v>176</v>
      </c>
      <c r="C381" s="34" t="str">
        <f>VLOOKUP(Observaciones[Caso de Prueba],CasoPrueba[[#All],[Código CP]:[Prioridad]],7,TRUE)</f>
        <v>Alta</v>
      </c>
      <c r="D381" s="34" t="s">
        <v>30</v>
      </c>
      <c r="E381" s="34" t="s">
        <v>47</v>
      </c>
      <c r="F381" s="73">
        <v>40852</v>
      </c>
      <c r="G381" s="165"/>
      <c r="H381" s="94" t="s">
        <v>132</v>
      </c>
      <c r="I381" s="34" t="s">
        <v>1140</v>
      </c>
      <c r="J381" s="34" t="s">
        <v>1157</v>
      </c>
      <c r="K381" s="34">
        <f>IF((Observaciones[[#This Row],[Fecha Levantamiento]]-Observaciones[[#This Row],[Fecha Detección]])&gt;=0,Observaciones[[#This Row],[Fecha Levantamiento]]-Observaciones[[#This Row],[Fecha Detección]]+1,0)</f>
        <v>0</v>
      </c>
      <c r="L381" s="34" t="str">
        <f>LOOKUP(Observaciones[[#This Row],[Caso de Prueba]],CasoPrueba[Código CP],CasoPrueba[Código de REQ])</f>
        <v>INSPECCIÓN</v>
      </c>
    </row>
    <row r="382" spans="1:12" ht="120">
      <c r="A382" s="166" t="s">
        <v>1135</v>
      </c>
      <c r="B382" s="34" t="s">
        <v>176</v>
      </c>
      <c r="C382" s="34" t="str">
        <f>VLOOKUP(Observaciones[Caso de Prueba],CasoPrueba[[#All],[Código CP]:[Prioridad]],7,TRUE)</f>
        <v>Alta</v>
      </c>
      <c r="D382" s="34" t="s">
        <v>30</v>
      </c>
      <c r="E382" s="34" t="s">
        <v>47</v>
      </c>
      <c r="F382" s="73">
        <v>40852</v>
      </c>
      <c r="G382" s="165"/>
      <c r="H382" s="94" t="s">
        <v>132</v>
      </c>
      <c r="I382" s="34" t="s">
        <v>1141</v>
      </c>
      <c r="J382" s="34" t="s">
        <v>1158</v>
      </c>
      <c r="K382" s="34">
        <f>IF((Observaciones[[#This Row],[Fecha Levantamiento]]-Observaciones[[#This Row],[Fecha Detección]])&gt;=0,Observaciones[[#This Row],[Fecha Levantamiento]]-Observaciones[[#This Row],[Fecha Detección]]+1,0)</f>
        <v>0</v>
      </c>
      <c r="L382" s="34" t="str">
        <f>LOOKUP(Observaciones[[#This Row],[Caso de Prueba]],CasoPrueba[Código CP],CasoPrueba[Código de REQ])</f>
        <v>INSPECCIÓN</v>
      </c>
    </row>
  </sheetData>
  <mergeCells count="1">
    <mergeCell ref="A1:L1"/>
  </mergeCells>
  <dataValidations count="1">
    <dataValidation type="list" allowBlank="1" showInputMessage="1" showErrorMessage="1" sqref="H3:H382">
      <formula1>$O$1:$O$2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4"/>
  <sheetViews>
    <sheetView zoomScale="85" zoomScaleNormal="85" workbookViewId="0">
      <selection activeCell="N15" sqref="N15"/>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Susan</cp:lastModifiedBy>
  <dcterms:created xsi:type="dcterms:W3CDTF">2011-02-09T13:28:15Z</dcterms:created>
  <dcterms:modified xsi:type="dcterms:W3CDTF">2011-11-06T00:59:34Z</dcterms:modified>
</cp:coreProperties>
</file>