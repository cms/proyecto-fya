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5.xml" ContentType="application/vnd.openxmlformats-officedocument.drawing+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35" windowWidth="15480" windowHeight="7950" tabRatio="783" firstSheet="1" activeTab="4"/>
  </bookViews>
  <sheets>
    <sheet name="General" sheetId="1" r:id="rId1"/>
    <sheet name="Resumen" sheetId="2" r:id="rId2"/>
    <sheet name="CuadrosResumen" sheetId="7" r:id="rId3"/>
    <sheet name="Iteracion" sheetId="3" r:id="rId4"/>
    <sheet name="Observaciones" sheetId="4" r:id="rId5"/>
    <sheet name="Consultas" sheetId="5" r:id="rId6"/>
    <sheet name="HistoricoAvance" sheetId="6" r:id="rId7"/>
  </sheets>
  <functionGroups builtInGroupCount="17"/>
  <externalReferences>
    <externalReference r:id="rId8"/>
  </externalReferences>
  <definedNames>
    <definedName name="_xlnm._FilterDatabase" localSheetId="4" hidden="1">Observaciones!$A$1:$K$1</definedName>
  </definedNames>
  <calcPr calcId="145621"/>
  <pivotCaches>
    <pivotCache cacheId="0" r:id="rId9"/>
    <pivotCache cacheId="1" r:id="rId10"/>
    <pivotCache cacheId="2" r:id="rId11"/>
    <pivotCache cacheId="3" r:id="rId12"/>
    <pivotCache cacheId="4" r:id="rId13"/>
    <pivotCache cacheId="5" r:id="rId14"/>
  </pivotCaches>
</workbook>
</file>

<file path=xl/calcChain.xml><?xml version="1.0" encoding="utf-8"?>
<calcChain xmlns="http://schemas.openxmlformats.org/spreadsheetml/2006/main">
  <c r="J4" i="6" l="1"/>
  <c r="J5" i="6"/>
  <c r="J6" i="6"/>
  <c r="J7" i="6"/>
  <c r="J8" i="6"/>
  <c r="J9" i="6"/>
  <c r="J10" i="6"/>
  <c r="J11" i="6"/>
  <c r="J12" i="6"/>
  <c r="J13" i="6"/>
  <c r="Q40" i="3"/>
  <c r="Q39" i="3"/>
  <c r="Q38" i="3"/>
  <c r="Q37" i="3"/>
  <c r="Q36" i="3"/>
  <c r="Q35" i="3"/>
  <c r="Q34" i="3"/>
  <c r="Q33" i="3"/>
  <c r="Q32" i="3"/>
  <c r="Q31" i="3"/>
  <c r="Q30" i="3"/>
  <c r="Q29" i="3"/>
  <c r="Q28" i="3"/>
  <c r="Q27" i="3"/>
  <c r="Q26" i="3"/>
  <c r="Q25" i="3"/>
  <c r="Q24" i="3"/>
  <c r="Q23" i="3"/>
  <c r="Q22" i="3"/>
  <c r="Q21" i="3"/>
  <c r="Q20" i="3"/>
  <c r="Q19" i="3"/>
  <c r="Q18" i="3"/>
  <c r="Q17" i="3"/>
  <c r="Q16" i="3"/>
  <c r="Q15" i="3"/>
  <c r="Q14" i="3"/>
  <c r="Q13" i="3"/>
  <c r="Q12" i="3"/>
  <c r="Q11" i="3"/>
  <c r="Q10" i="3"/>
  <c r="Q9" i="3"/>
  <c r="Q8" i="3"/>
  <c r="Q7" i="3"/>
  <c r="Q6" i="3"/>
  <c r="L40" i="3"/>
  <c r="F40" i="3"/>
  <c r="O13" i="6"/>
  <c r="C371" i="4"/>
  <c r="C370" i="4"/>
  <c r="C368" i="4"/>
  <c r="C367" i="4"/>
  <c r="C366" i="4"/>
  <c r="C369" i="4"/>
  <c r="C365" i="4"/>
  <c r="C364" i="4"/>
  <c r="C363" i="4"/>
  <c r="C354" i="4"/>
  <c r="C353" i="4"/>
  <c r="C372" i="4"/>
  <c r="K364" i="4"/>
  <c r="K365" i="4"/>
  <c r="K366" i="4"/>
  <c r="K367" i="4"/>
  <c r="K368" i="4"/>
  <c r="K369" i="4"/>
  <c r="K370" i="4"/>
  <c r="K371" i="4"/>
  <c r="K372" i="4"/>
  <c r="L364" i="4"/>
  <c r="L365" i="4"/>
  <c r="L366" i="4"/>
  <c r="L367" i="4"/>
  <c r="L368" i="4"/>
  <c r="L369" i="4"/>
  <c r="L370" i="4"/>
  <c r="L371" i="4"/>
  <c r="L372" i="4"/>
  <c r="K363" i="4"/>
  <c r="L363" i="4"/>
  <c r="K362" i="4"/>
  <c r="L362" i="4"/>
  <c r="C349" i="4"/>
  <c r="C348" i="4"/>
  <c r="C347" i="4"/>
  <c r="C341" i="4"/>
  <c r="C339" i="4" l="1"/>
  <c r="O12" i="6" l="1"/>
  <c r="C318" i="4"/>
  <c r="C324" i="4"/>
  <c r="C325" i="4"/>
  <c r="C326" i="4"/>
  <c r="C327" i="4"/>
  <c r="C328" i="4"/>
  <c r="C329" i="4"/>
  <c r="C330" i="4"/>
  <c r="C331" i="4"/>
  <c r="C332" i="4"/>
  <c r="C333" i="4"/>
  <c r="C334" i="4"/>
  <c r="C335" i="4"/>
  <c r="C336" i="4"/>
  <c r="C337" i="4"/>
  <c r="C338" i="4"/>
  <c r="C340" i="4"/>
  <c r="C342" i="4"/>
  <c r="C343" i="4"/>
  <c r="C344" i="4"/>
  <c r="C345" i="4"/>
  <c r="C346" i="4"/>
  <c r="C350" i="4"/>
  <c r="C351" i="4"/>
  <c r="C352" i="4"/>
  <c r="C355" i="4"/>
  <c r="C356" i="4"/>
  <c r="C357" i="4"/>
  <c r="C358" i="4"/>
  <c r="C359" i="4"/>
  <c r="C360" i="4"/>
  <c r="C361" i="4"/>
  <c r="C36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C314" i="4" l="1"/>
  <c r="C315" i="4"/>
  <c r="C316" i="4"/>
  <c r="C317" i="4"/>
  <c r="C319" i="4"/>
  <c r="C320" i="4"/>
  <c r="C321" i="4"/>
  <c r="C322" i="4"/>
  <c r="C323" i="4"/>
  <c r="K314" i="4"/>
  <c r="K315" i="4"/>
  <c r="K316" i="4"/>
  <c r="K317" i="4"/>
  <c r="K318" i="4"/>
  <c r="K319" i="4"/>
  <c r="K320" i="4"/>
  <c r="K321" i="4"/>
  <c r="K322" i="4"/>
  <c r="L314" i="4"/>
  <c r="L315" i="4"/>
  <c r="L316" i="4"/>
  <c r="L317" i="4"/>
  <c r="L318" i="4"/>
  <c r="L319" i="4"/>
  <c r="L320" i="4"/>
  <c r="L321" i="4"/>
  <c r="L322" i="4"/>
  <c r="C313" i="4"/>
  <c r="K313" i="4"/>
  <c r="L313" i="4"/>
  <c r="C312" i="4"/>
  <c r="K312" i="4"/>
  <c r="L312" i="4"/>
  <c r="C311" i="4"/>
  <c r="K311" i="4"/>
  <c r="L311" i="4"/>
  <c r="C310" i="4"/>
  <c r="K310" i="4"/>
  <c r="L310" i="4"/>
  <c r="C309" i="4"/>
  <c r="K309" i="4"/>
  <c r="L309" i="4"/>
  <c r="C308" i="4"/>
  <c r="K308" i="4"/>
  <c r="L308" i="4"/>
  <c r="C307" i="4"/>
  <c r="K307" i="4"/>
  <c r="L307" i="4"/>
  <c r="C306" i="4"/>
  <c r="K306" i="4"/>
  <c r="L306" i="4"/>
  <c r="C305" i="4"/>
  <c r="K305" i="4"/>
  <c r="L305" i="4"/>
  <c r="O11" i="6" l="1"/>
  <c r="K302" i="4"/>
  <c r="L302" i="4"/>
  <c r="K303" i="4"/>
  <c r="L303" i="4"/>
  <c r="C299" i="4"/>
  <c r="K292" i="4"/>
  <c r="L292" i="4"/>
  <c r="F13" i="2"/>
  <c r="O10" i="6"/>
  <c r="K272" i="4"/>
  <c r="L272" i="4"/>
  <c r="K270" i="4"/>
  <c r="K266" i="4"/>
  <c r="L266" i="4"/>
  <c r="K246" i="4"/>
  <c r="F37" i="3"/>
  <c r="F38" i="3"/>
  <c r="F39" i="3"/>
  <c r="L39" i="3"/>
  <c r="L38" i="3"/>
  <c r="L37" i="3"/>
  <c r="F30" i="3"/>
  <c r="L30" i="3"/>
  <c r="F31" i="3"/>
  <c r="L31" i="3"/>
  <c r="F32" i="3"/>
  <c r="L32" i="3"/>
  <c r="F33" i="3"/>
  <c r="L33" i="3"/>
  <c r="F34" i="3"/>
  <c r="L34" i="3"/>
  <c r="F35" i="3"/>
  <c r="L35" i="3"/>
  <c r="F36" i="3"/>
  <c r="L36" i="3"/>
  <c r="O9" i="6"/>
  <c r="C238" i="4"/>
  <c r="C237" i="4"/>
  <c r="C236" i="4"/>
  <c r="C235" i="4"/>
  <c r="K235" i="4"/>
  <c r="L235" i="4"/>
  <c r="C234" i="4"/>
  <c r="C233" i="4"/>
  <c r="C232" i="4"/>
  <c r="K232" i="4"/>
  <c r="L232" i="4"/>
  <c r="C231" i="4"/>
  <c r="K231" i="4"/>
  <c r="L231" i="4"/>
  <c r="C230" i="4"/>
  <c r="C229" i="4"/>
  <c r="C228" i="4"/>
  <c r="C227" i="4"/>
  <c r="C226" i="4"/>
  <c r="C225" i="4"/>
  <c r="C224" i="4"/>
  <c r="C223" i="4"/>
  <c r="C222" i="4"/>
  <c r="C221" i="4"/>
  <c r="C220" i="4"/>
  <c r="C219" i="4"/>
  <c r="C218" i="4"/>
  <c r="O8" i="6" l="1"/>
  <c r="C216" i="4"/>
  <c r="C217"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300" i="4"/>
  <c r="C301" i="4"/>
  <c r="C302" i="4"/>
  <c r="C303" i="4"/>
  <c r="C304" i="4"/>
  <c r="K216" i="4"/>
  <c r="K217" i="4"/>
  <c r="K218" i="4"/>
  <c r="K219" i="4"/>
  <c r="K220" i="4"/>
  <c r="K221" i="4"/>
  <c r="K222" i="4"/>
  <c r="K223" i="4"/>
  <c r="K224" i="4"/>
  <c r="K225" i="4"/>
  <c r="K226" i="4"/>
  <c r="K227" i="4"/>
  <c r="K228" i="4"/>
  <c r="K229" i="4"/>
  <c r="K230" i="4"/>
  <c r="K233" i="4"/>
  <c r="K234" i="4"/>
  <c r="K236" i="4"/>
  <c r="K237" i="4"/>
  <c r="K238" i="4"/>
  <c r="K239" i="4"/>
  <c r="K240" i="4"/>
  <c r="K241" i="4"/>
  <c r="K242" i="4"/>
  <c r="K243" i="4"/>
  <c r="K244" i="4"/>
  <c r="K245" i="4"/>
  <c r="K247" i="4"/>
  <c r="K248" i="4"/>
  <c r="K249" i="4"/>
  <c r="K250" i="4"/>
  <c r="K251" i="4"/>
  <c r="K252" i="4"/>
  <c r="K253" i="4"/>
  <c r="K254" i="4"/>
  <c r="K255" i="4"/>
  <c r="K256" i="4"/>
  <c r="K257" i="4"/>
  <c r="K258" i="4"/>
  <c r="K259" i="4"/>
  <c r="K260" i="4"/>
  <c r="K261" i="4"/>
  <c r="K262" i="4"/>
  <c r="K263" i="4"/>
  <c r="K264" i="4"/>
  <c r="K265" i="4"/>
  <c r="K267" i="4"/>
  <c r="K268" i="4"/>
  <c r="K269" i="4"/>
  <c r="K271" i="4"/>
  <c r="K273" i="4"/>
  <c r="K274" i="4"/>
  <c r="K275" i="4"/>
  <c r="K276" i="4"/>
  <c r="K277" i="4"/>
  <c r="K278" i="4"/>
  <c r="K279" i="4"/>
  <c r="K280" i="4"/>
  <c r="K281" i="4"/>
  <c r="K282" i="4"/>
  <c r="K283" i="4"/>
  <c r="K284" i="4"/>
  <c r="K285" i="4"/>
  <c r="K286" i="4"/>
  <c r="K287" i="4"/>
  <c r="K288" i="4"/>
  <c r="K289" i="4"/>
  <c r="K290" i="4"/>
  <c r="K291" i="4"/>
  <c r="K293" i="4"/>
  <c r="K294" i="4"/>
  <c r="K295" i="4"/>
  <c r="K296" i="4"/>
  <c r="K297" i="4"/>
  <c r="K298" i="4"/>
  <c r="K299" i="4"/>
  <c r="K300" i="4"/>
  <c r="K301" i="4"/>
  <c r="K304" i="4"/>
  <c r="L216" i="4"/>
  <c r="L217" i="4"/>
  <c r="L218" i="4"/>
  <c r="L219" i="4"/>
  <c r="L220" i="4"/>
  <c r="L221" i="4"/>
  <c r="L222" i="4"/>
  <c r="L223" i="4"/>
  <c r="L224" i="4"/>
  <c r="L225" i="4"/>
  <c r="L226" i="4"/>
  <c r="L227" i="4"/>
  <c r="L228" i="4"/>
  <c r="L229" i="4"/>
  <c r="L230" i="4"/>
  <c r="L233" i="4"/>
  <c r="L234" i="4"/>
  <c r="L236"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7" i="4"/>
  <c r="L268" i="4"/>
  <c r="L269" i="4"/>
  <c r="L270" i="4"/>
  <c r="L271" i="4"/>
  <c r="L273" i="4"/>
  <c r="L274" i="4"/>
  <c r="L275" i="4"/>
  <c r="L276" i="4"/>
  <c r="L277" i="4"/>
  <c r="L278" i="4"/>
  <c r="L279" i="4"/>
  <c r="L280" i="4"/>
  <c r="L281" i="4"/>
  <c r="L282" i="4"/>
  <c r="L283" i="4"/>
  <c r="L284" i="4"/>
  <c r="L285" i="4"/>
  <c r="L286" i="4"/>
  <c r="L287" i="4"/>
  <c r="L288" i="4"/>
  <c r="L289" i="4"/>
  <c r="L290" i="4"/>
  <c r="L291" i="4"/>
  <c r="L293" i="4"/>
  <c r="L294" i="4"/>
  <c r="L295" i="4"/>
  <c r="L296" i="4"/>
  <c r="L297" i="4"/>
  <c r="L298" i="4"/>
  <c r="L299" i="4"/>
  <c r="L300" i="4"/>
  <c r="L301" i="4"/>
  <c r="L304" i="4"/>
  <c r="F28" i="3"/>
  <c r="L28" i="3"/>
  <c r="F29" i="3"/>
  <c r="L29" i="3"/>
  <c r="C194" i="4"/>
  <c r="C195" i="4"/>
  <c r="C192" i="4"/>
  <c r="C188" i="4"/>
  <c r="C189" i="4"/>
  <c r="C177" i="4" l="1"/>
  <c r="C176" i="4"/>
  <c r="F24" i="3"/>
  <c r="L24" i="3"/>
  <c r="F25" i="3"/>
  <c r="L25" i="3"/>
  <c r="F26" i="3"/>
  <c r="L26" i="3"/>
  <c r="F27" i="3"/>
  <c r="L27" i="3"/>
  <c r="F23" i="3"/>
  <c r="L23" i="3"/>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8" i="4"/>
  <c r="C179" i="4"/>
  <c r="C180" i="4"/>
  <c r="C181" i="4"/>
  <c r="C182" i="4"/>
  <c r="C183" i="4"/>
  <c r="C184" i="4"/>
  <c r="C185" i="4"/>
  <c r="C186" i="4"/>
  <c r="C187" i="4"/>
  <c r="C190" i="4"/>
  <c r="C191" i="4"/>
  <c r="C193" i="4"/>
  <c r="C196" i="4"/>
  <c r="C197" i="4"/>
  <c r="C198" i="4"/>
  <c r="C199" i="4"/>
  <c r="C200" i="4"/>
  <c r="C201" i="4"/>
  <c r="C202" i="4"/>
  <c r="C203" i="4"/>
  <c r="C204" i="4"/>
  <c r="C205" i="4"/>
  <c r="C206" i="4"/>
  <c r="C207" i="4"/>
  <c r="C208" i="4"/>
  <c r="C209" i="4"/>
  <c r="C210" i="4"/>
  <c r="C211" i="4"/>
  <c r="C212" i="4"/>
  <c r="C213" i="4"/>
  <c r="C214" i="4"/>
  <c r="C215"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Q5" i="3" l="1"/>
  <c r="F21" i="3"/>
  <c r="F22" i="3"/>
  <c r="L21" i="3"/>
  <c r="L22" i="3"/>
  <c r="F20" i="3"/>
  <c r="L20" i="3"/>
  <c r="O7" i="6"/>
  <c r="C124" i="4"/>
  <c r="C125" i="4"/>
  <c r="C126" i="4"/>
  <c r="C127" i="4"/>
  <c r="C128" i="4"/>
  <c r="K124" i="4"/>
  <c r="K125" i="4"/>
  <c r="K126" i="4"/>
  <c r="K127" i="4"/>
  <c r="K128" i="4"/>
  <c r="L124" i="4"/>
  <c r="L125" i="4"/>
  <c r="L126" i="4"/>
  <c r="L127" i="4"/>
  <c r="L128" i="4"/>
  <c r="C123" i="4"/>
  <c r="K123" i="4"/>
  <c r="L123" i="4"/>
  <c r="O6" i="6"/>
  <c r="O5" i="6"/>
  <c r="O4" i="6"/>
  <c r="C108" i="4"/>
  <c r="K108" i="4"/>
  <c r="L108" i="4"/>
  <c r="C109" i="4"/>
  <c r="K109" i="4"/>
  <c r="L109" i="4"/>
  <c r="C110" i="4"/>
  <c r="K110" i="4"/>
  <c r="L110" i="4"/>
  <c r="C111" i="4"/>
  <c r="K111" i="4"/>
  <c r="L111" i="4"/>
  <c r="C112" i="4"/>
  <c r="C113" i="4"/>
  <c r="K113" i="4"/>
  <c r="L113" i="4"/>
  <c r="C114" i="4"/>
  <c r="K114" i="4"/>
  <c r="L114" i="4"/>
  <c r="C115" i="4"/>
  <c r="K115" i="4"/>
  <c r="L115" i="4"/>
  <c r="C116" i="4"/>
  <c r="K116" i="4"/>
  <c r="L116" i="4"/>
  <c r="C117" i="4"/>
  <c r="K117" i="4"/>
  <c r="L117" i="4"/>
  <c r="C118" i="4"/>
  <c r="C119" i="4"/>
  <c r="C120" i="4"/>
  <c r="C121" i="4"/>
  <c r="C122" i="4"/>
  <c r="K118" i="4"/>
  <c r="K119" i="4"/>
  <c r="K120" i="4"/>
  <c r="K121" i="4"/>
  <c r="K122" i="4"/>
  <c r="L118" i="4"/>
  <c r="L119" i="4"/>
  <c r="L120" i="4"/>
  <c r="L121" i="4"/>
  <c r="L122"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3"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3" i="4"/>
  <c r="F5" i="3"/>
  <c r="F6" i="3"/>
  <c r="F7" i="3"/>
  <c r="F8" i="3"/>
  <c r="F14" i="3"/>
  <c r="F15" i="3"/>
  <c r="F16" i="3"/>
  <c r="F17" i="3"/>
  <c r="F18" i="3"/>
  <c r="F19" i="3"/>
  <c r="L14" i="3"/>
  <c r="L15" i="3"/>
  <c r="L16" i="3"/>
  <c r="L17" i="3"/>
  <c r="L18" i="3"/>
  <c r="L19" i="3"/>
  <c r="F9" i="3" l="1"/>
  <c r="F10" i="3"/>
  <c r="F11" i="3"/>
  <c r="F12" i="3"/>
  <c r="F13" i="3"/>
  <c r="L6" i="3"/>
  <c r="L7" i="3"/>
  <c r="L8" i="3"/>
  <c r="L9" i="3"/>
  <c r="L10" i="3"/>
  <c r="L11" i="3"/>
  <c r="L12" i="3"/>
  <c r="L13" i="3"/>
  <c r="K33" i="2"/>
  <c r="C30" i="2"/>
  <c r="E30" i="2"/>
  <c r="I30" i="2"/>
  <c r="J30" i="2"/>
  <c r="K30" i="2"/>
  <c r="C31" i="2"/>
  <c r="E31" i="2"/>
  <c r="C32" i="2"/>
  <c r="E32" i="2"/>
  <c r="C33" i="2"/>
  <c r="E33" i="2"/>
  <c r="I33" i="2"/>
  <c r="J33" i="2" l="1"/>
  <c r="E34" i="2"/>
  <c r="C34" i="2"/>
  <c r="J32" i="2" l="1"/>
  <c r="I32" i="2"/>
  <c r="K32" i="2"/>
  <c r="I13" i="2" l="1"/>
  <c r="K13" i="2"/>
  <c r="L5" i="3"/>
  <c r="C3" i="5"/>
  <c r="J3" i="5"/>
  <c r="I31" i="2" l="1"/>
  <c r="I34" i="2" s="1"/>
  <c r="K31" i="2"/>
  <c r="K34" i="2" s="1"/>
  <c r="J31" i="2"/>
  <c r="J34" i="2" s="1"/>
  <c r="K20" i="2"/>
  <c r="K19" i="2"/>
  <c r="K18" i="2"/>
  <c r="I20" i="2"/>
  <c r="I19" i="2"/>
  <c r="I18" i="2"/>
  <c r="G20" i="2"/>
  <c r="G19" i="2"/>
  <c r="G18" i="2"/>
  <c r="M20" i="2"/>
  <c r="M19" i="2"/>
  <c r="M18" i="2"/>
  <c r="E20" i="2"/>
  <c r="E19" i="2"/>
  <c r="E18" i="2"/>
  <c r="C20" i="2"/>
  <c r="C19" i="2"/>
  <c r="C18" i="2"/>
  <c r="J13" i="2"/>
  <c r="H13" i="2"/>
  <c r="G13" i="2"/>
  <c r="E13" i="2"/>
  <c r="C14" i="2"/>
  <c r="C13" i="2"/>
  <c r="C12" i="2"/>
  <c r="G2" i="3"/>
  <c r="G89" i="7"/>
  <c r="C10" i="2"/>
  <c r="E2" i="3"/>
  <c r="G2" i="2"/>
  <c r="D2" i="2"/>
  <c r="D30" i="2" l="1"/>
  <c r="D31" i="2"/>
  <c r="F33" i="2"/>
  <c r="F32" i="2"/>
  <c r="D32" i="2"/>
  <c r="F30" i="2"/>
  <c r="D33" i="2"/>
  <c r="F31" i="2"/>
  <c r="C11" i="2"/>
  <c r="D6" i="2" s="1"/>
  <c r="D18" i="2"/>
  <c r="K14" i="2"/>
  <c r="G68" i="7"/>
  <c r="C21" i="2"/>
  <c r="F20" i="2"/>
  <c r="J19" i="2"/>
  <c r="L20" i="2"/>
  <c r="F19" i="2"/>
  <c r="N20" i="2"/>
  <c r="L19" i="2"/>
  <c r="F18" i="2"/>
  <c r="N19" i="2"/>
  <c r="H20" i="2"/>
  <c r="L18" i="2"/>
  <c r="N18" i="2"/>
  <c r="H19" i="2"/>
  <c r="J20" i="2"/>
  <c r="I21" i="2"/>
  <c r="G21" i="2"/>
  <c r="M21" i="2"/>
  <c r="K21" i="2"/>
  <c r="J18" i="2"/>
  <c r="H18" i="2"/>
  <c r="E21" i="2"/>
  <c r="D19" i="2"/>
  <c r="D20" i="2"/>
  <c r="F14" i="2"/>
  <c r="J14" i="2"/>
  <c r="E14" i="2"/>
  <c r="I14" i="2"/>
  <c r="H14" i="2"/>
  <c r="G14" i="2"/>
  <c r="D4" i="2" l="1"/>
  <c r="F34" i="2"/>
  <c r="D34" i="2"/>
  <c r="L21" i="2"/>
  <c r="G4" i="2"/>
  <c r="J21" i="2"/>
  <c r="F21" i="2"/>
  <c r="N21" i="2"/>
  <c r="H21" i="2"/>
  <c r="D21" i="2"/>
  <c r="L237" i="4"/>
</calcChain>
</file>

<file path=xl/comments1.xml><?xml version="1.0" encoding="utf-8"?>
<comments xmlns="http://schemas.openxmlformats.org/spreadsheetml/2006/main">
  <authors>
    <author>User</author>
  </authors>
  <commentList>
    <comment ref="I160" authorId="0">
      <text>
        <r>
          <rPr>
            <b/>
            <sz val="9"/>
            <color indexed="81"/>
            <rFont val="Tahoma"/>
            <family val="2"/>
          </rPr>
          <t>User:</t>
        </r>
        <r>
          <rPr>
            <sz val="9"/>
            <color indexed="81"/>
            <rFont val="Tahoma"/>
            <family val="2"/>
          </rPr>
          <t xml:space="preserve">
Una actividad de compensación es usada para cancelar la actividad que está compensando, en este caso cancelaría el redactar el plan operativo anual y el proceso moriría al no tener un flujo alterno. 
El ejemplo más común para usarla es al comprar con crédito, si ingresas tu clave, pero durante la actividad de pagar, hay alguna falla, la actividad de compensación cancelaría el pago, compensando o reponiendo tu crédito y tendría que tener una ruta alterna para poder salir y normalmente mostrar un reporte de tu saldo.</t>
        </r>
      </text>
    </comment>
  </commentList>
</comments>
</file>

<file path=xl/sharedStrings.xml><?xml version="1.0" encoding="utf-8"?>
<sst xmlns="http://schemas.openxmlformats.org/spreadsheetml/2006/main" count="3156" uniqueCount="1128">
  <si>
    <t>CASOS DE PRUEBA</t>
  </si>
  <si>
    <t>DATOS GENERALES</t>
  </si>
  <si>
    <t>Tipo de Solicitud</t>
  </si>
  <si>
    <t>Descripción</t>
  </si>
  <si>
    <t>Proveedor Desarrollo</t>
  </si>
  <si>
    <t>Pruebas de Sistemas</t>
  </si>
  <si>
    <t>Pruebas Post Producción</t>
  </si>
  <si>
    <t>Fecha Inicio</t>
  </si>
  <si>
    <t>Fecha Fin</t>
  </si>
  <si>
    <t>Código:</t>
  </si>
  <si>
    <t>Título:</t>
  </si>
  <si>
    <t>Avance Real:</t>
  </si>
  <si>
    <t>Resultado:</t>
  </si>
  <si>
    <t>Ejecutado:</t>
  </si>
  <si>
    <t>1. Casos de Prueba</t>
  </si>
  <si>
    <t>CP Totales</t>
  </si>
  <si>
    <t>CP Ejecutados</t>
  </si>
  <si>
    <t>CP Bloqueado</t>
  </si>
  <si>
    <t>CP Pendiente</t>
  </si>
  <si>
    <t>Acierto</t>
  </si>
  <si>
    <t>Fallo</t>
  </si>
  <si>
    <t>Bloqueado</t>
  </si>
  <si>
    <t>Pendiente</t>
  </si>
  <si>
    <t>No Aplica</t>
  </si>
  <si>
    <t>En Proceso</t>
  </si>
  <si>
    <t>Casos de Prueba</t>
  </si>
  <si>
    <t>Nº</t>
  </si>
  <si>
    <t>%</t>
  </si>
  <si>
    <t>Alta</t>
  </si>
  <si>
    <t>Media</t>
  </si>
  <si>
    <t>Baja</t>
  </si>
  <si>
    <t>TOTAL</t>
  </si>
  <si>
    <t>Severidad (SI)</t>
  </si>
  <si>
    <t>Severidad 1</t>
  </si>
  <si>
    <t>Bloqueante para el sistema</t>
  </si>
  <si>
    <t>Severidad 2</t>
  </si>
  <si>
    <t>Bloqueante para el negocio, flujo crítico interrumpido</t>
  </si>
  <si>
    <t>Severidad 3</t>
  </si>
  <si>
    <t>No bloqueante, flujo alterno interrumpido</t>
  </si>
  <si>
    <t>Severidad 4</t>
  </si>
  <si>
    <t>De carácter estético</t>
  </si>
  <si>
    <t>Prioridad (P)</t>
  </si>
  <si>
    <t>Abrev.</t>
  </si>
  <si>
    <t>A</t>
  </si>
  <si>
    <t>M</t>
  </si>
  <si>
    <t>B</t>
  </si>
  <si>
    <t>Estado (EI)</t>
  </si>
  <si>
    <t>Abierta</t>
  </si>
  <si>
    <t>Corregida</t>
  </si>
  <si>
    <t>Cerrada</t>
  </si>
  <si>
    <t>Incidencia respondida por el AM cuya verificación está en proceso</t>
  </si>
  <si>
    <t xml:space="preserve">Incidencia reportada al AM </t>
  </si>
  <si>
    <t>Incidencia verificada y levantada</t>
  </si>
  <si>
    <t>Estado Testing (ET)</t>
  </si>
  <si>
    <t>Descripión</t>
  </si>
  <si>
    <t>El resultado real es igual a resultado esperado</t>
  </si>
  <si>
    <t>No se cumple el caso esperado</t>
  </si>
  <si>
    <t>No se puede probar el CP, por dependecias de otro CP en Fallo o falta de prerequisitos o desarrollo</t>
  </si>
  <si>
    <t>El CP esta fuera de alcance de las pruebas de esta iteración</t>
  </si>
  <si>
    <t>Resultado</t>
  </si>
  <si>
    <t>SATISFACTORIO</t>
  </si>
  <si>
    <t>Las pruebas pasaron sin problemas</t>
  </si>
  <si>
    <t>SATISFACTORIO con Observaciones</t>
  </si>
  <si>
    <t>Durante las pruebas se realizaron observaciones menores.</t>
  </si>
  <si>
    <t>INSATISFACTORIO</t>
  </si>
  <si>
    <t>Se encontraron Incidencias de Severidad 1 o Severidad 2.</t>
  </si>
  <si>
    <t>CP cuya ejecución está en pendiente</t>
  </si>
  <si>
    <t>El CP cuya ejecución aún no se ha terminado.</t>
  </si>
  <si>
    <t>2. Incidencias</t>
  </si>
  <si>
    <t>Severidad (S)</t>
  </si>
  <si>
    <t>Incidencias Abiertas</t>
  </si>
  <si>
    <t>Incidencias Cerradas</t>
  </si>
  <si>
    <t>TOTALES</t>
  </si>
  <si>
    <t>Funcionalidad</t>
  </si>
  <si>
    <t>Descripción Caso de Prueba</t>
  </si>
  <si>
    <t>Resultado Esperado</t>
  </si>
  <si>
    <t>Resultado Real</t>
  </si>
  <si>
    <t>Estado Testing</t>
  </si>
  <si>
    <t>Prioridad</t>
  </si>
  <si>
    <t>Severidad</t>
  </si>
  <si>
    <t>Estado Incidencia</t>
  </si>
  <si>
    <t>Reejecución</t>
  </si>
  <si>
    <t>Fecha Planificada</t>
  </si>
  <si>
    <t>Fecha Real</t>
  </si>
  <si>
    <t>Duración Caso de Prueba (horas / hombre)</t>
  </si>
  <si>
    <t>Pre-requisitos para la ejecución de la prueba</t>
  </si>
  <si>
    <t>Observaciones Pruebas Testing</t>
  </si>
  <si>
    <t>Revisión</t>
  </si>
  <si>
    <t>CP001</t>
  </si>
  <si>
    <t>Cod. Obs.</t>
  </si>
  <si>
    <t>Caso de Prueba</t>
  </si>
  <si>
    <t>Estado</t>
  </si>
  <si>
    <t>Fecha Detección</t>
  </si>
  <si>
    <t>Fecha Levantamiento</t>
  </si>
  <si>
    <t>Solución</t>
  </si>
  <si>
    <t>Tiempo de Solución</t>
  </si>
  <si>
    <t>MATRIZ DE OBSERVACIONES</t>
  </si>
  <si>
    <t>OBS001</t>
  </si>
  <si>
    <t>Cod. Cons.</t>
  </si>
  <si>
    <t>Fecha Solicitud</t>
  </si>
  <si>
    <t>Fecha Respuesta</t>
  </si>
  <si>
    <t>Descripción de la Consulta</t>
  </si>
  <si>
    <t>Respuesta del Responsable</t>
  </si>
  <si>
    <t>MATRIZ DE CONSULTAS</t>
  </si>
  <si>
    <t>Tiempo de Solución (Dias)</t>
  </si>
  <si>
    <t>Aciertos</t>
  </si>
  <si>
    <t>Fallos</t>
  </si>
  <si>
    <t>Reejecuciones</t>
  </si>
  <si>
    <t>Abiertas</t>
  </si>
  <si>
    <t>Cerradas</t>
  </si>
  <si>
    <t>Totales</t>
  </si>
  <si>
    <t>HISTÓRICO DE EJECUCIÓN</t>
  </si>
  <si>
    <t>HISTÓRICO DE INCIDENCIAS</t>
  </si>
  <si>
    <t>Fecha</t>
  </si>
  <si>
    <t>CP con Fallo</t>
  </si>
  <si>
    <t>1. RESÚMEN DE ESTADOS DE CASOS DE PRUEBA</t>
  </si>
  <si>
    <t>2. HISTÓRICO DE EJECUCIONES DE CASOS DE PRUEBA</t>
  </si>
  <si>
    <t>3. HISTÓRICO DE INCIDENCIAS</t>
  </si>
  <si>
    <t>4. RESÚMEN DE OBSERVACIONES</t>
  </si>
  <si>
    <t>TIEMPO MEDIO DE RESOLUCIÓN Y CIERRE DE INCIDENCIAS</t>
  </si>
  <si>
    <t>DIAS</t>
  </si>
  <si>
    <t>Rótulos de fila</t>
  </si>
  <si>
    <t>Total general</t>
  </si>
  <si>
    <t>Cuenta de Severidad</t>
  </si>
  <si>
    <t>Cuenta de Prioridad</t>
  </si>
  <si>
    <t>Cuenta de Estado</t>
  </si>
  <si>
    <t>CON001</t>
  </si>
  <si>
    <t>5. RESÚMEN DE CONSULTAS</t>
  </si>
  <si>
    <t>TIEMPO MEDIO DE RESOLUCIÓN Y CIERRE DE CONSULTAS</t>
  </si>
  <si>
    <t>Responsable</t>
  </si>
  <si>
    <t>Cuenta de Responsable</t>
  </si>
  <si>
    <t>Re Ejecuciones</t>
  </si>
  <si>
    <t>AM</t>
  </si>
  <si>
    <t>No AM</t>
  </si>
  <si>
    <t>Código CP</t>
  </si>
  <si>
    <t>Código de REQ</t>
  </si>
  <si>
    <t>Pruebas Funcionales</t>
  </si>
  <si>
    <t>Pruebas de Performance</t>
  </si>
  <si>
    <t>Pruebas de Seguridad</t>
  </si>
  <si>
    <t>Inspección</t>
  </si>
  <si>
    <t>Solicitud Código Proyecto</t>
  </si>
  <si>
    <t>Nombre de la Solicitud</t>
  </si>
  <si>
    <t>Gerente Proyectos Cliente</t>
  </si>
  <si>
    <t>Cod. Req.</t>
  </si>
  <si>
    <t>(en blanco)</t>
  </si>
  <si>
    <t>#N/A</t>
  </si>
  <si>
    <t>IT Expert</t>
  </si>
  <si>
    <t>Cliente</t>
  </si>
  <si>
    <t>Empresa QA</t>
  </si>
  <si>
    <t>Responsable Cliente</t>
  </si>
  <si>
    <t>Responsable QA</t>
  </si>
  <si>
    <t>CP002</t>
  </si>
  <si>
    <t>CP003</t>
  </si>
  <si>
    <t>CP004</t>
  </si>
  <si>
    <t>CP005</t>
  </si>
  <si>
    <t>CP006</t>
  </si>
  <si>
    <t>CP007</t>
  </si>
  <si>
    <t>CP008</t>
  </si>
  <si>
    <t>CP009</t>
  </si>
  <si>
    <t>INSPECCIÓN</t>
  </si>
  <si>
    <t>VALIDACIÓN OK</t>
  </si>
  <si>
    <t>OBS002</t>
  </si>
  <si>
    <t>Desestimada</t>
  </si>
  <si>
    <t xml:space="preserve">PRY-SSIAEDUCT-03 </t>
  </si>
  <si>
    <t>Parte del desarrollo de los proyectos de las empresas virtuales es que los proyectos puedan ser validados por la empresa virtual QA. Para este caso, se trabajará con un proyecto de la empresa virtual Educate: Arquitectura de Negocios de la Oficina Central de Fe y Alegría Perú (ANOCFAP). Para la validación de documentos se realizará inspecciones y se contará con Checklists como anexos.</t>
  </si>
  <si>
    <t>Nicolay García</t>
  </si>
  <si>
    <t>Educate</t>
  </si>
  <si>
    <t>Jennifer Cáceres</t>
  </si>
  <si>
    <t>José Ramos Ramírez</t>
  </si>
  <si>
    <t>Arquitectura de Negocios de la Oficina Central de Fe y Alegría Perú – ANOCFAP</t>
  </si>
  <si>
    <t>INSPECCIÓN DE DOCUMENTO</t>
  </si>
  <si>
    <t>CP010</t>
  </si>
  <si>
    <t>CP011</t>
  </si>
  <si>
    <t>CP012</t>
  </si>
  <si>
    <t>CP013</t>
  </si>
  <si>
    <t>CP014</t>
  </si>
  <si>
    <t>CP015</t>
  </si>
  <si>
    <t>MacroProceso - Gestión de Recursos Humanos</t>
  </si>
  <si>
    <t>Proceso - Capacitación de Personal</t>
  </si>
  <si>
    <t>Proceso - Contratación e Inducción</t>
  </si>
  <si>
    <t>Proceso - Despido o Retiro de Personal</t>
  </si>
  <si>
    <t>Proceso - Evaluación de Postulantes</t>
  </si>
  <si>
    <t>Proceso - Reclutamiento de Postulantes</t>
  </si>
  <si>
    <t>Proceso - Rendición de Gastos de Viaje</t>
  </si>
  <si>
    <t>Proceso - Seguimiento de Personal</t>
  </si>
  <si>
    <t>Proceso - Solicitud de Fondos de Viaje</t>
  </si>
  <si>
    <t>Proceso - Solicitud de Personal</t>
  </si>
  <si>
    <t>MacroProceso - Gestión de Educación Rural</t>
  </si>
  <si>
    <t>Proceso - Acompañamiento a los Programas Educativos Rurales</t>
  </si>
  <si>
    <t>Proceso - Creación de Programa Educativo Rural</t>
  </si>
  <si>
    <t>Proceso - Planificación de los Programas Educativos Rurales</t>
  </si>
  <si>
    <t>Proceso - Seguimiento  a los Programas Educativos Rurales</t>
  </si>
  <si>
    <t>En actores del proceso se menciona un departamento pero no se indica cuál.</t>
  </si>
  <si>
    <t>El departamento representa a cualquiera de los departamentos de la institución.</t>
  </si>
  <si>
    <t>OBS003</t>
  </si>
  <si>
    <t>En el procedimiento en el punto 5 hay un "es" innecesario.</t>
  </si>
  <si>
    <t>Se corrigió el error gramatical.</t>
  </si>
  <si>
    <t>OBS004</t>
  </si>
  <si>
    <t>En el procedimiento en el punto 10 hay un error ortográfico: "institución".</t>
  </si>
  <si>
    <t>Se corrigió el error de tipeo.</t>
  </si>
  <si>
    <t>OBS005</t>
  </si>
  <si>
    <t>La página en blano número 3 fue eliminada.</t>
  </si>
  <si>
    <t>OBS006</t>
  </si>
  <si>
    <t>El nombre del macroproceso debe estar en la cabecera del pool.</t>
  </si>
  <si>
    <t>Se colocó el nombre del macroproceso en el pool.</t>
  </si>
  <si>
    <t>OBS007</t>
  </si>
  <si>
    <t>En la caracterización no se ha caracterizado el inicio, el fin, los gateway ni los eventos.</t>
  </si>
  <si>
    <t>Se caracterizaron los incios y fin.</t>
  </si>
  <si>
    <t>OBS008</t>
  </si>
  <si>
    <t xml:space="preserve">En el punto 2 de la caracterización el Anuncio Publicado ni el Aviso difundido deberían ser datos de entrada.
</t>
  </si>
  <si>
    <t>Se corrigieron las entradas del punto señalado.</t>
  </si>
  <si>
    <t>OBS009</t>
  </si>
  <si>
    <t>En el punto 5 de la caracterización la descripción no corresponde.</t>
  </si>
  <si>
    <t>Se corrigió la descripción del punto señalado.</t>
  </si>
  <si>
    <t>OBS010</t>
  </si>
  <si>
    <t>En el punto 6, 7, 8, 9, 10, 12, 13 y 14 de la caracterización la entrada y la salida no puede ser un actor o acción, siempre es un dato.</t>
  </si>
  <si>
    <t>Las entradas y salidas fueron corregidas.</t>
  </si>
  <si>
    <t>OBS011</t>
  </si>
  <si>
    <t>En el diagrama no se detalla el nombre del "Jefe de Departamento"  ni "Empleado del Departamento" del punto 9, 10 y 13</t>
  </si>
  <si>
    <t>Se cambio el nombre de los responsables en la caracterización.</t>
  </si>
  <si>
    <t>OBS012</t>
  </si>
  <si>
    <t>Los Gateways no tienen nombre ni estan caracterizados.</t>
  </si>
  <si>
    <t>Se caracterizaron todos los gateways.</t>
  </si>
  <si>
    <t>OBS013</t>
  </si>
  <si>
    <t>El conector hacia la actividad 14 no es el correcto, se debe usar un flujo de secuencia ya que no es una actividad externa. Esta actividad debe tener un conector hacia el fin.</t>
  </si>
  <si>
    <t>Se cambió de conector.</t>
  </si>
  <si>
    <t>OBS014</t>
  </si>
  <si>
    <t>En el propósito se mencionan los objetivos OSE pero no se menciona donde se encuentra la totalidad de los OSE</t>
  </si>
  <si>
    <t>Se entregaron los objetivos, tanto general como específicos, como referencia para la inspección.</t>
  </si>
  <si>
    <t>OBS015</t>
  </si>
  <si>
    <t>En el procedimiento, el punto 5 falta indicar la acción tomada por el jefe de área.</t>
  </si>
  <si>
    <t>Se incluyó la decisión del Jefe del Departamento.</t>
  </si>
  <si>
    <t>OBS016</t>
  </si>
  <si>
    <t>En el procedimiento, el punto 6 hay un error ortográfico al final: "Administrador".</t>
  </si>
  <si>
    <t>Se corrigió el error ortográfico.</t>
  </si>
  <si>
    <t>OBS017</t>
  </si>
  <si>
    <t>El nombre del proceso debe estar en la cabecera del pool.</t>
  </si>
  <si>
    <t>Se agregó un pool para colocar el nombre del proceso.</t>
  </si>
  <si>
    <t>OBS018</t>
  </si>
  <si>
    <t>En la caracterización no se ha caracterizado el inicio ni los fines.</t>
  </si>
  <si>
    <t>Se caracterizaron los inicios y fines.</t>
  </si>
  <si>
    <t>OBS019</t>
  </si>
  <si>
    <t>En el punto 1, 2, 6, 7, 11, 12 y 13 de la caracterización la entrada y la salida no puede ser un actor, siempre es un dato.</t>
  </si>
  <si>
    <t>Ya no existen actores como entradas o salidas de las actividades señaladas.</t>
  </si>
  <si>
    <t>OBS020</t>
  </si>
  <si>
    <t>En el punto 4 de la caracterización se debe tener 2 salidas.</t>
  </si>
  <si>
    <t>Se colocó las dos posibles salidas.</t>
  </si>
  <si>
    <t>OBS021</t>
  </si>
  <si>
    <t>En el punto 9 de la caracterización hay un error gramatical en la descripción.</t>
  </si>
  <si>
    <t>OBS022</t>
  </si>
  <si>
    <t>El diagrama es ANSI y no BPMN</t>
  </si>
  <si>
    <t>Se agregó un timer y un Documento: Certificado del Personal.</t>
  </si>
  <si>
    <t>OBS023</t>
  </si>
  <si>
    <t>En el propósito se mencionan los objetivos OSE pero no se menciona donde se encuentra la totalidad de los OSE.</t>
  </si>
  <si>
    <t>OBS024</t>
  </si>
  <si>
    <t>Se modificó el detalle en la cabecera del pool.</t>
  </si>
  <si>
    <t>OBS025</t>
  </si>
  <si>
    <t>En la caracterización no se ha caracterizado el inicio, uno de los fines ni los eventos.</t>
  </si>
  <si>
    <t>Se caracterizaron tanto el inicio como el fin del proceso.</t>
  </si>
  <si>
    <t>OBS026</t>
  </si>
  <si>
    <t>En el punto 1, 2, 5, 6, 7, 8, 9 y 15 de la caracterización la entrada y la salida no puede ser un actor o una acción, siempre es un dato.</t>
  </si>
  <si>
    <t>Se modificaron las entradas y salidas de las actividades mencionadas.</t>
  </si>
  <si>
    <t>OBS027</t>
  </si>
  <si>
    <t>En el punto 4 de la caracterización hay un error gramatical antes de "Administrador".</t>
  </si>
  <si>
    <t>Se modificó la redacción de la descripción de la actividad.</t>
  </si>
  <si>
    <t>OBS028</t>
  </si>
  <si>
    <t>Se modificó el proceso.</t>
  </si>
  <si>
    <t>OBS029</t>
  </si>
  <si>
    <t>El título que aparece en la cabecera del cuadro no es el del proceso.</t>
  </si>
  <si>
    <t>Se corrigió el nombre de la cabecera.</t>
  </si>
  <si>
    <t>OBS030</t>
  </si>
  <si>
    <t>OBS031</t>
  </si>
  <si>
    <t>Se colocó el nombre del proceso en el pool.</t>
  </si>
  <si>
    <t>OBS032</t>
  </si>
  <si>
    <t>Se caracterizaron los inicios, fines y gateways.</t>
  </si>
  <si>
    <t>OBS033</t>
  </si>
  <si>
    <t>El Empleado no puede decidir si es un despido. El inicio no debe empezar en el empleado</t>
  </si>
  <si>
    <t>El inicio empieza en el Jefe del Departamento.</t>
  </si>
  <si>
    <t>OBS034</t>
  </si>
  <si>
    <t>En el punto 2, 3, 5, 7, 8, 10, 13, 14, 16, 17 y 19 de la caracterización la entrada y la salida no puede ser un actor o una acción, siempre es un dato.</t>
  </si>
  <si>
    <t>Se corrigieron las entradas y salidas de los puntos señalados.</t>
  </si>
  <si>
    <t>OBS035</t>
  </si>
  <si>
    <t>La actividad 3 tiene un nombre que no concuerda con el proceso.</t>
  </si>
  <si>
    <t>Se cambió el nombre de la actividad.</t>
  </si>
  <si>
    <t>OBS036</t>
  </si>
  <si>
    <t>La actividad 9 tiene un nombre que no concuerda con el proceso.</t>
  </si>
  <si>
    <t>Se corrigió del nombre de la actividad.</t>
  </si>
  <si>
    <t>OBS037</t>
  </si>
  <si>
    <t>Luego de la actividad 12 no queda claro que sucedería con el empleado en caso de que se desapruebe la renuncia del mismo.</t>
  </si>
  <si>
    <t>Se agregó en la descripción que el empleado es informado sobre la desaprobación del despido o renuncia.</t>
  </si>
  <si>
    <t>OBS038</t>
  </si>
  <si>
    <t>Error de tipeo en la salida del punto 15 de la caracterización en "certificados".</t>
  </si>
  <si>
    <t>OBS039</t>
  </si>
  <si>
    <t>El nombre de la actividad 19 no puede ser una pregunta.</t>
  </si>
  <si>
    <t>Se cambió el nombre del Gateway a: Ameritar Despido.</t>
  </si>
  <si>
    <t>OBS040</t>
  </si>
  <si>
    <t>En caso de despido, nunca se le comunica al empleado.</t>
  </si>
  <si>
    <t>Se agregó una actividad: Informar al empleado  el despido/renuncia  definitivo.</t>
  </si>
  <si>
    <t>OBS041</t>
  </si>
  <si>
    <t>OBS042</t>
  </si>
  <si>
    <t>OBS043</t>
  </si>
  <si>
    <t>En la caracterización no se ha caracterizado el inicio ni el fin.</t>
  </si>
  <si>
    <t>OBS044</t>
  </si>
  <si>
    <t>En el punto 2, 3, 4, 5, 8, 9 y 10 de la caracterización la entrada y la salida no puede ser un actor o una acción, siempre es un dato.</t>
  </si>
  <si>
    <t>OBS045</t>
  </si>
  <si>
    <t>Se modificó el proceso</t>
  </si>
  <si>
    <t>OBS046</t>
  </si>
  <si>
    <t>OBS047</t>
  </si>
  <si>
    <t>OBS048</t>
  </si>
  <si>
    <t>OBS049</t>
  </si>
  <si>
    <t>OBS050</t>
  </si>
  <si>
    <t>OBS051</t>
  </si>
  <si>
    <t>Normalmente solo debe existir un inicio y un fin.</t>
  </si>
  <si>
    <t>Se modificó el proceso de tal manera que sólo tuviera un fin.</t>
  </si>
  <si>
    <t>OBS052</t>
  </si>
  <si>
    <t>En el punto 1, 4 y 5 de la caracterización la entrada y la salida no puede ser una acción, siempre es un dato.</t>
  </si>
  <si>
    <t>OBS053</t>
  </si>
  <si>
    <t>Las anotaciones van en el documento del EBM bajo las reglas de Negocio, o en la Definición de Proceso bajo el mismo nombre.</t>
  </si>
  <si>
    <t>Se hace referencia a las Reglas de Negocio.</t>
  </si>
  <si>
    <t>OBS054</t>
  </si>
  <si>
    <t>Para que se efectúe la actividad 3 tiene que existir una condición de tener gastos sin justificantes. Debería haber un gateway previo.</t>
  </si>
  <si>
    <t>Se incluyó un gateway de decisión.</t>
  </si>
  <si>
    <t>OBS055</t>
  </si>
  <si>
    <t>En la caracterización no se ha caracterizado el fin.</t>
  </si>
  <si>
    <t>Se caracterizó el fin del proceso.</t>
  </si>
  <si>
    <t>OBS056</t>
  </si>
  <si>
    <t>OBS057</t>
  </si>
  <si>
    <t>OBS058</t>
  </si>
  <si>
    <t>En el diagrama hay un error de tipeo en el Lane del "Director General".</t>
  </si>
  <si>
    <t>OBS059</t>
  </si>
  <si>
    <t>En la caracterización no se ha caracterizado los gateways ni el fin.</t>
  </si>
  <si>
    <t>Se caracterizaron todos los gateways y el fin</t>
  </si>
  <si>
    <t>OBS060</t>
  </si>
  <si>
    <t>En el punto 1, 2, 3 y 4 de la caracterización la entrada y la salida no puede ser un actor siempre es un dato.</t>
  </si>
  <si>
    <t>OBS061</t>
  </si>
  <si>
    <t>Se agregaron dos documentos.</t>
  </si>
  <si>
    <t>OBS062</t>
  </si>
  <si>
    <t>OBS063</t>
  </si>
  <si>
    <t>OBS064</t>
  </si>
  <si>
    <t>OBS065</t>
  </si>
  <si>
    <t>En el punto 1 y 9 de la caracterización la entrada y la salida no puede ser un actor o acción, siempre es un dato.</t>
  </si>
  <si>
    <t>OBS066</t>
  </si>
  <si>
    <t>En la descripción del punto 6 de la caracterización se debe corregir el termino "de vuelta", no es correcto.</t>
  </si>
  <si>
    <t>OBS067</t>
  </si>
  <si>
    <t>OBS068</t>
  </si>
  <si>
    <t>OBS069</t>
  </si>
  <si>
    <t>OBS070</t>
  </si>
  <si>
    <t>OBS071</t>
  </si>
  <si>
    <t>OBS072</t>
  </si>
  <si>
    <t>En el alcance del Macroproceso debería ir un artículo entre "acompañamiento hasta" y " seguimiento del mismo."</t>
  </si>
  <si>
    <t>OBS073</t>
  </si>
  <si>
    <t xml:space="preserve">En el alcance del Macroproceso hay un error de tipeo en </t>
  </si>
  <si>
    <t>No se encontró el error.</t>
  </si>
  <si>
    <t>OBS074</t>
  </si>
  <si>
    <t>El nombre del Macroproceso debe estar en la cabecera del pool.</t>
  </si>
  <si>
    <t>Se colocó el nombre del macroproceso  en el pool.</t>
  </si>
  <si>
    <t>OBS075</t>
  </si>
  <si>
    <t>Hay un error de notación se usa un Grupo como si fuera un SubProceso Ad-Hoc. Se está forzando el diagrama.</t>
  </si>
  <si>
    <t>Se cambió con las sugerencias brindadas.</t>
  </si>
  <si>
    <t>OBS076</t>
  </si>
  <si>
    <t>Brindar sugerencias.</t>
  </si>
  <si>
    <t>OBS077</t>
  </si>
  <si>
    <t>Se caracterizaron el inicio y fin.</t>
  </si>
  <si>
    <t>OBS078</t>
  </si>
  <si>
    <t xml:space="preserve">El conector entre las actividades 5, 6 y la actividad 3 no es el correcto. Son parte del mismo pool. </t>
  </si>
  <si>
    <t>Los procesos 5 y 6 ahora pertenecen a otro pool debido a que pertenecen a otro proceso.</t>
  </si>
  <si>
    <t>OBS079</t>
  </si>
  <si>
    <t>Se corrigió la entrada de la actividad 2.</t>
  </si>
  <si>
    <t>OBS080</t>
  </si>
  <si>
    <t>El dato "Necesidad de Visitas a Programas Educativos Rurales" no tiene relación con la caracterización en la entrada de la actividad 3.</t>
  </si>
  <si>
    <t>Se corrigió la salida del proceso de Planificación de los Programas Educativos Rurales.</t>
  </si>
  <si>
    <t>OBS081</t>
  </si>
  <si>
    <t xml:space="preserve">El dato "Necesidad de elaborar el Informe trimestral" no tiene relación con la caracterización en la entrada de la actividad 4. </t>
  </si>
  <si>
    <t>OBS082</t>
  </si>
  <si>
    <t>El dato de salida de la actividad 7 debería ser entrada de la actividad 4.</t>
  </si>
  <si>
    <t>Se corrigió la entrada de la actividad señalada.</t>
  </si>
  <si>
    <t>OBS083</t>
  </si>
  <si>
    <t>El dato de la entrada de la actividad 5 y 6 debería ser el dato de salida de la actividad 3.</t>
  </si>
  <si>
    <t>Esas entradas y salidas se ven en los procesos internamente, si revisas los documentos de cada uno de los procesos, te darás cuenta que si tienen relación, lo que pasa es que perdería sentido si se colocan esas entradas y salidas.</t>
  </si>
  <si>
    <t>OBS084</t>
  </si>
  <si>
    <t>En la descripción de la activiadd 6 de la caracterización hay un error ortográfico con la palabra "viajó".</t>
  </si>
  <si>
    <t>OBS085</t>
  </si>
  <si>
    <t>El dato de la entrada de la actividad 8 no concuerda con el dato de la salida de la actividad 2.</t>
  </si>
  <si>
    <t>Lo que sucede es que eso es interno porque sino confundiría que la salida de de Planificación de los Programas Educativos Rurales sea la necesidad de elaboración de POA cuando eso es lo que hace el proceso en sí.</t>
  </si>
  <si>
    <t>OBS086</t>
  </si>
  <si>
    <t>En el primer parrafo hay "de" innecesario, entre "apoyar" y los Programas Educativos".</t>
  </si>
  <si>
    <t>Se corrigió la redacción.</t>
  </si>
  <si>
    <t>OBS087</t>
  </si>
  <si>
    <t>Sugiero un estandar, en el Alcance se menciona que los procesos de otros macroprocesos estarán de color azul, mientras que en los otros documentos es de color turquesa.</t>
  </si>
  <si>
    <t>El color será azul.</t>
  </si>
  <si>
    <t>OBS088</t>
  </si>
  <si>
    <t>Se modificó el nombre del pool.</t>
  </si>
  <si>
    <t>OBS089</t>
  </si>
  <si>
    <t>Hay un error de notación se usa un Grupo como si fuera un SubProceso de Multiple Instancia. Se está forzando el diagrama.</t>
  </si>
  <si>
    <t>Se modificó el grupo por un subproceso.</t>
  </si>
  <si>
    <t>OBS090</t>
  </si>
  <si>
    <t>El dato de salida de la actividad 6 "Fecha aceptada" no se usa nunca mas. Incluirla en la entrada de la actividad 7 o eliminarla.</t>
  </si>
  <si>
    <t>Se agregó como entrada de la actividad 7.</t>
  </si>
  <si>
    <t>OBS091</t>
  </si>
  <si>
    <t>En los datos de entrada y salidad de las actividades 9, 13, 14, 15, 17 y 18 sugiero algo mas específico en el dato de la visita o viaje.</t>
  </si>
  <si>
    <t>Se modificaron algunas entradas y salidas.</t>
  </si>
  <si>
    <t>OBS092</t>
  </si>
  <si>
    <t>En la actividad 21 dado que es un evento de mensaje, el verbo sería envía y no entrega.</t>
  </si>
  <si>
    <t>No existe evento 21 en el proceso. Se asume que el error corresponde al Caso de Prueba CP012 (Se modificó el nombre del evento).</t>
  </si>
  <si>
    <t>OBS093</t>
  </si>
  <si>
    <t xml:space="preserve">En el procedimiento hay un error de tipeo en el punto 1 con "programa" y un error de grámatica. En el punto 2 también hay un error de tipeo con la misma palabra. </t>
  </si>
  <si>
    <t>Se corrigió el error de tipeo en los puntos señalados.</t>
  </si>
  <si>
    <t>OBS094</t>
  </si>
  <si>
    <t>Se colocó el nombre del proceso  en el pool.</t>
  </si>
  <si>
    <t>OBS095</t>
  </si>
  <si>
    <t>En las entradas y/o salidas de las actividades 5, 6, 7, 8, 9 y 10 hay error de formato, no empieza con Mayúscula.</t>
  </si>
  <si>
    <t>Se corrigió el formato de mayúsculas y minúsculas.</t>
  </si>
  <si>
    <t>OBS096</t>
  </si>
  <si>
    <t>Los datos de salida de las actividades 9 y 10 y la entrada de la actividad 11 no es un dato.</t>
  </si>
  <si>
    <t>Se corrigió las entradas y salidas de los puntos señalados.</t>
  </si>
  <si>
    <t>OBS097</t>
  </si>
  <si>
    <t>La actividad 12 y 14 pueden ser solo un evento envía, ya que la unica tarea que se realiza es enviar.</t>
  </si>
  <si>
    <t>Se agregagó la salida y entrada del documento POA  en las actividades 14 y 15. En la Actividad 12 se agregó un documento de Recomendaciones.</t>
  </si>
  <si>
    <t>OBS098</t>
  </si>
  <si>
    <t>En la Descripción de la actividad 15 hay un error entre "aprobado" y "Administración".</t>
  </si>
  <si>
    <t>OBS099</t>
  </si>
  <si>
    <t>OBS100</t>
  </si>
  <si>
    <t>No se ha caracterizado el inicio ni el fin.</t>
  </si>
  <si>
    <t>OBS101</t>
  </si>
  <si>
    <t>La actividad 2 y 6 pueden ser solo un evento envía, ya que la unica tarea que se realiza es enviar.</t>
  </si>
  <si>
    <t>Se adicionaron documentos que salían de estas actividades.</t>
  </si>
  <si>
    <t>Página 3 innecesaria</t>
  </si>
  <si>
    <t>OBS102</t>
  </si>
  <si>
    <t>OBS103</t>
  </si>
  <si>
    <t>OBS104</t>
  </si>
  <si>
    <t>OBS105</t>
  </si>
  <si>
    <t>OBS106</t>
  </si>
  <si>
    <t>OBS107</t>
  </si>
  <si>
    <t>OBS108</t>
  </si>
  <si>
    <t>OBS109</t>
  </si>
  <si>
    <t>OBS110</t>
  </si>
  <si>
    <t>OBS111</t>
  </si>
  <si>
    <t>OBS112</t>
  </si>
  <si>
    <t>En la descripción del punto 8 de la caracterización "contratación" está fuera de contexto.</t>
  </si>
  <si>
    <t>La descripción de la actividad 9 no corresponde a un timer. El timer define un tiempo exacto: cada N dias, cada fin de mes, el dia TAL a N horas. No es un contador.</t>
  </si>
  <si>
    <t>En la descripción de la actividad 10, la frase "es necesario  que rinda" está fuera de contexto.</t>
  </si>
  <si>
    <t>En la descripción de la actividad 1 hay un error ortográfico con "inicio".</t>
  </si>
  <si>
    <t>En el diagrama los conectores entre los pool no son los adecuados. Conectores entre las actividades 2-3, 5-6, 10-11, 11-12, 14-15</t>
  </si>
  <si>
    <t>En la descripción de la actividad 1 hay un error ortográfico con "inicia".</t>
  </si>
  <si>
    <t>Error de tipeo en la descripción de la actividad 20 con "Administrador".</t>
  </si>
  <si>
    <t>En la descripción del proceso 6 y 7 se mencionan reglas de negocio. Si van a presentar documentos separados, solo Definiciones de procesos, incluir las reglas en la definición, si presentaran el EBM, incluirlas en el Modelo de Dominio y Reglas de Negocio y me pasan ese documentos como anexos para la revisión.</t>
  </si>
  <si>
    <t>Los procesos 7 y 20 tienen el mismo nombre y  los procesos 13 y 24 también, cambiarle el nombre a alguno.</t>
  </si>
  <si>
    <t>OBS113</t>
  </si>
  <si>
    <t>OBS114</t>
  </si>
  <si>
    <t>OBS115</t>
  </si>
  <si>
    <t>OBS116</t>
  </si>
  <si>
    <t>OBS117</t>
  </si>
  <si>
    <t>OBS118</t>
  </si>
  <si>
    <t>OBS119</t>
  </si>
  <si>
    <t>OBS120</t>
  </si>
  <si>
    <t>Los procesos 6 y 7 tienen el mismo nombre, cambiarle el nombre a alguno.</t>
  </si>
  <si>
    <t>Enviarme el documento de las reglas de negocio.</t>
  </si>
  <si>
    <t>La descripción de la actividad 10 no queda claro que sucede si es que existe una subsanación.</t>
  </si>
  <si>
    <t>Respecto a la solución de la observación 087 (OBS087), en el alcance del proceso se debería cambiar de color turquesa a azul.</t>
  </si>
  <si>
    <t>No puede existir conectores hacia actividades que se encuentran dentro de un sub-proceso.</t>
  </si>
  <si>
    <t>En la entrada de la caracterización de la actividad 2 debe estar el dato de salida de la actividad 8.</t>
  </si>
  <si>
    <t>Un subproceso expandido pertenece a solo un actor. Por ello que no se puede incluir pools o lanes ni conectores Message Flow. No puede estar sobre el pool del Director del programa educativo rural, en todo caso definirlo como solamente un subproceso que será caracterizado en otro documento.</t>
  </si>
  <si>
    <t>En el primer parrafo se indica que es un macroproceso cuando es un proceso.</t>
  </si>
  <si>
    <t>Documento con las Reglas de Negocio</t>
  </si>
  <si>
    <t>CP005, CP007, CP009</t>
  </si>
  <si>
    <t>Se cambió el nombre al timer.</t>
  </si>
  <si>
    <t>Se cambió la descripción de la actividad señalada.</t>
  </si>
  <si>
    <t>Se corrigió el error.</t>
  </si>
  <si>
    <t>Se cambiaron los conectores entre los procesos.</t>
  </si>
  <si>
    <t>Se cambió el nombre de las actividades 7 y 13.</t>
  </si>
  <si>
    <t>Se va a elaborar todo el EBM. Cuando tengamos el documento de Reglas de Negocio, será anexado para la revisión</t>
  </si>
  <si>
    <t>Se modificó el nombre de las actividades mencionadas.</t>
  </si>
  <si>
    <t>Se adicionó información a la descripción de la actividad.</t>
  </si>
  <si>
    <t>Las entradas de las actividades 6 y 7 serán incluidad en la salida de la actividad 4.</t>
  </si>
  <si>
    <t>La entrada de la actividad 9 fue contemplando en la salida de la actividad 3.</t>
  </si>
  <si>
    <t>Se modificó el párrafo indicado.</t>
  </si>
  <si>
    <t>Respecto a la OBS083, en todo caso agregar como datos de salida de la actividad 4 las entradas de las actividades 6 y 7, de lo contrario en esta definición de procesos no se puede seguir el flujo en la caracterización.</t>
  </si>
  <si>
    <t>Respecto a la OBS085, en todo caso agregar como datos de salida de la actividad 3 las entradas de las actividad 9, de lo contrario en esta definición de procesos no se puede seguir el flujo en la caracterización o eliminar el conector que va de la actividad 3 hacia la actividad 9.</t>
  </si>
  <si>
    <t>OBS121</t>
  </si>
  <si>
    <t>OBS122</t>
  </si>
  <si>
    <t>OBS123</t>
  </si>
  <si>
    <t>OBS124</t>
  </si>
  <si>
    <t>OBS125</t>
  </si>
  <si>
    <t>OBS126</t>
  </si>
  <si>
    <t>En los Actores del proceso menciona al Director y este no se encuentra en el proceso.</t>
  </si>
  <si>
    <t>La entrada de la actividad 3.2 "Necesidad de Nueva fecha" no tiene relación con el flujo.</t>
  </si>
  <si>
    <t>La entrada de la actividad 3.3 "Necesidad de Viaje" no tiene relación con el flujo.</t>
  </si>
  <si>
    <t>CP016</t>
  </si>
  <si>
    <t>CP017</t>
  </si>
  <si>
    <t>CP018</t>
  </si>
  <si>
    <t>MP - Planificación</t>
  </si>
  <si>
    <t>PROCESO - Planificación del Departamento de Proyectos</t>
  </si>
  <si>
    <t>PROCESO - Elaboración del Plan Operativo Institucional</t>
  </si>
  <si>
    <t>Se eliminó al Director de los Actores.</t>
  </si>
  <si>
    <t>Se eliminó la entrada por considerarse innecesaria.</t>
  </si>
  <si>
    <t>Se agregó la entrada como parte de las salidas de la actividad 3.2</t>
  </si>
  <si>
    <t>OBS127</t>
  </si>
  <si>
    <t>OBS128</t>
  </si>
  <si>
    <t>OBS129</t>
  </si>
  <si>
    <t>OBS130</t>
  </si>
  <si>
    <t>OBS131</t>
  </si>
  <si>
    <t>OBS132</t>
  </si>
  <si>
    <t>OBS133</t>
  </si>
  <si>
    <t>OBS134</t>
  </si>
  <si>
    <t>OBS135</t>
  </si>
  <si>
    <t>OBS136</t>
  </si>
  <si>
    <t>OBS137</t>
  </si>
  <si>
    <t>OBS138</t>
  </si>
  <si>
    <t>OBS139</t>
  </si>
  <si>
    <t>OBS140</t>
  </si>
  <si>
    <t>OBS141</t>
  </si>
  <si>
    <t>OBS142</t>
  </si>
  <si>
    <t>OBS143</t>
  </si>
  <si>
    <t>OBS144</t>
  </si>
  <si>
    <t>OBS145</t>
  </si>
  <si>
    <t>OBS146</t>
  </si>
  <si>
    <t>OBS147</t>
  </si>
  <si>
    <t>OBS148</t>
  </si>
  <si>
    <t>OBS149</t>
  </si>
  <si>
    <t>OBS150</t>
  </si>
  <si>
    <t>OBS151</t>
  </si>
  <si>
    <t>OBS152</t>
  </si>
  <si>
    <t>OBS153</t>
  </si>
  <si>
    <t>OBS154</t>
  </si>
  <si>
    <t>OBS155</t>
  </si>
  <si>
    <t>OBS156</t>
  </si>
  <si>
    <t>OBS157</t>
  </si>
  <si>
    <t>OBS158</t>
  </si>
  <si>
    <t>OBS159</t>
  </si>
  <si>
    <t>OBS160</t>
  </si>
  <si>
    <t>OBS161</t>
  </si>
  <si>
    <t>OBS162</t>
  </si>
  <si>
    <t>OBS163</t>
  </si>
  <si>
    <t>OBS164</t>
  </si>
  <si>
    <t>OBS165</t>
  </si>
  <si>
    <t>OBS166</t>
  </si>
  <si>
    <t>OBS167</t>
  </si>
  <si>
    <t>OBS168</t>
  </si>
  <si>
    <t>OBS169</t>
  </si>
  <si>
    <t>OBS170</t>
  </si>
  <si>
    <t>OBS171</t>
  </si>
  <si>
    <t>OBS172</t>
  </si>
  <si>
    <t>OBS173</t>
  </si>
  <si>
    <t>OBS174</t>
  </si>
  <si>
    <t>OBS175</t>
  </si>
  <si>
    <t>OBS176</t>
  </si>
  <si>
    <t>OBS177</t>
  </si>
  <si>
    <t>OBS178</t>
  </si>
  <si>
    <t>OBS179</t>
  </si>
  <si>
    <t>OBS180</t>
  </si>
  <si>
    <t>OBS181</t>
  </si>
  <si>
    <t>OBS182</t>
  </si>
  <si>
    <t>OBS183</t>
  </si>
  <si>
    <t>OBS184</t>
  </si>
  <si>
    <t>OBS185</t>
  </si>
  <si>
    <t>OBS186</t>
  </si>
  <si>
    <t>OBS187</t>
  </si>
  <si>
    <t>OBS188</t>
  </si>
  <si>
    <t>OBS189</t>
  </si>
  <si>
    <t>OBS190</t>
  </si>
  <si>
    <t>OBS191</t>
  </si>
  <si>
    <t>OBS192</t>
  </si>
  <si>
    <t>OBS193</t>
  </si>
  <si>
    <t>OBS194</t>
  </si>
  <si>
    <t>OBS195</t>
  </si>
  <si>
    <t>OBS196</t>
  </si>
  <si>
    <t>OBS197</t>
  </si>
  <si>
    <t>OBS198</t>
  </si>
  <si>
    <t>OBS199</t>
  </si>
  <si>
    <t>OBS200</t>
  </si>
  <si>
    <t>OBS201</t>
  </si>
  <si>
    <t>OBS202</t>
  </si>
  <si>
    <t>OBS203</t>
  </si>
  <si>
    <t>OBS204</t>
  </si>
  <si>
    <t>OBS205</t>
  </si>
  <si>
    <t>OBS206</t>
  </si>
  <si>
    <t>OBS207</t>
  </si>
  <si>
    <t>OBS208</t>
  </si>
  <si>
    <t>OBS209</t>
  </si>
  <si>
    <t>OBS210</t>
  </si>
  <si>
    <t>OBS211</t>
  </si>
  <si>
    <t>OBS212</t>
  </si>
  <si>
    <t>OBS213</t>
  </si>
  <si>
    <t>En el diagrama no se aprecia la punta del conector entre el proceso 3 y el proceso 17.</t>
  </si>
  <si>
    <t>Todas las actividades deben empezar con un verbo en infinitivo (-ar, -er, -ir).</t>
  </si>
  <si>
    <t>El nombre de la actividad 2 no coincide con el del diagrama.</t>
  </si>
  <si>
    <t>Los datos de entrada de la actividad 3 deben ser al menos la cantidad de flechas que apuntan hacia dicha actividad. Faltan entradas</t>
  </si>
  <si>
    <t>En la descripción de la actividad 4 hay un error de tipeo en la primera vez que se menciona "Anual".</t>
  </si>
  <si>
    <t>El "Plan Operativo Anual del departamento de formación" debe ser un dato de salida de la actividad 4.</t>
  </si>
  <si>
    <t>El "Plan Operativo Anual de Educación Técnica" debe ser un dato de salida de la actividad 5.</t>
  </si>
  <si>
    <t>Para la actividad 6, debería tener como datos de entrada "Listado de Necesidad de Maquinaria" y "Cuadro de Necesidades" y debería tener como datos de salida "Plan Operativo Anual del departamento de Proyectos" y el "Plan de requerimientos institucionales".</t>
  </si>
  <si>
    <t>La actividad 7 debe tener como dato de salida el "Plan operativo anual del departamento de Donaciones e Imagen Institucional".</t>
  </si>
  <si>
    <t>En la descripción de las actividades 5, 6, 7 y 8 hay un error ortográfico con "despejará"</t>
  </si>
  <si>
    <t>Los datos de entrada y salida de la actividad 8 no coincide con lo que se observa en el diagrama. Debería tener al menos 3 entradas mas y también 2 datos de salida más.</t>
  </si>
  <si>
    <t>El fin no tiene un responsable.</t>
  </si>
  <si>
    <t>En la descripción de la actividad 11 la palabra "divida" esta fuera de contexto.</t>
  </si>
  <si>
    <t>En el diagrama se aprecia que la actividad 18 tiene entradas que no se reflejan como datos de entrada en la caracterización.</t>
  </si>
  <si>
    <t>El nombre de un proceso debe comenzar con un verbo en infinitivo, solo los nombres de los Macroprocesos no cumplen con esa regla.</t>
  </si>
  <si>
    <t>En el primer parrafo "laborares" está fuera de contexto.</t>
  </si>
  <si>
    <t>Es una buena práctica caracterizar según el flujo total, no solo del principal. El fin debería ser lo último que se caracteriza al igual que procesos que tienen datos de salida que son datos de entrada de otro proceso se caracterizan primero.</t>
  </si>
  <si>
    <t>El inicio no tiene una desccripción en la caracterización.</t>
  </si>
  <si>
    <t>No se han detallado todas las entradas ni las salidas de la actividad 4, todo conector que interactúe con dicha actividad debe tener un dato que se detalle en la caracterización.</t>
  </si>
  <si>
    <t>El dato de entrada de las actividades 9, 10. 12, 13 y 14 "soluciones" no se muestra en ningún dato de salida de la caracterización.</t>
  </si>
  <si>
    <t>En la descripción de las actividades 9, 10, 13 y 14 hay un error ortográfico con "despejará".</t>
  </si>
  <si>
    <t>En la descripción de la actividad 10 hay un error ortográfico la primera vez que se menciona "Anual".</t>
  </si>
  <si>
    <t>En el diagrama hay un error de tipeo en el Lane del "Jefe del Departamento de Proyecto".</t>
  </si>
  <si>
    <t>La actividad 6.1, actividad de compensación, no puede tener conectores de entrada o salida.</t>
  </si>
  <si>
    <t>Los datos de entrada "Plan de requerimientos institucionales" y "Necesidades institucionales actualizadas" de la actividad 5 no se usan en ninguna actividad 5.x.</t>
  </si>
  <si>
    <t>El dato de entrada "Resultado de análisis de Cartera de Proyecto" de las actividades 5.x no concuerda con el flujo descrito en las actividades 2,3 y 4 de la caracterización.</t>
  </si>
  <si>
    <t>La actividad de compensación no es usada correctamente.</t>
  </si>
  <si>
    <t>En base a la descripción de la actividad 10, el evento señal debe estar pintado ya que se está lanzando la alerta.</t>
  </si>
  <si>
    <t>Error ortográfico en la descripción de la gateway 11, "ó" solo se usa entre números, no debe tener tilde.</t>
  </si>
  <si>
    <t>El gateway 11 es innecesario, al ser una compuerta paralela significa que para iniciar necesita de las actividades previas, sin embargo las previas son exclusivas, esta actividad nunca se iniciaría.</t>
  </si>
  <si>
    <t>En la caracterización de la actividad 15 se utiliza un "nos" , primera persona, se debe utilizar tercera persona.</t>
  </si>
  <si>
    <t>CP019</t>
  </si>
  <si>
    <t>MP - Gestión de Imagen Institucional y Donaciones</t>
  </si>
  <si>
    <t>CP020</t>
  </si>
  <si>
    <t>CP021</t>
  </si>
  <si>
    <t>CP022</t>
  </si>
  <si>
    <t>CP023</t>
  </si>
  <si>
    <t>Proceso - Elaboración de Campaña Publicitaria de Imagen Institucional</t>
  </si>
  <si>
    <t>Proceso - Emisión de Cartas</t>
  </si>
  <si>
    <t>Proceso - Emisión y Declaración de Certificados de Donación</t>
  </si>
  <si>
    <t>Proceso - Recepción de Donaciones</t>
  </si>
  <si>
    <t>En el primer parrafo del documento, propósito y alcance hay un error de tipeo  con "macroproceso", es junto.</t>
  </si>
  <si>
    <t>En el propósito y en el alcance hay un error de tipeo  con "macroproceso", es junto.</t>
  </si>
  <si>
    <t>El dato de salida de las actividades 4, 5, 6, 7 y 8 bajo el nombre "No faltan actividades" o "No existen actividades faltantes" no parece ser un artefacto.</t>
  </si>
  <si>
    <t>En la caracterización de la actividad 4 en "se identifica el tipo de campaña a la cual", el "a" está fuera de contexto</t>
  </si>
  <si>
    <t>En la caracterización de la actividad 4 hay un error ortográfico con "realizará".</t>
  </si>
  <si>
    <t>En la caracterización de la actividad 4 se menciona al proceo "Entrevista", sin embargo el proceso se llama "Entrevistar".</t>
  </si>
  <si>
    <t>El dato de las actividades 1 y 2 bajo el nombre "No faltan actividades" no parece ser un artefacto.</t>
  </si>
  <si>
    <t>En la caracterización de la actividad 11 hay un error de tipeo, "macroproceso" es junto.</t>
  </si>
  <si>
    <t>Los datos de salida de la actividad 19 no concuerda con el diagrama, no existe relación hacia la actividad 6.</t>
  </si>
  <si>
    <t>El dato de salida "Conjunto de cartas entregadas" de la actividad 6 no concuerda con la caracterización de la actividad 19, en todo caso primero sería un dato de entrada.</t>
  </si>
  <si>
    <t>En el diagrama hay un error ortográfico con la actividad 23: "Recoger".</t>
  </si>
  <si>
    <t>Las actividades de compensación que se llaman en la actividad 5 y 8 están siendo mal utilizadas, ya que no existe un flujo alterno en caso de necesitar la compensación. El proceso se cancelaría totalmente.</t>
  </si>
  <si>
    <t>La actividad de compensación de la actividad 5 y las actividades externas no tienen numeración.</t>
  </si>
  <si>
    <t>Las actividades externas no se han caracterizado.</t>
  </si>
  <si>
    <t>El dato de salida de la actividad 2.2 "Material estimado" no se vuelve a usar en la caracterización.</t>
  </si>
  <si>
    <t>Las actividades de salida de la actividad 2 no concuerdan con la salida de la actividad 2.3.</t>
  </si>
  <si>
    <t>La entrada de la actividad 6 no corresponde al flujo.</t>
  </si>
  <si>
    <t>En el punto 5 del procedimiento, hay un error de tipeo con "Encargada de Donaciones".</t>
  </si>
  <si>
    <t>El dato de salida de la actividad 4 no concuerda con el dato de entrada de la actividad 2.</t>
  </si>
  <si>
    <t>El dato de entrada de la actividad 3 "Modelo de Carta a modificar" no cocuerda con el flujo.</t>
  </si>
  <si>
    <t>Hay un error con el conector entre la actividad 8 y 9. Debe ser un Message Flow.</t>
  </si>
  <si>
    <t>El Fin debe estar en el pool principal.</t>
  </si>
  <si>
    <t>La actividad 4, dado que es una actividad colavorativa, una caja negra, debería ser un subproceso.</t>
  </si>
  <si>
    <t>En el primer parrafo falta un artículo entre "efectiva" y "donación".</t>
  </si>
  <si>
    <t>Hay un error con el conector entre la actividad 3 y 4, 4 y 5, y 4 y 7. Debe ser un Message Flow.</t>
  </si>
  <si>
    <t>La actividad 4 está rompiendo el flujo principal, debería interactuar solo con la actividad 3 y que está actividad tenga conectores con las actividades 5 y 7.</t>
  </si>
  <si>
    <t>El flujo principal debe estar en el pool principal y no ser dependiente de los colaboradores. Los pools colaboradores son cajas negras.</t>
  </si>
  <si>
    <t>Los conectores entre los pools no es el correcto, debe usarse Message Flow.</t>
  </si>
  <si>
    <t>La descripción de la actividad 20 no se entiende: "hace efectivo el bien donado por el donante".</t>
  </si>
  <si>
    <t>CP024</t>
  </si>
  <si>
    <t>CP025</t>
  </si>
  <si>
    <t>MacroProceso - Gestión de Abastecimiento</t>
  </si>
  <si>
    <t>Proceso - Inventariado de Talleres de Educación Técnica</t>
  </si>
  <si>
    <t>OBS214</t>
  </si>
  <si>
    <t>OBS215</t>
  </si>
  <si>
    <t>OBS216</t>
  </si>
  <si>
    <t>OBS217</t>
  </si>
  <si>
    <t>OBS218</t>
  </si>
  <si>
    <t>OBS219</t>
  </si>
  <si>
    <t>OBS220</t>
  </si>
  <si>
    <t>OBS221</t>
  </si>
  <si>
    <t>OBS222</t>
  </si>
  <si>
    <t>OBS223</t>
  </si>
  <si>
    <t>OBS224</t>
  </si>
  <si>
    <t>OBS225</t>
  </si>
  <si>
    <t>OBS226</t>
  </si>
  <si>
    <t>OBS227</t>
  </si>
  <si>
    <t>OBS228</t>
  </si>
  <si>
    <t>OBS229</t>
  </si>
  <si>
    <t>OBS230</t>
  </si>
  <si>
    <t>OBS231</t>
  </si>
  <si>
    <t>OBS232</t>
  </si>
  <si>
    <t>OBS233</t>
  </si>
  <si>
    <t>OBS234</t>
  </si>
  <si>
    <t>OBS235</t>
  </si>
  <si>
    <t>OBS236</t>
  </si>
  <si>
    <t>OBS237</t>
  </si>
  <si>
    <t>OBS238</t>
  </si>
  <si>
    <t>OBS239</t>
  </si>
  <si>
    <t>OBS240</t>
  </si>
  <si>
    <t>OBS241</t>
  </si>
  <si>
    <t>OBS242</t>
  </si>
  <si>
    <t>OBS243</t>
  </si>
  <si>
    <t>OBS244</t>
  </si>
  <si>
    <t>OBS245</t>
  </si>
  <si>
    <t>OBS246</t>
  </si>
  <si>
    <t>OBS247</t>
  </si>
  <si>
    <t>OBS248</t>
  </si>
  <si>
    <t>OBS249</t>
  </si>
  <si>
    <t>OBS250</t>
  </si>
  <si>
    <t>OBS251</t>
  </si>
  <si>
    <t>OBS252</t>
  </si>
  <si>
    <t>OBS253</t>
  </si>
  <si>
    <t>OBS254</t>
  </si>
  <si>
    <t>OBS255</t>
  </si>
  <si>
    <t>OBS256</t>
  </si>
  <si>
    <t>OBS257</t>
  </si>
  <si>
    <t>OBS258</t>
  </si>
  <si>
    <t>OBS259</t>
  </si>
  <si>
    <t>OBS260</t>
  </si>
  <si>
    <t>OBS261</t>
  </si>
  <si>
    <t>OBS262</t>
  </si>
  <si>
    <t>OBS263</t>
  </si>
  <si>
    <t>OBS264</t>
  </si>
  <si>
    <t>OBS265</t>
  </si>
  <si>
    <t>OBS266</t>
  </si>
  <si>
    <t>OBS267</t>
  </si>
  <si>
    <t>OBS268</t>
  </si>
  <si>
    <t>OBS269</t>
  </si>
  <si>
    <t>OBS270</t>
  </si>
  <si>
    <t>OBS271</t>
  </si>
  <si>
    <t>OBS272</t>
  </si>
  <si>
    <t>OBS273</t>
  </si>
  <si>
    <t>OBS274</t>
  </si>
  <si>
    <t>OBS275</t>
  </si>
  <si>
    <t>OBS276</t>
  </si>
  <si>
    <t>OBS277</t>
  </si>
  <si>
    <t>OBS278</t>
  </si>
  <si>
    <t>OBS279</t>
  </si>
  <si>
    <t>OBS280</t>
  </si>
  <si>
    <t>OBS281</t>
  </si>
  <si>
    <t>OBS282</t>
  </si>
  <si>
    <t>OBS283</t>
  </si>
  <si>
    <t>OBS284</t>
  </si>
  <si>
    <t>OBS285</t>
  </si>
  <si>
    <t>OBS286</t>
  </si>
  <si>
    <t>OBS287</t>
  </si>
  <si>
    <t>OBS288</t>
  </si>
  <si>
    <t>OBS289</t>
  </si>
  <si>
    <t>OBS290</t>
  </si>
  <si>
    <t>OBS291</t>
  </si>
  <si>
    <t>OBS292</t>
  </si>
  <si>
    <t>OBS293</t>
  </si>
  <si>
    <t>OBS294</t>
  </si>
  <si>
    <t>OBS295</t>
  </si>
  <si>
    <t>OBS296</t>
  </si>
  <si>
    <t>OBS297</t>
  </si>
  <si>
    <t>OBS298</t>
  </si>
  <si>
    <t>OBS299</t>
  </si>
  <si>
    <t>OBS300</t>
  </si>
  <si>
    <t>OBS301</t>
  </si>
  <si>
    <t>OBS302</t>
  </si>
  <si>
    <t>OBS303</t>
  </si>
  <si>
    <t>OBS304</t>
  </si>
  <si>
    <t>OBS305</t>
  </si>
  <si>
    <t>OBS306</t>
  </si>
  <si>
    <t>OBS307</t>
  </si>
  <si>
    <t>OBS308</t>
  </si>
  <si>
    <t>OBS309</t>
  </si>
  <si>
    <t>OBS310</t>
  </si>
  <si>
    <t>OBS311</t>
  </si>
  <si>
    <t>OBS312</t>
  </si>
  <si>
    <t>OBS313</t>
  </si>
  <si>
    <t>OBS314</t>
  </si>
  <si>
    <t>OBS315</t>
  </si>
  <si>
    <t>OBS316</t>
  </si>
  <si>
    <t>OBS317</t>
  </si>
  <si>
    <t>OBS318</t>
  </si>
  <si>
    <t>OBS319</t>
  </si>
  <si>
    <t>OBS320</t>
  </si>
  <si>
    <t>OBS321</t>
  </si>
  <si>
    <t>OBS322</t>
  </si>
  <si>
    <t>OBS323</t>
  </si>
  <si>
    <t>OBS324</t>
  </si>
  <si>
    <t>OBS325</t>
  </si>
  <si>
    <t>OBS326</t>
  </si>
  <si>
    <t>OBS327</t>
  </si>
  <si>
    <t>OBS328</t>
  </si>
  <si>
    <t>OBS329</t>
  </si>
  <si>
    <t>OBS330</t>
  </si>
  <si>
    <t>OBS331</t>
  </si>
  <si>
    <t>OBS332</t>
  </si>
  <si>
    <t>OBS333</t>
  </si>
  <si>
    <t>OBS334</t>
  </si>
  <si>
    <t>OBS335</t>
  </si>
  <si>
    <t>OBS336</t>
  </si>
  <si>
    <t>OBS337</t>
  </si>
  <si>
    <t>OBS338</t>
  </si>
  <si>
    <t>OBS339</t>
  </si>
  <si>
    <t>OBS340</t>
  </si>
  <si>
    <t>OBS341</t>
  </si>
  <si>
    <t>OBS342</t>
  </si>
  <si>
    <t>OBS343</t>
  </si>
  <si>
    <t>OBS344</t>
  </si>
  <si>
    <t>OBS345</t>
  </si>
  <si>
    <t>OBS346</t>
  </si>
  <si>
    <t>OBS347</t>
  </si>
  <si>
    <t>OBS348</t>
  </si>
  <si>
    <t>OBS349</t>
  </si>
  <si>
    <t>OBS350</t>
  </si>
  <si>
    <t>OBS351</t>
  </si>
  <si>
    <t>OBS352</t>
  </si>
  <si>
    <t>OBS353</t>
  </si>
  <si>
    <t>OBS354</t>
  </si>
  <si>
    <t>OBS355</t>
  </si>
  <si>
    <t>OBS356</t>
  </si>
  <si>
    <t>OBS357</t>
  </si>
  <si>
    <t>OBS358</t>
  </si>
  <si>
    <t>OBS359</t>
  </si>
  <si>
    <t>De acuerdo a la OBS87, se usaría color azul para cuando se mencione, en el alcance, los procesos de otros macroprocesos.</t>
  </si>
  <si>
    <t xml:space="preserve">Los conectores no pueden comunicarse con las actividades que están dentro de un proceso expandido. </t>
  </si>
  <si>
    <t>Se está iniciando con un Timer, pero en la descripción no se menciona ningún tiempo.</t>
  </si>
  <si>
    <t>En la entrada de la actividad 2 no se menciona "Necesidad de Inventario".</t>
  </si>
  <si>
    <t>En la descripción de la actividad 2, debería ir una "e" en vez de una "y" antes de "Inventariado de Talleres…"</t>
  </si>
  <si>
    <t>El dato de salida de la actividad 12 debe ser dato de entrada de la actividad 11.</t>
  </si>
  <si>
    <t>Error de tipeo al describir "una cotización" en la descripción de la actividad 11.</t>
  </si>
  <si>
    <t>No existe la actividad 14, ni en el diagrama ni en la caracterización.</t>
  </si>
  <si>
    <t xml:space="preserve">Error de formato en los datos de entrada del evento fin. </t>
  </si>
  <si>
    <t>El "Informe de necesidades" está en el diagrama pero no aparece como datos de entrada o salida de las actividades 3 y 4.</t>
  </si>
  <si>
    <t>No hay un dato que relacione la actividad 4 y 8 que sustente el conector que los une.</t>
  </si>
  <si>
    <t>Error de tipeo en la descripción de la actividad 10 con "ambas" antes de "serán consolidadas en el cuestionario…"</t>
  </si>
  <si>
    <t>Error de genero con "enviada" en la descripción de la actividad 10.</t>
  </si>
  <si>
    <t>Se modificaron las secciones indicadas.</t>
  </si>
  <si>
    <t>Se modificó el orden de los procesos.</t>
  </si>
  <si>
    <t>Se modificó el conector.</t>
  </si>
  <si>
    <t>En el Macroproceso no existen actividades.</t>
  </si>
  <si>
    <t>Se modificó el nombre de la actividad en la caracterización.</t>
  </si>
  <si>
    <t>Se agregaron las entradas faltantes.</t>
  </si>
  <si>
    <t>Se modificaron las salidas por la salida "Actividades completas".</t>
  </si>
  <si>
    <t>Se modificó la descripción de la actividad.</t>
  </si>
  <si>
    <t>Se agregó como salida de la actividad 4 y entrada de la actividad 3.</t>
  </si>
  <si>
    <t>Se agregó como salida de la actividad 5 y entrada de la actividad 3.</t>
  </si>
  <si>
    <t>Se agregaron las entradas y salidas correspondientes.</t>
  </si>
  <si>
    <t>Se agregó como salida de la actividad 7 y entrada de la actividad 3.</t>
  </si>
  <si>
    <t>Se agregaron las entradas y salidas faltantes.</t>
  </si>
  <si>
    <t>Se agregó el responsable del evento.</t>
  </si>
  <si>
    <t>No es necesario que los nombres de los procesos empiecen con infinitivos.</t>
  </si>
  <si>
    <t>Se corrigió la palabra.</t>
  </si>
  <si>
    <t>Se corrigieron los nombres de las actividades del proceso.</t>
  </si>
  <si>
    <t>Se agregaron descripción, responsable y tipo de actividad.</t>
  </si>
  <si>
    <t>Se agregaron la entrada y la salida correspondiente.</t>
  </si>
  <si>
    <t>Se agregó la salida correspondiente en la actividad 4.</t>
  </si>
  <si>
    <t>Se modificó el nombre del lane.</t>
  </si>
  <si>
    <t>Se agregó como entrada de la actividad 5.1</t>
  </si>
  <si>
    <t>Se modificaron las descripciones de las actividades</t>
  </si>
  <si>
    <t>Se modificó el evento.</t>
  </si>
  <si>
    <t>Se cambió la numeración de los procesos.</t>
  </si>
  <si>
    <t>Se corrigieron las entradas y salidas de las actividesde señaladas.</t>
  </si>
  <si>
    <t>No se encuentra la incoherencia al leerlo.</t>
  </si>
  <si>
    <t>Se diagramó una flecha de la actividad 19 a la 6 para que exista un flujo de información.</t>
  </si>
  <si>
    <t>Se colocó la salida de la actividad 19 en el entrada de la actividad 6.</t>
  </si>
  <si>
    <t>Las salidas de las actividades de compensación se colocaron en la entrada de la actividad principal para seguir un flujo.</t>
  </si>
  <si>
    <t>Se colocó la numeración a todas las actividades faltantes.</t>
  </si>
  <si>
    <t>Se caracterizaron los procesos externos.</t>
  </si>
  <si>
    <t>Se agregó la salida como entrada de la actividad 2.3.</t>
  </si>
  <si>
    <t>Se agregó la salida de la actividad 2 a la 2.3.</t>
  </si>
  <si>
    <t>Se cambió la entrada de la actividad en cuestión a "Publicidad".</t>
  </si>
  <si>
    <t>Se corrigió el error de tipeo</t>
  </si>
  <si>
    <t>Se modificó el tipo de conector</t>
  </si>
  <si>
    <t>Se agregó la salida de la actividad 4 como entrada de la actividad 2.</t>
  </si>
  <si>
    <t>Se eliminó dicha entrada como parte de las entradas de la actividad 3.</t>
  </si>
  <si>
    <t>Se colocó el fin en el lane "Encargada de Donaciones"</t>
  </si>
  <si>
    <t>La actividad se convirtió en un subproceso.</t>
  </si>
  <si>
    <t>Se modificó el flujo del proceso.</t>
  </si>
  <si>
    <t>Se modificaron los conectores.</t>
  </si>
  <si>
    <t>Se cambió el color a  azul en el alcance.</t>
  </si>
  <si>
    <t>No existen actividades en el Macroproceso.</t>
  </si>
  <si>
    <t>Se corrigió las entradas y salidas de los conectores.</t>
  </si>
  <si>
    <t>Se especificó el tiempo en el Timer señalado.</t>
  </si>
  <si>
    <t>Se agregó en la entrada de la actividad 2 la "Necesidad de Inventario".</t>
  </si>
  <si>
    <t>Se caracterizó el fin del subproceso.</t>
  </si>
  <si>
    <t>Ya se corrigió la entrada y salida de las actividades en cuestión.</t>
  </si>
  <si>
    <t>La actividad ya no tiene salida en la caracterización.</t>
  </si>
  <si>
    <t>Se corrigió la numeración.</t>
  </si>
  <si>
    <t>Se agregó el Informe de Necesidades en las entradas y salidas correspondientes.</t>
  </si>
  <si>
    <t>En la entrada de la actividad 8 se agregó "Listado de necesidades de maquinaria".</t>
  </si>
  <si>
    <t>Todas las actividades (procesos) deben empezar con un verbo en infinitivo (-ar, -er, -ir). En la descripción, la tercera columna, muestra todas las actividades, todo lo que esta en esa columna, a excepción del inicio y el fin tienen que estar en infinitivo.</t>
  </si>
  <si>
    <t>Toda tarea, actividad: proceso, subproceso, gateway, evento tiene que empezar con un verbo infinitivo. (-ar, -er, -ir).</t>
  </si>
  <si>
    <t>Considerar las actividades de compensación que se llaman en la actividad 5 y 8. La actividad de compensación indica el rolling back del flujo. Para este caso, cancelando todo el proceso.</t>
  </si>
  <si>
    <r>
      <t>El dato de salida del inicio "</t>
    </r>
    <r>
      <rPr>
        <sz val="9"/>
        <color theme="1"/>
        <rFont val="Times New Roman"/>
        <family val="1"/>
      </rPr>
      <t>Conjunto de Cartas entregadas" nunca se usa en el flujo.</t>
    </r>
  </si>
  <si>
    <t>"Decisión luego de visita" debería ser dato de salida de la actividad 3</t>
  </si>
  <si>
    <t>"Visita innecesaria" debería ser dato de entrada de la actividad 7</t>
  </si>
  <si>
    <t>"Voucher enviado" no puede ser un dato de entrada de la actividad 8.</t>
  </si>
  <si>
    <t>No hay dato que relacione la actividad 8 y 10.</t>
  </si>
  <si>
    <t xml:space="preserve">No se menciona los eventos timers de las actividades 14 y 20, ni el evento de condición, regla de negocio, de la actividad 16 en la caracterización. Mientras que en la actividad 15 se menciona una regla de negocio que no se ve en el diagrama. </t>
  </si>
  <si>
    <t>La descripción de la actividad 3 no representa una "Evaluación" ni una "Entrega". El fin no tendría sentido.</t>
  </si>
  <si>
    <t>La actividad 13 no debería tener un dato de salida ya que al no tener un conector, se perdería dicho dato. O en todo caso agregar un conector saliente.</t>
  </si>
  <si>
    <t xml:space="preserve">[OBS216]Todas las actividades (procesos) deben empezar con un verbo en infinitivo (-ar, -er, -ir). En la descripción, la tercera columna, muestra todas las actividades, todo lo que esta en esa columna, a excepción del inicio y el fin tienen que estar en infinitivo._x000D_
</t>
  </si>
  <si>
    <t xml:space="preserve">[OBS217]El nombre de un proceso debe comenzar con un verbo en infinitivo, solo los nombres de los Macroprocesos no cumplen con esa regla._x000D_
[OBS218]Toda tarea, actividad: proceso, subproceso, gateway, evento tiene que empezar con un verbo infinitivo. (-ar, -er, -ir)._x000D_
</t>
  </si>
  <si>
    <t xml:space="preserve">[OBS222]Toda tarea, actividad: proceso, subproceso, gateway, evento tiene que empezar con un verbo infinitivo. (-ar, -er, -ir)._x000D_
[OBS223]Considerar las actividades de compensación que se llaman en la actividad 5 y 8. La actividad de compensación indica el rolling back del flujo. Para este caso, cancelando todo el proceso._x000D_
[OBS224]Es una buena práctica caracterizar según el flujo total, no solo del principal. El fin debería ser lo último que se caracteriza al igual que procesos que tienen datos de salida que son datos de entrada de otro proceso se caracterizan primero._x000D_
</t>
  </si>
  <si>
    <t xml:space="preserve">[OBS225]El nombre de un proceso debe comenzar con un verbo en infinitivo, solo los nombres de los Macroprocesos no cumplen con esa regla._x000D_
</t>
  </si>
  <si>
    <t xml:space="preserve">[OBS226]El nombre de un proceso debe comenzar con un verbo en infinitivo, solo los nombres de los Macroprocesos no cumplen con esa regla._x000D_
</t>
  </si>
  <si>
    <t xml:space="preserve">[OBS235]El nombre de un proceso debe comenzar con un verbo en infinitivo, solo los nombres de los Macroprocesos no cumplen con esa regla._x000D_
[OBS236]Toda tarea, actividad: proceso, subproceso, gateway, evento tiene que empezar con un verbo infinitivo. (-ar, -er, -ir)._x000D_
</t>
  </si>
  <si>
    <t>CP026</t>
  </si>
  <si>
    <t>CP027</t>
  </si>
  <si>
    <t>CP028</t>
  </si>
  <si>
    <t>CP029</t>
  </si>
  <si>
    <t>CP030</t>
  </si>
  <si>
    <t>CP031</t>
  </si>
  <si>
    <t>CP032</t>
  </si>
  <si>
    <t>MP - Gestión de Proyectos</t>
  </si>
  <si>
    <t>PROCESO - Ejecución de Proyectos del Departamento de Proyectos</t>
  </si>
  <si>
    <t>MP - Gestión de Aseguramiento de la Calidad Educativa</t>
  </si>
  <si>
    <t>PROCESO Capacitaciones de Educación Técnica</t>
  </si>
  <si>
    <t>PROCESO Capacitaciones del Departamento de Formación</t>
  </si>
  <si>
    <t>MP - Gestión de Orientación Pastoral</t>
  </si>
  <si>
    <t>PROCESO - Ejecución de Talleres de Pastoral y Educación en Valores</t>
  </si>
  <si>
    <t>MP - Contabilidad y Presupuestos</t>
  </si>
  <si>
    <t>PROCESO - Planificación del Presupuesto Institucional Anual</t>
  </si>
  <si>
    <t>PROCESO - Seguimiento Presupuestal</t>
  </si>
  <si>
    <t>CP033</t>
  </si>
  <si>
    <t>CP034</t>
  </si>
  <si>
    <t>CP035</t>
  </si>
  <si>
    <t>Considerar el mismo formato al momento de juntar todos los documentos, normalmente siempre han escrito el título del macroproceso en mayúsculas.</t>
  </si>
  <si>
    <t>Hay un error de tipeo en el propósito y en el alcance al escribir "macro proceso", es junto.</t>
  </si>
  <si>
    <t>Al final del punto 2 del procedimiento, "otros" debería estar en femenino, ya que se está refiriendo a las áreas.</t>
  </si>
  <si>
    <t>Sugiero un estandar, en todos los documentos anteriores la caracterización siempre siempre ha tenido todos los bordes en el cuadro.</t>
  </si>
  <si>
    <t>En la Obs130 se mencionó que los datos de entrada "No faltan actividades" no parecen ser un artefacto y la solución que propusieron fue cambiarla por "Actividades completas". Se podría considerar lo mismo.</t>
  </si>
  <si>
    <t>En la descripción de la actividad 3 hay un error de tipeo al final de la 2da linea con "esperar".</t>
  </si>
  <si>
    <t>No se menciona el dato de salida "Documentación" en la actividad 4.</t>
  </si>
  <si>
    <t>En la descripción de la actividad 6 "referente al proyecto" debería estar entre comas para que se entienda que "lista" se refiere a la información. Si se refiere al proyecto debe ser "listo".</t>
  </si>
  <si>
    <t>En la descripción de la actividad 8 hay un "la" innecesario entre "para" y "llevar".</t>
  </si>
  <si>
    <t>El dato de entrada de la actividad 11 no concuerda con el dato de salida de la actividad 2.</t>
  </si>
  <si>
    <t>Sugerencia de formato, es el primer documento en el que se encuentra leyendas como: "Definición del Macroproceso: "Gestión de Proyectos”, "Diagrama de Proceso del Macroproceso "Gestión de Proyectos” y Caracterización del Macroproceso "Gestión de Proyectos"</t>
  </si>
  <si>
    <t>En el procedimiento, en el punto 2, hay un error ortográfico con la "ó" que está entre donación y concurso, no es necesario que lleve tilde.</t>
  </si>
  <si>
    <t>En el procedimiento, en el punto 5, hay un error de tipeo "Evaluar del Proyecto".</t>
  </si>
  <si>
    <t>Considerar las actividades de compensación que se llaman en la actividad 7 y 17. La actividad de compensación indica el rolling back del flujo. Para este caso, cancelando todo el proceso.</t>
  </si>
  <si>
    <t>No hay un dato que relacione el inicio con la actividad 2</t>
  </si>
  <si>
    <t>En la descripción de la actividad 5 no se menciona cuando se sale del ciclo para poder ir a la siguiente actividad.</t>
  </si>
  <si>
    <t>En la descripción de la actividad 15, debe haber una coma entre "requerida" y  "se".</t>
  </si>
  <si>
    <t>La actividad 21 tiene 5 datos de salida que no estan como entrada en la actividad 2.</t>
  </si>
  <si>
    <t>La actividad 20 tiene 3 datos de salida que no estan como entrada en la actividad 2.</t>
  </si>
  <si>
    <t>Diferente tipo de fuente, en el mismo documento, y respecto a los otros documentos.</t>
  </si>
  <si>
    <t>No se mencionó la leyenda, normalmente lo mencionan en el alcance, que significa los colores de los procesos.</t>
  </si>
  <si>
    <t>"Resultado de Prueba Ministerial" no está como dato de entrada de la actividad 4, el proceso 10 no sería necesario.</t>
  </si>
  <si>
    <t>"Cuestionario de necesidades" no está como dato de salida de la actividad 4.</t>
  </si>
  <si>
    <t>"Formato de monitoreo e Informe" no se detalla como dato de salida de la actividad 5 ni como dato de entrada de la actividad 6.</t>
  </si>
  <si>
    <t>En el primer parrafo y en la descripción de la actividad 8 hay un error de tipeo al escribir "macroproceso" separado.</t>
  </si>
  <si>
    <t>En el propósito, el alcance y la descripción de la actividad 9 se menciona proceso en vez de macroproceso.</t>
  </si>
  <si>
    <t>Existe un conector de más entre la actvidad 5 y 11.</t>
  </si>
  <si>
    <t>La descripción de la actividad 11 está incompleta.</t>
  </si>
  <si>
    <t>Existe un conector de más entre la actvidad 6 y 13.</t>
  </si>
  <si>
    <t>Probablemente en la descripción de la actividad 13 no debería decir "Capacitación de la invitación".</t>
  </si>
  <si>
    <t>El nombre de la actividad 7 es distinto entre el diagrama y la caracterización.</t>
  </si>
  <si>
    <t>El dato de entrada "Temas de capacitación" de la actividad 8 no tiene relación con el flujo.</t>
  </si>
  <si>
    <t>En la descripción de la actividad 4, hay un error ortográfico con "llevará".</t>
  </si>
  <si>
    <t>En la descripción de la actividad 4, sugiero cambiar el "en los docentes" con "con los docentes".</t>
  </si>
  <si>
    <t>Error de formato con el dato de salida de la actividad 6.</t>
  </si>
  <si>
    <t>No hay dato que relacione la actividad 6 y 7.</t>
  </si>
  <si>
    <t>En el propósito hay un error de tipeo al escribir "macroproceso" separado.</t>
  </si>
  <si>
    <t>En el alcance se menciona proceso, cuando es un macroproceso.</t>
  </si>
  <si>
    <t>"No faltan actividades" no es un dato. Actividad 1 y 2.</t>
  </si>
  <si>
    <t>Los datos de entrada y salida de las actividades 8 y 9 no tienen relación con los datos de la actividad 4.</t>
  </si>
  <si>
    <t>En la descripción de la actividad 8, me parece que el "informado" debe cambiar.</t>
  </si>
  <si>
    <t>En la descripción de la actividad 9, no se necesita la segunda coma.</t>
  </si>
  <si>
    <t>Estandarizar los documentos, los títulos, las leyendas como :"Definición del Macroproceso:”, "Diagrama de Proceso" y "Caracterización del proceso"</t>
  </si>
  <si>
    <t>El evento inicio no tiene descripción.</t>
  </si>
  <si>
    <t>En la descripción de la actividad 3 hay un error ortográfico, para este caso la o no lleva tilde.</t>
  </si>
  <si>
    <t xml:space="preserve">[OBS275]El nombre de un proceso debe comenzar con un verbo en infinitivo, solo los nombres de los Macroprocesos no cumplen con esa regla._x000D_
[OBS276]Diferente tipo de fuente, en el mismo documento, y respecto a los otros documentos._x000D_
[OBS277]Es una buena práctica caracterizar según el flujo total, no solo del principal. El fin debería ser lo último que se caracteriza al igual que procesos que tienen datos de salida que son datos de entrada de otro proceso se caracterizan primero._x000D_
[OBS278]Toda tarea, actividad: proceso, subproceso, gateway, evento tiene que empezar con un verbo infinitivo. (-ar, -er, -ir)._x000D_
[OBS279]El nombre de la actividad 7 es distinto entre el diagrama y la caracterización._x000D_
[OBS280]El dato de entrada "Temas de capacitación" de la actividad 8 no tiene relación con el flujo._x000D_
</t>
  </si>
  <si>
    <t xml:space="preserve">[OBS289]En el propósito hay un error de tipeo al escribir "macroproceso" separado._x000D_
[OBS290]En el alcance se menciona proceso, cuando es un macroproceso._x000D_
[OBS291]Es una buena práctica caracterizar según el flujo total, no solo del principal. El fin debería ser lo último que se caracteriza al igual que procesos que tienen datos de salida que son datos de entrada de otro proceso se caracterizan primero._x000D_
[OBS292]Toda tarea, actividad: proceso, subproceso, gateway, evento tiene que empezar con un verbo infinitivo. (-ar, -er, -ir)._x000D_
[OBS293]"No faltan actividades" no es un dato. Actividad 1 y 2._x000D_
[OBS294]Los datos de entrada y salida de las actividades 8 y 9 no tienen relación con los datos de la actividad 4._x000D_
[OBS295]En la descripción de la actividad 8, me parece que el "informado" debe cambiar._x000D_
[OBS296]En la descripción de la actividad 9, no se necesita la segunda coma._x000D_
</t>
  </si>
  <si>
    <t xml:space="preserve">[OBS297]El nombre de un proceso debe comenzar con un verbo en infinitivo, solo los nombres de los Macroprocesos no cumplen con esa regla._x000D_
[OBS298]Estandarizar los documentos, los títulos, las leyendas como :"Definición del Macroproceso:”, "Diagrama de Proceso" y "Caracterización del proceso"_x000D_
[OBS299]Es una buena práctica caracterizar según el flujo total, no solo del principal. El fin debería ser lo último que se caracteriza al igual que procesos que tienen datos de salida que son datos de entrada de otro proceso se caracterizan primero._x000D_
[OBS300]Toda tarea, actividad: proceso, subproceso, gateway, evento tiene que empezar con un verbo infinitivo. (-ar, -er, -ir)._x000D_
[OBS301]El evento inicio no tiene descripción._x000D_
[OBS302]En la descripción de la actividad 3 hay un error ortográfico, para este caso la o no lleva tilde._x000D_
</t>
  </si>
  <si>
    <t>Se modificaron los nombres de las actividades y procesos relacionados.</t>
  </si>
  <si>
    <t>Se modificó el nombre del proceso a "Elaborar Plan Operativo Institucional"</t>
  </si>
  <si>
    <t>Se modificó el nombre del proceso a "Planificar Actividades del Departamento de Proyectos"</t>
  </si>
  <si>
    <t>La salida se agregó como entrada de la actividad 2.</t>
  </si>
  <si>
    <t>Se considerará tanto como entrada y salida, pues proviene del proceso de apoyo "Realizar Visita a Institución" y es necesaria para evaluar la decisión del donante.</t>
  </si>
  <si>
    <t>Se eliminó como entrada de la actividad 8.</t>
  </si>
  <si>
    <t>Se agregó la salida de la actividad 8 como entrada de la actividad 10.</t>
  </si>
  <si>
    <t>Se agregaron las descripciones correspondientes.</t>
  </si>
  <si>
    <t>Se modificó el nombre del proceso a "Recibir Donaciones"</t>
  </si>
  <si>
    <t>Se modificó el nombre del proceso a "Emitir Cartas"</t>
  </si>
  <si>
    <t>Se modificó el nombre del proceso a "Emitir y Declarar Certificados de Donaciones"</t>
  </si>
  <si>
    <t>Se modificó el formato correspondiente.</t>
  </si>
  <si>
    <t>Se arregló el error de tipeo.</t>
  </si>
  <si>
    <t>Se corrigió el error de redacción.</t>
  </si>
  <si>
    <t>Se eliminaron las leyendas, pues éstas son incluidas cuando la definición es integrada a la memoria del Proyecto.</t>
  </si>
  <si>
    <t>Se modificaron los nombres de los procesos pertenecientes a este macroproceso.</t>
  </si>
  <si>
    <t>Se agregaron los marcos correspondientes</t>
  </si>
  <si>
    <t>Se realizó el cambio correspondiente.</t>
  </si>
  <si>
    <t>Se agregó la salida de la Actividad 7 como entrada de la Actividad 4.</t>
  </si>
  <si>
    <t>Se agregó la entrada de la actividad 11 como salida de la actividad 2.</t>
  </si>
  <si>
    <t>Se modificó el nombre del proceso a "Ejecutar Proyectos".</t>
  </si>
  <si>
    <t>Se modificó el error de tipeo.</t>
  </si>
  <si>
    <t>Se modificaron los nombres de los procesos y actividades.</t>
  </si>
  <si>
    <t>Se agregaron las entradas correspondientes.</t>
  </si>
  <si>
    <t>Se modificaron las salidas de la actividad 20.</t>
  </si>
  <si>
    <t>Se modificaron las salidas de la actividad 21.</t>
  </si>
  <si>
    <t>Se modificó el orden de las actividades.</t>
  </si>
  <si>
    <t>Se consideró la recomendación.</t>
  </si>
  <si>
    <t>Se agregaron las salidas y entradas de las actividades mencionadas</t>
  </si>
  <si>
    <t>Se modificaron los nombres de los procesos.</t>
  </si>
  <si>
    <t>Se redactó la descripción del inicio.</t>
  </si>
  <si>
    <t>Se cambiaron los nombres de los procesos.</t>
  </si>
  <si>
    <t>Se estandarizó la fuente.</t>
  </si>
  <si>
    <t>Se agregó la leyenda.</t>
  </si>
  <si>
    <t>Se corrigió la ambigüedad.</t>
  </si>
  <si>
    <t>Se corrigió lo señalado.</t>
  </si>
  <si>
    <t>No existe un conector de más.</t>
  </si>
  <si>
    <t>Se agregó la salida.</t>
  </si>
  <si>
    <t>Se agregó y la entrada respectiva.</t>
  </si>
  <si>
    <t>Se completó la descripción.</t>
  </si>
  <si>
    <t>Se agregó la entrada señalada.</t>
  </si>
  <si>
    <t>Se cambió la numeración de las actividades.</t>
  </si>
  <si>
    <t>Se agregó un conector de la actividad Preparar Capacitación a la actividad Dictar Capacitación.</t>
  </si>
  <si>
    <t>Se cambiaron los nombres de los procesos y la actividades.</t>
  </si>
  <si>
    <t>Se corrigió el formato.</t>
  </si>
  <si>
    <t>Se agregó la entrada "Invitación a Capacitación"  en la activdad "Confirmar Asistencia".</t>
  </si>
  <si>
    <t>Se cambió el nombre a los procesos y actividades.</t>
  </si>
  <si>
    <t>Se cambió de nombre a los procesos.</t>
  </si>
  <si>
    <t>Formato distinto, empezando con enumeración y el título en minúscula.</t>
  </si>
  <si>
    <t>Si existe un dato que se esté comunicando entre la actividad 3 y 4, entonces también debería tener un conector.</t>
  </si>
  <si>
    <t>Hay un gruión e mas en la salida de la actividad 1.</t>
  </si>
  <si>
    <t>El dato "Fecha de inicio de año" de la actividad 1 y 3, es muy abierto, podría entenderse como 1ero de enero, puede ser inicio del año escolar, del año contable, etc.</t>
  </si>
  <si>
    <t>En la descripción de la actividad 3, "divida" está fuera de contexto.</t>
  </si>
  <si>
    <t>Falta el dato de entrada "Presupuesto institucional por rubro contable y financiamiento" en la actividad 4.</t>
  </si>
  <si>
    <t>Falta un guión en las salidas de la actividad 4.</t>
  </si>
  <si>
    <t>No se entiende la última parte de la descripción de la actividad 6, hay errores de grámatica y de tipeo. Desde "Finalmente …"</t>
  </si>
  <si>
    <t>Falta una de las salidas de la actividad 4 en las entradas del fin.</t>
  </si>
  <si>
    <t>Existe diferente tipo de fuente en el documento.</t>
  </si>
  <si>
    <t>Considerar la actividad de compensación que se llama en la actividad 5.4. La actividad de compensación indica el rolling back del flujo. Para este caso, cancela el proceso 5.</t>
  </si>
  <si>
    <t>El inicio no debería tener actividades de entrada.</t>
  </si>
  <si>
    <t>Toda tarea, actividad: proceso, subproceso, gateway, evento tiene que empezar con un verbo infinitivo. (-ar, -er, -ir). Procesos 9 y 10.</t>
  </si>
  <si>
    <t>Los datos de salida "Fuentes de financiamiento asignadas para pago de personal" y "Plan Operativo Anual Actualizado" de la actividad 6 no son entrada de la siguiente actividad.</t>
  </si>
  <si>
    <t>Hay una fila innecesaria al final de la caracterización.</t>
  </si>
  <si>
    <t>Toda tarea, actividad: proceso, subproceso, gateway, evento tiene que empezar con un verbo infinitivo. (-ar, -er, -ir): Proceso 3 y Gateway 6.</t>
  </si>
  <si>
    <t>Es una buena práctica caracterizar según el flujo total, no solo del principal. Los procesos que tienen datos de salida que son datos de entrada de otro proceso se caracterizan primero.</t>
  </si>
  <si>
    <t>Diferencia de formato en el cuadro de caracterización.</t>
  </si>
  <si>
    <t>Las salidas de la actividad 6 no son datos de salida.</t>
  </si>
  <si>
    <t xml:space="preserve">[OBS303]Formato distinto, empezando con enumeración y el título en minúscula._x000D_
[OBS304]Toda tarea, actividad: proceso, subproceso, gateway, evento tiene que empezar con un verbo infinitivo. (-ar, -er, -ir)._x000D_
[OBS305]Si existe un dato que se esté comunicando entre la actividad 3 y 4, entonces también debería tener un conector._x000D_
[OBS306]Hay un gruión e mas en la salida de la actividad 1._x000D_
[OBS307]El dato "Fecha de inicio de año" de la actividad 1 y 3, es muy abierto, podría entenderse como 1ero de enero, puede ser inicio del año escolar, del año contable, etc._x000D_
[OBS308]En la descripción de la actividad 3, "divida" está fuera de contexto._x000D_
[OBS309]Falta el dato de entrada "Presupuesto institucional por rubro contable y financiamiento" en la actividad 4._x000D_
[OBS310]Falta un guión en las salidas de la actividad 4._x000D_
[OBS311]No se entiende la última parte de la descripción de la actividad 6, hay errores de grámatica y de tipeo. Desde "Finalmente …"_x000D_
[OBS312]Falta una de las salidas de la actividad 4 en las entradas del fin._x000D_
</t>
  </si>
  <si>
    <t xml:space="preserve">[OBS313]El nombre de un proceso debe comenzar con un verbo en infinitivo, solo los nombres de los Macroprocesos no cumplen con esa regla._x000D_
[OBS314]Existe diferente tipo de fuente en el documento._x000D_
[OBS315]Toda tarea, actividad: proceso, subproceso, gateway, evento tiene que empezar con un verbo infinitivo. (-ar, -er, -ir). Procesos 9 y 10._x000D_
[OBS316]Es una buena práctica caracterizar según el flujo total, no solo del principal. Los procesos que tienen datos de salida que son datos de entrada de otro proceso se caracterizan primero._x000D_
[OBS317]Considerar la actividad de compensación que se llama en la actividad 5.4. La actividad de compensación indica el rolling back del flujo. Para este caso, cancela el proceso 5._x000D_
[OBS318]El inicio no debería tener actividades de entrada._x000D_
[OBS319]En la descripción de la actividad 2.8 hay un ":" de mas._x000D_
[OBS320]Los datos de salida "Fuentes de financiamiento asignadas para pago de personal" y "Plan Operativo Anual Actualizado" de la actividad 6 no son entrada de la siguiente actividad._x000D_
[OBS321]Hay una fila innecesaria al final de la caracterización._x000D_
</t>
  </si>
  <si>
    <t xml:space="preserve">[OBS322]El nombre de un proceso debe comenzar con un verbo en infinitivo, solo los nombres de los Macroprocesos no cumplen con esa regla._x000D_
[OBS323]Existe diferente tipo de fuente en el documento._x000D_
[OBS324]Toda tarea, actividad: proceso, subproceso, gateway, evento tiene que empezar con un verbo infinitivo. (-ar, -er, -ir): Proceso 3 y Gateway 6._x000D_
[OBS325]Diferencia de formato en el cuadro de caracterización._x000D_
[OBS326]Las salidas de la actividad 6 no son datos de salida._x000D_
</t>
  </si>
  <si>
    <t>El nombre de la actividad 3 tiene un error de tipeo.</t>
  </si>
  <si>
    <t>El conector entre las actividades y el evento enlace, vínculo o link, al estar en el mismo pool deberían ser de flujo de secuencia.</t>
  </si>
  <si>
    <t xml:space="preserve">En la actividad 3, "Decisión luego de visita", solo debería ser dato de entrada, ya que en esa actividad lo que se hace es coordinar la entrevista. </t>
  </si>
  <si>
    <t>Error de formato en la desccripción de la actividad 3.</t>
  </si>
  <si>
    <t xml:space="preserve">No me queda claro la necesidad del Fin 3.1, ya que si se da, finalizaría la actividad 4, asi esta no se haya terminado. Por otro lado, si hay un fin, debería haber un inicio. </t>
  </si>
  <si>
    <t xml:space="preserve">El dato "Informe Financiero" de la actividad 3 y 3.1 no se usa más. </t>
  </si>
  <si>
    <t xml:space="preserve">[OBS327]El inicio no debería tener actividades de entrada._x000D_
[OBS328]El nombre de la actividad 3 tiene un error de tipeo._x000D_
</t>
  </si>
  <si>
    <t>Se modificaron las entradas y salidas de la actividad mencionada.</t>
  </si>
  <si>
    <t>Se agregó la actividad "Acompañar a Donante"</t>
  </si>
  <si>
    <t>Error de formato corregido.</t>
  </si>
  <si>
    <t>Error de tipeo en el diagrama con la actividad 9, "all".</t>
  </si>
  <si>
    <t>En la salida del inicio, faltó modificar "No faltan actividades".</t>
  </si>
  <si>
    <t>Como dato de entrada no se menciona el dato de salida de la actividad 7 "Informe Final", mientras que "Solicitud de realización de auditoría" no concuerda con el flujo.</t>
  </si>
  <si>
    <t>El nombre del evento 9 en el diagrama es distinto al de la caracterización.</t>
  </si>
  <si>
    <t xml:space="preserve">[OBS334]Error de tipeo en el diagrama con la actividad 9, "all"._x000D_
[OBS335]En la salida del inicio, faltó modificar "No faltan actividades"._x000D_
</t>
  </si>
  <si>
    <t xml:space="preserve">[OBS336]El inicio no debería tener actividades de entrada._x000D_
</t>
  </si>
  <si>
    <t xml:space="preserve">[OBS338]El nombre del evento 9 en el diagrama es distinto al de la caracterización._x000D_
</t>
  </si>
  <si>
    <t>Formato uniformizado.</t>
  </si>
  <si>
    <t>Conector añadido.</t>
  </si>
  <si>
    <t>Se eliminó el guión adicional.</t>
  </si>
  <si>
    <t>Se  modificaron dichas entradas.</t>
  </si>
  <si>
    <t>Se agregó como entrada de la actividad 4.</t>
  </si>
  <si>
    <t>Guión añadido.</t>
  </si>
  <si>
    <t>El nombre del proceso se modificó a "Planificar Presupuesto Institucional Anual"</t>
  </si>
  <si>
    <t>Fuente uniformizada.</t>
  </si>
  <si>
    <t>Nombres de procesos y actividades modificados.</t>
  </si>
  <si>
    <t>Se elimina actividad de compensación.</t>
  </si>
  <si>
    <t>Se eliminaron las entradas del inicio.</t>
  </si>
  <si>
    <t>Se elimnó el ":" de más.</t>
  </si>
  <si>
    <t>Se corrigieron las entradas y salidas correspondientes.</t>
  </si>
  <si>
    <t>Se eliminó la fila correspondiente.</t>
  </si>
  <si>
    <t>Se modificó el nombre del proceso a "Realizar Seguimiento Presupuestal"</t>
  </si>
  <si>
    <t>Se unificó el formato de la caracterización</t>
  </si>
  <si>
    <t>Se cambiaron las entradas de la actividad.</t>
  </si>
  <si>
    <t>En la descripción de la actividad 5.8 hay un ":" de mas.</t>
  </si>
  <si>
    <t>Respecto a la observación OBS329, me refería a los conectores de los procesos 15, 19, 20 y 21 con su respectivo link.</t>
  </si>
  <si>
    <t>Existe un guión de mas en la entrada de la actividad 3.</t>
  </si>
  <si>
    <t>La tercera hoja está en blanco, es innecesaria.</t>
  </si>
  <si>
    <t>A lo que me refería en la OBS271, es que entre dos procesos no es necesario poner mas de dos conectores de entrada o salida. En este caso hay dos conectores de la actividad 9 hacia la actividad 4. Son subprocesos, con 1 es suficiente, el resto se explica en la caracterización.</t>
  </si>
  <si>
    <t xml:space="preserve">[OBS339]Respecto a la observación OBS329, me refería a los conectores de los procesos 15, 19, 20 y 21 con su respectivo link._x000D_
</t>
  </si>
  <si>
    <t xml:space="preserve">[OBS340]Existe un guión de mas en la entrada de la actividad 3._x000D_
</t>
  </si>
  <si>
    <t xml:space="preserve">[OBS341]La tercera hoja está en blanco, es innecesaria._x000D_
</t>
  </si>
  <si>
    <t xml:space="preserve">[OBS337]A lo que me refería en la OBS271, es que entre dos procesos no es necesario poner mas de dos conectores de entrada o salida. En este caso hay dos conectores de la actividad 9 hacia la actividad 4. Son subprocesos, con 1 es suficiente, el resto se explica en la caracterización._x000D_
</t>
  </si>
  <si>
    <t xml:space="preserve"> El flujo principal debe estar en el pool principal y no ser dependiente de los colaboradores. Los pools colaboradores son cajas negras. Debe existir un conector entre la actividad 2 y 6 y entre la actividad 10 y 12.</t>
  </si>
  <si>
    <t>Toda tarea, actividad: proceso, subproceso, gateway, evento tiene que empezar con un verbo infinitivo. (-ar, -er, -ir). Gateway 2.</t>
  </si>
  <si>
    <t>OBS360</t>
  </si>
  <si>
    <t>OBS361</t>
  </si>
  <si>
    <t>OBS362</t>
  </si>
  <si>
    <t>OBS363</t>
  </si>
  <si>
    <t>OBS364</t>
  </si>
  <si>
    <t>OBS365</t>
  </si>
  <si>
    <t>OBS366</t>
  </si>
  <si>
    <t>OBS367</t>
  </si>
  <si>
    <t>OBS368</t>
  </si>
  <si>
    <t>OBS369</t>
  </si>
  <si>
    <t>OBS370</t>
  </si>
  <si>
    <t xml:space="preserve"> El flujo principal debe estar en el pool principal y no ser dependiente de los colaboradores. Los pools colaboradores son cajas negras. Debe existir un conector entre las actividades 4, 5 y 6 con la 10.</t>
  </si>
  <si>
    <t>Toda tarea, actividad: proceso, subproceso, gateway, evento tiene que empezar con un verbo infinitivo. (-ar, -er, -ir). Subprocesos 3.3 y 3.13.</t>
  </si>
  <si>
    <t>El inicio y el fin deben estar en el pool principal.</t>
  </si>
  <si>
    <t>Los conectores que interactúan con las actividades 13 y 15 no es el correcto, debe ser de flujo de mensaje.</t>
  </si>
  <si>
    <t>Los conectores que interactúan con las actividades 7, 8, 9 no son los correctos, debe ser un flujo de mensaje.</t>
  </si>
  <si>
    <t>El inicio debe estar en el flujo principal.</t>
  </si>
  <si>
    <t>Los conectores que interactúan con los procesos externos 3, 7, 13 y 14 no son los correctos, deben ser Flujo de mensaje.</t>
  </si>
  <si>
    <t xml:space="preserve"> El flujo principal debe estar en el pool principal y no ser dependiente de los colaboradores. Los pools colaboradores son cajas negras. Debe existir un conector entre las actividades 12 y 15. Tenerlo en cuenta cuando se modifique el principio del proceso también.</t>
  </si>
  <si>
    <t>El conector que interactúan con el proceso externo 3 no es el correcto, debe ser Flujo de mensaje.</t>
  </si>
  <si>
    <t xml:space="preserve">[OBS342]Toda tarea, actividad: proceso, subproceso, gateway, evento tiene que empezar con un verbo infinitivo. (-ar, -er, -ir)._x000D_
</t>
  </si>
  <si>
    <t xml:space="preserve">[OBS343]El nombre de un proceso debe comenzar con un verbo en infinitivo, solo los nombres de los Macroprocesos no cumplen con esa regla._x000D_
</t>
  </si>
  <si>
    <t xml:space="preserve">[OBS344]Toda tarea, actividad: proceso, subproceso, gateway, evento tiene que empezar con un verbo infinitivo. (-ar, -er, -ir)._x000D_
[OBS345] El flujo principal debe estar en el pool principal y no ser dependiente de los colaboradores. Los pools colaboradores son cajas negras. Debe existir un conector entre la actividad 2 y 6 y entre la actividad 10 y 12._x000D_
[OBS346]El Fin debe estar en el pool principal._x000D_
</t>
  </si>
  <si>
    <t xml:space="preserve">[OBS347]El nombre de un proceso debe comenzar con un verbo en infinitivo, solo los nombres de los Macroprocesos no cumplen con esa regla._x000D_
[OBS348]Toda tarea, actividad: proceso, subproceso, gateway, evento tiene que empezar con un verbo infinitivo. (-ar, -er, -ir). Gateway 2._x000D_
</t>
  </si>
  <si>
    <t xml:space="preserve">[OBS349]El nombre de un proceso debe comenzar con un verbo en infinitivo, solo los nombres de los Macroprocesos no cumplen con esa regla._x000D_
</t>
  </si>
  <si>
    <t xml:space="preserve">[OBS350]El nombre de un proceso debe comenzar con un verbo en infinitivo, solo los nombres de los Macroprocesos no cumplen con esa regla._x000D_
[OBS351]Los conectores que interactúan con las actividades 7, 8, 9 no son los correctos, debe ser un flujo de mensaje._x000D_
[OBS352] El flujo principal debe estar en el pool principal y no ser dependiente de los colaboradores. Los pools colaboradores son cajas negras. Debe existir un conector entre las actividades 4, 5 y 6 con la 10._x000D_
</t>
  </si>
  <si>
    <t xml:space="preserve">[OBS353]El nombre de un proceso debe comenzar con un verbo en infinitivo, solo los nombres de los Macroprocesos no cumplen con esa regla._x000D_
</t>
  </si>
  <si>
    <t xml:space="preserve">[OBS354]El nombre de un proceso debe comenzar con un verbo en infinitivo, solo los nombres de los Macroprocesos no cumplen con esa regla._x000D_
</t>
  </si>
  <si>
    <t xml:space="preserve">[OBS355]El nombre de un proceso debe comenzar con un verbo en infinitivo, solo los nombres de los Macroprocesos no cumplen con esa regla._x000D_
</t>
  </si>
  <si>
    <t xml:space="preserve">[OBS356]El nombre de un proceso debe comenzar con un verbo en infinitivo, solo los nombres de los Macroprocesos no cumplen con esa regla._x000D_
</t>
  </si>
  <si>
    <t xml:space="preserve">[OBS357]Toda tarea, actividad: proceso, subproceso, gateway, evento tiene que empezar con un verbo infinitivo. (-ar, -er, -ir)._x000D_
</t>
  </si>
  <si>
    <t xml:space="preserve">[OBS358]El nombre de un proceso debe comenzar con un verbo en infinitivo, solo los nombres de los Macroprocesos no cumplen con esa regla._x000D_
[OBS359]Toda tarea, actividad: proceso, subproceso, gateway, evento tiene que empezar con un verbo infinitivo. (-ar, -er, -ir). Subprocesos 3.3 y 3.13._x000D_
</t>
  </si>
  <si>
    <t xml:space="preserve">[OBS360]El nombre de un proceso debe comenzar con un verbo en infinitivo, solo los nombres de los Macroprocesos no cumplen con esa regla._x000D_
[OBS361]El inicio y el fin deben estar en el pool principal._x000D_
[OBS362]Los conectores que interactúan con las actividades 13 y 15 no es el correcto, debe ser de flujo de mensaje._x000D_
</t>
  </si>
  <si>
    <t xml:space="preserve">[OBS363]El nombre de un proceso debe comenzar con un verbo en infinitivo, solo los nombres de los Macroprocesos no cumplen con esa regla._x000D_
[OBS364]El inicio debe estar en el flujo principal._x000D_
[OBS365]Los conectores que interactúan con los procesos externos 3, 7, 13 y 14 no son los correctos, deben ser Flujo de mensaje._x000D_
[OBS366] El flujo principal debe estar en el pool principal y no ser dependiente de los colaboradores. Los pools colaboradores son cajas negras. Debe existir un conector entre las actividades 12 y 15. Tenerlo en cuenta cuando se modifique el principio del proceso también._x000D_
</t>
  </si>
  <si>
    <t xml:space="preserve">[OBS367]El nombre de un proceso debe comenzar con un verbo en infinitivo, solo los nombres de los Macroprocesos no cumplen con esa regla._x000D_
[OBS368]El inicio debe estar en el flujo principal._x000D_
[OBS369]El conector que interactúan con el proceso externo 3 no es el correcto, debe ser Flujo de mensaje._x000D_
</t>
  </si>
  <si>
    <t>Arquitectura de Procesos</t>
  </si>
  <si>
    <t>El Fin ha sido reubicado.</t>
  </si>
  <si>
    <t>Se modificó el nombre del proceso a "Despedir o Ejecutar Retiro del Personal"</t>
  </si>
  <si>
    <t>Se modificó el nombre del proceso a "Capacitar al Personal".</t>
  </si>
  <si>
    <t>El nombre del proceso se modificó a "Evaluar Postulantes".</t>
  </si>
  <si>
    <t>Se modificó el nombre del proceso a "Reclutar Postulantes".</t>
  </si>
  <si>
    <t>Se modificó el nombre del proceso a "Rendir Gastos de Viaje".</t>
  </si>
  <si>
    <t>Se modificó el nombre del proceso a "Realizar Seguimiento del Personal".</t>
  </si>
  <si>
    <t>Se modificó el nombre del proceso a "Solicitar Fondos de Viaje".</t>
  </si>
  <si>
    <t>Se modificó el nombre del proceso a "Solicitar Personal".</t>
  </si>
  <si>
    <t>Se modificó la salida mencionada.</t>
  </si>
  <si>
    <t>Se modificaron las entradas y salidas del proceso.</t>
  </si>
  <si>
    <t>Se eliminó la hoja adicional</t>
  </si>
  <si>
    <t>Se cambió de evento.</t>
  </si>
  <si>
    <t>Se corrigió la enumeración.</t>
  </si>
  <si>
    <t>Se puso el inicio y el fin en el pool principal.</t>
  </si>
  <si>
    <t>Se cambió el tipo de conector.</t>
  </si>
  <si>
    <t>Se cambió el nombre de los procesos y actividades.</t>
  </si>
  <si>
    <t>Se puso el inicio en el pool principal.</t>
  </si>
  <si>
    <t>Se agregó un conectos entre las actividades señaladas.</t>
  </si>
  <si>
    <t>Se cambio el tipo de conector.</t>
  </si>
  <si>
    <t>Se cambió el nombre en el diagrama.</t>
  </si>
  <si>
    <t>Se quitó el conector de más.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</si>
</sst>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57">
    <font>
      <sz val="11"/>
      <color theme="1"/>
      <name val="Calibri"/>
      <family val="2"/>
      <scheme val="minor"/>
    </font>
    <font>
      <sz val="11"/>
      <color theme="1"/>
      <name val="Calibri"/>
      <family val="2"/>
      <scheme val="minor"/>
    </font>
    <font>
      <b/>
      <sz val="11"/>
      <color theme="1"/>
      <name val="Calibri"/>
      <family val="2"/>
      <scheme val="minor"/>
    </font>
    <font>
      <b/>
      <sz val="20"/>
      <color rgb="FFFFFFFF"/>
      <name val="Arial"/>
      <family val="2"/>
    </font>
    <font>
      <b/>
      <sz val="12"/>
      <color rgb="FFFFFFFF"/>
      <name val="Arial"/>
      <family val="2"/>
    </font>
    <font>
      <sz val="10"/>
      <name val="Arial"/>
      <family val="2"/>
    </font>
    <font>
      <b/>
      <sz val="9"/>
      <name val="Andale Mono"/>
    </font>
    <font>
      <b/>
      <sz val="10"/>
      <name val="Arial"/>
      <family val="2"/>
    </font>
    <font>
      <sz val="9"/>
      <name val="Andale Mono"/>
    </font>
    <font>
      <sz val="10"/>
      <color theme="1"/>
      <name val="Tahoma"/>
      <family val="2"/>
    </font>
    <font>
      <b/>
      <sz val="11"/>
      <color rgb="FFFFFFFF"/>
      <name val="Arial"/>
      <family val="2"/>
    </font>
    <font>
      <b/>
      <sz val="11"/>
      <color indexed="61"/>
      <name val="Calibri"/>
      <family val="2"/>
    </font>
    <font>
      <b/>
      <sz val="14"/>
      <color indexed="8"/>
      <name val="Calibri"/>
      <family val="2"/>
    </font>
    <font>
      <b/>
      <sz val="18"/>
      <color indexed="8"/>
      <name val="Calibri"/>
      <family val="2"/>
    </font>
    <font>
      <b/>
      <sz val="9"/>
      <color indexed="9"/>
      <name val="Arial"/>
      <family val="2"/>
    </font>
    <font>
      <b/>
      <sz val="11"/>
      <color indexed="8"/>
      <name val="Calibri"/>
      <family val="2"/>
    </font>
    <font>
      <sz val="11"/>
      <color indexed="8"/>
      <name val="Calibri"/>
      <family val="2"/>
    </font>
    <font>
      <b/>
      <sz val="8"/>
      <color indexed="9"/>
      <name val="Arial"/>
      <family val="2"/>
    </font>
    <font>
      <b/>
      <sz val="8"/>
      <color indexed="8"/>
      <name val="Arial"/>
      <family val="2"/>
    </font>
    <font>
      <sz val="8"/>
      <color indexed="8"/>
      <name val="Arial"/>
      <family val="2"/>
    </font>
    <font>
      <b/>
      <sz val="11"/>
      <color indexed="9"/>
      <name val="Calibri"/>
      <family val="2"/>
    </font>
    <font>
      <b/>
      <sz val="11"/>
      <color indexed="10"/>
      <name val="Calibri"/>
      <family val="2"/>
    </font>
    <font>
      <sz val="11"/>
      <color theme="0"/>
      <name val="Calibri"/>
      <family val="2"/>
    </font>
    <font>
      <b/>
      <sz val="11"/>
      <color indexed="51"/>
      <name val="Calibri"/>
      <family val="2"/>
    </font>
    <font>
      <b/>
      <sz val="11"/>
      <color indexed="58"/>
      <name val="Calibri"/>
      <family val="2"/>
    </font>
    <font>
      <b/>
      <sz val="11"/>
      <color theme="6"/>
      <name val="Calibri"/>
      <family val="2"/>
    </font>
    <font>
      <b/>
      <sz val="11"/>
      <color theme="4"/>
      <name val="Calibri"/>
      <family val="2"/>
    </font>
    <font>
      <b/>
      <sz val="11"/>
      <color indexed="28"/>
      <name val="Calibri"/>
      <family val="2"/>
    </font>
    <font>
      <sz val="10"/>
      <name val="TheSansCorrespondence"/>
      <family val="2"/>
    </font>
    <font>
      <b/>
      <sz val="10"/>
      <color theme="0"/>
      <name val="Arial"/>
      <family val="2"/>
    </font>
    <font>
      <b/>
      <sz val="24"/>
      <color theme="9"/>
      <name val="Calibri"/>
      <family val="2"/>
      <scheme val="minor"/>
    </font>
    <font>
      <b/>
      <sz val="10"/>
      <color indexed="9"/>
      <name val="Arial"/>
      <family val="2"/>
    </font>
    <font>
      <b/>
      <sz val="11"/>
      <color theme="0"/>
      <name val="Calibri"/>
      <family val="2"/>
      <scheme val="minor"/>
    </font>
    <font>
      <b/>
      <sz val="10"/>
      <color indexed="8"/>
      <name val="Arial"/>
      <family val="2"/>
    </font>
    <font>
      <b/>
      <sz val="16"/>
      <name val="Calibri"/>
      <family val="2"/>
      <scheme val="minor"/>
    </font>
    <font>
      <b/>
      <sz val="9"/>
      <color indexed="9"/>
      <name val="Calibri"/>
      <family val="2"/>
    </font>
    <font>
      <b/>
      <sz val="9"/>
      <color indexed="10"/>
      <name val="Calibri"/>
      <family val="2"/>
    </font>
    <font>
      <b/>
      <sz val="9"/>
      <color indexed="8"/>
      <name val="Calibri"/>
      <family val="2"/>
    </font>
    <font>
      <b/>
      <sz val="9"/>
      <color indexed="9"/>
      <name val="Arial Narrow"/>
      <family val="2"/>
    </font>
    <font>
      <sz val="9"/>
      <color theme="1"/>
      <name val="Calibri"/>
      <family val="2"/>
      <scheme val="minor"/>
    </font>
    <font>
      <sz val="8"/>
      <color theme="1"/>
      <name val="Calibri"/>
      <family val="2"/>
      <scheme val="minor"/>
    </font>
    <font>
      <sz val="11"/>
      <color theme="0"/>
      <name val="Calibri"/>
      <family val="2"/>
      <scheme val="minor"/>
    </font>
    <font>
      <b/>
      <sz val="10"/>
      <color theme="1"/>
      <name val="Tahoma"/>
      <family val="2"/>
    </font>
    <font>
      <b/>
      <sz val="18"/>
      <color theme="0"/>
      <name val="Calibri"/>
      <family val="2"/>
    </font>
    <font>
      <b/>
      <sz val="9"/>
      <color theme="0"/>
      <name val="Arial"/>
      <family val="2"/>
    </font>
    <font>
      <b/>
      <sz val="8"/>
      <color theme="0"/>
      <name val="Arial"/>
      <family val="2"/>
    </font>
    <font>
      <sz val="10"/>
      <color theme="0"/>
      <name val="Arial"/>
      <family val="2"/>
    </font>
    <font>
      <sz val="8"/>
      <color theme="0"/>
      <name val="Arial"/>
      <family val="2"/>
    </font>
    <font>
      <b/>
      <sz val="11"/>
      <color theme="0"/>
      <name val="Calibri"/>
      <family val="2"/>
    </font>
    <font>
      <b/>
      <sz val="11"/>
      <color theme="3" tint="-0.499984740745262"/>
      <name val="Calibri"/>
      <family val="2"/>
    </font>
    <font>
      <sz val="11"/>
      <color theme="3" tint="-0.499984740745262"/>
      <name val="Calibri"/>
      <family val="2"/>
      <scheme val="minor"/>
    </font>
    <font>
      <b/>
      <sz val="14"/>
      <color theme="3" tint="-0.499984740745262"/>
      <name val="Calibri"/>
      <family val="2"/>
    </font>
    <font>
      <sz val="9"/>
      <color indexed="81"/>
      <name val="Tahoma"/>
      <family val="2"/>
    </font>
    <font>
      <b/>
      <sz val="9"/>
      <color indexed="81"/>
      <name val="Tahoma"/>
      <family val="2"/>
    </font>
    <font>
      <sz val="9"/>
      <color theme="1"/>
      <name val="Times New Roman"/>
      <family val="1"/>
    </font>
    <font>
      <sz val="11"/>
      <color rgb="FF000000"/>
      <name val="Calibri"/>
      <family val="2"/>
    </font>
    <font>
      <b/>
      <sz val="11"/>
      <color rgb="FF000000"/>
      <name val="Calibri"/>
      <family val="2"/>
    </font>
  </fonts>
  <fills count="41">
    <fill>
      <patternFill patternType="none"/>
    </fill>
    <fill>
      <patternFill patternType="gray125"/>
    </fill>
    <fill>
      <patternFill patternType="solid">
        <fgColor indexed="20"/>
        <bgColor indexed="36"/>
      </patternFill>
    </fill>
    <fill>
      <patternFill patternType="solid">
        <fgColor indexed="50"/>
        <bgColor indexed="55"/>
      </patternFill>
    </fill>
    <fill>
      <patternFill patternType="solid">
        <fgColor rgb="FFC00000"/>
        <bgColor indexed="25"/>
      </patternFill>
    </fill>
    <fill>
      <patternFill patternType="solid">
        <fgColor indexed="51"/>
        <bgColor indexed="52"/>
      </patternFill>
    </fill>
    <fill>
      <patternFill patternType="solid">
        <fgColor theme="9" tint="-0.249977111117893"/>
        <bgColor indexed="64"/>
      </patternFill>
    </fill>
    <fill>
      <patternFill patternType="solid">
        <fgColor theme="9" tint="0.59999389629810485"/>
        <bgColor indexed="64"/>
      </patternFill>
    </fill>
    <fill>
      <patternFill patternType="solid">
        <fgColor indexed="27"/>
        <bgColor indexed="41"/>
      </patternFill>
    </fill>
    <fill>
      <patternFill patternType="solid">
        <fgColor theme="9" tint="0.39997558519241921"/>
        <bgColor indexed="24"/>
      </patternFill>
    </fill>
    <fill>
      <patternFill patternType="solid">
        <fgColor theme="4" tint="0.79998168889431442"/>
        <bgColor indexed="41"/>
      </patternFill>
    </fill>
    <fill>
      <patternFill patternType="solid">
        <fgColor theme="4"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FF99"/>
        <bgColor indexed="64"/>
      </patternFill>
    </fill>
    <fill>
      <patternFill patternType="solid">
        <fgColor rgb="FFFFFF66"/>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0"/>
        <bgColor indexed="25"/>
      </patternFill>
    </fill>
    <fill>
      <patternFill patternType="solid">
        <fgColor theme="0"/>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3" tint="-0.499984740745262"/>
        <bgColor indexed="64"/>
      </patternFill>
    </fill>
    <fill>
      <patternFill patternType="solid">
        <fgColor theme="3" tint="0.79998168889431442"/>
        <bgColor indexed="64"/>
      </patternFill>
    </fill>
    <fill>
      <patternFill patternType="solid">
        <fgColor theme="0"/>
        <bgColor indexed="36"/>
      </patternFill>
    </fill>
    <fill>
      <patternFill patternType="solid">
        <fgColor theme="3" tint="-0.499984740745262"/>
        <bgColor indexed="36"/>
      </patternFill>
    </fill>
    <fill>
      <patternFill patternType="solid">
        <fgColor theme="3" tint="-0.499984740745262"/>
        <bgColor indexed="27"/>
      </patternFill>
    </fill>
    <fill>
      <patternFill patternType="solid">
        <fgColor theme="3" tint="-0.499984740745262"/>
        <bgColor indexed="52"/>
      </patternFill>
    </fill>
    <fill>
      <patternFill patternType="solid">
        <fgColor theme="3" tint="0.59999389629810485"/>
        <bgColor indexed="41"/>
      </patternFill>
    </fill>
    <fill>
      <patternFill patternType="solid">
        <fgColor theme="3" tint="-0.499984740745262"/>
        <bgColor indexed="25"/>
      </patternFill>
    </fill>
    <fill>
      <patternFill patternType="solid">
        <fgColor theme="3" tint="0.79998168889431442"/>
        <bgColor indexed="27"/>
      </patternFill>
    </fill>
    <fill>
      <patternFill patternType="solid">
        <fgColor theme="3" tint="-0.499984740745262"/>
        <bgColor theme="9"/>
      </patternFill>
    </fill>
    <fill>
      <patternFill patternType="solid">
        <fgColor theme="3" tint="-0.499984740745262"/>
        <bgColor indexed="50"/>
      </patternFill>
    </fill>
  </fills>
  <borders count="36">
    <border>
      <left/>
      <right/>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23"/>
      </left>
      <right/>
      <top style="medium">
        <color indexed="23"/>
      </top>
      <bottom style="medium">
        <color indexed="23"/>
      </bottom>
      <diagonal/>
    </border>
    <border>
      <left style="medium">
        <color indexed="54"/>
      </left>
      <right/>
      <top style="medium">
        <color indexed="54"/>
      </top>
      <bottom style="medium">
        <color indexed="54"/>
      </bottom>
      <diagonal/>
    </border>
    <border>
      <left/>
      <right style="medium">
        <color indexed="54"/>
      </right>
      <top style="medium">
        <color indexed="54"/>
      </top>
      <bottom style="medium">
        <color indexed="54"/>
      </bottom>
      <diagonal/>
    </border>
    <border>
      <left style="medium">
        <color indexed="54"/>
      </left>
      <right/>
      <top/>
      <bottom style="medium">
        <color indexed="54"/>
      </bottom>
      <diagonal/>
    </border>
    <border>
      <left/>
      <right style="medium">
        <color indexed="54"/>
      </right>
      <top/>
      <bottom style="medium">
        <color indexed="54"/>
      </bottom>
      <diagonal/>
    </border>
    <border>
      <left style="medium">
        <color indexed="54"/>
      </left>
      <right/>
      <top/>
      <bottom/>
      <diagonal/>
    </border>
    <border>
      <left/>
      <right style="medium">
        <color indexed="54"/>
      </right>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9"/>
      </right>
      <top/>
      <bottom style="thin">
        <color theme="5"/>
      </bottom>
      <diagonal/>
    </border>
    <border>
      <left style="thin">
        <color indexed="9"/>
      </left>
      <right style="thin">
        <color indexed="9"/>
      </right>
      <top/>
      <bottom style="thin">
        <color theme="5"/>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right style="thin">
        <color indexed="22"/>
      </right>
      <top/>
      <bottom style="medium">
        <color indexed="22"/>
      </bottom>
      <diagonal/>
    </border>
    <border>
      <left style="thin">
        <color indexed="22"/>
      </left>
      <right style="thin">
        <color indexed="22"/>
      </right>
      <top/>
      <bottom style="medium">
        <color indexed="22"/>
      </bottom>
      <diagonal/>
    </border>
    <border>
      <left style="thin">
        <color indexed="22"/>
      </left>
      <right/>
      <top/>
      <bottom style="medium">
        <color indexed="22"/>
      </bottom>
      <diagonal/>
    </border>
    <border>
      <left style="medium">
        <color indexed="22"/>
      </left>
      <right style="thin">
        <color indexed="22"/>
      </right>
      <top/>
      <bottom style="medium">
        <color indexed="22"/>
      </bottom>
      <diagonal/>
    </border>
    <border>
      <left/>
      <right style="thin">
        <color indexed="22"/>
      </right>
      <top/>
      <bottom style="thin">
        <color indexed="22"/>
      </bottom>
      <diagonal/>
    </border>
    <border>
      <left style="thin">
        <color indexed="22"/>
      </left>
      <right/>
      <top style="thin">
        <color indexed="22"/>
      </top>
      <bottom style="thin">
        <color indexed="22"/>
      </bottom>
      <diagonal/>
    </border>
    <border>
      <left style="thin">
        <color indexed="22"/>
      </left>
      <right/>
      <top/>
      <bottom style="thin">
        <color indexed="22"/>
      </bottom>
      <diagonal/>
    </border>
    <border>
      <left style="thin">
        <color indexed="22"/>
      </left>
      <right/>
      <top/>
      <bottom/>
      <diagonal/>
    </border>
    <border>
      <left style="thin">
        <color indexed="22"/>
      </left>
      <right/>
      <top style="thin">
        <color indexed="2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22"/>
      </right>
      <top/>
      <bottom/>
      <diagonal/>
    </border>
    <border>
      <left/>
      <right/>
      <top style="thin">
        <color indexed="64"/>
      </top>
      <bottom style="thin">
        <color indexed="64"/>
      </bottom>
      <diagonal/>
    </border>
  </borders>
  <cellStyleXfs count="5">
    <xf numFmtId="0" fontId="0" fillId="0" borderId="0"/>
    <xf numFmtId="9" fontId="1" fillId="0" borderId="0" applyFont="0" applyFill="0" applyBorder="0" applyAlignment="0" applyProtection="0"/>
    <xf numFmtId="0" fontId="5" fillId="0" borderId="0"/>
    <xf numFmtId="0" fontId="16" fillId="8" borderId="0" applyNumberFormat="0" applyBorder="0" applyAlignment="0" applyProtection="0"/>
    <xf numFmtId="0" fontId="28" fillId="0" borderId="0" applyNumberFormat="0" applyFill="0" applyBorder="0" applyAlignment="0" applyProtection="0"/>
  </cellStyleXfs>
  <cellXfs count="204">
    <xf numFmtId="0" fontId="0" fillId="0" borderId="0" xfId="0"/>
    <xf numFmtId="0" fontId="5" fillId="0" borderId="3" xfId="2" applyFont="1" applyBorder="1" applyAlignment="1">
      <alignment horizontal="center" vertical="center"/>
    </xf>
    <xf numFmtId="0" fontId="9" fillId="0" borderId="3" xfId="0" applyFont="1" applyBorder="1" applyAlignment="1">
      <alignment horizontal="center" vertical="center"/>
    </xf>
    <xf numFmtId="14" fontId="8" fillId="0" borderId="3" xfId="2" applyNumberFormat="1" applyFont="1" applyFill="1" applyBorder="1" applyAlignment="1" applyProtection="1">
      <alignment horizontal="center" vertical="center" wrapText="1"/>
      <protection locked="0"/>
    </xf>
    <xf numFmtId="0" fontId="0" fillId="0" borderId="0" xfId="0" applyAlignment="1">
      <alignment vertical="center"/>
    </xf>
    <xf numFmtId="0" fontId="0" fillId="0" borderId="3" xfId="0" applyBorder="1" applyAlignment="1">
      <alignment vertical="center"/>
    </xf>
    <xf numFmtId="0" fontId="20" fillId="2" borderId="6" xfId="0" applyFont="1" applyFill="1" applyBorder="1" applyAlignment="1">
      <alignment horizontal="center" vertical="top"/>
    </xf>
    <xf numFmtId="0" fontId="20" fillId="2" borderId="7" xfId="0" applyFont="1" applyFill="1" applyBorder="1" applyAlignment="1">
      <alignment horizontal="center" vertical="top"/>
    </xf>
    <xf numFmtId="0" fontId="16" fillId="0" borderId="9" xfId="0" applyFont="1" applyBorder="1" applyAlignment="1">
      <alignment vertical="top" wrapText="1"/>
    </xf>
    <xf numFmtId="0" fontId="0" fillId="0" borderId="4" xfId="0" applyBorder="1" applyAlignment="1">
      <alignment vertical="center"/>
    </xf>
    <xf numFmtId="0" fontId="20" fillId="2" borderId="6" xfId="0" applyFont="1" applyFill="1" applyBorder="1" applyAlignment="1">
      <alignment horizontal="center" vertical="center"/>
    </xf>
    <xf numFmtId="0" fontId="20" fillId="2" borderId="7" xfId="0" applyFont="1" applyFill="1" applyBorder="1" applyAlignment="1">
      <alignment horizontal="center" vertical="center"/>
    </xf>
    <xf numFmtId="0" fontId="22" fillId="2" borderId="9" xfId="0" applyFont="1" applyFill="1" applyBorder="1" applyAlignment="1">
      <alignment vertical="center" wrapText="1"/>
    </xf>
    <xf numFmtId="0" fontId="16" fillId="0" borderId="11" xfId="0" applyFont="1" applyBorder="1" applyAlignment="1">
      <alignment vertical="center" wrapText="1"/>
    </xf>
    <xf numFmtId="0" fontId="16" fillId="0" borderId="7" xfId="0" applyFont="1" applyBorder="1" applyAlignment="1">
      <alignment vertical="center" wrapText="1"/>
    </xf>
    <xf numFmtId="9" fontId="16" fillId="0" borderId="3" xfId="1" applyFont="1" applyFill="1" applyBorder="1" applyAlignment="1" applyProtection="1">
      <alignment vertical="center"/>
    </xf>
    <xf numFmtId="0" fontId="16" fillId="0" borderId="9" xfId="0" applyFont="1" applyBorder="1" applyAlignment="1">
      <alignment vertical="center" wrapText="1"/>
    </xf>
    <xf numFmtId="0" fontId="21" fillId="0" borderId="8" xfId="0" applyFont="1" applyBorder="1" applyAlignment="1">
      <alignment horizontal="center" vertical="center"/>
    </xf>
    <xf numFmtId="0" fontId="16" fillId="0" borderId="9" xfId="0" applyFont="1" applyBorder="1" applyAlignment="1">
      <alignment horizontal="center" vertical="center" wrapText="1"/>
    </xf>
    <xf numFmtId="0" fontId="23" fillId="0" borderId="8" xfId="0" applyFont="1" applyBorder="1" applyAlignment="1">
      <alignment horizontal="center" vertical="center"/>
    </xf>
    <xf numFmtId="0" fontId="16" fillId="0" borderId="7" xfId="0" applyFont="1" applyBorder="1" applyAlignment="1">
      <alignment horizontal="center" vertical="center" wrapText="1"/>
    </xf>
    <xf numFmtId="0" fontId="24" fillId="0" borderId="8" xfId="0" applyFont="1" applyBorder="1" applyAlignment="1">
      <alignment horizontal="center" vertical="center"/>
    </xf>
    <xf numFmtId="0" fontId="26" fillId="0" borderId="8" xfId="0" applyFont="1" applyBorder="1" applyAlignment="1">
      <alignment horizontal="center" vertical="center"/>
    </xf>
    <xf numFmtId="0" fontId="25" fillId="0" borderId="8" xfId="0" applyFont="1" applyBorder="1" applyAlignment="1">
      <alignment horizontal="center" vertical="center"/>
    </xf>
    <xf numFmtId="0" fontId="16" fillId="0" borderId="9" xfId="0" applyFont="1" applyBorder="1" applyAlignment="1">
      <alignment horizontal="left" vertical="center" wrapText="1"/>
    </xf>
    <xf numFmtId="0" fontId="16" fillId="0" borderId="7" xfId="0" applyFont="1" applyBorder="1" applyAlignment="1">
      <alignment horizontal="left" vertical="center" wrapText="1"/>
    </xf>
    <xf numFmtId="0" fontId="24" fillId="0" borderId="8" xfId="0" applyFont="1" applyBorder="1" applyAlignment="1">
      <alignment horizontal="center" vertical="top" wrapText="1"/>
    </xf>
    <xf numFmtId="0" fontId="16" fillId="0" borderId="9" xfId="0" applyFont="1" applyBorder="1" applyAlignment="1">
      <alignment horizontal="left" vertical="top" wrapText="1"/>
    </xf>
    <xf numFmtId="0" fontId="27" fillId="0" borderId="8" xfId="0" applyFont="1" applyBorder="1" applyAlignment="1">
      <alignment horizontal="center" vertical="top" wrapText="1"/>
    </xf>
    <xf numFmtId="0" fontId="16" fillId="0" borderId="7" xfId="0" applyFont="1" applyBorder="1" applyAlignment="1">
      <alignment horizontal="left" vertical="top" wrapText="1"/>
    </xf>
    <xf numFmtId="0" fontId="21" fillId="0" borderId="8" xfId="0" applyFont="1" applyBorder="1" applyAlignment="1">
      <alignment horizontal="center" vertical="top" wrapText="1"/>
    </xf>
    <xf numFmtId="0" fontId="0" fillId="0" borderId="0" xfId="0" applyAlignment="1">
      <alignment vertical="center" wrapText="1"/>
    </xf>
    <xf numFmtId="14" fontId="0" fillId="0" borderId="0" xfId="0" applyNumberFormat="1" applyAlignment="1">
      <alignment vertical="center" wrapText="1"/>
    </xf>
    <xf numFmtId="0" fontId="0" fillId="0" borderId="0" xfId="0" applyAlignment="1" applyProtection="1">
      <alignment vertical="center" wrapText="1"/>
    </xf>
    <xf numFmtId="0" fontId="0" fillId="0" borderId="0" xfId="0" applyNumberFormat="1" applyAlignment="1">
      <alignment vertical="center" wrapText="1"/>
    </xf>
    <xf numFmtId="0" fontId="0" fillId="0" borderId="0" xfId="0" applyNumberFormat="1"/>
    <xf numFmtId="0" fontId="30" fillId="0" borderId="0" xfId="0" applyFont="1" applyAlignment="1"/>
    <xf numFmtId="14" fontId="0" fillId="0" borderId="24" xfId="0" applyNumberFormat="1" applyBorder="1" applyProtection="1">
      <protection locked="0"/>
    </xf>
    <xf numFmtId="0" fontId="0" fillId="0" borderId="25" xfId="0" applyNumberFormat="1" applyBorder="1"/>
    <xf numFmtId="1" fontId="0" fillId="0" borderId="26" xfId="0" applyNumberFormat="1" applyBorder="1" applyProtection="1">
      <protection locked="0"/>
    </xf>
    <xf numFmtId="1" fontId="0" fillId="0" borderId="27" xfId="0" applyNumberFormat="1" applyBorder="1" applyProtection="1">
      <protection locked="0"/>
    </xf>
    <xf numFmtId="0" fontId="0" fillId="0" borderId="25" xfId="0" applyNumberFormat="1" applyBorder="1" applyProtection="1">
      <protection locked="0"/>
    </xf>
    <xf numFmtId="0" fontId="0" fillId="0" borderId="28" xfId="0" applyNumberFormat="1" applyBorder="1" applyProtection="1">
      <protection locked="0"/>
    </xf>
    <xf numFmtId="0" fontId="18" fillId="0" borderId="3" xfId="0" applyFont="1" applyBorder="1" applyAlignment="1">
      <alignment vertical="center" wrapText="1"/>
    </xf>
    <xf numFmtId="0" fontId="19" fillId="13" borderId="3" xfId="0" applyFont="1" applyFill="1" applyBorder="1" applyAlignment="1">
      <alignment vertical="center" wrapText="1"/>
    </xf>
    <xf numFmtId="9" fontId="19" fillId="14" borderId="3" xfId="1" applyFont="1" applyFill="1" applyBorder="1" applyAlignment="1" applyProtection="1">
      <alignment vertical="center" wrapText="1"/>
    </xf>
    <xf numFmtId="0" fontId="19" fillId="15" borderId="3" xfId="0" applyFont="1" applyFill="1" applyBorder="1" applyAlignment="1">
      <alignment vertical="center" wrapText="1"/>
    </xf>
    <xf numFmtId="9" fontId="19" fillId="16" borderId="3" xfId="1" applyFont="1" applyFill="1" applyBorder="1" applyAlignment="1" applyProtection="1">
      <alignment vertical="center" wrapText="1"/>
    </xf>
    <xf numFmtId="0" fontId="19" fillId="17" borderId="3" xfId="0" applyFont="1" applyFill="1" applyBorder="1" applyAlignment="1">
      <alignment vertical="center" wrapText="1"/>
    </xf>
    <xf numFmtId="9" fontId="19" fillId="18" borderId="3" xfId="1" applyFont="1" applyFill="1" applyBorder="1" applyAlignment="1" applyProtection="1">
      <alignment vertical="center" wrapText="1"/>
    </xf>
    <xf numFmtId="0" fontId="19" fillId="7" borderId="3" xfId="0" applyFont="1" applyFill="1" applyBorder="1" applyAlignment="1">
      <alignment vertical="center" wrapText="1"/>
    </xf>
    <xf numFmtId="9" fontId="19" fillId="19" borderId="3" xfId="1" applyFont="1" applyFill="1" applyBorder="1" applyAlignment="1" applyProtection="1">
      <alignment vertical="center" wrapText="1"/>
    </xf>
    <xf numFmtId="0" fontId="19" fillId="20" borderId="3" xfId="0" applyFont="1" applyFill="1" applyBorder="1" applyAlignment="1">
      <alignment vertical="center" wrapText="1"/>
    </xf>
    <xf numFmtId="9" fontId="19" fillId="21" borderId="3" xfId="1" applyFont="1" applyFill="1" applyBorder="1" applyAlignment="1" applyProtection="1">
      <alignment vertical="center" wrapText="1"/>
    </xf>
    <xf numFmtId="9" fontId="19" fillId="7" borderId="3" xfId="1" applyFont="1" applyFill="1" applyBorder="1" applyAlignment="1" applyProtection="1">
      <alignment vertical="center" wrapText="1"/>
    </xf>
    <xf numFmtId="0" fontId="19" fillId="23" borderId="3" xfId="0" applyFont="1" applyFill="1" applyBorder="1" applyAlignment="1">
      <alignment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3" xfId="0" applyFont="1" applyFill="1" applyBorder="1" applyAlignment="1">
      <alignment horizontal="center" vertical="center"/>
    </xf>
    <xf numFmtId="0" fontId="2" fillId="7" borderId="3" xfId="0" applyFont="1" applyFill="1" applyBorder="1" applyAlignment="1">
      <alignment horizontal="center" vertical="center"/>
    </xf>
    <xf numFmtId="0" fontId="15" fillId="8" borderId="3" xfId="3" applyFont="1" applyBorder="1" applyAlignment="1" applyProtection="1">
      <alignment horizontal="center" vertical="center"/>
    </xf>
    <xf numFmtId="0" fontId="33" fillId="12" borderId="3" xfId="0" applyFont="1" applyFill="1" applyBorder="1" applyAlignment="1">
      <alignment vertical="center" wrapText="1"/>
    </xf>
    <xf numFmtId="9" fontId="33" fillId="12" borderId="3" xfId="0" applyNumberFormat="1" applyFont="1" applyFill="1" applyBorder="1" applyAlignment="1">
      <alignment vertical="center" wrapText="1"/>
    </xf>
    <xf numFmtId="2" fontId="2" fillId="24" borderId="31" xfId="0" applyNumberFormat="1" applyFont="1" applyFill="1" applyBorder="1"/>
    <xf numFmtId="0" fontId="2" fillId="24" borderId="33" xfId="0" applyFont="1" applyFill="1" applyBorder="1"/>
    <xf numFmtId="0" fontId="0" fillId="0" borderId="0" xfId="0" pivotButton="1"/>
    <xf numFmtId="0" fontId="0" fillId="0" borderId="0" xfId="0" applyAlignment="1">
      <alignment horizontal="left"/>
    </xf>
    <xf numFmtId="0" fontId="0" fillId="0" borderId="0" xfId="0" applyFill="1" applyAlignment="1">
      <alignment vertical="center" wrapText="1"/>
    </xf>
    <xf numFmtId="14" fontId="0" fillId="0" borderId="34" xfId="0" applyNumberFormat="1" applyBorder="1" applyProtection="1">
      <protection locked="0"/>
    </xf>
    <xf numFmtId="0" fontId="0" fillId="0" borderId="28" xfId="0" applyNumberFormat="1" applyBorder="1"/>
    <xf numFmtId="0" fontId="2" fillId="0" borderId="0" xfId="0" applyFont="1" applyAlignment="1">
      <alignment horizontal="center" vertical="center" wrapText="1"/>
    </xf>
    <xf numFmtId="0" fontId="0" fillId="0" borderId="0" xfId="0" applyNumberFormat="1" applyFont="1" applyAlignment="1">
      <alignment vertical="center" wrapText="1"/>
    </xf>
    <xf numFmtId="164" fontId="0" fillId="0" borderId="0" xfId="0" applyNumberFormat="1" applyAlignment="1">
      <alignment vertical="center" wrapText="1"/>
    </xf>
    <xf numFmtId="0" fontId="0" fillId="26" borderId="0" xfId="0" applyFill="1" applyAlignment="1">
      <alignment vertical="center"/>
    </xf>
    <xf numFmtId="0" fontId="13" fillId="26" borderId="0" xfId="0" applyFont="1" applyFill="1" applyAlignment="1">
      <alignment vertical="center"/>
    </xf>
    <xf numFmtId="0" fontId="16" fillId="26" borderId="0" xfId="3" applyFont="1" applyFill="1" applyBorder="1" applyAlignment="1" applyProtection="1">
      <alignment horizontal="center" vertical="center"/>
    </xf>
    <xf numFmtId="0" fontId="0" fillId="26" borderId="0" xfId="0" applyFill="1" applyBorder="1" applyAlignment="1">
      <alignment vertical="center"/>
    </xf>
    <xf numFmtId="9" fontId="16" fillId="26" borderId="0" xfId="1" applyFont="1" applyFill="1" applyBorder="1" applyAlignment="1" applyProtection="1">
      <alignment vertical="center"/>
    </xf>
    <xf numFmtId="0" fontId="12" fillId="26" borderId="0" xfId="0" applyFont="1" applyFill="1" applyBorder="1" applyAlignment="1">
      <alignment horizontal="left" vertical="center"/>
    </xf>
    <xf numFmtId="0" fontId="17" fillId="26" borderId="0" xfId="0" applyFont="1" applyFill="1" applyBorder="1" applyAlignment="1">
      <alignment horizontal="center" vertical="center" wrapText="1"/>
    </xf>
    <xf numFmtId="0" fontId="19" fillId="26" borderId="0" xfId="0" applyFont="1" applyFill="1" applyBorder="1" applyAlignment="1">
      <alignment vertical="center" wrapText="1"/>
    </xf>
    <xf numFmtId="0" fontId="35" fillId="2" borderId="6" xfId="0" applyFont="1" applyFill="1" applyBorder="1" applyAlignment="1">
      <alignment horizontal="center" vertical="center"/>
    </xf>
    <xf numFmtId="0" fontId="36" fillId="2" borderId="8" xfId="0" applyFont="1" applyFill="1" applyBorder="1" applyAlignment="1">
      <alignment horizontal="center" vertical="center"/>
    </xf>
    <xf numFmtId="0" fontId="36" fillId="0" borderId="10" xfId="0" applyFont="1" applyBorder="1" applyAlignment="1">
      <alignment horizontal="center" vertical="center"/>
    </xf>
    <xf numFmtId="0" fontId="37" fillId="0" borderId="6" xfId="0" applyFont="1" applyBorder="1" applyAlignment="1">
      <alignment horizontal="center" vertical="center"/>
    </xf>
    <xf numFmtId="0" fontId="37" fillId="0" borderId="8" xfId="0" applyFont="1" applyBorder="1" applyAlignment="1">
      <alignment horizontal="center" vertical="center"/>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39" fillId="0" borderId="0" xfId="0" applyFont="1" applyAlignment="1">
      <alignment vertical="center" wrapText="1"/>
    </xf>
    <xf numFmtId="0" fontId="40" fillId="0" borderId="0" xfId="0" applyFont="1" applyAlignment="1">
      <alignment vertical="center" wrapText="1"/>
    </xf>
    <xf numFmtId="0" fontId="40" fillId="0" borderId="0" xfId="0" applyNumberFormat="1" applyFont="1" applyAlignment="1" applyProtection="1">
      <alignment vertical="center" wrapText="1"/>
    </xf>
    <xf numFmtId="0" fontId="40" fillId="0" borderId="0" xfId="0" applyNumberFormat="1" applyFont="1" applyAlignment="1">
      <alignment vertical="center" wrapText="1"/>
    </xf>
    <xf numFmtId="14" fontId="40" fillId="0" borderId="0" xfId="0" applyNumberFormat="1" applyFont="1" applyAlignment="1">
      <alignment vertical="center" wrapText="1"/>
    </xf>
    <xf numFmtId="164" fontId="0" fillId="0" borderId="0" xfId="0" applyNumberFormat="1" applyAlignment="1">
      <alignment horizontal="center" vertical="center" wrapText="1"/>
    </xf>
    <xf numFmtId="0" fontId="0" fillId="26" borderId="0" xfId="0" applyFill="1" applyAlignment="1">
      <alignment vertical="center" wrapText="1"/>
    </xf>
    <xf numFmtId="0" fontId="11" fillId="26" borderId="0" xfId="0" applyFont="1" applyFill="1" applyAlignment="1">
      <alignment horizontal="right" vertical="center" wrapText="1"/>
    </xf>
    <xf numFmtId="0" fontId="11" fillId="26" borderId="0" xfId="0" applyFont="1" applyFill="1" applyBorder="1" applyAlignment="1">
      <alignment horizontal="left" vertical="center" wrapText="1"/>
    </xf>
    <xf numFmtId="0" fontId="11" fillId="26" borderId="0" xfId="0" applyFont="1" applyFill="1" applyAlignment="1" applyProtection="1">
      <alignment horizontal="right" vertical="center" wrapText="1"/>
    </xf>
    <xf numFmtId="0" fontId="0" fillId="26" borderId="0" xfId="0" applyFill="1" applyAlignment="1" applyProtection="1">
      <alignment vertical="center" wrapText="1"/>
    </xf>
    <xf numFmtId="14" fontId="0" fillId="26" borderId="0" xfId="0" applyNumberFormat="1" applyFill="1" applyAlignment="1">
      <alignment vertical="center" wrapText="1"/>
    </xf>
    <xf numFmtId="0" fontId="39" fillId="26" borderId="0" xfId="0" applyFont="1" applyFill="1" applyAlignment="1">
      <alignment vertical="center" wrapText="1"/>
    </xf>
    <xf numFmtId="0" fontId="40" fillId="26" borderId="0" xfId="0" applyFont="1" applyFill="1" applyAlignment="1">
      <alignment vertical="center" wrapText="1"/>
    </xf>
    <xf numFmtId="0" fontId="37" fillId="3" borderId="8" xfId="0" applyFont="1" applyFill="1" applyBorder="1" applyAlignment="1">
      <alignment horizontal="center" vertical="center"/>
    </xf>
    <xf numFmtId="0" fontId="37" fillId="4" borderId="8" xfId="0" applyFont="1" applyFill="1" applyBorder="1" applyAlignment="1">
      <alignment horizontal="center" vertical="center"/>
    </xf>
    <xf numFmtId="0" fontId="37" fillId="5" borderId="8" xfId="0" applyFont="1" applyFill="1" applyBorder="1" applyAlignment="1">
      <alignment horizontal="center" vertical="center"/>
    </xf>
    <xf numFmtId="0" fontId="37" fillId="9" borderId="8" xfId="0" applyFont="1" applyFill="1" applyBorder="1" applyAlignment="1">
      <alignment horizontal="center" vertical="center"/>
    </xf>
    <xf numFmtId="0" fontId="37" fillId="10" borderId="8" xfId="0" applyFont="1" applyFill="1" applyBorder="1" applyAlignment="1">
      <alignment horizontal="center" vertical="center"/>
    </xf>
    <xf numFmtId="0" fontId="37" fillId="6" borderId="8" xfId="0" applyFont="1" applyFill="1" applyBorder="1" applyAlignment="1">
      <alignment horizontal="center" vertical="center"/>
    </xf>
    <xf numFmtId="0" fontId="6" fillId="31" borderId="3" xfId="2" applyFont="1" applyFill="1" applyBorder="1" applyAlignment="1">
      <alignment vertical="center" wrapText="1"/>
    </xf>
    <xf numFmtId="0" fontId="6" fillId="31" borderId="3" xfId="2" applyFont="1" applyFill="1" applyBorder="1" applyAlignment="1">
      <alignment vertical="center"/>
    </xf>
    <xf numFmtId="0" fontId="6" fillId="31" borderId="3" xfId="2" applyFont="1" applyFill="1" applyBorder="1" applyAlignment="1">
      <alignment horizontal="center" vertical="center" wrapText="1"/>
    </xf>
    <xf numFmtId="0" fontId="2" fillId="27" borderId="3" xfId="0" applyFont="1" applyFill="1" applyBorder="1" applyAlignment="1">
      <alignment vertical="center"/>
    </xf>
    <xf numFmtId="0" fontId="2" fillId="27" borderId="3" xfId="2" applyFont="1" applyFill="1" applyBorder="1" applyAlignment="1">
      <alignment vertical="center"/>
    </xf>
    <xf numFmtId="0" fontId="42" fillId="27" borderId="3" xfId="0" applyFont="1" applyFill="1" applyBorder="1" applyAlignment="1">
      <alignment horizontal="left" vertical="center"/>
    </xf>
    <xf numFmtId="14" fontId="6" fillId="27" borderId="3" xfId="2" applyNumberFormat="1" applyFont="1" applyFill="1" applyBorder="1" applyAlignment="1" applyProtection="1">
      <alignment horizontal="center" vertical="center" wrapText="1"/>
      <protection locked="0"/>
    </xf>
    <xf numFmtId="0" fontId="45" fillId="26" borderId="0" xfId="0" applyFont="1" applyFill="1" applyBorder="1" applyAlignment="1">
      <alignment horizontal="center" vertical="center" wrapText="1"/>
    </xf>
    <xf numFmtId="0" fontId="47" fillId="26" borderId="0" xfId="0" applyFont="1" applyFill="1" applyBorder="1" applyAlignment="1">
      <alignment vertical="center" wrapText="1"/>
    </xf>
    <xf numFmtId="0" fontId="43" fillId="26" borderId="0" xfId="0" applyFont="1" applyFill="1" applyBorder="1"/>
    <xf numFmtId="0" fontId="41" fillId="26" borderId="0" xfId="0" applyFont="1" applyFill="1" applyBorder="1" applyAlignment="1">
      <alignment vertical="center"/>
    </xf>
    <xf numFmtId="0" fontId="45" fillId="32" borderId="0"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4" fillId="26" borderId="0" xfId="0" applyFont="1" applyFill="1" applyBorder="1" applyAlignment="1">
      <alignment vertical="center" wrapText="1"/>
    </xf>
    <xf numFmtId="0" fontId="29" fillId="25" borderId="0" xfId="0" applyFont="1" applyFill="1" applyBorder="1" applyAlignment="1">
      <alignment horizontal="center" vertical="center" wrapText="1"/>
    </xf>
    <xf numFmtId="9" fontId="46" fillId="26" borderId="0" xfId="1" applyFont="1" applyFill="1" applyBorder="1" applyAlignment="1" applyProtection="1">
      <alignment horizontal="center" vertical="center" wrapText="1"/>
    </xf>
    <xf numFmtId="0" fontId="46" fillId="26" borderId="0" xfId="0" applyFont="1" applyFill="1" applyBorder="1" applyAlignment="1">
      <alignment horizontal="center" vertical="center" wrapText="1"/>
    </xf>
    <xf numFmtId="0" fontId="46" fillId="26" borderId="0" xfId="0" applyFont="1" applyFill="1" applyBorder="1" applyAlignment="1">
      <alignment vertical="center" wrapText="1"/>
    </xf>
    <xf numFmtId="0" fontId="46" fillId="25" borderId="0" xfId="0" applyFont="1" applyFill="1" applyBorder="1" applyAlignment="1">
      <alignment horizontal="center" vertical="center" wrapText="1"/>
    </xf>
    <xf numFmtId="0" fontId="29" fillId="26" borderId="0" xfId="0" applyFont="1" applyFill="1" applyBorder="1" applyAlignment="1">
      <alignment horizontal="center" vertical="center" wrapText="1"/>
    </xf>
    <xf numFmtId="9" fontId="29" fillId="26" borderId="0" xfId="0" applyNumberFormat="1" applyFont="1" applyFill="1" applyBorder="1" applyAlignment="1">
      <alignment horizontal="center" vertical="center" wrapText="1"/>
    </xf>
    <xf numFmtId="0" fontId="29" fillId="26" borderId="0" xfId="0" applyFont="1" applyFill="1" applyBorder="1" applyAlignment="1">
      <alignment vertical="center" wrapText="1"/>
    </xf>
    <xf numFmtId="0" fontId="14" fillId="33" borderId="5" xfId="0" applyFont="1" applyFill="1" applyBorder="1" applyAlignment="1">
      <alignment horizontal="left" vertical="center" wrapText="1"/>
    </xf>
    <xf numFmtId="0" fontId="48" fillId="34" borderId="4" xfId="0" applyFont="1" applyFill="1" applyBorder="1" applyAlignment="1">
      <alignment horizontal="left" vertical="center"/>
    </xf>
    <xf numFmtId="0" fontId="49" fillId="26" borderId="0" xfId="0" applyFont="1" applyFill="1" applyAlignment="1">
      <alignment horizontal="right" vertical="center"/>
    </xf>
    <xf numFmtId="0" fontId="50" fillId="26" borderId="0" xfId="0" applyFont="1" applyFill="1" applyAlignment="1">
      <alignment vertical="center"/>
    </xf>
    <xf numFmtId="10" fontId="51" fillId="0" borderId="4" xfId="1" applyNumberFormat="1" applyFont="1" applyFill="1" applyBorder="1" applyAlignment="1" applyProtection="1">
      <alignment horizontal="right" vertical="center"/>
    </xf>
    <xf numFmtId="9" fontId="51" fillId="0" borderId="0" xfId="1" applyFont="1" applyFill="1" applyBorder="1" applyAlignment="1" applyProtection="1">
      <alignment horizontal="right" vertical="center"/>
    </xf>
    <xf numFmtId="0" fontId="51" fillId="26" borderId="0" xfId="0" applyFont="1" applyFill="1" applyBorder="1" applyAlignment="1">
      <alignment horizontal="left" vertical="center"/>
    </xf>
    <xf numFmtId="0" fontId="2" fillId="28" borderId="3" xfId="0" applyFont="1" applyFill="1" applyBorder="1" applyAlignment="1">
      <alignment horizontal="center" vertical="center"/>
    </xf>
    <xf numFmtId="0" fontId="15" fillId="36" borderId="3" xfId="3" applyFont="1" applyFill="1" applyBorder="1" applyAlignment="1" applyProtection="1">
      <alignment horizontal="center" vertical="center"/>
    </xf>
    <xf numFmtId="0" fontId="15" fillId="31" borderId="3" xfId="3" applyFont="1" applyFill="1" applyBorder="1" applyAlignment="1" applyProtection="1">
      <alignment horizontal="center" vertical="center" wrapText="1"/>
    </xf>
    <xf numFmtId="0" fontId="32" fillId="35" borderId="3" xfId="0" applyFont="1" applyFill="1" applyBorder="1" applyAlignment="1">
      <alignment horizontal="center" vertical="center" wrapText="1"/>
    </xf>
    <xf numFmtId="0" fontId="32" fillId="29" borderId="3" xfId="0" applyFont="1" applyFill="1" applyBorder="1" applyAlignment="1">
      <alignment horizontal="center" vertical="center"/>
    </xf>
    <xf numFmtId="0" fontId="38" fillId="37" borderId="15" xfId="4" applyFont="1" applyFill="1" applyBorder="1" applyAlignment="1">
      <alignment horizontal="center" vertical="center" wrapText="1"/>
    </xf>
    <xf numFmtId="0" fontId="38" fillId="37" borderId="16" xfId="4" applyFont="1" applyFill="1" applyBorder="1" applyAlignment="1">
      <alignment horizontal="center" vertical="center" wrapText="1"/>
    </xf>
    <xf numFmtId="0" fontId="38" fillId="37" borderId="16" xfId="4" applyFont="1" applyFill="1" applyBorder="1" applyAlignment="1" applyProtection="1">
      <alignment horizontal="center" vertical="center" wrapText="1"/>
    </xf>
    <xf numFmtId="0" fontId="38" fillId="33" borderId="16" xfId="4" applyFont="1" applyFill="1" applyBorder="1" applyAlignment="1">
      <alignment horizontal="center" vertical="center" wrapText="1"/>
    </xf>
    <xf numFmtId="0" fontId="38" fillId="33" borderId="15" xfId="4" applyFont="1" applyFill="1" applyBorder="1" applyAlignment="1">
      <alignment horizontal="center" vertical="center" wrapText="1"/>
    </xf>
    <xf numFmtId="14" fontId="38" fillId="37" borderId="16" xfId="4" applyNumberFormat="1" applyFont="1" applyFill="1" applyBorder="1" applyAlignment="1">
      <alignment horizontal="center" vertical="center" wrapText="1"/>
    </xf>
    <xf numFmtId="164" fontId="38" fillId="37" borderId="16" xfId="4" applyNumberFormat="1" applyFont="1" applyFill="1" applyBorder="1" applyAlignment="1">
      <alignment horizontal="center" vertical="center" wrapText="1"/>
    </xf>
    <xf numFmtId="0" fontId="49" fillId="26" borderId="0" xfId="0" applyFont="1" applyFill="1" applyAlignment="1">
      <alignment horizontal="right" vertical="center" wrapText="1"/>
    </xf>
    <xf numFmtId="0" fontId="49" fillId="38" borderId="4" xfId="0" applyFont="1" applyFill="1" applyBorder="1" applyAlignment="1">
      <alignment horizontal="left" vertical="center" wrapText="1"/>
    </xf>
    <xf numFmtId="0" fontId="49" fillId="26" borderId="0" xfId="0" applyFont="1" applyFill="1" applyAlignment="1" applyProtection="1">
      <alignment horizontal="right" vertical="center" wrapText="1"/>
    </xf>
    <xf numFmtId="0" fontId="29" fillId="39" borderId="17" xfId="0" applyNumberFormat="1" applyFont="1" applyFill="1" applyBorder="1" applyAlignment="1">
      <alignment horizontal="center" vertical="center" wrapText="1"/>
    </xf>
    <xf numFmtId="0" fontId="29" fillId="39" borderId="18" xfId="0" applyNumberFormat="1" applyFont="1" applyFill="1" applyBorder="1" applyAlignment="1">
      <alignment horizontal="center" vertical="center" wrapText="1"/>
    </xf>
    <xf numFmtId="164" fontId="29" fillId="39" borderId="18" xfId="0" applyNumberFormat="1" applyFont="1" applyFill="1" applyBorder="1" applyAlignment="1">
      <alignment horizontal="center" vertical="center" wrapText="1"/>
    </xf>
    <xf numFmtId="0" fontId="29" fillId="39" borderId="19" xfId="0" applyNumberFormat="1" applyFont="1" applyFill="1" applyBorder="1" applyAlignment="1">
      <alignment horizontal="center" vertical="center" wrapText="1"/>
    </xf>
    <xf numFmtId="0" fontId="0" fillId="30" borderId="0" xfId="0" applyFill="1" applyAlignment="1">
      <alignment horizontal="center" vertical="center" wrapText="1"/>
    </xf>
    <xf numFmtId="14" fontId="0" fillId="30" borderId="0" xfId="0" applyNumberFormat="1" applyFill="1" applyAlignment="1">
      <alignment horizontal="center" vertical="center" wrapText="1"/>
    </xf>
    <xf numFmtId="0" fontId="31" fillId="40" borderId="20" xfId="0" applyFont="1" applyFill="1" applyBorder="1" applyAlignment="1">
      <alignment horizontal="center" vertical="center" wrapText="1"/>
    </xf>
    <xf numFmtId="0" fontId="31" fillId="40" borderId="23" xfId="0" applyFont="1" applyFill="1" applyBorder="1" applyAlignment="1">
      <alignment horizontal="center" vertical="center" wrapText="1"/>
    </xf>
    <xf numFmtId="0" fontId="31" fillId="40" borderId="21" xfId="0" applyFont="1" applyFill="1" applyBorder="1" applyAlignment="1">
      <alignment horizontal="center" vertical="center" wrapText="1"/>
    </xf>
    <xf numFmtId="0" fontId="31" fillId="40" borderId="22" xfId="0" applyFont="1" applyFill="1" applyBorder="1" applyAlignment="1">
      <alignment horizontal="center" vertical="center" wrapText="1"/>
    </xf>
    <xf numFmtId="0" fontId="0" fillId="0" borderId="0" xfId="0" applyNumberFormat="1" applyBorder="1" applyAlignment="1">
      <alignment vertical="center" wrapText="1"/>
    </xf>
    <xf numFmtId="164" fontId="0" fillId="0" borderId="0" xfId="0" applyNumberFormat="1" applyBorder="1" applyAlignment="1">
      <alignment vertical="center" wrapText="1"/>
    </xf>
    <xf numFmtId="0" fontId="0" fillId="0" borderId="0" xfId="0" applyNumberFormat="1" applyFont="1" applyBorder="1" applyAlignment="1">
      <alignment vertical="center" wrapText="1"/>
    </xf>
    <xf numFmtId="164" fontId="0" fillId="0" borderId="0" xfId="0" applyNumberFormat="1" applyBorder="1" applyAlignment="1">
      <alignment horizontal="center" vertical="center" wrapText="1"/>
    </xf>
    <xf numFmtId="0" fontId="40" fillId="0" borderId="0" xfId="0" applyFont="1" applyBorder="1" applyAlignment="1">
      <alignment vertical="center" wrapText="1"/>
    </xf>
    <xf numFmtId="0" fontId="0" fillId="0" borderId="0" xfId="0" applyBorder="1" applyAlignment="1">
      <alignment vertical="center" wrapText="1"/>
    </xf>
    <xf numFmtId="0" fontId="40" fillId="0" borderId="0" xfId="0" applyNumberFormat="1" applyFont="1" applyBorder="1" applyAlignment="1" applyProtection="1">
      <alignment vertical="center" wrapText="1"/>
    </xf>
    <xf numFmtId="0" fontId="40" fillId="0" borderId="0" xfId="0" applyNumberFormat="1" applyFont="1" applyBorder="1" applyAlignment="1">
      <alignment vertical="center" wrapText="1"/>
    </xf>
    <xf numFmtId="14" fontId="40" fillId="0" borderId="0" xfId="0" applyNumberFormat="1" applyFont="1" applyBorder="1" applyAlignment="1">
      <alignment vertical="center" wrapText="1"/>
    </xf>
    <xf numFmtId="0" fontId="0" fillId="0" borderId="0" xfId="0" applyAlignment="1">
      <alignment horizontal="left" vertical="center"/>
    </xf>
    <xf numFmtId="0" fontId="3" fillId="30" borderId="1" xfId="0" applyFont="1" applyFill="1" applyBorder="1" applyAlignment="1">
      <alignment horizontal="center" vertical="center" wrapText="1"/>
    </xf>
    <xf numFmtId="0" fontId="3" fillId="30" borderId="2" xfId="0" applyFont="1" applyFill="1" applyBorder="1" applyAlignment="1">
      <alignment horizontal="center" vertical="center" wrapText="1"/>
    </xf>
    <xf numFmtId="0" fontId="4" fillId="30" borderId="3" xfId="0" applyFont="1" applyFill="1" applyBorder="1" applyAlignment="1">
      <alignment horizontal="center" vertical="center" wrapText="1"/>
    </xf>
    <xf numFmtId="0" fontId="7" fillId="27" borderId="3" xfId="2" applyFont="1" applyFill="1" applyBorder="1" applyAlignment="1">
      <alignment horizontal="left" vertical="center"/>
    </xf>
    <xf numFmtId="0" fontId="6" fillId="0" borderId="29" xfId="2" applyNumberFormat="1" applyFont="1" applyFill="1" applyBorder="1" applyAlignment="1">
      <alignment horizontal="left" vertical="center" wrapText="1"/>
    </xf>
    <xf numFmtId="0" fontId="6" fillId="0" borderId="35" xfId="2" applyNumberFormat="1" applyFont="1" applyFill="1" applyBorder="1" applyAlignment="1">
      <alignment horizontal="left" vertical="center" wrapText="1"/>
    </xf>
    <xf numFmtId="0" fontId="6" fillId="0" borderId="30" xfId="2" applyNumberFormat="1" applyFont="1" applyFill="1" applyBorder="1" applyAlignment="1">
      <alignment horizontal="left" vertical="center" wrapText="1"/>
    </xf>
    <xf numFmtId="0" fontId="10" fillId="30" borderId="3"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8" fillId="34" borderId="4" xfId="0" applyFont="1" applyFill="1" applyBorder="1" applyAlignment="1">
      <alignment horizontal="left" vertical="center" wrapText="1"/>
    </xf>
    <xf numFmtId="0" fontId="12" fillId="0" borderId="4" xfId="0" applyFont="1" applyBorder="1" applyAlignment="1">
      <alignment horizontal="left" vertical="center"/>
    </xf>
    <xf numFmtId="0" fontId="14" fillId="33" borderId="3" xfId="0" applyFont="1" applyFill="1" applyBorder="1" applyAlignment="1">
      <alignment horizontal="center"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29" xfId="0" applyFont="1" applyFill="1" applyBorder="1" applyAlignment="1">
      <alignment horizontal="center" vertical="center"/>
    </xf>
    <xf numFmtId="0" fontId="2" fillId="6" borderId="30" xfId="0" applyFont="1" applyFill="1" applyBorder="1" applyAlignment="1">
      <alignment horizontal="center" vertical="center"/>
    </xf>
    <xf numFmtId="0" fontId="15" fillId="8" borderId="29" xfId="3" applyFont="1" applyBorder="1" applyAlignment="1" applyProtection="1">
      <alignment horizontal="center" vertical="center"/>
    </xf>
    <xf numFmtId="0" fontId="15" fillId="8" borderId="30" xfId="3" applyFont="1" applyBorder="1" applyAlignment="1" applyProtection="1">
      <alignment horizontal="center" vertical="center"/>
    </xf>
    <xf numFmtId="0" fontId="2" fillId="7" borderId="29" xfId="0" applyFont="1" applyFill="1" applyBorder="1" applyAlignment="1">
      <alignment horizontal="center" vertical="center"/>
    </xf>
    <xf numFmtId="0" fontId="2" fillId="7" borderId="30" xfId="0" applyFont="1" applyFill="1" applyBorder="1" applyAlignment="1">
      <alignment horizontal="center" vertical="center"/>
    </xf>
    <xf numFmtId="0" fontId="34" fillId="22" borderId="0" xfId="0" applyFont="1" applyFill="1" applyAlignment="1">
      <alignment horizontal="left"/>
    </xf>
    <xf numFmtId="0" fontId="2" fillId="24" borderId="31" xfId="0" applyFont="1" applyFill="1" applyBorder="1" applyAlignment="1">
      <alignment horizontal="left"/>
    </xf>
    <xf numFmtId="0" fontId="2" fillId="24" borderId="32" xfId="0" applyFont="1" applyFill="1" applyBorder="1" applyAlignment="1">
      <alignment horizontal="left"/>
    </xf>
    <xf numFmtId="0" fontId="2" fillId="24" borderId="33" xfId="0" applyFont="1" applyFill="1" applyBorder="1" applyAlignment="1">
      <alignment horizontal="left"/>
    </xf>
    <xf numFmtId="0" fontId="49" fillId="38" borderId="12" xfId="0" applyFont="1" applyFill="1" applyBorder="1" applyAlignment="1">
      <alignment horizontal="left" vertical="center" wrapText="1"/>
    </xf>
    <xf numFmtId="0" fontId="49" fillId="38" borderId="13" xfId="0" applyFont="1" applyFill="1" applyBorder="1" applyAlignment="1">
      <alignment horizontal="left" vertical="center" wrapText="1"/>
    </xf>
    <xf numFmtId="0" fontId="49" fillId="38" borderId="14" xfId="0" applyFont="1" applyFill="1" applyBorder="1" applyAlignment="1">
      <alignment horizontal="left" vertical="center" wrapText="1"/>
    </xf>
    <xf numFmtId="0" fontId="30" fillId="0" borderId="0" xfId="0" applyNumberFormat="1" applyFont="1" applyAlignment="1">
      <alignment horizontal="center"/>
    </xf>
    <xf numFmtId="0" fontId="30" fillId="0" borderId="0" xfId="0" applyFont="1" applyAlignment="1">
      <alignment horizontal="center"/>
    </xf>
    <xf numFmtId="0" fontId="7" fillId="11" borderId="0" xfId="0" applyFont="1" applyFill="1" applyAlignment="1">
      <alignment horizontal="center"/>
    </xf>
  </cellXfs>
  <cellStyles count="5">
    <cellStyle name="(4) STM-1 (LECT)_x000d__x000a_PL-4579-M-039-99_x000d__x000a_FALTA APE" xfId="4"/>
    <cellStyle name="Excel Built-in 20% - Accent1" xfId="3"/>
    <cellStyle name="Normal" xfId="0" builtinId="0"/>
    <cellStyle name="Normal_Nuevo Formato Matriz de Pruebas - 150909" xfId="2"/>
    <cellStyle name="Porcentaje" xfId="1" builtinId="5"/>
  </cellStyles>
  <dxfs count="72">
    <dxf>
      <numFmt numFmtId="0" formatCode="General"/>
      <border diagonalUp="0" diagonalDown="0">
        <left style="thin">
          <color indexed="22"/>
        </left>
        <right/>
        <top style="thin">
          <color indexed="22"/>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protection locked="0" hidden="0"/>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border diagonalUp="0" diagonalDown="0">
        <left style="thin">
          <color indexed="22"/>
        </left>
        <right/>
        <top style="thin">
          <color indexed="22"/>
        </top>
        <bottom style="thin">
          <color indexed="22"/>
        </bottom>
      </border>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19" formatCode="dd/mm/yyyy"/>
      <alignment horizontal="general" vertical="center" textRotation="0" wrapText="1" relativeIndent="0" justifyLastLine="0" shrinkToFit="0" readingOrder="0"/>
    </dxf>
    <dxf>
      <numFmt numFmtId="19" formatCode="dd/mm/yyyy"/>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fill>
        <patternFill patternType="solid">
          <fgColor indexed="64"/>
          <bgColor theme="3" tint="-0.499984740745262"/>
        </patternFill>
      </fill>
      <alignment horizontal="center" vertical="center" textRotation="0" wrapText="1" relativeIndent="0"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horizontal="general" vertical="center" textRotation="0" wrapText="1" indent="0" justifyLastLine="0" shrinkToFit="0" readingOrder="0"/>
    </dxf>
    <dxf>
      <numFmt numFmtId="164" formatCode="dd/mm/yyyy;@"/>
      <alignment horizontal="center" vertical="center" textRotation="0" wrapText="1" indent="0" justifyLastLine="0" shrinkToFit="0" readingOrder="0"/>
    </dxf>
    <dxf>
      <numFmt numFmtId="164" formatCode="dd/mm/yyyy;@"/>
      <alignment horizontal="general" vertical="center" textRotation="0" wrapText="1" relativeIndent="0" justifyLastLine="0" shrinkToFit="0" readingOrder="0"/>
    </dxf>
    <dxf>
      <numFmt numFmtId="164" formatCode="dd/mm/yyyy;@"/>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font>
        <b val="0"/>
      </font>
      <numFmt numFmtId="0" formatCode="General"/>
      <alignment vertical="center" textRotation="0" wrapText="1" justifyLastLine="0" shrinkToFit="0" readingOrder="0"/>
    </dxf>
    <dxf>
      <border outline="0">
        <top style="thin">
          <color theme="9" tint="0.39997558519241921"/>
        </top>
      </border>
    </dxf>
    <dxf>
      <alignment vertical="center" textRotation="0" wrapText="1" justifyLastLine="0" shrinkToFit="0" readingOrder="0"/>
    </dxf>
    <dxf>
      <border outline="0">
        <bottom style="thin">
          <color theme="9" tint="0.39997558519241921"/>
        </bottom>
      </border>
    </dxf>
    <dxf>
      <font>
        <b/>
        <i val="0"/>
        <strike val="0"/>
        <condense val="0"/>
        <extend val="0"/>
        <outline val="0"/>
        <shadow val="0"/>
        <u val="none"/>
        <vertAlign val="baseline"/>
        <sz val="10"/>
        <color theme="0"/>
        <name val="Arial"/>
        <scheme val="none"/>
      </font>
      <numFmt numFmtId="0" formatCode="General"/>
      <fill>
        <patternFill patternType="solid">
          <fgColor theme="9"/>
          <bgColor theme="3" tint="-0.499984740745262"/>
        </patternFill>
      </fill>
      <alignment horizontal="center"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protection locked="1" hidden="0"/>
    </dxf>
    <dxf>
      <font>
        <strike val="0"/>
        <outline val="0"/>
        <shadow val="0"/>
        <u val="none"/>
        <vertAlign val="baseline"/>
        <sz val="8"/>
        <color theme="1"/>
        <name val="Calibri"/>
        <scheme val="minor"/>
      </font>
      <alignment horizontal="general" vertical="center" textRotation="0" wrapText="1" indent="0" justifyLastLine="0" shrinkToFit="0" readingOrder="0"/>
    </dxf>
    <dxf>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border outline="0">
        <top style="thin">
          <color theme="5"/>
        </top>
      </border>
    </dxf>
    <dxf>
      <font>
        <strike val="0"/>
        <outline val="0"/>
        <shadow val="0"/>
        <u val="none"/>
        <vertAlign val="baseline"/>
        <sz val="8"/>
        <color theme="1"/>
        <name val="Calibri"/>
        <scheme val="minor"/>
      </font>
      <alignment horizontal="general" vertical="center" textRotation="0" wrapText="1" indent="0" justifyLastLine="0" shrinkToFit="0" readingOrder="0"/>
      <border diagonalUp="0" diagonalDown="0">
        <left style="thin">
          <color indexed="9"/>
        </left>
        <right style="thin">
          <color indexed="9"/>
        </right>
        <top/>
        <bottom/>
      </border>
    </dxf>
    <dxf>
      <border outline="0">
        <bottom style="thin">
          <color theme="5"/>
        </bottom>
      </border>
    </dxf>
    <dxf>
      <font>
        <b/>
        <i val="0"/>
        <strike val="0"/>
        <condense val="0"/>
        <extend val="0"/>
        <outline val="0"/>
        <shadow val="0"/>
        <u val="none"/>
        <vertAlign val="baseline"/>
        <sz val="9"/>
        <color indexed="9"/>
        <name val="Arial Narrow"/>
        <scheme val="none"/>
      </font>
      <fill>
        <patternFill patternType="solid">
          <fgColor indexed="58"/>
          <bgColor theme="3" tint="-0.499984740745262"/>
        </patternFill>
      </fill>
      <alignment horizontal="center" vertical="center" textRotation="0" wrapText="1" relativeIndent="0" justifyLastLine="0" shrinkToFit="0" readingOrder="0"/>
      <border diagonalUp="0" diagonalDown="0" outline="0">
        <left style="thin">
          <color indexed="9"/>
        </left>
        <right style="thin">
          <color indexed="9"/>
        </right>
        <top/>
        <bottom/>
      </border>
    </dxf>
    <dxf>
      <font>
        <b/>
        <i val="0"/>
        <color theme="6" tint="-0.499984740745262"/>
      </font>
      <fill>
        <patternFill patternType="solid">
          <fgColor indexed="44"/>
          <bgColor theme="6" tint="0.79998168889431442"/>
        </patternFill>
      </fill>
    </dxf>
    <dxf>
      <font>
        <b/>
        <i val="0"/>
        <color theme="9" tint="-0.499984740745262"/>
      </font>
      <fill>
        <patternFill patternType="solid">
          <fgColor indexed="22"/>
          <bgColor theme="9" tint="0.79998168889431442"/>
        </patternFill>
      </fill>
    </dxf>
    <dxf>
      <font>
        <b/>
        <i val="0"/>
        <color rgb="FFFF0000"/>
      </font>
      <fill>
        <patternFill patternType="solid">
          <fgColor indexed="46"/>
          <bgColor theme="5" tint="0.79998168889431442"/>
        </patternFill>
      </fill>
    </dxf>
  </dxfs>
  <tableStyles count="0" defaultTableStyle="TableStyleMedium9" defaultPivotStyle="PivotStyleLight16"/>
  <colors>
    <mruColors>
      <color rgb="FFFFFF66"/>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pivotCacheDefinition" Target="pivotCache/pivotCacheDefinition5.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4.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pivotCacheDefinition" Target="pivotCache/pivotCacheDefinition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sz="1600"/>
            </a:pPr>
            <a:r>
              <a:rPr lang="es-ES" sz="1600"/>
              <a:t>Distribución Porcentual de los Estados de Casos de Prueba</a:t>
            </a:r>
          </a:p>
        </c:rich>
      </c:tx>
      <c:overlay val="0"/>
    </c:title>
    <c:autoTitleDeleted val="0"/>
    <c:plotArea>
      <c:layout>
        <c:manualLayout>
          <c:layoutTarget val="inner"/>
          <c:xMode val="edge"/>
          <c:yMode val="edge"/>
          <c:x val="0.21306389798620609"/>
          <c:y val="0.20151813899974841"/>
          <c:w val="0.50142494135134519"/>
          <c:h val="0.77617833387264945"/>
        </c:manualLayout>
      </c:layout>
      <c:pieChart>
        <c:varyColors val="1"/>
        <c:ser>
          <c:idx val="0"/>
          <c:order val="0"/>
          <c:explosion val="6"/>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strRef>
              <c:f>Resumen!$E$12:$J$12</c:f>
              <c:strCache>
                <c:ptCount val="6"/>
                <c:pt idx="0">
                  <c:v>Acierto</c:v>
                </c:pt>
                <c:pt idx="1">
                  <c:v>Fallo</c:v>
                </c:pt>
                <c:pt idx="2">
                  <c:v>Bloqueado</c:v>
                </c:pt>
                <c:pt idx="3">
                  <c:v>Pendiente</c:v>
                </c:pt>
                <c:pt idx="4">
                  <c:v>No Aplica</c:v>
                </c:pt>
                <c:pt idx="5">
                  <c:v>En Proceso</c:v>
                </c:pt>
              </c:strCache>
            </c:strRef>
          </c:cat>
          <c:val>
            <c:numRef>
              <c:f>Resumen!$E$14:$J$14</c:f>
              <c:numCache>
                <c:formatCode>0%</c:formatCode>
                <c:ptCount val="6"/>
                <c:pt idx="0">
                  <c:v>0.3611111111111111</c:v>
                </c:pt>
                <c:pt idx="1">
                  <c:v>0.61111111111111116</c:v>
                </c:pt>
                <c:pt idx="2">
                  <c:v>0</c:v>
                </c:pt>
                <c:pt idx="3">
                  <c:v>2.7777777777777776E-2</c:v>
                </c:pt>
                <c:pt idx="4">
                  <c:v>0</c:v>
                </c:pt>
                <c:pt idx="5">
                  <c:v>0</c:v>
                </c:pt>
              </c:numCache>
            </c:numRef>
          </c:val>
        </c:ser>
        <c:dLbls>
          <c:showLegendKey val="0"/>
          <c:showVal val="0"/>
          <c:showCatName val="0"/>
          <c:showSerName val="0"/>
          <c:showPercent val="1"/>
          <c:showBubbleSize val="0"/>
          <c:showLeaderLines val="1"/>
        </c:dLbls>
        <c:firstSliceAng val="0"/>
      </c:pieChart>
    </c:plotArea>
    <c:legend>
      <c:legendPos val="r"/>
      <c:overlay val="0"/>
      <c:txPr>
        <a:bodyPr/>
        <a:lstStyle/>
        <a:p>
          <a:pPr>
            <a:defRPr lang="es-ES"/>
          </a:pPr>
          <a:endParaRPr lang="es-PE"/>
        </a:p>
      </c:txPr>
    </c:legend>
    <c:plotVisOnly val="1"/>
    <c:dispBlanksAs val="zero"/>
    <c:showDLblsOverMax val="0"/>
  </c:chart>
  <c:printSettings>
    <c:headerFooter/>
    <c:pageMargins b="0.75000000000000977" l="0.70000000000000062" r="0.70000000000000062" t="0.75000000000000977"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Distribución Porcentual de los Estados de las Incidencias</a:t>
            </a:r>
          </a:p>
        </c:rich>
      </c:tx>
      <c:overlay val="0"/>
    </c:title>
    <c:autoTitleDeleted val="0"/>
    <c:plotArea>
      <c:layout/>
      <c:pieChart>
        <c:varyColors val="1"/>
        <c:ser>
          <c:idx val="0"/>
          <c:order val="0"/>
          <c:explosion val="4"/>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multiLvlStrRef>
              <c:f>(Resumen!$C$28,Resumen!$E$28)</c:f>
            </c:multiLvlStrRef>
          </c:cat>
          <c:val>
            <c:numRef>
              <c:f>(Resumen!$C$34,Resumen!$E$34)</c:f>
            </c:numRef>
          </c:val>
        </c:ser>
        <c:dLbls>
          <c:showLegendKey val="0"/>
          <c:showVal val="0"/>
          <c:showCatName val="0"/>
          <c:showSerName val="0"/>
          <c:showPercent val="1"/>
          <c:showBubbleSize val="0"/>
          <c:showLeaderLines val="1"/>
        </c:dLbls>
        <c:firstSliceAng val="0"/>
      </c:pieChart>
    </c:plotArea>
    <c:legend>
      <c:legendPos val="r"/>
      <c:overlay val="0"/>
      <c:txPr>
        <a:bodyPr/>
        <a:lstStyle/>
        <a:p>
          <a:pPr rtl="0">
            <a:defRPr lang="es-ES"/>
          </a:pPr>
          <a:endParaRPr lang="es-PE"/>
        </a:p>
      </c:txPr>
    </c:legend>
    <c:plotVisOnly val="1"/>
    <c:dispBlanksAs val="zero"/>
    <c:showDLblsOverMax val="0"/>
  </c:chart>
  <c:printSettings>
    <c:headerFooter/>
    <c:pageMargins b="0.75000000000000977" l="0.70000000000000062" r="0.70000000000000062" t="0.75000000000000977"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HistoricoAvance!$C$3</c:f>
              <c:strCache>
                <c:ptCount val="1"/>
                <c:pt idx="0">
                  <c:v>Aciertos</c:v>
                </c:pt>
              </c:strCache>
            </c:strRef>
          </c:tx>
          <c:spPr>
            <a:ln w="50800"/>
          </c:spPr>
          <c:cat>
            <c:numRef>
              <c:f>HistoricoAvance!$B$4:$B$13</c:f>
              <c:numCache>
                <c:formatCode>m/d/yyyy</c:formatCode>
                <c:ptCount val="10"/>
                <c:pt idx="0">
                  <c:v>40791</c:v>
                </c:pt>
                <c:pt idx="1">
                  <c:v>40796</c:v>
                </c:pt>
                <c:pt idx="2">
                  <c:v>40800</c:v>
                </c:pt>
                <c:pt idx="3">
                  <c:v>40802</c:v>
                </c:pt>
                <c:pt idx="4">
                  <c:v>40830</c:v>
                </c:pt>
                <c:pt idx="5">
                  <c:v>40835</c:v>
                </c:pt>
                <c:pt idx="6">
                  <c:v>40838</c:v>
                </c:pt>
                <c:pt idx="7">
                  <c:v>40840</c:v>
                </c:pt>
                <c:pt idx="8">
                  <c:v>40845</c:v>
                </c:pt>
                <c:pt idx="9">
                  <c:v>40848</c:v>
                </c:pt>
              </c:numCache>
            </c:numRef>
          </c:cat>
          <c:val>
            <c:numRef>
              <c:f>HistoricoAvance!$C$4:$C$13</c:f>
              <c:numCache>
                <c:formatCode>0</c:formatCode>
                <c:ptCount val="10"/>
                <c:pt idx="0">
                  <c:v>0</c:v>
                </c:pt>
                <c:pt idx="1">
                  <c:v>0</c:v>
                </c:pt>
                <c:pt idx="2">
                  <c:v>5</c:v>
                </c:pt>
                <c:pt idx="3">
                  <c:v>14</c:v>
                </c:pt>
                <c:pt idx="4">
                  <c:v>15</c:v>
                </c:pt>
                <c:pt idx="5">
                  <c:v>15</c:v>
                </c:pt>
                <c:pt idx="6">
                  <c:v>15</c:v>
                </c:pt>
                <c:pt idx="7">
                  <c:v>16</c:v>
                </c:pt>
                <c:pt idx="8">
                  <c:v>15</c:v>
                </c:pt>
                <c:pt idx="9">
                  <c:v>13</c:v>
                </c:pt>
              </c:numCache>
            </c:numRef>
          </c:val>
          <c:smooth val="0"/>
        </c:ser>
        <c:ser>
          <c:idx val="1"/>
          <c:order val="1"/>
          <c:tx>
            <c:strRef>
              <c:f>HistoricoAvance!$D$3</c:f>
              <c:strCache>
                <c:ptCount val="1"/>
                <c:pt idx="0">
                  <c:v>Fallos</c:v>
                </c:pt>
              </c:strCache>
            </c:strRef>
          </c:tx>
          <c:spPr>
            <a:ln w="50800"/>
          </c:spPr>
          <c:cat>
            <c:numRef>
              <c:f>HistoricoAvance!$B$4:$B$13</c:f>
              <c:numCache>
                <c:formatCode>m/d/yyyy</c:formatCode>
                <c:ptCount val="10"/>
                <c:pt idx="0">
                  <c:v>40791</c:v>
                </c:pt>
                <c:pt idx="1">
                  <c:v>40796</c:v>
                </c:pt>
                <c:pt idx="2">
                  <c:v>40800</c:v>
                </c:pt>
                <c:pt idx="3">
                  <c:v>40802</c:v>
                </c:pt>
                <c:pt idx="4">
                  <c:v>40830</c:v>
                </c:pt>
                <c:pt idx="5">
                  <c:v>40835</c:v>
                </c:pt>
                <c:pt idx="6">
                  <c:v>40838</c:v>
                </c:pt>
                <c:pt idx="7">
                  <c:v>40840</c:v>
                </c:pt>
                <c:pt idx="8">
                  <c:v>40845</c:v>
                </c:pt>
                <c:pt idx="9">
                  <c:v>40848</c:v>
                </c:pt>
              </c:numCache>
            </c:numRef>
          </c:cat>
          <c:val>
            <c:numRef>
              <c:f>HistoricoAvance!$D$4:$D$13</c:f>
              <c:numCache>
                <c:formatCode>0</c:formatCode>
                <c:ptCount val="10"/>
                <c:pt idx="0">
                  <c:v>10</c:v>
                </c:pt>
                <c:pt idx="1">
                  <c:v>15</c:v>
                </c:pt>
                <c:pt idx="2">
                  <c:v>10</c:v>
                </c:pt>
                <c:pt idx="3">
                  <c:v>1</c:v>
                </c:pt>
                <c:pt idx="4">
                  <c:v>10</c:v>
                </c:pt>
                <c:pt idx="5">
                  <c:v>10</c:v>
                </c:pt>
                <c:pt idx="6">
                  <c:v>20</c:v>
                </c:pt>
                <c:pt idx="7">
                  <c:v>19</c:v>
                </c:pt>
                <c:pt idx="8">
                  <c:v>20</c:v>
                </c:pt>
                <c:pt idx="9">
                  <c:v>22</c:v>
                </c:pt>
              </c:numCache>
            </c:numRef>
          </c:val>
          <c:smooth val="0"/>
        </c:ser>
        <c:ser>
          <c:idx val="2"/>
          <c:order val="2"/>
          <c:tx>
            <c:strRef>
              <c:f>HistoricoAvance!$E$3</c:f>
              <c:strCache>
                <c:ptCount val="1"/>
                <c:pt idx="0">
                  <c:v>Bloqueado</c:v>
                </c:pt>
              </c:strCache>
            </c:strRef>
          </c:tx>
          <c:cat>
            <c:numRef>
              <c:f>HistoricoAvance!$B$4:$B$13</c:f>
              <c:numCache>
                <c:formatCode>m/d/yyyy</c:formatCode>
                <c:ptCount val="10"/>
                <c:pt idx="0">
                  <c:v>40791</c:v>
                </c:pt>
                <c:pt idx="1">
                  <c:v>40796</c:v>
                </c:pt>
                <c:pt idx="2">
                  <c:v>40800</c:v>
                </c:pt>
                <c:pt idx="3">
                  <c:v>40802</c:v>
                </c:pt>
                <c:pt idx="4">
                  <c:v>40830</c:v>
                </c:pt>
                <c:pt idx="5">
                  <c:v>40835</c:v>
                </c:pt>
                <c:pt idx="6">
                  <c:v>40838</c:v>
                </c:pt>
                <c:pt idx="7">
                  <c:v>40840</c:v>
                </c:pt>
                <c:pt idx="8">
                  <c:v>40845</c:v>
                </c:pt>
                <c:pt idx="9">
                  <c:v>40848</c:v>
                </c:pt>
              </c:numCache>
            </c:numRef>
          </c:cat>
          <c:val>
            <c:numRef>
              <c:f>HistoricoAvance!$E$4:$E$13</c:f>
              <c:numCache>
                <c:formatCode>0</c:formatCode>
                <c:ptCount val="10"/>
                <c:pt idx="0">
                  <c:v>0</c:v>
                </c:pt>
                <c:pt idx="1">
                  <c:v>0</c:v>
                </c:pt>
                <c:pt idx="2">
                  <c:v>0</c:v>
                </c:pt>
                <c:pt idx="3">
                  <c:v>0</c:v>
                </c:pt>
                <c:pt idx="4">
                  <c:v>0</c:v>
                </c:pt>
                <c:pt idx="5">
                  <c:v>0</c:v>
                </c:pt>
                <c:pt idx="6">
                  <c:v>0</c:v>
                </c:pt>
                <c:pt idx="7">
                  <c:v>0</c:v>
                </c:pt>
                <c:pt idx="8">
                  <c:v>0</c:v>
                </c:pt>
                <c:pt idx="9">
                  <c:v>0</c:v>
                </c:pt>
              </c:numCache>
            </c:numRef>
          </c:val>
          <c:smooth val="0"/>
        </c:ser>
        <c:ser>
          <c:idx val="3"/>
          <c:order val="3"/>
          <c:tx>
            <c:strRef>
              <c:f>HistoricoAvance!$F$3</c:f>
              <c:strCache>
                <c:ptCount val="1"/>
                <c:pt idx="0">
                  <c:v>Pendiente</c:v>
                </c:pt>
              </c:strCache>
            </c:strRef>
          </c:tx>
          <c:cat>
            <c:numRef>
              <c:f>HistoricoAvance!$B$4:$B$13</c:f>
              <c:numCache>
                <c:formatCode>m/d/yyyy</c:formatCode>
                <c:ptCount val="10"/>
                <c:pt idx="0">
                  <c:v>40791</c:v>
                </c:pt>
                <c:pt idx="1">
                  <c:v>40796</c:v>
                </c:pt>
                <c:pt idx="2">
                  <c:v>40800</c:v>
                </c:pt>
                <c:pt idx="3">
                  <c:v>40802</c:v>
                </c:pt>
                <c:pt idx="4">
                  <c:v>40830</c:v>
                </c:pt>
                <c:pt idx="5">
                  <c:v>40835</c:v>
                </c:pt>
                <c:pt idx="6">
                  <c:v>40838</c:v>
                </c:pt>
                <c:pt idx="7">
                  <c:v>40840</c:v>
                </c:pt>
                <c:pt idx="8">
                  <c:v>40845</c:v>
                </c:pt>
                <c:pt idx="9">
                  <c:v>40848</c:v>
                </c:pt>
              </c:numCache>
            </c:numRef>
          </c:cat>
          <c:val>
            <c:numRef>
              <c:f>HistoricoAvance!$F$4:$F$13</c:f>
              <c:numCache>
                <c:formatCode>0</c:formatCode>
                <c:ptCount val="10"/>
                <c:pt idx="0">
                  <c:v>0</c:v>
                </c:pt>
                <c:pt idx="1">
                  <c:v>0</c:v>
                </c:pt>
                <c:pt idx="2">
                  <c:v>0</c:v>
                </c:pt>
                <c:pt idx="3">
                  <c:v>0</c:v>
                </c:pt>
                <c:pt idx="4">
                  <c:v>0</c:v>
                </c:pt>
                <c:pt idx="5">
                  <c:v>0</c:v>
                </c:pt>
                <c:pt idx="6">
                  <c:v>0</c:v>
                </c:pt>
                <c:pt idx="7">
                  <c:v>0</c:v>
                </c:pt>
                <c:pt idx="8">
                  <c:v>0</c:v>
                </c:pt>
                <c:pt idx="9">
                  <c:v>1</c:v>
                </c:pt>
              </c:numCache>
            </c:numRef>
          </c:val>
          <c:smooth val="0"/>
        </c:ser>
        <c:ser>
          <c:idx val="4"/>
          <c:order val="4"/>
          <c:tx>
            <c:strRef>
              <c:f>HistoricoAvance!$G$3</c:f>
              <c:strCache>
                <c:ptCount val="1"/>
                <c:pt idx="0">
                  <c:v>No Aplica</c:v>
                </c:pt>
              </c:strCache>
            </c:strRef>
          </c:tx>
          <c:cat>
            <c:numRef>
              <c:f>HistoricoAvance!$B$4:$B$13</c:f>
              <c:numCache>
                <c:formatCode>m/d/yyyy</c:formatCode>
                <c:ptCount val="10"/>
                <c:pt idx="0">
                  <c:v>40791</c:v>
                </c:pt>
                <c:pt idx="1">
                  <c:v>40796</c:v>
                </c:pt>
                <c:pt idx="2">
                  <c:v>40800</c:v>
                </c:pt>
                <c:pt idx="3">
                  <c:v>40802</c:v>
                </c:pt>
                <c:pt idx="4">
                  <c:v>40830</c:v>
                </c:pt>
                <c:pt idx="5">
                  <c:v>40835</c:v>
                </c:pt>
                <c:pt idx="6">
                  <c:v>40838</c:v>
                </c:pt>
                <c:pt idx="7">
                  <c:v>40840</c:v>
                </c:pt>
                <c:pt idx="8">
                  <c:v>40845</c:v>
                </c:pt>
                <c:pt idx="9">
                  <c:v>40848</c:v>
                </c:pt>
              </c:numCache>
            </c:numRef>
          </c:cat>
          <c:val>
            <c:numRef>
              <c:f>HistoricoAvance!$G$4:$G$13</c:f>
              <c:numCache>
                <c:formatCode>0</c:formatCode>
                <c:ptCount val="10"/>
                <c:pt idx="0">
                  <c:v>0</c:v>
                </c:pt>
                <c:pt idx="1">
                  <c:v>0</c:v>
                </c:pt>
                <c:pt idx="2">
                  <c:v>0</c:v>
                </c:pt>
                <c:pt idx="3">
                  <c:v>0</c:v>
                </c:pt>
                <c:pt idx="4">
                  <c:v>0</c:v>
                </c:pt>
                <c:pt idx="5">
                  <c:v>0</c:v>
                </c:pt>
                <c:pt idx="6">
                  <c:v>0</c:v>
                </c:pt>
                <c:pt idx="7">
                  <c:v>0</c:v>
                </c:pt>
                <c:pt idx="8">
                  <c:v>0</c:v>
                </c:pt>
                <c:pt idx="9">
                  <c:v>0</c:v>
                </c:pt>
              </c:numCache>
            </c:numRef>
          </c:val>
          <c:smooth val="0"/>
        </c:ser>
        <c:ser>
          <c:idx val="5"/>
          <c:order val="5"/>
          <c:tx>
            <c:strRef>
              <c:f>HistoricoAvance!$H$3</c:f>
              <c:strCache>
                <c:ptCount val="1"/>
                <c:pt idx="0">
                  <c:v>En Proceso</c:v>
                </c:pt>
              </c:strCache>
            </c:strRef>
          </c:tx>
          <c:cat>
            <c:numRef>
              <c:f>HistoricoAvance!$B$4:$B$13</c:f>
              <c:numCache>
                <c:formatCode>m/d/yyyy</c:formatCode>
                <c:ptCount val="10"/>
                <c:pt idx="0">
                  <c:v>40791</c:v>
                </c:pt>
                <c:pt idx="1">
                  <c:v>40796</c:v>
                </c:pt>
                <c:pt idx="2">
                  <c:v>40800</c:v>
                </c:pt>
                <c:pt idx="3">
                  <c:v>40802</c:v>
                </c:pt>
                <c:pt idx="4">
                  <c:v>40830</c:v>
                </c:pt>
                <c:pt idx="5">
                  <c:v>40835</c:v>
                </c:pt>
                <c:pt idx="6">
                  <c:v>40838</c:v>
                </c:pt>
                <c:pt idx="7">
                  <c:v>40840</c:v>
                </c:pt>
                <c:pt idx="8">
                  <c:v>40845</c:v>
                </c:pt>
                <c:pt idx="9">
                  <c:v>40848</c:v>
                </c:pt>
              </c:numCache>
            </c:numRef>
          </c:cat>
          <c:val>
            <c:numRef>
              <c:f>HistoricoAvance!$H$4:$H$13</c:f>
              <c:numCache>
                <c:formatCode>0</c:formatCode>
                <c:ptCount val="10"/>
                <c:pt idx="0">
                  <c:v>0</c:v>
                </c:pt>
                <c:pt idx="1">
                  <c:v>0</c:v>
                </c:pt>
                <c:pt idx="2">
                  <c:v>0</c:v>
                </c:pt>
                <c:pt idx="3">
                  <c:v>0</c:v>
                </c:pt>
                <c:pt idx="4">
                  <c:v>0</c:v>
                </c:pt>
                <c:pt idx="5">
                  <c:v>0</c:v>
                </c:pt>
                <c:pt idx="6">
                  <c:v>0</c:v>
                </c:pt>
                <c:pt idx="7">
                  <c:v>0</c:v>
                </c:pt>
                <c:pt idx="8">
                  <c:v>0</c:v>
                </c:pt>
                <c:pt idx="9">
                  <c:v>0</c:v>
                </c:pt>
              </c:numCache>
            </c:numRef>
          </c:val>
          <c:smooth val="0"/>
        </c:ser>
        <c:ser>
          <c:idx val="6"/>
          <c:order val="6"/>
          <c:tx>
            <c:strRef>
              <c:f>HistoricoAvance!$I$3</c:f>
              <c:strCache>
                <c:ptCount val="1"/>
                <c:pt idx="0">
                  <c:v>Reejecuciones</c:v>
                </c:pt>
              </c:strCache>
            </c:strRef>
          </c:tx>
          <c:cat>
            <c:numRef>
              <c:f>HistoricoAvance!$B$4:$B$13</c:f>
              <c:numCache>
                <c:formatCode>m/d/yyyy</c:formatCode>
                <c:ptCount val="10"/>
                <c:pt idx="0">
                  <c:v>40791</c:v>
                </c:pt>
                <c:pt idx="1">
                  <c:v>40796</c:v>
                </c:pt>
                <c:pt idx="2">
                  <c:v>40800</c:v>
                </c:pt>
                <c:pt idx="3">
                  <c:v>40802</c:v>
                </c:pt>
                <c:pt idx="4">
                  <c:v>40830</c:v>
                </c:pt>
                <c:pt idx="5">
                  <c:v>40835</c:v>
                </c:pt>
                <c:pt idx="6">
                  <c:v>40838</c:v>
                </c:pt>
                <c:pt idx="7">
                  <c:v>40840</c:v>
                </c:pt>
                <c:pt idx="8">
                  <c:v>40845</c:v>
                </c:pt>
                <c:pt idx="9">
                  <c:v>40848</c:v>
                </c:pt>
              </c:numCache>
            </c:numRef>
          </c:cat>
          <c:val>
            <c:numRef>
              <c:f>HistoricoAvance!$I$4:$I$13</c:f>
              <c:numCache>
                <c:formatCode>0</c:formatCode>
                <c:ptCount val="10"/>
                <c:pt idx="0">
                  <c:v>0</c:v>
                </c:pt>
                <c:pt idx="1">
                  <c:v>0</c:v>
                </c:pt>
                <c:pt idx="2">
                  <c:v>0</c:v>
                </c:pt>
                <c:pt idx="3">
                  <c:v>0</c:v>
                </c:pt>
                <c:pt idx="4">
                  <c:v>0</c:v>
                </c:pt>
                <c:pt idx="5">
                  <c:v>0</c:v>
                </c:pt>
                <c:pt idx="6">
                  <c:v>0</c:v>
                </c:pt>
                <c:pt idx="7">
                  <c:v>0</c:v>
                </c:pt>
                <c:pt idx="8">
                  <c:v>0</c:v>
                </c:pt>
                <c:pt idx="9">
                  <c:v>0</c:v>
                </c:pt>
              </c:numCache>
            </c:numRef>
          </c:val>
          <c:smooth val="0"/>
        </c:ser>
        <c:ser>
          <c:idx val="7"/>
          <c:order val="7"/>
          <c:tx>
            <c:strRef>
              <c:f>HistoricoAvance!$J$3</c:f>
              <c:strCache>
                <c:ptCount val="1"/>
                <c:pt idx="0">
                  <c:v>Totales</c:v>
                </c:pt>
              </c:strCache>
            </c:strRef>
          </c:tx>
          <c:spPr>
            <a:ln w="50800" cmpd="sng">
              <a:solidFill>
                <a:schemeClr val="tx1"/>
              </a:solidFill>
            </a:ln>
          </c:spPr>
          <c:cat>
            <c:numRef>
              <c:f>HistoricoAvance!$B$4:$B$13</c:f>
              <c:numCache>
                <c:formatCode>m/d/yyyy</c:formatCode>
                <c:ptCount val="10"/>
                <c:pt idx="0">
                  <c:v>40791</c:v>
                </c:pt>
                <c:pt idx="1">
                  <c:v>40796</c:v>
                </c:pt>
                <c:pt idx="2">
                  <c:v>40800</c:v>
                </c:pt>
                <c:pt idx="3">
                  <c:v>40802</c:v>
                </c:pt>
                <c:pt idx="4">
                  <c:v>40830</c:v>
                </c:pt>
                <c:pt idx="5">
                  <c:v>40835</c:v>
                </c:pt>
                <c:pt idx="6">
                  <c:v>40838</c:v>
                </c:pt>
                <c:pt idx="7">
                  <c:v>40840</c:v>
                </c:pt>
                <c:pt idx="8">
                  <c:v>40845</c:v>
                </c:pt>
                <c:pt idx="9">
                  <c:v>40848</c:v>
                </c:pt>
              </c:numCache>
            </c:numRef>
          </c:cat>
          <c:val>
            <c:numRef>
              <c:f>HistoricoAvance!$J$4:$J$13</c:f>
              <c:numCache>
                <c:formatCode>General</c:formatCode>
                <c:ptCount val="10"/>
                <c:pt idx="0">
                  <c:v>10</c:v>
                </c:pt>
                <c:pt idx="1">
                  <c:v>15</c:v>
                </c:pt>
                <c:pt idx="2">
                  <c:v>15</c:v>
                </c:pt>
                <c:pt idx="3">
                  <c:v>15</c:v>
                </c:pt>
                <c:pt idx="4">
                  <c:v>25</c:v>
                </c:pt>
                <c:pt idx="5">
                  <c:v>25</c:v>
                </c:pt>
                <c:pt idx="6">
                  <c:v>35</c:v>
                </c:pt>
                <c:pt idx="7">
                  <c:v>35</c:v>
                </c:pt>
                <c:pt idx="8">
                  <c:v>35</c:v>
                </c:pt>
                <c:pt idx="9">
                  <c:v>36</c:v>
                </c:pt>
              </c:numCache>
            </c:numRef>
          </c:val>
          <c:smooth val="0"/>
        </c:ser>
        <c:dLbls>
          <c:showLegendKey val="0"/>
          <c:showVal val="0"/>
          <c:showCatName val="0"/>
          <c:showSerName val="0"/>
          <c:showPercent val="0"/>
          <c:showBubbleSize val="0"/>
        </c:dLbls>
        <c:marker val="1"/>
        <c:smooth val="0"/>
        <c:axId val="49380736"/>
        <c:axId val="49386624"/>
      </c:lineChart>
      <c:dateAx>
        <c:axId val="49380736"/>
        <c:scaling>
          <c:orientation val="minMax"/>
        </c:scaling>
        <c:delete val="0"/>
        <c:axPos val="b"/>
        <c:numFmt formatCode="m/d/yyyy" sourceLinked="1"/>
        <c:majorTickMark val="out"/>
        <c:minorTickMark val="none"/>
        <c:tickLblPos val="nextTo"/>
        <c:txPr>
          <a:bodyPr/>
          <a:lstStyle/>
          <a:p>
            <a:pPr>
              <a:defRPr lang="es-ES"/>
            </a:pPr>
            <a:endParaRPr lang="es-PE"/>
          </a:p>
        </c:txPr>
        <c:crossAx val="49386624"/>
        <c:crosses val="autoZero"/>
        <c:auto val="1"/>
        <c:lblOffset val="100"/>
        <c:baseTimeUnit val="days"/>
      </c:dateAx>
      <c:valAx>
        <c:axId val="49386624"/>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49380736"/>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0977" l="0.70000000000000062" r="0.70000000000000062" t="0.75000000000000977"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HistoricoAvance!$M$3</c:f>
              <c:strCache>
                <c:ptCount val="1"/>
                <c:pt idx="0">
                  <c:v>Abiertas</c:v>
                </c:pt>
              </c:strCache>
            </c:strRef>
          </c:tx>
          <c:spPr>
            <a:ln w="50800">
              <a:solidFill>
                <a:schemeClr val="accent2"/>
              </a:solidFill>
            </a:ln>
          </c:spPr>
          <c:cat>
            <c:numRef>
              <c:f>HistoricoAvance!$L$4:$L$13</c:f>
              <c:numCache>
                <c:formatCode>m/d/yyyy</c:formatCode>
                <c:ptCount val="10"/>
                <c:pt idx="0">
                  <c:v>40791</c:v>
                </c:pt>
                <c:pt idx="1">
                  <c:v>40796</c:v>
                </c:pt>
                <c:pt idx="2">
                  <c:v>40800</c:v>
                </c:pt>
                <c:pt idx="3">
                  <c:v>40802</c:v>
                </c:pt>
                <c:pt idx="4">
                  <c:v>40830</c:v>
                </c:pt>
                <c:pt idx="5">
                  <c:v>40835</c:v>
                </c:pt>
                <c:pt idx="6">
                  <c:v>40838</c:v>
                </c:pt>
                <c:pt idx="7">
                  <c:v>40840</c:v>
                </c:pt>
                <c:pt idx="8">
                  <c:v>40845</c:v>
                </c:pt>
                <c:pt idx="9">
                  <c:v>40848</c:v>
                </c:pt>
              </c:numCache>
            </c:numRef>
          </c:cat>
          <c:val>
            <c:numRef>
              <c:f>HistoricoAvance!$M$4:$M$13</c:f>
              <c:numCache>
                <c:formatCode>0</c:formatCode>
                <c:ptCount val="10"/>
                <c:pt idx="0">
                  <c:v>55</c:v>
                </c:pt>
                <c:pt idx="1">
                  <c:v>101</c:v>
                </c:pt>
                <c:pt idx="2">
                  <c:v>19</c:v>
                </c:pt>
                <c:pt idx="3">
                  <c:v>3</c:v>
                </c:pt>
                <c:pt idx="4">
                  <c:v>92</c:v>
                </c:pt>
                <c:pt idx="5">
                  <c:v>21</c:v>
                </c:pt>
                <c:pt idx="6">
                  <c:v>63</c:v>
                </c:pt>
                <c:pt idx="7">
                  <c:v>87</c:v>
                </c:pt>
                <c:pt idx="8">
                  <c:v>111</c:v>
                </c:pt>
                <c:pt idx="9">
                  <c:v>36</c:v>
                </c:pt>
              </c:numCache>
            </c:numRef>
          </c:val>
          <c:smooth val="0"/>
        </c:ser>
        <c:ser>
          <c:idx val="1"/>
          <c:order val="1"/>
          <c:tx>
            <c:strRef>
              <c:f>HistoricoAvance!$N$3</c:f>
              <c:strCache>
                <c:ptCount val="1"/>
                <c:pt idx="0">
                  <c:v>Cerradas</c:v>
                </c:pt>
              </c:strCache>
            </c:strRef>
          </c:tx>
          <c:spPr>
            <a:ln w="50800">
              <a:solidFill>
                <a:schemeClr val="accent1"/>
              </a:solidFill>
            </a:ln>
          </c:spPr>
          <c:cat>
            <c:numRef>
              <c:f>HistoricoAvance!$L$4:$L$13</c:f>
              <c:numCache>
                <c:formatCode>m/d/yyyy</c:formatCode>
                <c:ptCount val="10"/>
                <c:pt idx="0">
                  <c:v>40791</c:v>
                </c:pt>
                <c:pt idx="1">
                  <c:v>40796</c:v>
                </c:pt>
                <c:pt idx="2">
                  <c:v>40800</c:v>
                </c:pt>
                <c:pt idx="3">
                  <c:v>40802</c:v>
                </c:pt>
                <c:pt idx="4">
                  <c:v>40830</c:v>
                </c:pt>
                <c:pt idx="5">
                  <c:v>40835</c:v>
                </c:pt>
                <c:pt idx="6">
                  <c:v>40838</c:v>
                </c:pt>
                <c:pt idx="7">
                  <c:v>40840</c:v>
                </c:pt>
                <c:pt idx="8">
                  <c:v>40845</c:v>
                </c:pt>
                <c:pt idx="9">
                  <c:v>40848</c:v>
                </c:pt>
              </c:numCache>
            </c:numRef>
          </c:cat>
          <c:val>
            <c:numRef>
              <c:f>HistoricoAvance!$N$4:$N$13</c:f>
              <c:numCache>
                <c:formatCode>0</c:formatCode>
                <c:ptCount val="10"/>
                <c:pt idx="0">
                  <c:v>0</c:v>
                </c:pt>
                <c:pt idx="1">
                  <c:v>0</c:v>
                </c:pt>
                <c:pt idx="2">
                  <c:v>101</c:v>
                </c:pt>
                <c:pt idx="3">
                  <c:v>120</c:v>
                </c:pt>
                <c:pt idx="4">
                  <c:v>123</c:v>
                </c:pt>
                <c:pt idx="5">
                  <c:v>215</c:v>
                </c:pt>
                <c:pt idx="6">
                  <c:v>215</c:v>
                </c:pt>
                <c:pt idx="7">
                  <c:v>215</c:v>
                </c:pt>
                <c:pt idx="8">
                  <c:v>215</c:v>
                </c:pt>
                <c:pt idx="9">
                  <c:v>333</c:v>
                </c:pt>
              </c:numCache>
            </c:numRef>
          </c:val>
          <c:smooth val="0"/>
        </c:ser>
        <c:ser>
          <c:idx val="2"/>
          <c:order val="2"/>
          <c:tx>
            <c:strRef>
              <c:f>HistoricoAvance!$O$3</c:f>
              <c:strCache>
                <c:ptCount val="1"/>
                <c:pt idx="0">
                  <c:v>Totales</c:v>
                </c:pt>
              </c:strCache>
            </c:strRef>
          </c:tx>
          <c:cat>
            <c:numRef>
              <c:f>HistoricoAvance!$L$4:$L$13</c:f>
              <c:numCache>
                <c:formatCode>m/d/yyyy</c:formatCode>
                <c:ptCount val="10"/>
                <c:pt idx="0">
                  <c:v>40791</c:v>
                </c:pt>
                <c:pt idx="1">
                  <c:v>40796</c:v>
                </c:pt>
                <c:pt idx="2">
                  <c:v>40800</c:v>
                </c:pt>
                <c:pt idx="3">
                  <c:v>40802</c:v>
                </c:pt>
                <c:pt idx="4">
                  <c:v>40830</c:v>
                </c:pt>
                <c:pt idx="5">
                  <c:v>40835</c:v>
                </c:pt>
                <c:pt idx="6">
                  <c:v>40838</c:v>
                </c:pt>
                <c:pt idx="7">
                  <c:v>40840</c:v>
                </c:pt>
                <c:pt idx="8">
                  <c:v>40845</c:v>
                </c:pt>
                <c:pt idx="9">
                  <c:v>40848</c:v>
                </c:pt>
              </c:numCache>
            </c:numRef>
          </c:cat>
          <c:val>
            <c:numRef>
              <c:f>HistoricoAvance!$O$4:$O$13</c:f>
              <c:numCache>
                <c:formatCode>General</c:formatCode>
                <c:ptCount val="10"/>
                <c:pt idx="0">
                  <c:v>55</c:v>
                </c:pt>
                <c:pt idx="1">
                  <c:v>101</c:v>
                </c:pt>
                <c:pt idx="2">
                  <c:v>120</c:v>
                </c:pt>
                <c:pt idx="3">
                  <c:v>123</c:v>
                </c:pt>
                <c:pt idx="4">
                  <c:v>215</c:v>
                </c:pt>
                <c:pt idx="5">
                  <c:v>236</c:v>
                </c:pt>
                <c:pt idx="6">
                  <c:v>278</c:v>
                </c:pt>
                <c:pt idx="7">
                  <c:v>302</c:v>
                </c:pt>
                <c:pt idx="8">
                  <c:v>326</c:v>
                </c:pt>
                <c:pt idx="9">
                  <c:v>369</c:v>
                </c:pt>
              </c:numCache>
            </c:numRef>
          </c:val>
          <c:smooth val="0"/>
        </c:ser>
        <c:dLbls>
          <c:showLegendKey val="0"/>
          <c:showVal val="0"/>
          <c:showCatName val="0"/>
          <c:showSerName val="0"/>
          <c:showPercent val="0"/>
          <c:showBubbleSize val="0"/>
        </c:dLbls>
        <c:marker val="1"/>
        <c:smooth val="0"/>
        <c:axId val="49088768"/>
        <c:axId val="49094656"/>
      </c:lineChart>
      <c:dateAx>
        <c:axId val="49088768"/>
        <c:scaling>
          <c:orientation val="minMax"/>
        </c:scaling>
        <c:delete val="0"/>
        <c:axPos val="b"/>
        <c:numFmt formatCode="m/d/yyyy" sourceLinked="1"/>
        <c:majorTickMark val="out"/>
        <c:minorTickMark val="none"/>
        <c:tickLblPos val="nextTo"/>
        <c:txPr>
          <a:bodyPr/>
          <a:lstStyle/>
          <a:p>
            <a:pPr>
              <a:defRPr lang="es-ES"/>
            </a:pPr>
            <a:endParaRPr lang="es-PE"/>
          </a:p>
        </c:txPr>
        <c:crossAx val="49094656"/>
        <c:crosses val="autoZero"/>
        <c:auto val="1"/>
        <c:lblOffset val="100"/>
        <c:baseTimeUnit val="days"/>
      </c:dateAx>
      <c:valAx>
        <c:axId val="49094656"/>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49088768"/>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0999" l="0.70000000000000062" r="0.70000000000000062" t="0.75000000000000999"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v10.xlsm]CuadrosResumen!Tabla dinámica1</c:name>
    <c:fmtId val="0"/>
  </c:pivotSource>
  <c:chart>
    <c:title>
      <c:tx>
        <c:rich>
          <a:bodyPr/>
          <a:lstStyle/>
          <a:p>
            <a:pPr>
              <a:defRPr lang="es-ES"/>
            </a:pPr>
            <a:r>
              <a:rPr lang="en-US"/>
              <a:t>Distribución</a:t>
            </a:r>
            <a:r>
              <a:rPr lang="en-US" baseline="0"/>
              <a:t> por Severidad</a:t>
            </a:r>
            <a:endParaRPr lang="en-US"/>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CuadrosResumen!$B$71:$B$73</c:f>
              <c:strCache>
                <c:ptCount val="2"/>
                <c:pt idx="0">
                  <c:v>Severidad 3</c:v>
                </c:pt>
                <c:pt idx="1">
                  <c:v>Severidad 4</c:v>
                </c:pt>
              </c:strCache>
            </c:strRef>
          </c:cat>
          <c:val>
            <c:numRef>
              <c:f>CuadrosResumen!$C$71:$C$73</c:f>
              <c:numCache>
                <c:formatCode>General</c:formatCode>
                <c:ptCount val="2"/>
                <c:pt idx="0">
                  <c:v>1</c:v>
                </c:pt>
                <c:pt idx="1">
                  <c:v>1</c:v>
                </c:pt>
              </c:numCache>
            </c:numRef>
          </c:val>
        </c:ser>
        <c:dLbls>
          <c:showLegendKey val="0"/>
          <c:showVal val="0"/>
          <c:showCatName val="0"/>
          <c:showSerName val="0"/>
          <c:showPercent val="0"/>
          <c:showBubbleSize val="0"/>
        </c:dLbls>
        <c:gapWidth val="150"/>
        <c:axId val="49131904"/>
        <c:axId val="49133440"/>
      </c:barChart>
      <c:catAx>
        <c:axId val="49131904"/>
        <c:scaling>
          <c:orientation val="minMax"/>
        </c:scaling>
        <c:delete val="0"/>
        <c:axPos val="b"/>
        <c:majorTickMark val="out"/>
        <c:minorTickMark val="none"/>
        <c:tickLblPos val="nextTo"/>
        <c:txPr>
          <a:bodyPr/>
          <a:lstStyle/>
          <a:p>
            <a:pPr>
              <a:defRPr lang="es-ES"/>
            </a:pPr>
            <a:endParaRPr lang="es-PE"/>
          </a:p>
        </c:txPr>
        <c:crossAx val="49133440"/>
        <c:crosses val="autoZero"/>
        <c:auto val="1"/>
        <c:lblAlgn val="ctr"/>
        <c:lblOffset val="100"/>
        <c:noMultiLvlLbl val="0"/>
      </c:catAx>
      <c:valAx>
        <c:axId val="49133440"/>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49131904"/>
        <c:crosses val="autoZero"/>
        <c:crossBetween val="between"/>
      </c:valAx>
    </c:plotArea>
    <c:plotVisOnly val="1"/>
    <c:dispBlanksAs val="gap"/>
    <c:showDLblsOverMax val="0"/>
  </c:chart>
  <c:printSettings>
    <c:headerFooter/>
    <c:pageMargins b="0.75000000000000966" l="0.70000000000000062" r="0.70000000000000062" t="0.75000000000000966"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v10.xlsm]CuadrosResumen!Tabla dinámica2</c:name>
    <c:fmtId val="0"/>
  </c:pivotSource>
  <c:chart>
    <c:title>
      <c:tx>
        <c:rich>
          <a:bodyPr/>
          <a:lstStyle/>
          <a:p>
            <a:pPr>
              <a:defRPr lang="es-ES"/>
            </a:pPr>
            <a:r>
              <a:rPr lang="en-U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CuadrosResumen!$G$71:$G$72</c:f>
              <c:strCache>
                <c:ptCount val="1"/>
                <c:pt idx="0">
                  <c:v>Alta</c:v>
                </c:pt>
              </c:strCache>
            </c:strRef>
          </c:cat>
          <c:val>
            <c:numRef>
              <c:f>CuadrosResumen!$H$71:$H$72</c:f>
              <c:numCache>
                <c:formatCode>General</c:formatCode>
                <c:ptCount val="1"/>
                <c:pt idx="0">
                  <c:v>2</c:v>
                </c:pt>
              </c:numCache>
            </c:numRef>
          </c:val>
        </c:ser>
        <c:dLbls>
          <c:showLegendKey val="0"/>
          <c:showVal val="0"/>
          <c:showCatName val="0"/>
          <c:showSerName val="0"/>
          <c:showPercent val="0"/>
          <c:showBubbleSize val="0"/>
        </c:dLbls>
        <c:gapWidth val="150"/>
        <c:axId val="49146112"/>
        <c:axId val="49156096"/>
      </c:barChart>
      <c:catAx>
        <c:axId val="49146112"/>
        <c:scaling>
          <c:orientation val="minMax"/>
        </c:scaling>
        <c:delete val="0"/>
        <c:axPos val="b"/>
        <c:majorTickMark val="out"/>
        <c:minorTickMark val="none"/>
        <c:tickLblPos val="nextTo"/>
        <c:txPr>
          <a:bodyPr/>
          <a:lstStyle/>
          <a:p>
            <a:pPr>
              <a:defRPr lang="es-ES"/>
            </a:pPr>
            <a:endParaRPr lang="es-PE"/>
          </a:p>
        </c:txPr>
        <c:crossAx val="49156096"/>
        <c:crosses val="autoZero"/>
        <c:auto val="1"/>
        <c:lblAlgn val="ctr"/>
        <c:lblOffset val="100"/>
        <c:noMultiLvlLbl val="0"/>
      </c:catAx>
      <c:valAx>
        <c:axId val="4915609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49146112"/>
        <c:crosses val="autoZero"/>
        <c:crossBetween val="between"/>
      </c:valAx>
    </c:plotArea>
    <c:plotVisOnly val="1"/>
    <c:dispBlanksAs val="gap"/>
    <c:showDLblsOverMax val="0"/>
  </c:chart>
  <c:printSettings>
    <c:headerFooter/>
    <c:pageMargins b="0.75000000000000966" l="0.70000000000000062" r="0.70000000000000062" t="0.75000000000000966"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v10.xlsm]CuadrosResumen!Tabla dinámica3</c:name>
    <c:fmtId val="0"/>
  </c:pivotSource>
  <c:chart>
    <c:title>
      <c:overlay val="0"/>
      <c:txPr>
        <a:bodyPr/>
        <a:lstStyle/>
        <a:p>
          <a:pPr>
            <a:defRPr lang="es-ES"/>
          </a:pPr>
          <a:endParaRPr lang="es-PE"/>
        </a:p>
      </c:txPr>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CuadrosResumen!$L$71:$L$72</c:f>
              <c:strCache>
                <c:ptCount val="1"/>
                <c:pt idx="0">
                  <c:v>Cerrada</c:v>
                </c:pt>
              </c:strCache>
            </c:strRef>
          </c:cat>
          <c:val>
            <c:numRef>
              <c:f>CuadrosResumen!$M$71:$M$72</c:f>
              <c:numCache>
                <c:formatCode>General</c:formatCode>
                <c:ptCount val="1"/>
                <c:pt idx="0">
                  <c:v>2</c:v>
                </c:pt>
              </c:numCache>
            </c:numRef>
          </c:val>
        </c:ser>
        <c:dLbls>
          <c:showLegendKey val="0"/>
          <c:showVal val="0"/>
          <c:showCatName val="0"/>
          <c:showSerName val="0"/>
          <c:showPercent val="0"/>
          <c:showBubbleSize val="0"/>
        </c:dLbls>
        <c:gapWidth val="150"/>
        <c:axId val="49189248"/>
        <c:axId val="49190784"/>
      </c:barChart>
      <c:catAx>
        <c:axId val="49189248"/>
        <c:scaling>
          <c:orientation val="minMax"/>
        </c:scaling>
        <c:delete val="0"/>
        <c:axPos val="b"/>
        <c:majorTickMark val="out"/>
        <c:minorTickMark val="none"/>
        <c:tickLblPos val="nextTo"/>
        <c:txPr>
          <a:bodyPr/>
          <a:lstStyle/>
          <a:p>
            <a:pPr>
              <a:defRPr lang="es-ES"/>
            </a:pPr>
            <a:endParaRPr lang="es-PE"/>
          </a:p>
        </c:txPr>
        <c:crossAx val="49190784"/>
        <c:crosses val="autoZero"/>
        <c:auto val="1"/>
        <c:lblAlgn val="ctr"/>
        <c:lblOffset val="100"/>
        <c:noMultiLvlLbl val="0"/>
      </c:catAx>
      <c:valAx>
        <c:axId val="49190784"/>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49189248"/>
        <c:crosses val="autoZero"/>
        <c:crossBetween val="between"/>
      </c:valAx>
    </c:plotArea>
    <c:plotVisOnly val="1"/>
    <c:dispBlanksAs val="gap"/>
    <c:showDLblsOverMax val="0"/>
  </c:chart>
  <c:printSettings>
    <c:headerFooter/>
    <c:pageMargins b="0.75000000000000966" l="0.70000000000000062" r="0.70000000000000062" t="0.75000000000000966"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v10.xlsm]CuadrosResumen!Tabla dinámica5</c:name>
    <c:fmtId val="0"/>
  </c:pivotSource>
  <c:chart>
    <c:title>
      <c:tx>
        <c:rich>
          <a:bodyPr/>
          <a:lstStyle/>
          <a:p>
            <a:pPr>
              <a:defRPr lang="es-ES"/>
            </a:pPr>
            <a:r>
              <a:rPr lang="en-US"/>
              <a:t>Distribución por Responsable</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CuadrosResumen!$B$92:$B$93</c:f>
              <c:strCache>
                <c:ptCount val="1"/>
                <c:pt idx="0">
                  <c:v>(en blanco)</c:v>
                </c:pt>
              </c:strCache>
            </c:strRef>
          </c:cat>
          <c:val>
            <c:numRef>
              <c:f>CuadrosResumen!$C$92:$C$93</c:f>
              <c:numCache>
                <c:formatCode>General</c:formatCode>
                <c:ptCount val="1"/>
              </c:numCache>
            </c:numRef>
          </c:val>
        </c:ser>
        <c:dLbls>
          <c:showLegendKey val="0"/>
          <c:showVal val="0"/>
          <c:showCatName val="0"/>
          <c:showSerName val="0"/>
          <c:showPercent val="0"/>
          <c:showBubbleSize val="0"/>
        </c:dLbls>
        <c:gapWidth val="150"/>
        <c:axId val="49215360"/>
        <c:axId val="49216896"/>
      </c:barChart>
      <c:catAx>
        <c:axId val="49215360"/>
        <c:scaling>
          <c:orientation val="minMax"/>
        </c:scaling>
        <c:delete val="0"/>
        <c:axPos val="b"/>
        <c:majorTickMark val="out"/>
        <c:minorTickMark val="none"/>
        <c:tickLblPos val="nextTo"/>
        <c:txPr>
          <a:bodyPr/>
          <a:lstStyle/>
          <a:p>
            <a:pPr>
              <a:defRPr lang="es-ES"/>
            </a:pPr>
            <a:endParaRPr lang="es-PE"/>
          </a:p>
        </c:txPr>
        <c:crossAx val="49216896"/>
        <c:crosses val="autoZero"/>
        <c:auto val="1"/>
        <c:lblAlgn val="ctr"/>
        <c:lblOffset val="100"/>
        <c:noMultiLvlLbl val="0"/>
      </c:catAx>
      <c:valAx>
        <c:axId val="4921689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49215360"/>
        <c:crosses val="autoZero"/>
        <c:crossBetween val="between"/>
      </c:valAx>
    </c:plotArea>
    <c:plotVisOnly val="1"/>
    <c:dispBlanksAs val="gap"/>
    <c:showDLblsOverMax val="0"/>
  </c:chart>
  <c:printSettings>
    <c:headerFooter/>
    <c:pageMargins b="0.75000000000000955" l="0.70000000000000062" r="0.70000000000000062" t="0.7500000000000095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v10.xlsm]CuadrosResumen!Tabla dinámica6</c:name>
    <c:fmtId val="0"/>
  </c:pivotSource>
  <c:chart>
    <c:title>
      <c:tx>
        <c:rich>
          <a:bodyPr/>
          <a:lstStyle/>
          <a:p>
            <a:pPr>
              <a:defRPr lang="es-ES"/>
            </a:pPr>
            <a:r>
              <a:rPr lang="es-E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CuadrosResumen!$G$92:$G$93</c:f>
              <c:strCache>
                <c:ptCount val="1"/>
                <c:pt idx="0">
                  <c:v>#N/A</c:v>
                </c:pt>
              </c:strCache>
            </c:strRef>
          </c:cat>
          <c:val>
            <c:numRef>
              <c:f>CuadrosResumen!$H$92:$H$93</c:f>
              <c:numCache>
                <c:formatCode>General</c:formatCode>
                <c:ptCount val="1"/>
                <c:pt idx="0">
                  <c:v>1</c:v>
                </c:pt>
              </c:numCache>
            </c:numRef>
          </c:val>
        </c:ser>
        <c:dLbls>
          <c:showLegendKey val="0"/>
          <c:showVal val="0"/>
          <c:showCatName val="0"/>
          <c:showSerName val="0"/>
          <c:showPercent val="0"/>
          <c:showBubbleSize val="0"/>
        </c:dLbls>
        <c:gapWidth val="150"/>
        <c:axId val="49336320"/>
        <c:axId val="49337856"/>
      </c:barChart>
      <c:catAx>
        <c:axId val="49336320"/>
        <c:scaling>
          <c:orientation val="minMax"/>
        </c:scaling>
        <c:delete val="0"/>
        <c:axPos val="b"/>
        <c:majorTickMark val="out"/>
        <c:minorTickMark val="none"/>
        <c:tickLblPos val="nextTo"/>
        <c:txPr>
          <a:bodyPr/>
          <a:lstStyle/>
          <a:p>
            <a:pPr>
              <a:defRPr lang="es-ES"/>
            </a:pPr>
            <a:endParaRPr lang="es-PE"/>
          </a:p>
        </c:txPr>
        <c:crossAx val="49337856"/>
        <c:crosses val="autoZero"/>
        <c:auto val="1"/>
        <c:lblAlgn val="ctr"/>
        <c:lblOffset val="100"/>
        <c:noMultiLvlLbl val="0"/>
      </c:catAx>
      <c:valAx>
        <c:axId val="4933785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49336320"/>
        <c:crosses val="autoZero"/>
        <c:crossBetween val="between"/>
      </c:valAx>
    </c:plotArea>
    <c:plotVisOnly val="1"/>
    <c:dispBlanksAs val="gap"/>
    <c:showDLblsOverMax val="0"/>
  </c:chart>
  <c:printSettings>
    <c:headerFooter/>
    <c:pageMargins b="0.75000000000000955" l="0.70000000000000062" r="0.70000000000000062" t="0.7500000000000095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v10.xlsm]CuadrosResumen!Tabla dinámica7</c:name>
    <c:fmtId val="0"/>
  </c:pivotSource>
  <c:chart>
    <c:title>
      <c:tx>
        <c:rich>
          <a:bodyPr/>
          <a:lstStyle/>
          <a:p>
            <a:pPr>
              <a:defRPr lang="es-ES"/>
            </a:pPr>
            <a:r>
              <a:rPr lang="en-US"/>
              <a:t>Distribución</a:t>
            </a:r>
            <a:r>
              <a:rPr lang="en-US" baseline="0"/>
              <a:t> por Estado</a:t>
            </a:r>
          </a:p>
        </c:rich>
      </c:tx>
      <c:overlay val="0"/>
    </c:title>
    <c:autoTitleDeleted val="0"/>
    <c:pivotFmts>
      <c:pivotFmt>
        <c:idx val="0"/>
        <c:marker>
          <c:symbol val="none"/>
        </c:marker>
        <c:dLbl>
          <c:idx val="0"/>
          <c:spPr/>
          <c:txPr>
            <a:bodyPr/>
            <a:lstStyle/>
            <a:p>
              <a:pPr>
                <a:defRPr/>
              </a:pPr>
              <a:endParaRPr lang="es-PE"/>
            </a:p>
          </c:txPr>
          <c:showLegendKey val="0"/>
          <c:showVal val="1"/>
          <c:showCatName val="0"/>
          <c:showSerName val="0"/>
          <c:showPercent val="0"/>
          <c:showBubbleSize val="0"/>
        </c:dLbl>
      </c:pivotFmt>
      <c:pivotFmt>
        <c:idx val="1"/>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CuadrosResumen!$L$92:$L$93</c:f>
              <c:strCache>
                <c:ptCount val="1"/>
                <c:pt idx="0">
                  <c:v>Cerrada</c:v>
                </c:pt>
              </c:strCache>
            </c:strRef>
          </c:cat>
          <c:val>
            <c:numRef>
              <c:f>CuadrosResumen!$M$92:$M$93</c:f>
              <c:numCache>
                <c:formatCode>General</c:formatCode>
                <c:ptCount val="1"/>
                <c:pt idx="0">
                  <c:v>1</c:v>
                </c:pt>
              </c:numCache>
            </c:numRef>
          </c:val>
        </c:ser>
        <c:dLbls>
          <c:showLegendKey val="0"/>
          <c:showVal val="0"/>
          <c:showCatName val="0"/>
          <c:showSerName val="0"/>
          <c:showPercent val="0"/>
          <c:showBubbleSize val="0"/>
        </c:dLbls>
        <c:gapWidth val="150"/>
        <c:axId val="49445120"/>
        <c:axId val="49446912"/>
      </c:barChart>
      <c:catAx>
        <c:axId val="49445120"/>
        <c:scaling>
          <c:orientation val="minMax"/>
        </c:scaling>
        <c:delete val="0"/>
        <c:axPos val="b"/>
        <c:majorTickMark val="out"/>
        <c:minorTickMark val="none"/>
        <c:tickLblPos val="nextTo"/>
        <c:txPr>
          <a:bodyPr/>
          <a:lstStyle/>
          <a:p>
            <a:pPr>
              <a:defRPr lang="es-ES"/>
            </a:pPr>
            <a:endParaRPr lang="es-PE"/>
          </a:p>
        </c:txPr>
        <c:crossAx val="49446912"/>
        <c:crosses val="autoZero"/>
        <c:auto val="1"/>
        <c:lblAlgn val="ctr"/>
        <c:lblOffset val="100"/>
        <c:noMultiLvlLbl val="0"/>
      </c:catAx>
      <c:valAx>
        <c:axId val="49446912"/>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49445120"/>
        <c:crosses val="autoZero"/>
        <c:crossBetween val="between"/>
      </c:valAx>
    </c:plotArea>
    <c:plotVisOnly val="1"/>
    <c:dispBlanksAs val="gap"/>
    <c:showDLblsOverMax val="0"/>
  </c:chart>
  <c:printSettings>
    <c:headerFooter/>
    <c:pageMargins b="0.75000000000000955" l="0.70000000000000062" r="0.70000000000000062" t="0.7500000000000095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355600</xdr:colOff>
      <xdr:row>1</xdr:row>
      <xdr:rowOff>25400</xdr:rowOff>
    </xdr:from>
    <xdr:to>
      <xdr:col>1</xdr:col>
      <xdr:colOff>457200</xdr:colOff>
      <xdr:row>5</xdr:row>
      <xdr:rowOff>135913</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355600" y="101600"/>
          <a:ext cx="850900" cy="694713"/>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190499</xdr:rowOff>
    </xdr:from>
    <xdr:to>
      <xdr:col>8</xdr:col>
      <xdr:colOff>0</xdr:colOff>
      <xdr:row>20</xdr:row>
      <xdr:rowOff>47624</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2</xdr:row>
      <xdr:rowOff>0</xdr:rowOff>
    </xdr:from>
    <xdr:to>
      <xdr:col>15</xdr:col>
      <xdr:colOff>523875</xdr:colOff>
      <xdr:row>20</xdr:row>
      <xdr:rowOff>57150</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23</xdr:row>
      <xdr:rowOff>9525</xdr:rowOff>
    </xdr:from>
    <xdr:to>
      <xdr:col>16</xdr:col>
      <xdr:colOff>0</xdr:colOff>
      <xdr:row>42</xdr:row>
      <xdr:rowOff>9525</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45</xdr:row>
      <xdr:rowOff>0</xdr:rowOff>
    </xdr:from>
    <xdr:to>
      <xdr:col>16</xdr:col>
      <xdr:colOff>0</xdr:colOff>
      <xdr:row>64</xdr:row>
      <xdr:rowOff>0</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69</xdr:row>
      <xdr:rowOff>9524</xdr:rowOff>
    </xdr:from>
    <xdr:to>
      <xdr:col>5</xdr:col>
      <xdr:colOff>0</xdr:colOff>
      <xdr:row>84</xdr:row>
      <xdr:rowOff>190499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0</xdr:colOff>
      <xdr:row>68</xdr:row>
      <xdr:rowOff>190499</xdr:rowOff>
    </xdr:from>
    <xdr:to>
      <xdr:col>10</xdr:col>
      <xdr:colOff>466725</xdr:colOff>
      <xdr:row>84</xdr:row>
      <xdr:rowOff>180974</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0</xdr:colOff>
      <xdr:row>68</xdr:row>
      <xdr:rowOff>190499</xdr:rowOff>
    </xdr:from>
    <xdr:to>
      <xdr:col>15</xdr:col>
      <xdr:colOff>200025</xdr:colOff>
      <xdr:row>84</xdr:row>
      <xdr:rowOff>180974</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89</xdr:row>
      <xdr:rowOff>190499</xdr:rowOff>
    </xdr:from>
    <xdr:to>
      <xdr:col>4</xdr:col>
      <xdr:colOff>752475</xdr:colOff>
      <xdr:row>105</xdr:row>
      <xdr:rowOff>180974</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0</xdr:colOff>
      <xdr:row>89</xdr:row>
      <xdr:rowOff>190499</xdr:rowOff>
    </xdr:from>
    <xdr:to>
      <xdr:col>10</xdr:col>
      <xdr:colOff>447675</xdr:colOff>
      <xdr:row>106</xdr:row>
      <xdr:rowOff>9524</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761999</xdr:colOff>
      <xdr:row>90</xdr:row>
      <xdr:rowOff>0</xdr:rowOff>
    </xdr:from>
    <xdr:to>
      <xdr:col>15</xdr:col>
      <xdr:colOff>180974</xdr:colOff>
      <xdr:row>106</xdr:row>
      <xdr:rowOff>19050</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347381</xdr:colOff>
      <xdr:row>0</xdr:row>
      <xdr:rowOff>0</xdr:rowOff>
    </xdr:from>
    <xdr:to>
      <xdr:col>2</xdr:col>
      <xdr:colOff>1712082</xdr:colOff>
      <xdr:row>2</xdr:row>
      <xdr:rowOff>717176</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557616" y="0"/>
          <a:ext cx="1364701" cy="1098176"/>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104775</xdr:rowOff>
        </xdr:from>
        <xdr:to>
          <xdr:col>5</xdr:col>
          <xdr:colOff>9525</xdr:colOff>
          <xdr:row>0</xdr:row>
          <xdr:rowOff>342900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0" i="0" u="none" strike="noStrike" baseline="0">
                  <a:solidFill>
                    <a:srgbClr val="000000"/>
                  </a:solidFill>
                  <a:latin typeface="Calibri"/>
                  <a:cs typeface="Calibri"/>
                </a:rPr>
                <a:t>Actualizar Observaciones en la Iteración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38100</xdr:rowOff>
        </xdr:from>
        <xdr:to>
          <xdr:col>15</xdr:col>
          <xdr:colOff>0</xdr:colOff>
          <xdr:row>0</xdr:row>
          <xdr:rowOff>276225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1" i="0" u="none" strike="noStrike" baseline="0">
                  <a:solidFill>
                    <a:srgbClr val="000000"/>
                  </a:solidFill>
                  <a:latin typeface="Calibri"/>
                  <a:cs typeface="Calibri"/>
                </a:rPr>
                <a:t>Registrar Nuevo Histórico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er/AppData/Roaming/Microsoft/Excel/ANOCFAP%20Inspecc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Resumen"/>
      <sheetName val="CuadrosResumen"/>
      <sheetName val="Iteracion"/>
      <sheetName val="Observaciones"/>
      <sheetName val="Consultas"/>
      <sheetName val="HistoricoAvance"/>
      <sheetName val="ANOCFAP Inspeccion"/>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oecastillom" refreshedDate="40637.721217708335" createdVersion="3" refreshedVersion="3" minRefreshableVersion="3" recordCount="1">
  <cacheSource type="worksheet">
    <worksheetSource name="Consultas[[#Todo],[Estado]]"/>
  </cacheSource>
  <cacheFields count="1">
    <cacheField name="Estado" numFmtId="0">
      <sharedItems count="2">
        <s v="Cerrada"/>
        <s v="Abierta"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oecastillom" refreshedDate="40637.721217939812" createdVersion="3" refreshedVersion="3" minRefreshableVersion="3" recordCount="1">
  <cacheSource type="worksheet">
    <worksheetSource name="Consultas[[#Todo],[Prioridad]]"/>
  </cacheSource>
  <cacheFields count="1">
    <cacheField name="Prioridad" numFmtId="0">
      <sharedItems containsMixedTypes="1" containsNumber="1" containsInteger="1" minValue="0" maxValue="0" count="2">
        <e v="#N/A"/>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oecastillom" refreshedDate="40637.721218171297" createdVersion="3" refreshedVersion="3" minRefreshableVersion="3" recordCount="1">
  <cacheSource type="worksheet">
    <worksheetSource name="Consultas[[#Todo],[Responsable]]"/>
  </cacheSource>
  <cacheFields count="1">
    <cacheField name="Responsable" numFmtId="0">
      <sharedItems containsNonDate="0" containsBlank="1" count="5">
        <m/>
        <s v="Gestor Cliente" u="1"/>
        <s v="Proveedor" u="1"/>
        <s v="Redes TMP" u="1"/>
        <s v="Gestor Aplicaciones"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oecastillom" refreshedDate="40637.72121851852" createdVersion="3" refreshedVersion="3" minRefreshableVersion="3" recordCount="2">
  <cacheSource type="worksheet">
    <worksheetSource name="Observaciones[[#Todo],[Severidad]]"/>
  </cacheSource>
  <cacheFields count="1">
    <cacheField name="Severidad" numFmtId="0">
      <sharedItems containsBlank="1" count="5">
        <s v="Severidad 4"/>
        <s v="Severidad 3"/>
        <m u="1"/>
        <s v="Severidad 1" u="1"/>
        <s v="Severidad 2"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oecastillom" refreshedDate="40637.721218634259" createdVersion="3" refreshedVersion="3" minRefreshableVersion="3" recordCount="2">
  <cacheSource type="worksheet">
    <worksheetSource name="Observaciones[[#Todo],[Prioridad]]"/>
  </cacheSource>
  <cacheFields count="1">
    <cacheField name="Prioridad" numFmtId="0">
      <sharedItems count="4">
        <s v="Alta"/>
        <s v="Media" u="1"/>
        <s v="Baja" u="1"/>
        <e v="#N/A"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oecastillom" refreshedDate="40637.721218981482" createdVersion="3" refreshedVersion="3" minRefreshableVersion="3" recordCount="2">
  <cacheSource type="worksheet">
    <worksheetSource name="Observaciones[[#Todo],[Estado]]"/>
  </cacheSource>
  <cacheFields count="1">
    <cacheField name="Estado" numFmtId="0">
      <sharedItems containsBlank="1" count="4">
        <s v="Cerrada"/>
        <m u="1"/>
        <s v="Corregida" u="1"/>
        <s v="Abierta"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r>
</pivotCacheRecords>
</file>

<file path=xl/pivotCache/pivotCacheRecords2.xml><?xml version="1.0" encoding="utf-8"?>
<pivotCacheRecords xmlns="http://schemas.openxmlformats.org/spreadsheetml/2006/main" xmlns:r="http://schemas.openxmlformats.org/officeDocument/2006/relationships" count="1">
  <r>
    <x v="0"/>
  </r>
</pivotCacheRecords>
</file>

<file path=xl/pivotCache/pivotCacheRecords3.xml><?xml version="1.0" encoding="utf-8"?>
<pivotCacheRecords xmlns="http://schemas.openxmlformats.org/spreadsheetml/2006/main" xmlns:r="http://schemas.openxmlformats.org/officeDocument/2006/relationships" count="1">
  <r>
    <x v="0"/>
  </r>
</pivotCacheRecords>
</file>

<file path=xl/pivotCache/pivotCacheRecords4.xml><?xml version="1.0" encoding="utf-8"?>
<pivotCacheRecords xmlns="http://schemas.openxmlformats.org/spreadsheetml/2006/main" xmlns:r="http://schemas.openxmlformats.org/officeDocument/2006/relationships" count="2">
  <r>
    <x v="0"/>
  </r>
  <r>
    <x v="1"/>
  </r>
</pivotCacheRecords>
</file>

<file path=xl/pivotCache/pivotCacheRecords5.xml><?xml version="1.0" encoding="utf-8"?>
<pivotCacheRecords xmlns="http://schemas.openxmlformats.org/spreadsheetml/2006/main" xmlns:r="http://schemas.openxmlformats.org/officeDocument/2006/relationships" count="2">
  <r>
    <x v="0"/>
  </r>
  <r>
    <x v="0"/>
  </r>
</pivotCacheRecords>
</file>

<file path=xl/pivotCache/pivotCacheRecords6.xml><?xml version="1.0" encoding="utf-8"?>
<pivotCacheRecords xmlns="http://schemas.openxmlformats.org/spreadsheetml/2006/main" xmlns:r="http://schemas.openxmlformats.org/officeDocument/2006/relationships" count="2">
  <r>
    <x v="0"/>
  </r>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Tabla dinámica2"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70:H72" firstHeaderRow="1" firstDataRow="1" firstDataCol="1"/>
  <pivotFields count="1">
    <pivotField axis="axisRow" dataField="1" showAll="0">
      <items count="5">
        <item x="0"/>
        <item m="1" x="1"/>
        <item m="1" x="2"/>
        <item m="1" x="3"/>
        <item t="default"/>
      </items>
    </pivotField>
  </pivotFields>
  <rowFields count="1">
    <field x="0"/>
  </rowFields>
  <rowItems count="2">
    <i>
      <x/>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Tabla dinámica1"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70:C73" firstHeaderRow="1" firstDataRow="1" firstDataCol="1"/>
  <pivotFields count="1">
    <pivotField axis="axisRow" dataField="1" showAll="0">
      <items count="6">
        <item m="1" x="3"/>
        <item m="1" x="4"/>
        <item x="1"/>
        <item x="0"/>
        <item m="1" x="2"/>
        <item t="default"/>
      </items>
    </pivotField>
  </pivotFields>
  <rowFields count="1">
    <field x="0"/>
  </rowFields>
  <rowItems count="3">
    <i>
      <x v="2"/>
    </i>
    <i>
      <x v="3"/>
    </i>
    <i t="grand">
      <x/>
    </i>
  </rowItems>
  <colItems count="1">
    <i/>
  </colItems>
  <dataFields count="1">
    <dataField name="Cuenta de Seve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Tabla dinámica7"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91:M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Estado" fld="0"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Tabla dinámica3"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70:M72" firstHeaderRow="1" firstDataRow="1" firstDataCol="1"/>
  <pivotFields count="1">
    <pivotField axis="axisRow" dataField="1" showAll="0">
      <items count="5">
        <item m="1" x="1"/>
        <item m="1" x="3"/>
        <item m="1" x="2"/>
        <item x="0"/>
        <item t="default"/>
      </items>
    </pivotField>
  </pivotFields>
  <rowFields count="1">
    <field x="0"/>
  </rowFields>
  <rowItems count="2">
    <i>
      <x v="3"/>
    </i>
    <i t="grand">
      <x/>
    </i>
  </rowItems>
  <colItems count="1">
    <i/>
  </colItems>
  <dataFields count="1">
    <dataField name="Cuenta de Estado"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5.xml><?xml version="1.0" encoding="utf-8"?>
<pivotTableDefinition xmlns="http://schemas.openxmlformats.org/spreadsheetml/2006/main" name="Tabla dinámica6"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91:H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6.xml><?xml version="1.0" encoding="utf-8"?>
<pivotTableDefinition xmlns="http://schemas.openxmlformats.org/spreadsheetml/2006/main" name="Tabla dinámica5"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91:C93" firstHeaderRow="1" firstDataRow="1" firstDataCol="1"/>
  <pivotFields count="1">
    <pivotField axis="axisRow" dataField="1" showAll="0">
      <items count="6">
        <item m="1" x="4"/>
        <item m="1" x="2"/>
        <item m="1" x="3"/>
        <item m="1" x="1"/>
        <item x="0"/>
        <item t="default"/>
      </items>
    </pivotField>
  </pivotFields>
  <rowFields count="1">
    <field x="0"/>
  </rowFields>
  <rowItems count="2">
    <i>
      <x v="4"/>
    </i>
    <i t="grand">
      <x/>
    </i>
  </rowItems>
  <colItems count="1">
    <i/>
  </colItems>
  <dataFields count="1">
    <dataField name="Cuenta de Responsable"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tables/table1.xml><?xml version="1.0" encoding="utf-8"?>
<table xmlns="http://schemas.openxmlformats.org/spreadsheetml/2006/main" id="1" name="CasoPrueba" displayName="CasoPrueba" ref="A4:Q40" totalsRowShown="0" headerRowDxfId="68" dataDxfId="66" headerRowBorderDxfId="67" tableBorderDxfId="65">
  <autoFilter ref="A4:Q40"/>
  <tableColumns count="17">
    <tableColumn id="1" name="Código de REQ" dataDxfId="64"/>
    <tableColumn id="2" name="Código CP" dataDxfId="63"/>
    <tableColumn id="3" name="Funcionalidad" dataDxfId="62"/>
    <tableColumn id="4" name="Descripción Caso de Prueba" dataDxfId="61"/>
    <tableColumn id="5" name="Resultado Esperado" dataDxfId="60"/>
    <tableColumn id="6" name="Resultado Real" dataDxfId="59">
      <calculatedColumnFormula>IF(CasoPrueba[[#This Row],[Estado Testing]]=Resumen!$P$28,"OK",IF(CasoPrueba[[#This Row],[Estado Testing]]=Resumen!$P$29,"NO OK",IF((CasoPrueba[[#This Row],[Estado Testing]]=Resumen!$P$30)+(CasoPrueba[[#This Row],[Estado Testing]]=Resumen!$P$31),"OBSERVADO","")))</calculatedColumnFormula>
    </tableColumn>
    <tableColumn id="7" name="Estado Testing" dataDxfId="58"/>
    <tableColumn id="8" name="Prioridad" dataDxfId="57"/>
    <tableColumn id="9" name="Severidad" dataDxfId="56"/>
    <tableColumn id="10" name="Estado Incidencia" dataDxfId="55"/>
    <tableColumn id="11" name="Reejecución" dataDxfId="54"/>
    <tableColumn id="12" name="Fecha Planificada" dataDxfId="53">
      <calculatedColumnFormula>General!$A$10</calculatedColumnFormula>
    </tableColumn>
    <tableColumn id="13" name="Fecha Real" dataDxfId="52"/>
    <tableColumn id="14" name="Duración Caso de Prueba (horas / hombre)" dataDxfId="51"/>
    <tableColumn id="16" name="Pre-requisitos para la ejecución de la prueba" dataDxfId="50"/>
    <tableColumn id="17" name="Observaciones Pruebas Testing" dataDxfId="49"/>
    <tableColumn id="18" name="Revisión" dataDxfId="48">
      <calculatedColumnFormula>CONCATENATE(General!$B$7," ",General!$B$6)</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Observaciones" displayName="Observaciones" ref="A2:L372" totalsRowShown="0" headerRowDxfId="47" dataDxfId="45" headerRowBorderDxfId="46" tableBorderDxfId="44">
  <autoFilter ref="A2:L372">
    <filterColumn colId="0">
      <filters>
        <filter val="OBS271"/>
        <filter val="OBS337"/>
      </filters>
    </filterColumn>
  </autoFilter>
  <tableColumns count="12">
    <tableColumn id="1" name="Cod. Obs." dataDxfId="43"/>
    <tableColumn id="2" name="Caso de Prueba" dataDxfId="42"/>
    <tableColumn id="3" name="Prioridad" dataDxfId="41">
      <calculatedColumnFormula>VLOOKUP(Observaciones[Caso de Prueba],CasoPrueba[[#All],[Código CP]:[Prioridad]],7,TRUE)</calculatedColumnFormula>
    </tableColumn>
    <tableColumn id="4" name="Severidad" dataDxfId="40"/>
    <tableColumn id="5" name="Estado" dataDxfId="39"/>
    <tableColumn id="6" name="Fecha Detección" dataDxfId="38"/>
    <tableColumn id="7" name="Fecha Levantamiento" dataDxfId="37"/>
    <tableColumn id="8" name="Responsable" dataDxfId="36"/>
    <tableColumn id="9" name="Descripción" dataDxfId="35"/>
    <tableColumn id="10" name="Solución" dataDxfId="34"/>
    <tableColumn id="11" name="Tiempo de Solución (Dias)" dataDxfId="33">
      <calculatedColumnFormula>IF((Observaciones[[#This Row],[Fecha Levantamiento]]-Observaciones[[#This Row],[Fecha Detección]])&gt;=0,Observaciones[[#This Row],[Fecha Levantamiento]]-Observaciones[[#This Row],[Fecha Detección]]+1,0)</calculatedColumnFormula>
    </tableColumn>
    <tableColumn id="13" name="Cod. Req." dataDxfId="32">
      <calculatedColumnFormula>LOOKUP(Observaciones[[#This Row],[Caso de Prueba]],CasoPrueba[Código CP],CasoPrueba[Código de REQ])</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Consultas" displayName="Consultas" ref="A2:J3" totalsRowShown="0" headerRowDxfId="31" dataDxfId="30">
  <autoFilter ref="A2:J3"/>
  <tableColumns count="10">
    <tableColumn id="1" name="Cod. Cons." dataDxfId="29"/>
    <tableColumn id="2" name="Caso de Prueba" dataDxfId="28"/>
    <tableColumn id="3" name="Prioridad" dataDxfId="27">
      <calculatedColumnFormula>VLOOKUP(Consultas[[#This Row],[Caso de Prueba]],CasoPrueba[[#All],[Código CP]:[Prioridad]],7,TRUE)</calculatedColumnFormula>
    </tableColumn>
    <tableColumn id="4" name="Estado" dataDxfId="26"/>
    <tableColumn id="10" name="Responsable" dataDxfId="25"/>
    <tableColumn id="5" name="Fecha Solicitud" dataDxfId="24"/>
    <tableColumn id="6" name="Fecha Respuesta" dataDxfId="23"/>
    <tableColumn id="7" name="Descripción de la Consulta" dataDxfId="22"/>
    <tableColumn id="8" name="Respuesta del Responsable" dataDxfId="21"/>
    <tableColumn id="9" name="Tiempo de Solución" dataDxfId="20">
      <calculatedColumnFormula>IF((Consultas[[#This Row],[Fecha Respuesta]]-Consultas[[#This Row],[Fecha Solicitud]])&gt;=0,(Consultas[[#This Row],[Fecha Respuesta]]-Consultas[[#This Row],[Fecha Solicitud]])+1,0)</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5" name="HistoricoIncidencias" displayName="HistoricoIncidencias" ref="L3:O13" totalsRowShown="0" headerRowDxfId="19" headerRowBorderDxfId="18" tableBorderDxfId="17">
  <tableColumns count="4">
    <tableColumn id="1" name="Fecha" dataDxfId="16"/>
    <tableColumn id="2" name="Abiertas" dataDxfId="15"/>
    <tableColumn id="4" name="Cerradas" dataDxfId="14"/>
    <tableColumn id="5" name="Totales" dataDxfId="13">
      <calculatedColumnFormula>SUM([1]!HistoricoIncidencias[[#This Row],[Abiertas]:[Cerradas]])</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4" name="HistóricoEjecuciones" displayName="HistóricoEjecuciones" ref="B3:J13" totalsRowShown="0" headerRowDxfId="12" dataDxfId="10" headerRowBorderDxfId="11" tableBorderDxfId="9">
  <tableColumns count="9">
    <tableColumn id="1" name="Fecha" dataDxfId="8"/>
    <tableColumn id="2" name="Aciertos" dataDxfId="7"/>
    <tableColumn id="3" name="Fallos" dataDxfId="6"/>
    <tableColumn id="4" name="Bloqueado" dataDxfId="5"/>
    <tableColumn id="7" name="Pendiente" dataDxfId="4"/>
    <tableColumn id="5" name="No Aplica" dataDxfId="3"/>
    <tableColumn id="8" name="En Proceso" dataDxfId="2"/>
    <tableColumn id="9" name="Reejecuciones" dataDxfId="1"/>
    <tableColumn id="6" name="Totales" dataDxfId="0">
      <calculatedColumnFormula>SUM([1]!HistóricoEjecuciones[[#This Row],[Aciertos]:[En Proceso]])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XFB11"/>
  <sheetViews>
    <sheetView workbookViewId="0">
      <selection activeCell="B4" sqref="B4:D4"/>
    </sheetView>
  </sheetViews>
  <sheetFormatPr baseColWidth="10" defaultColWidth="0" defaultRowHeight="15" zeroHeight="1"/>
  <cols>
    <col min="1" max="4" width="39.7109375" style="4" customWidth="1"/>
    <col min="5" max="16381" width="11.42578125" style="4" hidden="1"/>
    <col min="16382" max="16382" width="23" style="4" hidden="1"/>
    <col min="16383" max="16384" width="19.28515625" style="4" hidden="1"/>
  </cols>
  <sheetData>
    <row r="1" spans="1:4 16382:16382" ht="27" thickBot="1">
      <c r="A1" s="173" t="s">
        <v>0</v>
      </c>
      <c r="B1" s="174"/>
      <c r="C1" s="174"/>
      <c r="D1" s="174"/>
      <c r="XFB1" s="4" t="s">
        <v>136</v>
      </c>
    </row>
    <row r="2" spans="1:4 16382:16382" ht="19.5" customHeight="1">
      <c r="A2" s="175" t="s">
        <v>1</v>
      </c>
      <c r="B2" s="175"/>
      <c r="C2" s="175"/>
      <c r="D2" s="175"/>
      <c r="XFB2" s="4" t="s">
        <v>137</v>
      </c>
    </row>
    <row r="3" spans="1:4 16382:16382" ht="19.5" customHeight="1">
      <c r="A3" s="109" t="s">
        <v>140</v>
      </c>
      <c r="B3" s="112" t="s">
        <v>163</v>
      </c>
      <c r="C3" s="109" t="s">
        <v>2</v>
      </c>
      <c r="D3" s="113" t="s">
        <v>139</v>
      </c>
      <c r="XFB3" s="4" t="s">
        <v>138</v>
      </c>
    </row>
    <row r="4" spans="1:4 16382:16382" ht="19.5" customHeight="1">
      <c r="A4" s="110" t="s">
        <v>141</v>
      </c>
      <c r="B4" s="176" t="s">
        <v>169</v>
      </c>
      <c r="C4" s="176"/>
      <c r="D4" s="176"/>
      <c r="XFB4" s="4" t="s">
        <v>139</v>
      </c>
    </row>
    <row r="5" spans="1:4 16382:16382" ht="120" customHeight="1">
      <c r="A5" s="109" t="s">
        <v>3</v>
      </c>
      <c r="B5" s="177" t="s">
        <v>164</v>
      </c>
      <c r="C5" s="178"/>
      <c r="D5" s="179"/>
    </row>
    <row r="6" spans="1:4 16382:16382" ht="19.5" customHeight="1">
      <c r="A6" s="109" t="s">
        <v>149</v>
      </c>
      <c r="B6" s="114" t="s">
        <v>168</v>
      </c>
      <c r="C6" s="109" t="s">
        <v>4</v>
      </c>
      <c r="D6" s="1" t="s">
        <v>166</v>
      </c>
    </row>
    <row r="7" spans="1:4 16382:16382" ht="19.5" customHeight="1">
      <c r="A7" s="109" t="s">
        <v>150</v>
      </c>
      <c r="B7" s="112" t="s">
        <v>165</v>
      </c>
      <c r="C7" s="109" t="s">
        <v>142</v>
      </c>
      <c r="D7" s="2" t="s">
        <v>167</v>
      </c>
    </row>
    <row r="8" spans="1:4 16382:16382" ht="19.5" customHeight="1">
      <c r="A8" s="180" t="s">
        <v>5</v>
      </c>
      <c r="B8" s="180"/>
      <c r="C8" s="180" t="s">
        <v>6</v>
      </c>
      <c r="D8" s="180"/>
    </row>
    <row r="9" spans="1:4 16382:16382" ht="19.5" customHeight="1">
      <c r="A9" s="111" t="s">
        <v>7</v>
      </c>
      <c r="B9" s="111" t="s">
        <v>8</v>
      </c>
      <c r="C9" s="111" t="s">
        <v>7</v>
      </c>
      <c r="D9" s="111" t="s">
        <v>8</v>
      </c>
    </row>
    <row r="10" spans="1:4 16382:16382" ht="19.5" customHeight="1">
      <c r="A10" s="115"/>
      <c r="B10" s="3"/>
      <c r="C10" s="3"/>
      <c r="D10" s="3"/>
    </row>
    <row r="11" spans="1:4 16382:16382" hidden="1"/>
  </sheetData>
  <mergeCells count="6">
    <mergeCell ref="A1:D1"/>
    <mergeCell ref="A2:D2"/>
    <mergeCell ref="B4:D4"/>
    <mergeCell ref="B5:D5"/>
    <mergeCell ref="A8:B8"/>
    <mergeCell ref="C8:D8"/>
  </mergeCells>
  <dataValidations disablePrompts="1" count="1">
    <dataValidation type="list" allowBlank="1" showInputMessage="1" showErrorMessage="1" sqref="D3">
      <formula1>$XFB$1:$XFB$4</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R38"/>
  <sheetViews>
    <sheetView zoomScale="85" zoomScaleNormal="85" workbookViewId="0">
      <pane ySplit="7" topLeftCell="A8" activePane="bottomLeft" state="frozen"/>
      <selection sqref="A1:R1"/>
      <selection pane="bottomLeft" activeCell="D5" sqref="D5"/>
    </sheetView>
  </sheetViews>
  <sheetFormatPr baseColWidth="10" defaultColWidth="0" defaultRowHeight="15" zeroHeight="1"/>
  <cols>
    <col min="1" max="1" width="11.28515625" style="4" customWidth="1"/>
    <col min="2" max="2" width="16.85546875" style="4" customWidth="1"/>
    <col min="3" max="3" width="11.42578125" style="4" customWidth="1"/>
    <col min="4" max="4" width="15.5703125" style="4" bestFit="1" customWidth="1"/>
    <col min="5" max="5" width="7.7109375" style="4" bestFit="1" customWidth="1"/>
    <col min="6" max="6" width="10.5703125" style="4" bestFit="1" customWidth="1"/>
    <col min="7" max="7" width="11" style="4" bestFit="1" customWidth="1"/>
    <col min="8" max="8" width="13.140625" style="4" bestFit="1" customWidth="1"/>
    <col min="9" max="10" width="11.42578125" style="4" customWidth="1"/>
    <col min="11" max="11" width="13.28515625" style="4" customWidth="1"/>
    <col min="12" max="12" width="8.5703125" style="4" customWidth="1"/>
    <col min="13" max="13" width="5.85546875" style="4" customWidth="1"/>
    <col min="14" max="14" width="6.5703125" style="4" customWidth="1"/>
    <col min="15" max="15" width="6.42578125" style="4" customWidth="1"/>
    <col min="16" max="16" width="20" style="4" hidden="1" customWidth="1"/>
    <col min="17" max="17" width="37.7109375" style="4" hidden="1" customWidth="1"/>
    <col min="18" max="18" width="5.85546875" style="4" customWidth="1"/>
    <col min="19" max="16384" width="11.42578125" style="4" hidden="1"/>
  </cols>
  <sheetData>
    <row r="1" spans="1:18" ht="6" customHeight="1">
      <c r="A1" s="74"/>
      <c r="B1" s="74"/>
      <c r="C1" s="74"/>
      <c r="F1" s="74"/>
      <c r="P1" s="74"/>
      <c r="Q1" s="74"/>
      <c r="R1" s="74"/>
    </row>
    <row r="2" spans="1:18">
      <c r="A2" s="74"/>
      <c r="B2" s="74"/>
      <c r="C2" s="133" t="s">
        <v>9</v>
      </c>
      <c r="D2" s="132" t="str">
        <f>General!$B$3</f>
        <v xml:space="preserve">PRY-SSIAEDUCT-03 </v>
      </c>
      <c r="E2" s="74"/>
      <c r="F2" s="133" t="s">
        <v>10</v>
      </c>
      <c r="G2" s="182" t="str">
        <f>General!$B$4</f>
        <v>Arquitectura de Negocios de la Oficina Central de Fe y Alegría Perú – ANOCFAP</v>
      </c>
      <c r="H2" s="182"/>
      <c r="I2" s="182"/>
      <c r="J2" s="182"/>
      <c r="K2" s="182"/>
      <c r="L2" s="182"/>
      <c r="M2" s="182"/>
      <c r="N2" s="182"/>
      <c r="O2" s="182"/>
      <c r="P2" s="74"/>
      <c r="Q2" s="74"/>
      <c r="R2" s="74"/>
    </row>
    <row r="3" spans="1:18" ht="6" customHeight="1">
      <c r="A3" s="74"/>
      <c r="B3" s="74"/>
      <c r="C3" s="134"/>
      <c r="E3" s="74"/>
      <c r="F3" s="134"/>
      <c r="G3" s="74"/>
      <c r="H3" s="74"/>
      <c r="I3" s="74"/>
      <c r="J3" s="74"/>
      <c r="K3" s="74"/>
      <c r="L3" s="74"/>
      <c r="M3" s="74"/>
      <c r="N3" s="74"/>
      <c r="O3" s="74"/>
      <c r="P3" s="74"/>
      <c r="Q3" s="74"/>
      <c r="R3" s="74"/>
    </row>
    <row r="4" spans="1:18" ht="18.75">
      <c r="A4" s="74"/>
      <c r="B4" s="74"/>
      <c r="C4" s="133" t="s">
        <v>11</v>
      </c>
      <c r="D4" s="135">
        <f>$E$14+$I$14</f>
        <v>0.3611111111111111</v>
      </c>
      <c r="E4" s="134"/>
      <c r="F4" s="133" t="s">
        <v>12</v>
      </c>
      <c r="G4" s="183" t="str">
        <f>IF(SUM($C$30:$C$31)&gt;0,P37,IF((SUM($C$30:$C$31)=0)*(SUM($C$32:$C$33)),$P$36,IF($C$34=0,$P$35,$P$35)))</f>
        <v>INSATISFACTORIO</v>
      </c>
      <c r="H4" s="183"/>
      <c r="I4" s="183"/>
      <c r="J4" s="183"/>
      <c r="K4" s="183"/>
      <c r="L4" s="183"/>
      <c r="M4" s="183"/>
      <c r="N4" s="183"/>
      <c r="O4" s="183"/>
      <c r="P4" s="74"/>
      <c r="Q4" s="74"/>
      <c r="R4" s="74"/>
    </row>
    <row r="5" spans="1:18" ht="6" customHeight="1">
      <c r="A5" s="74"/>
      <c r="B5" s="74"/>
      <c r="C5" s="133"/>
      <c r="D5" s="136"/>
      <c r="E5" s="133"/>
      <c r="F5" s="137"/>
      <c r="G5" s="79"/>
      <c r="H5" s="79"/>
      <c r="I5" s="79"/>
      <c r="J5" s="79"/>
      <c r="K5" s="79"/>
      <c r="L5" s="79"/>
      <c r="M5" s="79"/>
      <c r="N5" s="79"/>
      <c r="O5" s="79"/>
      <c r="P5" s="74"/>
      <c r="Q5" s="74"/>
      <c r="R5" s="74"/>
    </row>
    <row r="6" spans="1:18" ht="18.75">
      <c r="A6" s="74"/>
      <c r="B6" s="74"/>
      <c r="C6" s="133" t="s">
        <v>13</v>
      </c>
      <c r="D6" s="135">
        <f>$C$11/$C$10</f>
        <v>0.97222222222222221</v>
      </c>
      <c r="E6" s="134"/>
      <c r="F6" s="134"/>
      <c r="G6" s="74"/>
      <c r="H6" s="74"/>
      <c r="I6" s="74"/>
      <c r="J6" s="74"/>
      <c r="K6" s="74"/>
      <c r="L6" s="74"/>
      <c r="M6" s="74"/>
      <c r="N6" s="74"/>
      <c r="O6" s="74"/>
      <c r="P6" s="74"/>
      <c r="Q6" s="74"/>
      <c r="R6" s="74"/>
    </row>
    <row r="7" spans="1:18" ht="4.5" customHeight="1">
      <c r="A7" s="74"/>
      <c r="B7" s="74"/>
      <c r="C7" s="74"/>
      <c r="E7" s="74"/>
      <c r="F7" s="74"/>
      <c r="G7" s="74"/>
      <c r="H7" s="74"/>
      <c r="I7" s="74"/>
      <c r="J7" s="74"/>
      <c r="K7" s="74"/>
      <c r="L7" s="74"/>
      <c r="M7" s="74"/>
      <c r="N7" s="74"/>
      <c r="O7" s="74"/>
      <c r="P7" s="74"/>
      <c r="Q7" s="74"/>
      <c r="R7" s="74"/>
    </row>
    <row r="8" spans="1:18" ht="23.25">
      <c r="A8" s="75" t="s">
        <v>14</v>
      </c>
      <c r="B8" s="74"/>
      <c r="C8" s="74"/>
      <c r="D8" s="74"/>
      <c r="E8" s="74"/>
      <c r="F8" s="74"/>
      <c r="G8" s="74"/>
      <c r="H8" s="74"/>
      <c r="I8" s="74"/>
      <c r="J8" s="74"/>
      <c r="K8" s="74"/>
      <c r="L8" s="74"/>
      <c r="M8" s="74"/>
      <c r="N8" s="74"/>
      <c r="O8" s="74"/>
      <c r="P8" s="74"/>
      <c r="Q8" s="74"/>
      <c r="R8" s="74"/>
    </row>
    <row r="9" spans="1:18" ht="4.5" customHeight="1" thickBot="1">
      <c r="A9" s="74"/>
      <c r="B9" s="74"/>
      <c r="C9" s="74"/>
      <c r="D9" s="74"/>
      <c r="E9" s="74"/>
      <c r="F9" s="74"/>
      <c r="G9" s="74"/>
      <c r="H9" s="74"/>
      <c r="I9" s="74"/>
      <c r="J9" s="74"/>
      <c r="K9" s="74"/>
      <c r="L9" s="74"/>
      <c r="M9" s="74"/>
      <c r="N9" s="74"/>
      <c r="O9" s="74"/>
      <c r="P9" s="74"/>
      <c r="Q9" s="74"/>
      <c r="R9" s="74"/>
    </row>
    <row r="10" spans="1:18" ht="15.75" thickBot="1">
      <c r="A10" s="74"/>
      <c r="B10" s="131" t="s">
        <v>15</v>
      </c>
      <c r="C10" s="9">
        <f>ROWS(CasoPrueba[])</f>
        <v>36</v>
      </c>
      <c r="D10" s="74"/>
      <c r="E10" s="74"/>
      <c r="F10" s="74"/>
      <c r="G10" s="74"/>
      <c r="H10" s="74"/>
      <c r="I10" s="74"/>
      <c r="J10" s="74"/>
      <c r="K10" s="74"/>
      <c r="L10" s="74"/>
      <c r="M10" s="74"/>
      <c r="N10" s="74"/>
      <c r="O10" s="74"/>
      <c r="P10" s="82" t="s">
        <v>32</v>
      </c>
      <c r="Q10" s="11" t="s">
        <v>3</v>
      </c>
      <c r="R10" s="74"/>
    </row>
    <row r="11" spans="1:18" ht="15.75" thickBot="1">
      <c r="A11" s="74"/>
      <c r="B11" s="131" t="s">
        <v>16</v>
      </c>
      <c r="C11" s="9">
        <f>$C$10-$C$12</f>
        <v>35</v>
      </c>
      <c r="D11" s="74"/>
      <c r="E11" s="74"/>
      <c r="F11" s="74"/>
      <c r="G11" s="74"/>
      <c r="H11" s="74"/>
      <c r="I11" s="74"/>
      <c r="J11" s="74"/>
      <c r="K11" s="74"/>
      <c r="L11" s="74"/>
      <c r="M11" s="74"/>
      <c r="N11" s="74"/>
      <c r="O11" s="74"/>
      <c r="P11" s="83" t="s">
        <v>28</v>
      </c>
      <c r="Q11" s="12" t="s">
        <v>34</v>
      </c>
      <c r="R11" s="74"/>
    </row>
    <row r="12" spans="1:18" ht="30.75" thickBot="1">
      <c r="A12" s="74"/>
      <c r="B12" s="131" t="s">
        <v>18</v>
      </c>
      <c r="C12" s="9">
        <f>COUNTIF(CasoPrueba[[#All],[Estado Testing]],$P$27)</f>
        <v>1</v>
      </c>
      <c r="D12" s="74"/>
      <c r="E12" s="87" t="s">
        <v>19</v>
      </c>
      <c r="F12" s="88" t="s">
        <v>20</v>
      </c>
      <c r="G12" s="141" t="s">
        <v>21</v>
      </c>
      <c r="H12" s="142" t="s">
        <v>22</v>
      </c>
      <c r="I12" s="138" t="s">
        <v>23</v>
      </c>
      <c r="J12" s="139" t="s">
        <v>24</v>
      </c>
      <c r="K12" s="140" t="s">
        <v>131</v>
      </c>
      <c r="L12" s="76"/>
      <c r="M12" s="74"/>
      <c r="N12" s="74"/>
      <c r="O12" s="74"/>
      <c r="P12" s="84" t="s">
        <v>29</v>
      </c>
      <c r="Q12" s="13" t="s">
        <v>36</v>
      </c>
      <c r="R12" s="74"/>
    </row>
    <row r="13" spans="1:18" ht="30.75" thickBot="1">
      <c r="A13" s="74"/>
      <c r="B13" s="131" t="s">
        <v>114</v>
      </c>
      <c r="C13" s="9">
        <f>COUNTIF(CasoPrueba[[#All],[Estado Testing]],$P$29)</f>
        <v>22</v>
      </c>
      <c r="D13" s="74"/>
      <c r="E13" s="5">
        <f>COUNTIF(CasoPrueba[[#All],[Estado Testing]],$P$28)</f>
        <v>13</v>
      </c>
      <c r="F13" s="5">
        <f>COUNTIF(CasoPrueba[[#All],[Estado Testing]],$P$29)</f>
        <v>22</v>
      </c>
      <c r="G13" s="5">
        <f>COUNTIF(CasoPrueba[[#All],[Estado Testing]],$P$30)</f>
        <v>0</v>
      </c>
      <c r="H13" s="5">
        <f>COUNTIF(CasoPrueba[[#All],[Estado Testing]],$P$27)</f>
        <v>1</v>
      </c>
      <c r="I13" s="5">
        <f>COUNTIF(CasoPrueba[[#All],[Estado Testing]],$P$31)</f>
        <v>0</v>
      </c>
      <c r="J13" s="5">
        <f>COUNTIF(CasoPrueba[[#All],[Estado Testing]],$P$32)</f>
        <v>0</v>
      </c>
      <c r="K13" s="5">
        <f>SUM(CasoPrueba[[#All],[Reejecución]])</f>
        <v>0</v>
      </c>
      <c r="L13" s="77"/>
      <c r="M13" s="74"/>
      <c r="N13" s="74"/>
      <c r="O13" s="74"/>
      <c r="P13" s="85" t="s">
        <v>30</v>
      </c>
      <c r="Q13" s="14" t="s">
        <v>38</v>
      </c>
      <c r="R13" s="74"/>
    </row>
    <row r="14" spans="1:18" ht="15.75" thickBot="1">
      <c r="A14" s="74"/>
      <c r="B14" s="131" t="s">
        <v>17</v>
      </c>
      <c r="C14" s="9">
        <f>COUNTIF(CasoPrueba[[#All],[Estado Testing]],$P$30)</f>
        <v>0</v>
      </c>
      <c r="D14" s="74"/>
      <c r="E14" s="15">
        <f t="shared" ref="E14:J14" si="0">E13/$C$10</f>
        <v>0.3611111111111111</v>
      </c>
      <c r="F14" s="15">
        <f t="shared" si="0"/>
        <v>0.61111111111111116</v>
      </c>
      <c r="G14" s="15">
        <f t="shared" si="0"/>
        <v>0</v>
      </c>
      <c r="H14" s="15">
        <f t="shared" si="0"/>
        <v>2.7777777777777776E-2</v>
      </c>
      <c r="I14" s="15">
        <f t="shared" si="0"/>
        <v>0</v>
      </c>
      <c r="J14" s="15">
        <f t="shared" si="0"/>
        <v>0</v>
      </c>
      <c r="K14" s="15">
        <f>K13/C10</f>
        <v>0</v>
      </c>
      <c r="L14" s="78"/>
      <c r="M14" s="74"/>
      <c r="N14" s="74"/>
      <c r="O14" s="74"/>
      <c r="P14" s="86" t="s">
        <v>162</v>
      </c>
      <c r="Q14" s="16" t="s">
        <v>40</v>
      </c>
      <c r="R14" s="74"/>
    </row>
    <row r="15" spans="1:18" ht="9" customHeight="1">
      <c r="A15" s="74"/>
      <c r="B15" s="74"/>
      <c r="C15" s="74"/>
      <c r="D15" s="74"/>
      <c r="E15" s="74"/>
      <c r="F15" s="74"/>
      <c r="G15" s="74"/>
      <c r="H15" s="74"/>
      <c r="I15" s="74"/>
      <c r="J15" s="74"/>
      <c r="K15" s="74"/>
      <c r="L15" s="74"/>
      <c r="M15" s="74"/>
      <c r="N15" s="74"/>
      <c r="O15" s="74"/>
      <c r="P15" s="74"/>
      <c r="Q15" s="74"/>
      <c r="R15" s="74"/>
    </row>
    <row r="16" spans="1:18" ht="15.75" hidden="1" thickBot="1">
      <c r="A16" s="74"/>
      <c r="B16" s="184" t="s">
        <v>25</v>
      </c>
      <c r="C16" s="185" t="s">
        <v>19</v>
      </c>
      <c r="D16" s="185"/>
      <c r="E16" s="186" t="s">
        <v>20</v>
      </c>
      <c r="F16" s="186"/>
      <c r="G16" s="187" t="s">
        <v>21</v>
      </c>
      <c r="H16" s="187"/>
      <c r="I16" s="188" t="s">
        <v>22</v>
      </c>
      <c r="J16" s="189"/>
      <c r="K16" s="192" t="s">
        <v>23</v>
      </c>
      <c r="L16" s="193"/>
      <c r="M16" s="190" t="s">
        <v>24</v>
      </c>
      <c r="N16" s="191"/>
      <c r="O16" s="74"/>
      <c r="P16" s="10" t="s">
        <v>41</v>
      </c>
      <c r="Q16" s="11" t="s">
        <v>42</v>
      </c>
      <c r="R16" s="74"/>
    </row>
    <row r="17" spans="1:18" ht="15.75" hidden="1" thickBot="1">
      <c r="A17" s="74"/>
      <c r="B17" s="184"/>
      <c r="C17" s="56" t="s">
        <v>26</v>
      </c>
      <c r="D17" s="56" t="s">
        <v>27</v>
      </c>
      <c r="E17" s="57" t="s">
        <v>26</v>
      </c>
      <c r="F17" s="57" t="s">
        <v>27</v>
      </c>
      <c r="G17" s="58" t="s">
        <v>26</v>
      </c>
      <c r="H17" s="58" t="s">
        <v>27</v>
      </c>
      <c r="I17" s="59" t="s">
        <v>26</v>
      </c>
      <c r="J17" s="59" t="s">
        <v>27</v>
      </c>
      <c r="K17" s="60" t="s">
        <v>26</v>
      </c>
      <c r="L17" s="60" t="s">
        <v>27</v>
      </c>
      <c r="M17" s="61" t="s">
        <v>26</v>
      </c>
      <c r="N17" s="61" t="s">
        <v>27</v>
      </c>
      <c r="O17" s="74"/>
      <c r="P17" s="17" t="s">
        <v>28</v>
      </c>
      <c r="Q17" s="18" t="s">
        <v>43</v>
      </c>
      <c r="R17" s="74"/>
    </row>
    <row r="18" spans="1:18" ht="15.75" hidden="1" thickBot="1">
      <c r="A18" s="74"/>
      <c r="B18" s="43" t="s">
        <v>28</v>
      </c>
      <c r="C18" s="44">
        <f>COUNTIFS(CasoPrueba[[#All],[Estado Testing]],$P$28,CasoPrueba[[#All],[Prioridad]],$P$17)</f>
        <v>13</v>
      </c>
      <c r="D18" s="45">
        <f>C18/$C$10</f>
        <v>0.3611111111111111</v>
      </c>
      <c r="E18" s="46">
        <f>COUNTIFS(CasoPrueba[[#All],[Estado Testing]],$P$29,CasoPrueba[[#All],[Prioridad]],$P$17)</f>
        <v>22</v>
      </c>
      <c r="F18" s="47">
        <f>E18/$C$10</f>
        <v>0.61111111111111116</v>
      </c>
      <c r="G18" s="48">
        <f>COUNTIFS(CasoPrueba[[#All],[Estado Testing]],$P$30,CasoPrueba[[#All],[Prioridad]],$P$17)</f>
        <v>0</v>
      </c>
      <c r="H18" s="49">
        <f>G18/$C$10</f>
        <v>0</v>
      </c>
      <c r="I18" s="50">
        <f>COUNTIFS(CasoPrueba[[#All],[Estado Testing]],$P$27,CasoPrueba[[#All],[Prioridad]],$P$17)</f>
        <v>1</v>
      </c>
      <c r="J18" s="51">
        <f>I18/$C$10</f>
        <v>2.7777777777777776E-2</v>
      </c>
      <c r="K18" s="52">
        <f>COUNTIFS(CasoPrueba[[#All],[Estado Testing]],$P$31,CasoPrueba[[#All],[Prioridad]],$P$17)</f>
        <v>0</v>
      </c>
      <c r="L18" s="54">
        <f>K18/$C$10</f>
        <v>0</v>
      </c>
      <c r="M18" s="55">
        <f>COUNTIFS(CasoPrueba[[#All],[Estado Testing]],$P$29,CasoPrueba[[#All],[Prioridad]],$P$17)</f>
        <v>22</v>
      </c>
      <c r="N18" s="53">
        <f>M18/$C$10</f>
        <v>0.61111111111111116</v>
      </c>
      <c r="O18" s="74"/>
      <c r="P18" s="19" t="s">
        <v>29</v>
      </c>
      <c r="Q18" s="20" t="s">
        <v>44</v>
      </c>
      <c r="R18" s="74"/>
    </row>
    <row r="19" spans="1:18" ht="15.75" hidden="1" thickBot="1">
      <c r="A19" s="74"/>
      <c r="B19" s="43" t="s">
        <v>29</v>
      </c>
      <c r="C19" s="44">
        <f>COUNTIFS(CasoPrueba[[#All],[Estado Testing]],$P$28,CasoPrueba[[#All],[Prioridad]],$P$18)</f>
        <v>0</v>
      </c>
      <c r="D19" s="45">
        <f t="shared" ref="D19:F20" si="1">C19/$C$10</f>
        <v>0</v>
      </c>
      <c r="E19" s="46">
        <f>COUNTIFS(CasoPrueba[[#All],[Estado Testing]],$P$29,CasoPrueba[[#All],[Prioridad]],$P$18)</f>
        <v>0</v>
      </c>
      <c r="F19" s="47">
        <f t="shared" si="1"/>
        <v>0</v>
      </c>
      <c r="G19" s="48">
        <f>COUNTIFS(CasoPrueba[[#All],[Estado Testing]],$P$30,CasoPrueba[[#All],[Prioridad]],$P$18)</f>
        <v>0</v>
      </c>
      <c r="H19" s="49">
        <f>G19/$C$10</f>
        <v>0</v>
      </c>
      <c r="I19" s="50">
        <f>COUNTIFS(CasoPrueba[[#All],[Estado Testing]],$P$27,CasoPrueba[[#All],[Prioridad]],$P$18)</f>
        <v>0</v>
      </c>
      <c r="J19" s="51">
        <f>I19/$C$10</f>
        <v>0</v>
      </c>
      <c r="K19" s="52">
        <f>COUNTIFS(CasoPrueba[[#All],[Estado Testing]],$P$31,CasoPrueba[[#All],[Prioridad]],$P$18)</f>
        <v>0</v>
      </c>
      <c r="L19" s="54">
        <f>K19/$C$10</f>
        <v>0</v>
      </c>
      <c r="M19" s="55">
        <f>COUNTIFS(CasoPrueba[[#All],[Estado Testing]],$P$29,CasoPrueba[[#All],[Prioridad]],$P$18)</f>
        <v>0</v>
      </c>
      <c r="N19" s="53">
        <f>M19/$C$10</f>
        <v>0</v>
      </c>
      <c r="O19" s="74"/>
      <c r="P19" s="21" t="s">
        <v>30</v>
      </c>
      <c r="Q19" s="20" t="s">
        <v>45</v>
      </c>
      <c r="R19" s="74"/>
    </row>
    <row r="20" spans="1:18" ht="15.75" hidden="1" thickBot="1">
      <c r="A20" s="74"/>
      <c r="B20" s="43" t="s">
        <v>30</v>
      </c>
      <c r="C20" s="44">
        <f>COUNTIFS(CasoPrueba[[#All],[Estado Testing]],$P$28,CasoPrueba[[#All],[Prioridad]],$P$19)</f>
        <v>0</v>
      </c>
      <c r="D20" s="45">
        <f t="shared" si="1"/>
        <v>0</v>
      </c>
      <c r="E20" s="46">
        <f>COUNTIFS(CasoPrueba[[#All],[Estado Testing]],$P$29,CasoPrueba[[#All],[Prioridad]],$P$19)</f>
        <v>0</v>
      </c>
      <c r="F20" s="47">
        <f t="shared" si="1"/>
        <v>0</v>
      </c>
      <c r="G20" s="48">
        <f>COUNTIFS(CasoPrueba[[#All],[Estado Testing]],$P$30,CasoPrueba[[#All],[Prioridad]],$P$19)</f>
        <v>0</v>
      </c>
      <c r="H20" s="49">
        <f>G20/$C$10</f>
        <v>0</v>
      </c>
      <c r="I20" s="50">
        <f>COUNTIFS(CasoPrueba[[#All],[Estado Testing]],$P$27,CasoPrueba[[#All],[Prioridad]],$P$19)</f>
        <v>0</v>
      </c>
      <c r="J20" s="51">
        <f>I20/$C$10</f>
        <v>0</v>
      </c>
      <c r="K20" s="52">
        <f>COUNTIFS(CasoPrueba[[#All],[Estado Testing]],$P$31,CasoPrueba[[#All],[Prioridad]],$P$19)</f>
        <v>0</v>
      </c>
      <c r="L20" s="54">
        <f>K20/$C$10</f>
        <v>0</v>
      </c>
      <c r="M20" s="55">
        <f>COUNTIFS(CasoPrueba[[#All],[Estado Testing]],$P$29,CasoPrueba[[#All],[Prioridad]],$P$19)</f>
        <v>0</v>
      </c>
      <c r="N20" s="53">
        <f>M20/$C$10</f>
        <v>0</v>
      </c>
      <c r="O20" s="74"/>
      <c r="P20" s="74"/>
      <c r="Q20" s="74"/>
      <c r="R20" s="74"/>
    </row>
    <row r="21" spans="1:18" ht="15.75" hidden="1" thickBot="1">
      <c r="A21" s="74"/>
      <c r="B21" s="62" t="s">
        <v>31</v>
      </c>
      <c r="C21" s="62">
        <f>SUM(C18:C20)</f>
        <v>13</v>
      </c>
      <c r="D21" s="63">
        <f t="shared" ref="D21:N21" si="2">SUM(D18:D20)</f>
        <v>0.3611111111111111</v>
      </c>
      <c r="E21" s="62">
        <f t="shared" si="2"/>
        <v>22</v>
      </c>
      <c r="F21" s="63">
        <f t="shared" si="2"/>
        <v>0.61111111111111116</v>
      </c>
      <c r="G21" s="62">
        <f t="shared" si="2"/>
        <v>0</v>
      </c>
      <c r="H21" s="63">
        <f t="shared" si="2"/>
        <v>0</v>
      </c>
      <c r="I21" s="62">
        <f t="shared" si="2"/>
        <v>1</v>
      </c>
      <c r="J21" s="63">
        <f t="shared" si="2"/>
        <v>2.7777777777777776E-2</v>
      </c>
      <c r="K21" s="62">
        <f>SUM(K18:K20)</f>
        <v>0</v>
      </c>
      <c r="L21" s="63">
        <f>SUM(L18:L20)</f>
        <v>0</v>
      </c>
      <c r="M21" s="62">
        <f t="shared" si="2"/>
        <v>22</v>
      </c>
      <c r="N21" s="63">
        <f t="shared" si="2"/>
        <v>0.61111111111111116</v>
      </c>
      <c r="O21" s="74"/>
      <c r="P21" s="10" t="s">
        <v>46</v>
      </c>
      <c r="Q21" s="11" t="s">
        <v>3</v>
      </c>
      <c r="R21" s="74"/>
    </row>
    <row r="22" spans="1:18" ht="15.75" hidden="1" thickBot="1">
      <c r="A22" s="74"/>
      <c r="B22" s="74"/>
      <c r="C22" s="74"/>
      <c r="D22" s="74"/>
      <c r="E22" s="74"/>
      <c r="F22" s="74"/>
      <c r="G22" s="74"/>
      <c r="H22" s="74"/>
      <c r="I22" s="74"/>
      <c r="J22" s="74"/>
      <c r="K22" s="74"/>
      <c r="L22" s="74"/>
      <c r="M22" s="74"/>
      <c r="N22" s="74"/>
      <c r="O22" s="74"/>
      <c r="P22" s="17" t="s">
        <v>47</v>
      </c>
      <c r="Q22" s="24" t="s">
        <v>51</v>
      </c>
      <c r="R22" s="74"/>
    </row>
    <row r="23" spans="1:18" ht="30.75" hidden="1" thickBot="1">
      <c r="A23" s="74"/>
      <c r="B23" s="74"/>
      <c r="C23" s="74"/>
      <c r="D23" s="74"/>
      <c r="E23" s="74"/>
      <c r="F23" s="74"/>
      <c r="G23" s="74"/>
      <c r="H23" s="74"/>
      <c r="I23" s="74"/>
      <c r="J23" s="74"/>
      <c r="K23" s="74"/>
      <c r="L23" s="74"/>
      <c r="M23" s="74"/>
      <c r="N23" s="74"/>
      <c r="O23" s="74"/>
      <c r="P23" s="22" t="s">
        <v>48</v>
      </c>
      <c r="Q23" s="25" t="s">
        <v>50</v>
      </c>
      <c r="R23" s="74"/>
    </row>
    <row r="24" spans="1:18" ht="15.75" hidden="1" thickBot="1">
      <c r="A24" s="74"/>
      <c r="B24" s="74"/>
      <c r="C24" s="74"/>
      <c r="D24" s="74"/>
      <c r="E24" s="74"/>
      <c r="F24" s="74"/>
      <c r="G24" s="74"/>
      <c r="H24" s="74"/>
      <c r="I24" s="74"/>
      <c r="J24" s="74"/>
      <c r="K24" s="74"/>
      <c r="L24" s="74"/>
      <c r="M24" s="74"/>
      <c r="N24" s="74"/>
      <c r="O24" s="74"/>
      <c r="P24" s="23" t="s">
        <v>49</v>
      </c>
      <c r="Q24" s="25" t="s">
        <v>52</v>
      </c>
      <c r="R24" s="74"/>
    </row>
    <row r="25" spans="1:18" ht="9" hidden="1" customHeight="1" thickBot="1">
      <c r="A25" s="74"/>
      <c r="B25" s="74"/>
      <c r="C25" s="74"/>
      <c r="D25" s="74"/>
      <c r="E25" s="74"/>
      <c r="F25" s="74"/>
      <c r="G25" s="74"/>
      <c r="H25" s="74"/>
      <c r="I25" s="74"/>
      <c r="J25" s="74"/>
      <c r="K25" s="74"/>
      <c r="L25" s="74"/>
      <c r="M25" s="74"/>
      <c r="N25" s="74"/>
      <c r="O25" s="74"/>
      <c r="P25" s="74"/>
      <c r="Q25" s="74"/>
      <c r="R25" s="74"/>
    </row>
    <row r="26" spans="1:18" ht="24" hidden="1" thickBot="1">
      <c r="A26" s="118" t="s">
        <v>68</v>
      </c>
      <c r="B26" s="119"/>
      <c r="C26" s="119"/>
      <c r="D26" s="119"/>
      <c r="E26" s="119"/>
      <c r="F26" s="119"/>
      <c r="G26" s="119"/>
      <c r="H26" s="119"/>
      <c r="I26" s="119"/>
      <c r="J26" s="119"/>
      <c r="K26" s="119"/>
      <c r="L26" s="119"/>
      <c r="M26" s="74"/>
      <c r="N26" s="74"/>
      <c r="O26" s="74"/>
      <c r="P26" s="6" t="s">
        <v>53</v>
      </c>
      <c r="Q26" s="7" t="s">
        <v>54</v>
      </c>
      <c r="R26" s="74"/>
    </row>
    <row r="27" spans="1:18" ht="18" hidden="1" customHeight="1" thickBot="1">
      <c r="A27" s="119"/>
      <c r="B27" s="119"/>
      <c r="C27" s="119"/>
      <c r="D27" s="119"/>
      <c r="E27" s="119"/>
      <c r="F27" s="119"/>
      <c r="G27" s="119"/>
      <c r="H27" s="119"/>
      <c r="I27" s="119"/>
      <c r="J27" s="119"/>
      <c r="K27" s="119"/>
      <c r="L27" s="119"/>
      <c r="M27" s="74"/>
      <c r="N27" s="74"/>
      <c r="O27" s="74"/>
      <c r="P27" s="108" t="s">
        <v>22</v>
      </c>
      <c r="Q27" s="8" t="s">
        <v>66</v>
      </c>
      <c r="R27" s="74"/>
    </row>
    <row r="28" spans="1:18" ht="30.75" hidden="1" customHeight="1" thickBot="1">
      <c r="A28" s="119"/>
      <c r="B28" s="181" t="s">
        <v>69</v>
      </c>
      <c r="C28" s="181" t="s">
        <v>70</v>
      </c>
      <c r="D28" s="181"/>
      <c r="E28" s="181" t="s">
        <v>71</v>
      </c>
      <c r="F28" s="181"/>
      <c r="G28" s="119"/>
      <c r="H28" s="119"/>
      <c r="I28" s="119"/>
      <c r="J28" s="119"/>
      <c r="K28" s="119"/>
      <c r="L28" s="119"/>
      <c r="M28" s="74"/>
      <c r="N28" s="74"/>
      <c r="O28" s="74"/>
      <c r="P28" s="103" t="s">
        <v>19</v>
      </c>
      <c r="Q28" s="14" t="s">
        <v>55</v>
      </c>
      <c r="R28" s="74"/>
    </row>
    <row r="29" spans="1:18" ht="15.75" hidden="1" thickBot="1">
      <c r="A29" s="119"/>
      <c r="B29" s="181"/>
      <c r="C29" s="120" t="s">
        <v>26</v>
      </c>
      <c r="D29" s="120" t="s">
        <v>27</v>
      </c>
      <c r="E29" s="120" t="s">
        <v>26</v>
      </c>
      <c r="F29" s="120" t="s">
        <v>27</v>
      </c>
      <c r="G29" s="119"/>
      <c r="H29" s="121" t="s">
        <v>41</v>
      </c>
      <c r="I29" s="121" t="s">
        <v>28</v>
      </c>
      <c r="J29" s="121" t="s">
        <v>29</v>
      </c>
      <c r="K29" s="121" t="s">
        <v>30</v>
      </c>
      <c r="L29" s="116"/>
      <c r="M29" s="80"/>
      <c r="N29" s="74"/>
      <c r="O29" s="74"/>
      <c r="P29" s="104" t="s">
        <v>20</v>
      </c>
      <c r="Q29" s="14" t="s">
        <v>56</v>
      </c>
      <c r="R29" s="74"/>
    </row>
    <row r="30" spans="1:18" ht="33" hidden="1" customHeight="1" thickBot="1">
      <c r="A30" s="119"/>
      <c r="B30" s="122" t="s">
        <v>33</v>
      </c>
      <c r="C30" s="123">
        <f>COUNTIFS(Observaciones[[#All],[Estado]],Resumen!$P$22,Observaciones[[#All],[Severidad]],Resumen!$P$11)+COUNTIFS(Observaciones[[#All],[Estado]],$P$23,Observaciones[[#All],[Severidad]],Resumen!$P$11)</f>
        <v>27</v>
      </c>
      <c r="D30" s="124">
        <f>C30/$C$10</f>
        <v>0.75</v>
      </c>
      <c r="E30" s="125">
        <f>COUNTIFS(Observaciones[[#All],[Estado]],Resumen!$P$24,Observaciones[[#All],[Severidad]],Resumen!$P$11)</f>
        <v>56</v>
      </c>
      <c r="F30" s="124">
        <f>E30/$C$10</f>
        <v>1.5555555555555556</v>
      </c>
      <c r="G30" s="119"/>
      <c r="H30" s="122" t="s">
        <v>33</v>
      </c>
      <c r="I30" s="126">
        <f>COUNTIFS(Observaciones[[#All],[Severidad]],Resumen!$P$11,Observaciones[[#All],[Prioridad]],Resumen!$P$17)</f>
        <v>83</v>
      </c>
      <c r="J30" s="126">
        <f>COUNTIFS(Observaciones[[#All],[Severidad]],Resumen!$P$11,Observaciones[[#All],[Prioridad]],Resumen!$P$18)</f>
        <v>0</v>
      </c>
      <c r="K30" s="126">
        <f>COUNTIFS(Observaciones[[#All],[Severidad]],Resumen!$P$11,Observaciones[[#All],[Prioridad]],Resumen!$P$19)</f>
        <v>0</v>
      </c>
      <c r="L30" s="117"/>
      <c r="M30" s="81"/>
      <c r="N30" s="74"/>
      <c r="O30" s="74"/>
      <c r="P30" s="105" t="s">
        <v>21</v>
      </c>
      <c r="Q30" s="14" t="s">
        <v>57</v>
      </c>
      <c r="R30" s="74"/>
    </row>
    <row r="31" spans="1:18" ht="33" hidden="1" customHeight="1" thickBot="1">
      <c r="A31" s="119"/>
      <c r="B31" s="122" t="s">
        <v>35</v>
      </c>
      <c r="C31" s="123">
        <f>COUNTIFS(Observaciones[[#All],[Estado]],Resumen!$P$22,Observaciones[[#All],[Severidad]],Resumen!$P$12)+COUNTIFS(Observaciones[[#All],[Estado]],$P$23,Observaciones[[#All],[Severidad]],Resumen!$P$12)</f>
        <v>0</v>
      </c>
      <c r="D31" s="124">
        <f>C31/$C$10</f>
        <v>0</v>
      </c>
      <c r="E31" s="125">
        <f>COUNTIFS(Observaciones[[#All],[Estado]],Resumen!$P$24,Observaciones[[#All],[Severidad]],Resumen!$P$12)</f>
        <v>117</v>
      </c>
      <c r="F31" s="124">
        <f>E31/$C$10</f>
        <v>3.25</v>
      </c>
      <c r="G31" s="119"/>
      <c r="H31" s="122" t="s">
        <v>35</v>
      </c>
      <c r="I31" s="126">
        <f>COUNTIFS(Observaciones[[#All],[Severidad]],Resumen!$P$12,Observaciones[[#All],[Prioridad]],Resumen!$P$17)</f>
        <v>117</v>
      </c>
      <c r="J31" s="126">
        <f>COUNTIFS(Observaciones[[#All],[Severidad]],Resumen!$P$12,Observaciones[[#All],[Prioridad]],Resumen!$P$18)</f>
        <v>0</v>
      </c>
      <c r="K31" s="126">
        <f>COUNTIFS(Observaciones[[#All],[Severidad]],Resumen!$P$12,Observaciones[[#All],[Prioridad]],Resumen!$P$19)</f>
        <v>0</v>
      </c>
      <c r="L31" s="117"/>
      <c r="M31" s="81"/>
      <c r="N31" s="74"/>
      <c r="O31" s="74"/>
      <c r="P31" s="106" t="s">
        <v>23</v>
      </c>
      <c r="Q31" s="14" t="s">
        <v>58</v>
      </c>
      <c r="R31" s="74"/>
    </row>
    <row r="32" spans="1:18" ht="33" hidden="1" customHeight="1" thickBot="1">
      <c r="A32" s="119"/>
      <c r="B32" s="122" t="s">
        <v>37</v>
      </c>
      <c r="C32" s="127">
        <f>COUNTIFS(Observaciones[[#All],[Estado]],Resumen!$P$22,Observaciones[[#All],[Severidad]],Resumen!$P$13)+COUNTIFS(Observaciones[[#All],[Estado]],$P$23,Observaciones[[#All],[Severidad]],Resumen!$P$13)</f>
        <v>5</v>
      </c>
      <c r="D32" s="124">
        <f>C32/$C$10</f>
        <v>0.1388888888888889</v>
      </c>
      <c r="E32" s="125">
        <f>COUNTIFS(Observaciones[[#All],[Estado]],Resumen!$P$24,Observaciones[[#All],[Severidad]],Resumen!$P$13)</f>
        <v>72</v>
      </c>
      <c r="F32" s="124">
        <f>E32/$C$10</f>
        <v>2</v>
      </c>
      <c r="G32" s="119"/>
      <c r="H32" s="122" t="s">
        <v>37</v>
      </c>
      <c r="I32" s="126">
        <f>COUNTIFS(Observaciones[[#All],[Severidad]],Resumen!$P$13,Observaciones[[#All],[Prioridad]],Resumen!$P$17)</f>
        <v>77</v>
      </c>
      <c r="J32" s="126">
        <f>COUNTIFS(Observaciones[[#All],[Severidad]],Resumen!$P$13,Observaciones[[#All],[Prioridad]],Resumen!$P$18)</f>
        <v>0</v>
      </c>
      <c r="K32" s="126">
        <f>COUNTIFS(Observaciones[[#All],[Severidad]],Resumen!$P$13,Observaciones[[#All],[Prioridad]],Resumen!$P$19)</f>
        <v>0</v>
      </c>
      <c r="L32" s="117"/>
      <c r="M32" s="81"/>
      <c r="N32" s="74"/>
      <c r="O32" s="74"/>
      <c r="P32" s="107" t="s">
        <v>24</v>
      </c>
      <c r="Q32" s="14" t="s">
        <v>67</v>
      </c>
    </row>
    <row r="33" spans="1:18" ht="15.75" hidden="1" thickBot="1">
      <c r="A33" s="119"/>
      <c r="B33" s="122" t="s">
        <v>39</v>
      </c>
      <c r="C33" s="127">
        <f>COUNTIFS(Observaciones[[#All],[Estado]],Resumen!$P$22,Observaciones[[#All],[Severidad]],Resumen!$P$14)+COUNTIFS(Observaciones[[#All],[Estado]],$P$23,Observaciones[[#All],[Severidad]],Resumen!$P$14)</f>
        <v>4</v>
      </c>
      <c r="D33" s="124">
        <f>C33/$C$10</f>
        <v>0.1111111111111111</v>
      </c>
      <c r="E33" s="125">
        <f>COUNTIFS(Observaciones[[#All],[Estado]],Resumen!$P$24,Observaciones[[#All],[Severidad]],Resumen!$P$14)</f>
        <v>88</v>
      </c>
      <c r="F33" s="124">
        <f>E33/$C$10</f>
        <v>2.4444444444444446</v>
      </c>
      <c r="G33" s="119"/>
      <c r="H33" s="122" t="s">
        <v>39</v>
      </c>
      <c r="I33" s="126">
        <f>COUNTIFS(Observaciones[[#All],[Severidad]],Resumen!$P$14,Observaciones[[#All],[Prioridad]],Resumen!$P$17)</f>
        <v>92</v>
      </c>
      <c r="J33" s="126">
        <f>COUNTIFS(Observaciones[[#All],[Severidad]],Resumen!$P$14,Observaciones[[#All],[Prioridad]],Resumen!$P$18)</f>
        <v>0</v>
      </c>
      <c r="K33" s="126">
        <f>COUNTIFS(Observaciones[[#All],[Severidad]],Resumen!$P$14,Observaciones[[#All],[Prioridad]],Resumen!$P$19)</f>
        <v>0</v>
      </c>
      <c r="L33" s="117"/>
      <c r="M33" s="81"/>
      <c r="N33" s="74"/>
      <c r="O33" s="74"/>
      <c r="P33" s="74"/>
      <c r="Q33" s="74"/>
      <c r="R33" s="74"/>
    </row>
    <row r="34" spans="1:18" ht="15.75" hidden="1" thickBot="1">
      <c r="A34" s="119"/>
      <c r="B34" s="122" t="s">
        <v>72</v>
      </c>
      <c r="C34" s="128">
        <f>SUM(C30:C33)</f>
        <v>36</v>
      </c>
      <c r="D34" s="129">
        <f>SUM(D30:D33)</f>
        <v>1</v>
      </c>
      <c r="E34" s="128">
        <f>SUM(E30:E33)</f>
        <v>333</v>
      </c>
      <c r="F34" s="129">
        <f>SUM(F30:F33)</f>
        <v>9.25</v>
      </c>
      <c r="G34" s="119"/>
      <c r="H34" s="122" t="s">
        <v>72</v>
      </c>
      <c r="I34" s="130">
        <f>SUM(I30:I33)</f>
        <v>369</v>
      </c>
      <c r="J34" s="130">
        <f>SUM(J30:J33)</f>
        <v>0</v>
      </c>
      <c r="K34" s="130">
        <f>SUM(K30:K33)</f>
        <v>0</v>
      </c>
      <c r="L34" s="117"/>
      <c r="M34" s="81"/>
      <c r="N34" s="74"/>
      <c r="O34" s="74"/>
      <c r="P34" s="10" t="s">
        <v>59</v>
      </c>
      <c r="Q34" s="11" t="s">
        <v>3</v>
      </c>
      <c r="R34" s="74"/>
    </row>
    <row r="35" spans="1:18" ht="33" hidden="1" customHeight="1" thickBot="1">
      <c r="A35" s="119"/>
      <c r="B35" s="119"/>
      <c r="C35" s="119"/>
      <c r="D35" s="119"/>
      <c r="E35" s="119"/>
      <c r="F35" s="119"/>
      <c r="G35" s="119"/>
      <c r="H35" s="119"/>
      <c r="I35" s="119"/>
      <c r="J35" s="119"/>
      <c r="K35" s="119"/>
      <c r="L35" s="119"/>
      <c r="M35" s="74"/>
      <c r="N35" s="74"/>
      <c r="O35" s="74"/>
      <c r="P35" s="26" t="s">
        <v>60</v>
      </c>
      <c r="Q35" s="27" t="s">
        <v>61</v>
      </c>
      <c r="R35" s="74"/>
    </row>
    <row r="36" spans="1:18" ht="33" hidden="1" customHeight="1" thickBot="1">
      <c r="A36" s="74"/>
      <c r="B36" s="74"/>
      <c r="C36" s="74"/>
      <c r="D36" s="74"/>
      <c r="E36" s="74"/>
      <c r="F36" s="74"/>
      <c r="G36" s="74"/>
      <c r="H36" s="74"/>
      <c r="I36" s="74"/>
      <c r="J36" s="74"/>
      <c r="K36" s="74"/>
      <c r="L36" s="74"/>
      <c r="M36" s="74"/>
      <c r="N36" s="74"/>
      <c r="O36" s="74"/>
      <c r="P36" s="28" t="s">
        <v>62</v>
      </c>
      <c r="Q36" s="29" t="s">
        <v>63</v>
      </c>
      <c r="R36" s="74"/>
    </row>
    <row r="37" spans="1:18" ht="33" hidden="1" customHeight="1" thickBot="1">
      <c r="A37" s="74"/>
      <c r="B37" s="74"/>
      <c r="C37" s="74"/>
      <c r="D37" s="74"/>
      <c r="E37" s="74"/>
      <c r="F37" s="74"/>
      <c r="G37" s="74"/>
      <c r="H37" s="74"/>
      <c r="I37" s="74"/>
      <c r="J37" s="74"/>
      <c r="K37" s="74"/>
      <c r="L37" s="74"/>
      <c r="M37" s="74"/>
      <c r="N37" s="74"/>
      <c r="O37" s="74"/>
      <c r="P37" s="30" t="s">
        <v>64</v>
      </c>
      <c r="Q37" s="29" t="s">
        <v>65</v>
      </c>
      <c r="R37" s="74"/>
    </row>
    <row r="38" spans="1:18" hidden="1">
      <c r="A38" s="74"/>
      <c r="B38" s="74"/>
      <c r="C38" s="74"/>
      <c r="D38" s="74"/>
      <c r="E38" s="74"/>
      <c r="F38" s="74"/>
      <c r="G38" s="74"/>
      <c r="H38" s="74"/>
      <c r="I38" s="74"/>
      <c r="J38" s="74"/>
      <c r="K38" s="74"/>
      <c r="L38" s="74"/>
      <c r="M38" s="74"/>
      <c r="N38" s="74"/>
      <c r="O38" s="74"/>
      <c r="P38" s="74"/>
      <c r="Q38" s="74"/>
      <c r="R38" s="74"/>
    </row>
  </sheetData>
  <mergeCells count="12">
    <mergeCell ref="B28:B29"/>
    <mergeCell ref="C28:D28"/>
    <mergeCell ref="E28:F28"/>
    <mergeCell ref="G2:O2"/>
    <mergeCell ref="G4:O4"/>
    <mergeCell ref="B16:B17"/>
    <mergeCell ref="C16:D16"/>
    <mergeCell ref="E16:F16"/>
    <mergeCell ref="G16:H16"/>
    <mergeCell ref="I16:J16"/>
    <mergeCell ref="M16:N16"/>
    <mergeCell ref="K16:L16"/>
  </mergeCells>
  <conditionalFormatting sqref="G4:O4">
    <cfRule type="expression" dxfId="71" priority="1" stopIfTrue="1">
      <formula>NOT(ISERROR(SEARCH("INSATISFACTORIO",G4)))</formula>
    </cfRule>
    <cfRule type="expression" dxfId="70" priority="2" stopIfTrue="1">
      <formula>NOT(ISERROR(SEARCH("SATISFACTORIO con Observaciones",G4)))</formula>
    </cfRule>
    <cfRule type="expression" dxfId="69" priority="3" stopIfTrue="1">
      <formula>NOT(ISERROR(SEARCH("SATISFACTORIO",G4)))</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R93"/>
  <sheetViews>
    <sheetView topLeftCell="B88" workbookViewId="0">
      <selection activeCell="F108" sqref="F108"/>
    </sheetView>
  </sheetViews>
  <sheetFormatPr baseColWidth="10" defaultRowHeight="15"/>
  <cols>
    <col min="1" max="1" width="4.28515625" customWidth="1"/>
    <col min="2" max="2" width="15.85546875" customWidth="1"/>
    <col min="3" max="3" width="19.42578125" customWidth="1"/>
    <col min="6" max="6" width="3.5703125" customWidth="1"/>
    <col min="7" max="7" width="15.85546875" customWidth="1"/>
    <col min="8" max="8" width="18.7109375" bestFit="1" customWidth="1"/>
    <col min="9" max="9" width="5.140625" customWidth="1"/>
    <col min="12" max="12" width="15.85546875" customWidth="1"/>
    <col min="13" max="13" width="16.42578125" bestFit="1" customWidth="1"/>
    <col min="17" max="17" width="8.140625" customWidth="1"/>
  </cols>
  <sheetData>
    <row r="1" spans="1:18" ht="21">
      <c r="A1" s="194" t="s">
        <v>115</v>
      </c>
      <c r="B1" s="194"/>
      <c r="C1" s="194"/>
      <c r="D1" s="194"/>
      <c r="E1" s="194"/>
      <c r="F1" s="194"/>
      <c r="G1" s="194"/>
      <c r="H1" s="194"/>
      <c r="I1" s="194"/>
      <c r="J1" s="194"/>
      <c r="K1" s="194"/>
      <c r="L1" s="194"/>
      <c r="M1" s="194"/>
      <c r="N1" s="194"/>
      <c r="O1" s="194"/>
      <c r="P1" s="194"/>
      <c r="Q1" s="194"/>
      <c r="R1" s="194"/>
    </row>
    <row r="22" spans="1:18" ht="21">
      <c r="A22" s="194" t="s">
        <v>116</v>
      </c>
      <c r="B22" s="194"/>
      <c r="C22" s="194"/>
      <c r="D22" s="194"/>
      <c r="E22" s="194"/>
      <c r="F22" s="194"/>
      <c r="G22" s="194"/>
      <c r="H22" s="194"/>
      <c r="I22" s="194"/>
      <c r="J22" s="194"/>
      <c r="K22" s="194"/>
      <c r="L22" s="194"/>
      <c r="M22" s="194"/>
      <c r="N22" s="194"/>
      <c r="O22" s="194"/>
      <c r="P22" s="194"/>
      <c r="Q22" s="194"/>
      <c r="R22" s="194"/>
    </row>
    <row r="44" spans="1:18" ht="21">
      <c r="A44" s="194" t="s">
        <v>117</v>
      </c>
      <c r="B44" s="194"/>
      <c r="C44" s="194"/>
      <c r="D44" s="194"/>
      <c r="E44" s="194"/>
      <c r="F44" s="194"/>
      <c r="G44" s="194"/>
      <c r="H44" s="194"/>
      <c r="I44" s="194"/>
      <c r="J44" s="194"/>
      <c r="K44" s="194"/>
      <c r="L44" s="194"/>
      <c r="M44" s="194"/>
      <c r="N44" s="194"/>
      <c r="O44" s="194"/>
      <c r="P44" s="194"/>
      <c r="Q44" s="194"/>
      <c r="R44" s="194"/>
    </row>
    <row r="66" spans="1:18" ht="21">
      <c r="A66" s="194" t="s">
        <v>118</v>
      </c>
      <c r="B66" s="194"/>
      <c r="C66" s="194"/>
      <c r="D66" s="194"/>
      <c r="E66" s="194"/>
      <c r="F66" s="194"/>
      <c r="G66" s="194"/>
      <c r="H66" s="194"/>
      <c r="I66" s="194"/>
      <c r="J66" s="194"/>
      <c r="K66" s="194"/>
      <c r="L66" s="194"/>
      <c r="M66" s="194"/>
      <c r="N66" s="194"/>
      <c r="O66" s="194"/>
      <c r="P66" s="194"/>
      <c r="Q66" s="194"/>
      <c r="R66" s="194"/>
    </row>
    <row r="67" spans="1:18" ht="15.75" thickBot="1"/>
    <row r="68" spans="1:18" ht="15.75" thickBot="1">
      <c r="B68" s="195" t="s">
        <v>119</v>
      </c>
      <c r="C68" s="196"/>
      <c r="D68" s="196"/>
      <c r="E68" s="196"/>
      <c r="F68" s="197"/>
      <c r="G68" s="64">
        <f>AVERAGE(Observaciones[[#All],[Tiempo de Solución (Dias)]])</f>
        <v>7.7994579945799458</v>
      </c>
      <c r="H68" s="65" t="s">
        <v>120</v>
      </c>
    </row>
    <row r="70" spans="1:18">
      <c r="B70" s="66" t="s">
        <v>121</v>
      </c>
      <c r="C70" t="s">
        <v>123</v>
      </c>
      <c r="G70" s="66" t="s">
        <v>121</v>
      </c>
      <c r="H70" t="s">
        <v>124</v>
      </c>
      <c r="L70" s="66" t="s">
        <v>121</v>
      </c>
      <c r="M70" t="s">
        <v>125</v>
      </c>
    </row>
    <row r="71" spans="1:18">
      <c r="B71" s="67" t="s">
        <v>37</v>
      </c>
      <c r="C71" s="35">
        <v>1</v>
      </c>
      <c r="G71" s="67" t="s">
        <v>28</v>
      </c>
      <c r="H71" s="35">
        <v>2</v>
      </c>
      <c r="L71" s="67" t="s">
        <v>49</v>
      </c>
      <c r="M71" s="35">
        <v>2</v>
      </c>
    </row>
    <row r="72" spans="1:18">
      <c r="B72" s="67" t="s">
        <v>39</v>
      </c>
      <c r="C72" s="35">
        <v>1</v>
      </c>
      <c r="G72" s="67" t="s">
        <v>122</v>
      </c>
      <c r="H72" s="35">
        <v>2</v>
      </c>
      <c r="L72" s="67" t="s">
        <v>122</v>
      </c>
      <c r="M72" s="35">
        <v>2</v>
      </c>
    </row>
    <row r="73" spans="1:18">
      <c r="B73" s="67" t="s">
        <v>122</v>
      </c>
      <c r="C73" s="35">
        <v>2</v>
      </c>
    </row>
    <row r="87" spans="1:18" ht="21">
      <c r="A87" s="194" t="s">
        <v>127</v>
      </c>
      <c r="B87" s="194"/>
      <c r="C87" s="194"/>
      <c r="D87" s="194"/>
      <c r="E87" s="194"/>
      <c r="F87" s="194"/>
      <c r="G87" s="194"/>
      <c r="H87" s="194"/>
      <c r="I87" s="194"/>
      <c r="J87" s="194"/>
      <c r="K87" s="194"/>
      <c r="L87" s="194"/>
      <c r="M87" s="194"/>
      <c r="N87" s="194"/>
      <c r="O87" s="194"/>
      <c r="P87" s="194"/>
      <c r="Q87" s="194"/>
      <c r="R87" s="194"/>
    </row>
    <row r="88" spans="1:18" ht="15.75" thickBot="1"/>
    <row r="89" spans="1:18" ht="15.75" thickBot="1">
      <c r="B89" s="195" t="s">
        <v>128</v>
      </c>
      <c r="C89" s="196"/>
      <c r="D89" s="196"/>
      <c r="E89" s="196"/>
      <c r="F89" s="197"/>
      <c r="G89" s="64">
        <f>AVERAGE(Consultas[[#All],[Tiempo de Solución]])</f>
        <v>0</v>
      </c>
      <c r="H89" s="65" t="s">
        <v>120</v>
      </c>
    </row>
    <row r="91" spans="1:18">
      <c r="B91" s="66" t="s">
        <v>121</v>
      </c>
      <c r="C91" t="s">
        <v>130</v>
      </c>
      <c r="G91" s="66" t="s">
        <v>121</v>
      </c>
      <c r="H91" t="s">
        <v>124</v>
      </c>
      <c r="L91" s="66" t="s">
        <v>121</v>
      </c>
      <c r="M91" t="s">
        <v>125</v>
      </c>
    </row>
    <row r="92" spans="1:18">
      <c r="B92" s="67" t="s">
        <v>144</v>
      </c>
      <c r="C92" s="35"/>
      <c r="G92" s="67" t="s">
        <v>145</v>
      </c>
      <c r="H92" s="35">
        <v>1</v>
      </c>
      <c r="L92" s="67" t="s">
        <v>49</v>
      </c>
      <c r="M92" s="35">
        <v>1</v>
      </c>
    </row>
    <row r="93" spans="1:18">
      <c r="B93" s="67" t="s">
        <v>122</v>
      </c>
      <c r="C93" s="35"/>
      <c r="G93" s="67" t="s">
        <v>122</v>
      </c>
      <c r="H93" s="35">
        <v>1</v>
      </c>
      <c r="L93" s="67" t="s">
        <v>122</v>
      </c>
      <c r="M93" s="35">
        <v>1</v>
      </c>
    </row>
  </sheetData>
  <mergeCells count="7">
    <mergeCell ref="A87:R87"/>
    <mergeCell ref="B89:F89"/>
    <mergeCell ref="A1:R1"/>
    <mergeCell ref="A22:R22"/>
    <mergeCell ref="A44:R44"/>
    <mergeCell ref="A66:R66"/>
    <mergeCell ref="B68:F68"/>
  </mergeCells>
  <pageMargins left="0.7" right="0.7" top="0.75" bottom="0.75" header="0.3" footer="0.3"/>
  <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W40"/>
  <sheetViews>
    <sheetView topLeftCell="A2" zoomScaleNormal="100" workbookViewId="0">
      <selection activeCell="A5" sqref="A5"/>
    </sheetView>
  </sheetViews>
  <sheetFormatPr baseColWidth="10" defaultColWidth="0" defaultRowHeight="15"/>
  <cols>
    <col min="1" max="1" width="9.28515625" style="31" customWidth="1"/>
    <col min="2" max="2" width="8.85546875" style="31" customWidth="1"/>
    <col min="3" max="3" width="36.7109375" style="31" customWidth="1"/>
    <col min="4" max="4" width="45.85546875" style="31" customWidth="1"/>
    <col min="5" max="5" width="23.140625" style="31" customWidth="1"/>
    <col min="6" max="6" width="14.42578125" style="33" bestFit="1" customWidth="1"/>
    <col min="7" max="7" width="12.5703125" style="31" customWidth="1"/>
    <col min="8" max="8" width="11.42578125" style="31" customWidth="1"/>
    <col min="9" max="10" width="14.5703125" style="31" customWidth="1"/>
    <col min="11" max="11" width="11.42578125" style="31" customWidth="1"/>
    <col min="12" max="12" width="14.42578125" style="32" customWidth="1"/>
    <col min="13" max="13" width="11.42578125" style="31" customWidth="1"/>
    <col min="14" max="14" width="12.140625" style="31" customWidth="1"/>
    <col min="15" max="15" width="22.42578125" style="31" customWidth="1"/>
    <col min="16" max="16" width="53.28515625" style="31" customWidth="1"/>
    <col min="17" max="17" width="23.5703125" style="31" customWidth="1"/>
    <col min="18" max="18" width="5" style="31" customWidth="1"/>
    <col min="19" max="23" width="0" style="31" hidden="1" customWidth="1"/>
    <col min="24" max="16384" width="11.42578125" style="31" hidden="1"/>
  </cols>
  <sheetData>
    <row r="1" spans="1:18">
      <c r="A1" s="95"/>
      <c r="B1" s="95"/>
      <c r="C1" s="95"/>
      <c r="D1" s="95"/>
      <c r="E1" s="95"/>
      <c r="F1" s="99"/>
      <c r="G1" s="95"/>
      <c r="H1" s="95"/>
      <c r="I1" s="95"/>
      <c r="J1" s="95"/>
      <c r="K1" s="95"/>
      <c r="L1" s="100"/>
      <c r="M1" s="95"/>
      <c r="N1" s="95"/>
      <c r="O1" s="95"/>
      <c r="P1" s="95"/>
      <c r="Q1" s="95"/>
      <c r="R1" s="95"/>
    </row>
    <row r="2" spans="1:18" ht="15" customHeight="1">
      <c r="A2" s="95"/>
      <c r="B2" s="95"/>
      <c r="C2" s="95"/>
      <c r="D2" s="150" t="s">
        <v>9</v>
      </c>
      <c r="E2" s="151" t="str">
        <f>General!$B$3</f>
        <v xml:space="preserve">PRY-SSIAEDUCT-03 </v>
      </c>
      <c r="F2" s="152" t="s">
        <v>10</v>
      </c>
      <c r="G2" s="198" t="str">
        <f>General!$B$4</f>
        <v>Arquitectura de Negocios de la Oficina Central de Fe y Alegría Perú – ANOCFAP</v>
      </c>
      <c r="H2" s="199"/>
      <c r="I2" s="199"/>
      <c r="J2" s="199"/>
      <c r="K2" s="199"/>
      <c r="L2" s="199"/>
      <c r="M2" s="199"/>
      <c r="N2" s="200"/>
      <c r="O2" s="95"/>
      <c r="P2" s="95"/>
      <c r="Q2" s="95"/>
      <c r="R2" s="95"/>
    </row>
    <row r="3" spans="1:18" s="68" customFormat="1" ht="58.5" customHeight="1">
      <c r="A3" s="95"/>
      <c r="B3" s="95"/>
      <c r="C3" s="95"/>
      <c r="D3" s="96"/>
      <c r="E3" s="97"/>
      <c r="F3" s="98"/>
      <c r="G3" s="97"/>
      <c r="H3" s="97"/>
      <c r="I3" s="97"/>
      <c r="J3" s="97"/>
      <c r="K3" s="97"/>
      <c r="L3" s="97"/>
      <c r="M3" s="97"/>
      <c r="N3" s="97"/>
      <c r="O3" s="95"/>
      <c r="P3" s="95"/>
      <c r="Q3" s="95"/>
      <c r="R3" s="95"/>
    </row>
    <row r="4" spans="1:18" s="89" customFormat="1" ht="40.5" customHeight="1">
      <c r="A4" s="143" t="s">
        <v>135</v>
      </c>
      <c r="B4" s="144" t="s">
        <v>134</v>
      </c>
      <c r="C4" s="144" t="s">
        <v>73</v>
      </c>
      <c r="D4" s="144" t="s">
        <v>74</v>
      </c>
      <c r="E4" s="144" t="s">
        <v>75</v>
      </c>
      <c r="F4" s="145" t="s">
        <v>76</v>
      </c>
      <c r="G4" s="144" t="s">
        <v>77</v>
      </c>
      <c r="H4" s="144" t="s">
        <v>78</v>
      </c>
      <c r="I4" s="146" t="s">
        <v>79</v>
      </c>
      <c r="J4" s="146" t="s">
        <v>80</v>
      </c>
      <c r="K4" s="147" t="s">
        <v>81</v>
      </c>
      <c r="L4" s="148" t="s">
        <v>82</v>
      </c>
      <c r="M4" s="149" t="s">
        <v>83</v>
      </c>
      <c r="N4" s="144" t="s">
        <v>84</v>
      </c>
      <c r="O4" s="144" t="s">
        <v>85</v>
      </c>
      <c r="P4" s="144" t="s">
        <v>86</v>
      </c>
      <c r="Q4" s="144" t="s">
        <v>87</v>
      </c>
      <c r="R4" s="101"/>
    </row>
    <row r="5" spans="1:18" s="90" customFormat="1" ht="33.75">
      <c r="A5" s="90" t="s">
        <v>159</v>
      </c>
      <c r="B5" s="90" t="s">
        <v>88</v>
      </c>
      <c r="C5" s="90" t="s">
        <v>170</v>
      </c>
      <c r="D5" s="172" t="s">
        <v>177</v>
      </c>
      <c r="E5" s="90" t="s">
        <v>160</v>
      </c>
      <c r="F5" s="91" t="str">
        <f>IF(CasoPrueba[[#This Row],[Estado Testing]]=Resumen!$P$28,"OK",IF(CasoPrueba[[#This Row],[Estado Testing]]=Resumen!$P$29,"NO OK",IF((CasoPrueba[[#This Row],[Estado Testing]]=Resumen!$P$30)+(CasoPrueba[[#This Row],[Estado Testing]]=Resumen!$P$31),"OBSERVADO","")))</f>
        <v>NO OK</v>
      </c>
      <c r="G5" s="90" t="s">
        <v>20</v>
      </c>
      <c r="H5" s="90" t="s">
        <v>28</v>
      </c>
      <c r="I5" s="92" t="s">
        <v>28</v>
      </c>
      <c r="J5" s="90" t="s">
        <v>47</v>
      </c>
      <c r="L5" s="93">
        <f>General!$A$10</f>
        <v>0</v>
      </c>
      <c r="M5" s="93">
        <v>40637</v>
      </c>
      <c r="N5" s="90">
        <v>1</v>
      </c>
      <c r="P5" s="92" t="s">
        <v>1090</v>
      </c>
      <c r="Q5" s="90" t="str">
        <f>CONCATENATE(General!$B$7," ",General!$B$6)</f>
        <v>Nicolay García José Ramos Ramírez</v>
      </c>
      <c r="R5" s="102"/>
    </row>
    <row r="6" spans="1:18" ht="33.75">
      <c r="A6" s="90" t="s">
        <v>159</v>
      </c>
      <c r="B6" s="90" t="s">
        <v>151</v>
      </c>
      <c r="C6" s="90" t="s">
        <v>170</v>
      </c>
      <c r="D6" s="4" t="s">
        <v>178</v>
      </c>
      <c r="E6" s="90" t="s">
        <v>160</v>
      </c>
      <c r="F6" s="91" t="str">
        <f>IF(CasoPrueba[[#This Row],[Estado Testing]]=Resumen!$P$28,"OK",IF(CasoPrueba[[#This Row],[Estado Testing]]=Resumen!$P$29,"NO OK",IF((CasoPrueba[[#This Row],[Estado Testing]]=Resumen!$P$30)+(CasoPrueba[[#This Row],[Estado Testing]]=Resumen!$P$31),"OBSERVADO","")))</f>
        <v>NO OK</v>
      </c>
      <c r="G6" s="90" t="s">
        <v>20</v>
      </c>
      <c r="H6" s="90" t="s">
        <v>28</v>
      </c>
      <c r="I6" s="92" t="s">
        <v>28</v>
      </c>
      <c r="J6" s="90" t="s">
        <v>47</v>
      </c>
      <c r="K6" s="90"/>
      <c r="L6" s="93">
        <f>General!$A$10</f>
        <v>0</v>
      </c>
      <c r="M6" s="93"/>
      <c r="N6" s="90"/>
      <c r="O6" s="90"/>
      <c r="P6" s="92" t="s">
        <v>1091</v>
      </c>
      <c r="Q6" s="90" t="str">
        <f>CONCATENATE(General!$B$7," ",General!$B$6)</f>
        <v>Nicolay García José Ramos Ramírez</v>
      </c>
    </row>
    <row r="7" spans="1:18" ht="90">
      <c r="A7" s="90" t="s">
        <v>159</v>
      </c>
      <c r="B7" s="90" t="s">
        <v>152</v>
      </c>
      <c r="C7" s="90" t="s">
        <v>170</v>
      </c>
      <c r="D7" s="4" t="s">
        <v>179</v>
      </c>
      <c r="E7" s="90" t="s">
        <v>160</v>
      </c>
      <c r="F7" s="91" t="str">
        <f>IF(CasoPrueba[[#This Row],[Estado Testing]]=Resumen!$P$28,"OK",IF(CasoPrueba[[#This Row],[Estado Testing]]=Resumen!$P$29,"NO OK",IF((CasoPrueba[[#This Row],[Estado Testing]]=Resumen!$P$30)+(CasoPrueba[[#This Row],[Estado Testing]]=Resumen!$P$31),"OBSERVADO","")))</f>
        <v>NO OK</v>
      </c>
      <c r="G7" s="90" t="s">
        <v>20</v>
      </c>
      <c r="H7" s="90" t="s">
        <v>28</v>
      </c>
      <c r="I7" s="92" t="s">
        <v>28</v>
      </c>
      <c r="J7" s="90" t="s">
        <v>47</v>
      </c>
      <c r="K7" s="90"/>
      <c r="L7" s="93">
        <f>General!$A$10</f>
        <v>0</v>
      </c>
      <c r="M7" s="93"/>
      <c r="N7" s="90"/>
      <c r="O7" s="90"/>
      <c r="P7" s="92" t="s">
        <v>1092</v>
      </c>
      <c r="Q7" s="90" t="str">
        <f>CONCATENATE(General!$B$7," ",General!$B$6)</f>
        <v>Nicolay García José Ramos Ramírez</v>
      </c>
    </row>
    <row r="8" spans="1:18" ht="56.25">
      <c r="A8" s="90" t="s">
        <v>159</v>
      </c>
      <c r="B8" s="90" t="s">
        <v>153</v>
      </c>
      <c r="C8" s="90" t="s">
        <v>170</v>
      </c>
      <c r="D8" s="4" t="s">
        <v>180</v>
      </c>
      <c r="E8" s="90" t="s">
        <v>160</v>
      </c>
      <c r="F8" s="91" t="str">
        <f>IF(CasoPrueba[[#This Row],[Estado Testing]]=Resumen!$P$28,"OK",IF(CasoPrueba[[#This Row],[Estado Testing]]=Resumen!$P$29,"NO OK",IF((CasoPrueba[[#This Row],[Estado Testing]]=Resumen!$P$30)+(CasoPrueba[[#This Row],[Estado Testing]]=Resumen!$P$31),"OBSERVADO","")))</f>
        <v>NO OK</v>
      </c>
      <c r="G8" s="90" t="s">
        <v>20</v>
      </c>
      <c r="H8" s="90" t="s">
        <v>28</v>
      </c>
      <c r="I8" s="92" t="s">
        <v>28</v>
      </c>
      <c r="J8" s="90" t="s">
        <v>47</v>
      </c>
      <c r="K8" s="90"/>
      <c r="L8" s="93">
        <f>General!$A$10</f>
        <v>0</v>
      </c>
      <c r="M8" s="93"/>
      <c r="N8" s="90"/>
      <c r="O8" s="90"/>
      <c r="P8" s="92" t="s">
        <v>1093</v>
      </c>
      <c r="Q8" s="90" t="str">
        <f>CONCATENATE(General!$B$7," ",General!$B$6)</f>
        <v>Nicolay García José Ramos Ramírez</v>
      </c>
    </row>
    <row r="9" spans="1:18" ht="33.75">
      <c r="A9" s="90" t="s">
        <v>159</v>
      </c>
      <c r="B9" s="90" t="s">
        <v>154</v>
      </c>
      <c r="C9" s="90" t="s">
        <v>170</v>
      </c>
      <c r="D9" s="4" t="s">
        <v>181</v>
      </c>
      <c r="E9" s="90" t="s">
        <v>160</v>
      </c>
      <c r="F9" s="91" t="str">
        <f>IF(CasoPrueba[[#This Row],[Estado Testing]]=Resumen!$P$28,"OK",IF(CasoPrueba[[#This Row],[Estado Testing]]=Resumen!$P$29,"NO OK",IF((CasoPrueba[[#This Row],[Estado Testing]]=Resumen!$P$30)+(CasoPrueba[[#This Row],[Estado Testing]]=Resumen!$P$31),"OBSERVADO","")))</f>
        <v>NO OK</v>
      </c>
      <c r="G9" s="90" t="s">
        <v>20</v>
      </c>
      <c r="H9" s="90" t="s">
        <v>28</v>
      </c>
      <c r="I9" s="92" t="s">
        <v>28</v>
      </c>
      <c r="J9" s="90" t="s">
        <v>47</v>
      </c>
      <c r="K9" s="90"/>
      <c r="L9" s="93">
        <f>General!$A$10</f>
        <v>0</v>
      </c>
      <c r="M9" s="93"/>
      <c r="N9" s="90"/>
      <c r="O9" s="90"/>
      <c r="P9" s="92" t="s">
        <v>1094</v>
      </c>
      <c r="Q9" s="90" t="str">
        <f>CONCATENATE(General!$B$7," ",General!$B$6)</f>
        <v>Nicolay García José Ramos Ramírez</v>
      </c>
    </row>
    <row r="10" spans="1:18" ht="90">
      <c r="A10" s="90" t="s">
        <v>159</v>
      </c>
      <c r="B10" s="90" t="s">
        <v>155</v>
      </c>
      <c r="C10" s="90" t="s">
        <v>170</v>
      </c>
      <c r="D10" s="4" t="s">
        <v>182</v>
      </c>
      <c r="E10" s="90" t="s">
        <v>160</v>
      </c>
      <c r="F10" s="91" t="str">
        <f>IF(CasoPrueba[[#This Row],[Estado Testing]]=Resumen!$P$28,"OK",IF(CasoPrueba[[#This Row],[Estado Testing]]=Resumen!$P$29,"NO OK",IF((CasoPrueba[[#This Row],[Estado Testing]]=Resumen!$P$30)+(CasoPrueba[[#This Row],[Estado Testing]]=Resumen!$P$31),"OBSERVADO","")))</f>
        <v>NO OK</v>
      </c>
      <c r="G10" s="90" t="s">
        <v>20</v>
      </c>
      <c r="H10" s="90" t="s">
        <v>28</v>
      </c>
      <c r="I10" s="92" t="s">
        <v>28</v>
      </c>
      <c r="J10" s="90" t="s">
        <v>47</v>
      </c>
      <c r="K10" s="90"/>
      <c r="L10" s="93">
        <f>General!$A$10</f>
        <v>0</v>
      </c>
      <c r="M10" s="93"/>
      <c r="N10" s="90"/>
      <c r="O10" s="90"/>
      <c r="P10" s="92" t="s">
        <v>1095</v>
      </c>
      <c r="Q10" s="90" t="str">
        <f>CONCATENATE(General!$B$7," ",General!$B$6)</f>
        <v>Nicolay García José Ramos Ramírez</v>
      </c>
    </row>
    <row r="11" spans="1:18" ht="33.75">
      <c r="A11" s="90" t="s">
        <v>159</v>
      </c>
      <c r="B11" s="90" t="s">
        <v>156</v>
      </c>
      <c r="C11" s="90" t="s">
        <v>170</v>
      </c>
      <c r="D11" s="4" t="s">
        <v>183</v>
      </c>
      <c r="E11" s="90" t="s">
        <v>160</v>
      </c>
      <c r="F11" s="91" t="str">
        <f>IF(CasoPrueba[[#This Row],[Estado Testing]]=Resumen!$P$28,"OK",IF(CasoPrueba[[#This Row],[Estado Testing]]=Resumen!$P$29,"NO OK",IF((CasoPrueba[[#This Row],[Estado Testing]]=Resumen!$P$30)+(CasoPrueba[[#This Row],[Estado Testing]]=Resumen!$P$31),"OBSERVADO","")))</f>
        <v>NO OK</v>
      </c>
      <c r="G11" s="90" t="s">
        <v>20</v>
      </c>
      <c r="H11" s="90" t="s">
        <v>28</v>
      </c>
      <c r="I11" s="92" t="s">
        <v>28</v>
      </c>
      <c r="J11" s="90" t="s">
        <v>47</v>
      </c>
      <c r="K11" s="90"/>
      <c r="L11" s="93">
        <f>General!$A$10</f>
        <v>0</v>
      </c>
      <c r="M11" s="93"/>
      <c r="N11" s="90"/>
      <c r="O11" s="90"/>
      <c r="P11" s="92" t="s">
        <v>1096</v>
      </c>
      <c r="Q11" s="90" t="str">
        <f>CONCATENATE(General!$B$7," ",General!$B$6)</f>
        <v>Nicolay García José Ramos Ramírez</v>
      </c>
    </row>
    <row r="12" spans="1:18" ht="33.75">
      <c r="A12" s="90" t="s">
        <v>159</v>
      </c>
      <c r="B12" s="90" t="s">
        <v>157</v>
      </c>
      <c r="C12" s="90" t="s">
        <v>170</v>
      </c>
      <c r="D12" s="4" t="s">
        <v>184</v>
      </c>
      <c r="E12" s="90" t="s">
        <v>160</v>
      </c>
      <c r="F12" s="91" t="str">
        <f>IF(CasoPrueba[[#This Row],[Estado Testing]]=Resumen!$P$28,"OK",IF(CasoPrueba[[#This Row],[Estado Testing]]=Resumen!$P$29,"NO OK",IF((CasoPrueba[[#This Row],[Estado Testing]]=Resumen!$P$30)+(CasoPrueba[[#This Row],[Estado Testing]]=Resumen!$P$31),"OBSERVADO","")))</f>
        <v>NO OK</v>
      </c>
      <c r="G12" s="90" t="s">
        <v>20</v>
      </c>
      <c r="H12" s="90" t="s">
        <v>28</v>
      </c>
      <c r="I12" s="92" t="s">
        <v>28</v>
      </c>
      <c r="J12" s="90" t="s">
        <v>47</v>
      </c>
      <c r="K12" s="90"/>
      <c r="L12" s="93">
        <f>General!$A$10</f>
        <v>0</v>
      </c>
      <c r="M12" s="93"/>
      <c r="N12" s="90"/>
      <c r="O12" s="90"/>
      <c r="P12" s="92" t="s">
        <v>1097</v>
      </c>
      <c r="Q12" s="90" t="str">
        <f>CONCATENATE(General!$B$7," ",General!$B$6)</f>
        <v>Nicolay García José Ramos Ramírez</v>
      </c>
    </row>
    <row r="13" spans="1:18" ht="33.75">
      <c r="A13" s="90" t="s">
        <v>159</v>
      </c>
      <c r="B13" s="90" t="s">
        <v>158</v>
      </c>
      <c r="C13" s="90" t="s">
        <v>170</v>
      </c>
      <c r="D13" s="4" t="s">
        <v>185</v>
      </c>
      <c r="E13" s="90" t="s">
        <v>160</v>
      </c>
      <c r="F13" s="91" t="str">
        <f>IF(CasoPrueba[[#This Row],[Estado Testing]]=Resumen!$P$28,"OK",IF(CasoPrueba[[#This Row],[Estado Testing]]=Resumen!$P$29,"NO OK",IF((CasoPrueba[[#This Row],[Estado Testing]]=Resumen!$P$30)+(CasoPrueba[[#This Row],[Estado Testing]]=Resumen!$P$31),"OBSERVADO","")))</f>
        <v>NO OK</v>
      </c>
      <c r="G13" s="90" t="s">
        <v>20</v>
      </c>
      <c r="H13" s="90" t="s">
        <v>28</v>
      </c>
      <c r="I13" s="92" t="s">
        <v>28</v>
      </c>
      <c r="J13" s="90" t="s">
        <v>47</v>
      </c>
      <c r="K13" s="90"/>
      <c r="L13" s="93">
        <f>General!$A$10</f>
        <v>0</v>
      </c>
      <c r="M13" s="93"/>
      <c r="N13" s="90"/>
      <c r="O13" s="90"/>
      <c r="P13" s="92" t="s">
        <v>1098</v>
      </c>
      <c r="Q13" s="90" t="str">
        <f>CONCATENATE(General!$B$7," ",General!$B$6)</f>
        <v>Nicolay García José Ramos Ramírez</v>
      </c>
    </row>
    <row r="14" spans="1:18" ht="33.75">
      <c r="A14" s="90" t="s">
        <v>159</v>
      </c>
      <c r="B14" s="90" t="s">
        <v>171</v>
      </c>
      <c r="C14" s="90" t="s">
        <v>170</v>
      </c>
      <c r="D14" s="31" t="s">
        <v>186</v>
      </c>
      <c r="E14" s="90" t="s">
        <v>160</v>
      </c>
      <c r="F14" s="91" t="str">
        <f>IF(CasoPrueba[[#This Row],[Estado Testing]]=Resumen!$P$28,"OK",IF(CasoPrueba[[#This Row],[Estado Testing]]=Resumen!$P$29,"NO OK",IF((CasoPrueba[[#This Row],[Estado Testing]]=Resumen!$P$30)+(CasoPrueba[[#This Row],[Estado Testing]]=Resumen!$P$31),"OBSERVADO","")))</f>
        <v>NO OK</v>
      </c>
      <c r="G14" s="90" t="s">
        <v>20</v>
      </c>
      <c r="H14" s="90" t="s">
        <v>28</v>
      </c>
      <c r="I14" s="92" t="s">
        <v>28</v>
      </c>
      <c r="J14" s="90" t="s">
        <v>47</v>
      </c>
      <c r="K14" s="90"/>
      <c r="L14" s="93">
        <f>General!$A$10</f>
        <v>0</v>
      </c>
      <c r="M14" s="93"/>
      <c r="N14" s="90"/>
      <c r="O14" s="90"/>
      <c r="P14" s="92" t="s">
        <v>1099</v>
      </c>
      <c r="Q14" s="90" t="str">
        <f>CONCATENATE(General!$B$7," ",General!$B$6)</f>
        <v>Nicolay García José Ramos Ramírez</v>
      </c>
    </row>
    <row r="15" spans="1:18" ht="33.75">
      <c r="A15" s="90" t="s">
        <v>159</v>
      </c>
      <c r="B15" s="90" t="s">
        <v>172</v>
      </c>
      <c r="C15" s="90" t="s">
        <v>170</v>
      </c>
      <c r="D15" s="31" t="s">
        <v>187</v>
      </c>
      <c r="E15" s="90" t="s">
        <v>160</v>
      </c>
      <c r="F15" s="91" t="str">
        <f>IF(CasoPrueba[[#This Row],[Estado Testing]]=Resumen!$P$28,"OK",IF(CasoPrueba[[#This Row],[Estado Testing]]=Resumen!$P$29,"NO OK",IF((CasoPrueba[[#This Row],[Estado Testing]]=Resumen!$P$30)+(CasoPrueba[[#This Row],[Estado Testing]]=Resumen!$P$31),"OBSERVADO","")))</f>
        <v>NO OK</v>
      </c>
      <c r="G15" s="90" t="s">
        <v>20</v>
      </c>
      <c r="H15" s="90" t="s">
        <v>28</v>
      </c>
      <c r="I15" s="92" t="s">
        <v>28</v>
      </c>
      <c r="J15" s="90" t="s">
        <v>47</v>
      </c>
      <c r="K15" s="90"/>
      <c r="L15" s="93">
        <f>General!$A$10</f>
        <v>0</v>
      </c>
      <c r="M15" s="93"/>
      <c r="N15" s="90"/>
      <c r="O15" s="90"/>
      <c r="P15" s="92" t="s">
        <v>1100</v>
      </c>
      <c r="Q15" s="90" t="str">
        <f>CONCATENATE(General!$B$7," ",General!$B$6)</f>
        <v>Nicolay García José Ramos Ramírez</v>
      </c>
    </row>
    <row r="16" spans="1:18" ht="56.25">
      <c r="A16" s="90" t="s">
        <v>159</v>
      </c>
      <c r="B16" s="90" t="s">
        <v>173</v>
      </c>
      <c r="C16" s="90" t="s">
        <v>170</v>
      </c>
      <c r="D16" s="31" t="s">
        <v>188</v>
      </c>
      <c r="E16" s="90" t="s">
        <v>160</v>
      </c>
      <c r="F16" s="91" t="str">
        <f>IF(CasoPrueba[[#This Row],[Estado Testing]]=Resumen!$P$28,"OK",IF(CasoPrueba[[#This Row],[Estado Testing]]=Resumen!$P$29,"NO OK",IF((CasoPrueba[[#This Row],[Estado Testing]]=Resumen!$P$30)+(CasoPrueba[[#This Row],[Estado Testing]]=Resumen!$P$31),"OBSERVADO","")))</f>
        <v>NO OK</v>
      </c>
      <c r="G16" s="90" t="s">
        <v>20</v>
      </c>
      <c r="H16" s="90" t="s">
        <v>28</v>
      </c>
      <c r="I16" s="92" t="s">
        <v>28</v>
      </c>
      <c r="J16" s="90" t="s">
        <v>47</v>
      </c>
      <c r="K16" s="90"/>
      <c r="L16" s="93">
        <f>General!$A$10</f>
        <v>0</v>
      </c>
      <c r="M16" s="93"/>
      <c r="N16" s="90"/>
      <c r="O16" s="90"/>
      <c r="P16" s="92" t="s">
        <v>1101</v>
      </c>
      <c r="Q16" s="90" t="str">
        <f>CONCATENATE(General!$B$7," ",General!$B$6)</f>
        <v>Nicolay García José Ramos Ramírez</v>
      </c>
    </row>
    <row r="17" spans="1:17" ht="67.5">
      <c r="A17" s="90" t="s">
        <v>159</v>
      </c>
      <c r="B17" s="90" t="s">
        <v>174</v>
      </c>
      <c r="C17" s="90" t="s">
        <v>170</v>
      </c>
      <c r="D17" s="31" t="s">
        <v>189</v>
      </c>
      <c r="E17" s="90" t="s">
        <v>160</v>
      </c>
      <c r="F17" s="91" t="str">
        <f>IF(CasoPrueba[[#This Row],[Estado Testing]]=Resumen!$P$28,"OK",IF(CasoPrueba[[#This Row],[Estado Testing]]=Resumen!$P$29,"NO OK",IF((CasoPrueba[[#This Row],[Estado Testing]]=Resumen!$P$30)+(CasoPrueba[[#This Row],[Estado Testing]]=Resumen!$P$31),"OBSERVADO","")))</f>
        <v>NO OK</v>
      </c>
      <c r="G17" s="90" t="s">
        <v>20</v>
      </c>
      <c r="H17" s="90" t="s">
        <v>28</v>
      </c>
      <c r="I17" s="92" t="s">
        <v>28</v>
      </c>
      <c r="J17" s="90" t="s">
        <v>47</v>
      </c>
      <c r="K17" s="90"/>
      <c r="L17" s="93">
        <f>General!$A$10</f>
        <v>0</v>
      </c>
      <c r="M17" s="93"/>
      <c r="N17" s="90"/>
      <c r="O17" s="90"/>
      <c r="P17" s="92" t="s">
        <v>1102</v>
      </c>
      <c r="Q17" s="90" t="str">
        <f>CONCATENATE(General!$B$7," ",General!$B$6)</f>
        <v>Nicolay García José Ramos Ramírez</v>
      </c>
    </row>
    <row r="18" spans="1:17" ht="112.5">
      <c r="A18" s="90" t="s">
        <v>159</v>
      </c>
      <c r="B18" s="90" t="s">
        <v>175</v>
      </c>
      <c r="C18" s="90" t="s">
        <v>170</v>
      </c>
      <c r="D18" s="31" t="s">
        <v>190</v>
      </c>
      <c r="E18" s="90" t="s">
        <v>160</v>
      </c>
      <c r="F18" s="91" t="str">
        <f>IF(CasoPrueba[[#This Row],[Estado Testing]]=Resumen!$P$28,"OK",IF(CasoPrueba[[#This Row],[Estado Testing]]=Resumen!$P$29,"NO OK",IF((CasoPrueba[[#This Row],[Estado Testing]]=Resumen!$P$30)+(CasoPrueba[[#This Row],[Estado Testing]]=Resumen!$P$31),"OBSERVADO","")))</f>
        <v>NO OK</v>
      </c>
      <c r="G18" s="90" t="s">
        <v>20</v>
      </c>
      <c r="H18" s="90" t="s">
        <v>28</v>
      </c>
      <c r="I18" s="92" t="s">
        <v>28</v>
      </c>
      <c r="J18" s="90" t="s">
        <v>47</v>
      </c>
      <c r="K18" s="90"/>
      <c r="L18" s="93">
        <f>General!$A$10</f>
        <v>0</v>
      </c>
      <c r="M18" s="93"/>
      <c r="N18" s="90"/>
      <c r="O18" s="90"/>
      <c r="P18" s="92" t="s">
        <v>1103</v>
      </c>
      <c r="Q18" s="90" t="str">
        <f>CONCATENATE(General!$B$7," ",General!$B$6)</f>
        <v>Nicolay García José Ramos Ramírez</v>
      </c>
    </row>
    <row r="19" spans="1:17" ht="67.5">
      <c r="A19" s="90" t="s">
        <v>159</v>
      </c>
      <c r="B19" s="90" t="s">
        <v>176</v>
      </c>
      <c r="C19" s="90" t="s">
        <v>170</v>
      </c>
      <c r="D19" s="31" t="s">
        <v>191</v>
      </c>
      <c r="E19" s="90" t="s">
        <v>160</v>
      </c>
      <c r="F19" s="91" t="str">
        <f>IF(CasoPrueba[[#This Row],[Estado Testing]]=Resumen!$P$28,"OK",IF(CasoPrueba[[#This Row],[Estado Testing]]=Resumen!$P$29,"NO OK",IF((CasoPrueba[[#This Row],[Estado Testing]]=Resumen!$P$30)+(CasoPrueba[[#This Row],[Estado Testing]]=Resumen!$P$31),"OBSERVADO","")))</f>
        <v>NO OK</v>
      </c>
      <c r="G19" s="90" t="s">
        <v>20</v>
      </c>
      <c r="H19" s="90" t="s">
        <v>28</v>
      </c>
      <c r="I19" s="92" t="s">
        <v>28</v>
      </c>
      <c r="J19" s="90" t="s">
        <v>47</v>
      </c>
      <c r="K19" s="90"/>
      <c r="L19" s="93">
        <f>General!$A$10</f>
        <v>0</v>
      </c>
      <c r="M19" s="93"/>
      <c r="N19" s="90"/>
      <c r="O19" s="90"/>
      <c r="P19" s="92" t="s">
        <v>1104</v>
      </c>
      <c r="Q19" s="90" t="str">
        <f>CONCATENATE(General!$B$7," ",General!$B$6)</f>
        <v>Nicolay García José Ramos Ramírez</v>
      </c>
    </row>
    <row r="20" spans="1:17" ht="56.25">
      <c r="A20" s="90" t="s">
        <v>159</v>
      </c>
      <c r="B20" s="167" t="s">
        <v>487</v>
      </c>
      <c r="C20" s="90" t="s">
        <v>170</v>
      </c>
      <c r="D20" s="168" t="s">
        <v>490</v>
      </c>
      <c r="E20" s="90" t="s">
        <v>160</v>
      </c>
      <c r="F20" s="169" t="str">
        <f>IF(CasoPrueba[[#This Row],[Estado Testing]]=Resumen!$P$28,"OK",IF(CasoPrueba[[#This Row],[Estado Testing]]=Resumen!$P$29,"NO OK",IF((CasoPrueba[[#This Row],[Estado Testing]]=Resumen!$P$30)+(CasoPrueba[[#This Row],[Estado Testing]]=Resumen!$P$31),"OBSERVADO","")))</f>
        <v>OK</v>
      </c>
      <c r="G20" s="170" t="s">
        <v>19</v>
      </c>
      <c r="H20" s="90" t="s">
        <v>28</v>
      </c>
      <c r="I20" s="170"/>
      <c r="J20" s="167"/>
      <c r="K20" s="167"/>
      <c r="L20" s="171">
        <f>General!$A$10</f>
        <v>0</v>
      </c>
      <c r="M20" s="171"/>
      <c r="N20" s="167"/>
      <c r="O20" s="167"/>
      <c r="P20" s="170" t="s">
        <v>881</v>
      </c>
      <c r="Q20" s="90" t="str">
        <f>CONCATENATE(General!$B$7," ",General!$B$6)</f>
        <v>Nicolay García José Ramos Ramírez</v>
      </c>
    </row>
    <row r="21" spans="1:17" ht="56.25">
      <c r="A21" s="90" t="s">
        <v>159</v>
      </c>
      <c r="B21" s="167" t="s">
        <v>488</v>
      </c>
      <c r="C21" s="90" t="s">
        <v>170</v>
      </c>
      <c r="D21" s="31" t="s">
        <v>492</v>
      </c>
      <c r="E21" s="90" t="s">
        <v>160</v>
      </c>
      <c r="F21" s="91" t="str">
        <f>IF(CasoPrueba[[#This Row],[Estado Testing]]=Resumen!$P$28,"OK",IF(CasoPrueba[[#This Row],[Estado Testing]]=Resumen!$P$29,"NO OK",IF((CasoPrueba[[#This Row],[Estado Testing]]=Resumen!$P$30)+(CasoPrueba[[#This Row],[Estado Testing]]=Resumen!$P$31),"OBSERVADO","")))</f>
        <v>OK</v>
      </c>
      <c r="G21" s="92" t="s">
        <v>19</v>
      </c>
      <c r="H21" s="90" t="s">
        <v>28</v>
      </c>
      <c r="I21" s="92"/>
      <c r="J21" s="90"/>
      <c r="K21" s="90"/>
      <c r="L21" s="93">
        <f>General!$A$10</f>
        <v>0</v>
      </c>
      <c r="M21" s="93"/>
      <c r="N21" s="90"/>
      <c r="O21" s="90"/>
      <c r="P21" s="92" t="s">
        <v>882</v>
      </c>
      <c r="Q21" s="90" t="str">
        <f>CONCATENATE(General!$B$7," ",General!$B$6)</f>
        <v>Nicolay García José Ramos Ramírez</v>
      </c>
    </row>
    <row r="22" spans="1:17" ht="33.75">
      <c r="A22" s="90" t="s">
        <v>159</v>
      </c>
      <c r="B22" s="167" t="s">
        <v>489</v>
      </c>
      <c r="C22" s="90" t="s">
        <v>170</v>
      </c>
      <c r="D22" s="31" t="s">
        <v>491</v>
      </c>
      <c r="E22" s="90" t="s">
        <v>160</v>
      </c>
      <c r="F22" s="91" t="str">
        <f>IF(CasoPrueba[[#This Row],[Estado Testing]]=Resumen!$P$28,"OK",IF(CasoPrueba[[#This Row],[Estado Testing]]=Resumen!$P$29,"NO OK",IF((CasoPrueba[[#This Row],[Estado Testing]]=Resumen!$P$30)+(CasoPrueba[[#This Row],[Estado Testing]]=Resumen!$P$31),"OBSERVADO","")))</f>
        <v>OK</v>
      </c>
      <c r="G22" s="92" t="s">
        <v>19</v>
      </c>
      <c r="H22" s="90" t="s">
        <v>28</v>
      </c>
      <c r="I22" s="92"/>
      <c r="J22" s="90"/>
      <c r="K22" s="90"/>
      <c r="L22" s="93">
        <f>General!$A$10</f>
        <v>0</v>
      </c>
      <c r="M22" s="93"/>
      <c r="N22" s="90"/>
      <c r="O22" s="90"/>
      <c r="P22" s="92" t="s">
        <v>1031</v>
      </c>
      <c r="Q22" s="90" t="str">
        <f>CONCATENATE(General!$B$7," ",General!$B$6)</f>
        <v>Nicolay García José Ramos Ramírez</v>
      </c>
    </row>
    <row r="23" spans="1:17" ht="33.75">
      <c r="A23" s="90" t="s">
        <v>159</v>
      </c>
      <c r="B23" s="167" t="s">
        <v>614</v>
      </c>
      <c r="C23" s="90" t="s">
        <v>170</v>
      </c>
      <c r="D23" s="31" t="s">
        <v>615</v>
      </c>
      <c r="E23" s="90" t="s">
        <v>160</v>
      </c>
      <c r="F23" s="91" t="str">
        <f>IF(CasoPrueba[[#This Row],[Estado Testing]]=Resumen!$P$28,"OK",IF(CasoPrueba[[#This Row],[Estado Testing]]=Resumen!$P$29,"NO OK",IF((CasoPrueba[[#This Row],[Estado Testing]]=Resumen!$P$30)+(CasoPrueba[[#This Row],[Estado Testing]]=Resumen!$P$31),"OBSERVADO","")))</f>
        <v>NO OK</v>
      </c>
      <c r="G23" s="92" t="s">
        <v>20</v>
      </c>
      <c r="H23" s="90" t="s">
        <v>28</v>
      </c>
      <c r="I23" s="92" t="s">
        <v>30</v>
      </c>
      <c r="J23" s="90" t="s">
        <v>47</v>
      </c>
      <c r="K23" s="90"/>
      <c r="L23" s="93">
        <f>General!$A$10</f>
        <v>0</v>
      </c>
      <c r="M23" s="93"/>
      <c r="N23" s="90"/>
      <c r="O23" s="90"/>
      <c r="P23" s="92" t="s">
        <v>1064</v>
      </c>
      <c r="Q23" s="90" t="str">
        <f>CONCATENATE(General!$B$7," ",General!$B$6)</f>
        <v>Nicolay García José Ramos Ramírez</v>
      </c>
    </row>
    <row r="24" spans="1:17" ht="112.5">
      <c r="A24" s="90" t="s">
        <v>159</v>
      </c>
      <c r="B24" s="167" t="s">
        <v>616</v>
      </c>
      <c r="C24" s="90" t="s">
        <v>170</v>
      </c>
      <c r="D24" s="31" t="s">
        <v>620</v>
      </c>
      <c r="E24" s="90" t="s">
        <v>160</v>
      </c>
      <c r="F24" s="91" t="str">
        <f>IF(CasoPrueba[[#This Row],[Estado Testing]]=Resumen!$P$28,"OK",IF(CasoPrueba[[#This Row],[Estado Testing]]=Resumen!$P$29,"NO OK",IF((CasoPrueba[[#This Row],[Estado Testing]]=Resumen!$P$30)+(CasoPrueba[[#This Row],[Estado Testing]]=Resumen!$P$31),"OBSERVADO","")))</f>
        <v>OK</v>
      </c>
      <c r="G24" s="92" t="s">
        <v>19</v>
      </c>
      <c r="H24" s="90" t="s">
        <v>28</v>
      </c>
      <c r="I24" s="92"/>
      <c r="J24" s="90"/>
      <c r="K24" s="90"/>
      <c r="L24" s="93">
        <f>General!$A$10</f>
        <v>0</v>
      </c>
      <c r="M24" s="93"/>
      <c r="N24" s="90"/>
      <c r="O24" s="90"/>
      <c r="P24" s="92" t="s">
        <v>883</v>
      </c>
      <c r="Q24" s="90" t="str">
        <f>CONCATENATE(General!$B$7," ",General!$B$6)</f>
        <v>Nicolay García José Ramos Ramírez</v>
      </c>
    </row>
    <row r="25" spans="1:17" ht="33.75">
      <c r="A25" s="90" t="s">
        <v>159</v>
      </c>
      <c r="B25" s="167" t="s">
        <v>617</v>
      </c>
      <c r="C25" s="90" t="s">
        <v>170</v>
      </c>
      <c r="D25" s="31" t="s">
        <v>621</v>
      </c>
      <c r="E25" s="90" t="s">
        <v>160</v>
      </c>
      <c r="F25" s="91" t="str">
        <f>IF(CasoPrueba[[#This Row],[Estado Testing]]=Resumen!$P$28,"OK",IF(CasoPrueba[[#This Row],[Estado Testing]]=Resumen!$P$29,"NO OK",IF((CasoPrueba[[#This Row],[Estado Testing]]=Resumen!$P$30)+(CasoPrueba[[#This Row],[Estado Testing]]=Resumen!$P$31),"OBSERVADO","")))</f>
        <v>OK</v>
      </c>
      <c r="G25" s="92" t="s">
        <v>19</v>
      </c>
      <c r="H25" s="90" t="s">
        <v>28</v>
      </c>
      <c r="I25" s="92"/>
      <c r="J25" s="90"/>
      <c r="K25" s="90"/>
      <c r="L25" s="93">
        <f>General!$A$10</f>
        <v>0</v>
      </c>
      <c r="M25" s="93"/>
      <c r="N25" s="90"/>
      <c r="O25" s="90"/>
      <c r="P25" s="92" t="s">
        <v>884</v>
      </c>
      <c r="Q25" s="90" t="str">
        <f>CONCATENATE(General!$B$7," ",General!$B$6)</f>
        <v>Nicolay García José Ramos Ramírez</v>
      </c>
    </row>
    <row r="26" spans="1:17" ht="33.75">
      <c r="A26" s="90" t="s">
        <v>159</v>
      </c>
      <c r="B26" s="167" t="s">
        <v>618</v>
      </c>
      <c r="C26" s="90" t="s">
        <v>170</v>
      </c>
      <c r="D26" s="31" t="s">
        <v>622</v>
      </c>
      <c r="E26" s="90" t="s">
        <v>160</v>
      </c>
      <c r="F26" s="91" t="str">
        <f>IF(CasoPrueba[[#This Row],[Estado Testing]]=Resumen!$P$28,"OK",IF(CasoPrueba[[#This Row],[Estado Testing]]=Resumen!$P$29,"NO OK",IF((CasoPrueba[[#This Row],[Estado Testing]]=Resumen!$P$30)+(CasoPrueba[[#This Row],[Estado Testing]]=Resumen!$P$31),"OBSERVADO","")))</f>
        <v>OK</v>
      </c>
      <c r="G26" s="92" t="s">
        <v>19</v>
      </c>
      <c r="H26" s="90" t="s">
        <v>28</v>
      </c>
      <c r="I26" s="92"/>
      <c r="J26" s="90"/>
      <c r="K26" s="90"/>
      <c r="L26" s="93">
        <f>General!$A$10</f>
        <v>0</v>
      </c>
      <c r="M26" s="93"/>
      <c r="N26" s="90"/>
      <c r="O26" s="90"/>
      <c r="P26" s="92" t="s">
        <v>885</v>
      </c>
      <c r="Q26" s="90" t="str">
        <f>CONCATENATE(General!$B$7," ",General!$B$6)</f>
        <v>Nicolay García José Ramos Ramírez</v>
      </c>
    </row>
    <row r="27" spans="1:17" ht="22.5">
      <c r="A27" s="90" t="s">
        <v>159</v>
      </c>
      <c r="B27" s="167" t="s">
        <v>619</v>
      </c>
      <c r="C27" s="90" t="s">
        <v>170</v>
      </c>
      <c r="D27" s="31" t="s">
        <v>623</v>
      </c>
      <c r="E27" s="90" t="s">
        <v>160</v>
      </c>
      <c r="F27" s="91" t="str">
        <f>IF(CasoPrueba[[#This Row],[Estado Testing]]=Resumen!$P$28,"OK",IF(CasoPrueba[[#This Row],[Estado Testing]]=Resumen!$P$29,"NO OK",IF((CasoPrueba[[#This Row],[Estado Testing]]=Resumen!$P$30)+(CasoPrueba[[#This Row],[Estado Testing]]=Resumen!$P$31),"OBSERVADO","")))</f>
        <v>NO OK</v>
      </c>
      <c r="G27" s="92" t="s">
        <v>20</v>
      </c>
      <c r="H27" s="90" t="s">
        <v>28</v>
      </c>
      <c r="I27" s="92" t="s">
        <v>162</v>
      </c>
      <c r="J27" s="90" t="s">
        <v>47</v>
      </c>
      <c r="K27" s="90"/>
      <c r="L27" s="93">
        <f>General!$A$10</f>
        <v>0</v>
      </c>
      <c r="M27" s="93"/>
      <c r="N27" s="90"/>
      <c r="O27" s="90"/>
      <c r="P27" s="92" t="s">
        <v>1065</v>
      </c>
      <c r="Q27" s="90" t="str">
        <f>CONCATENATE(General!$B$7," ",General!$B$6)</f>
        <v>Nicolay García José Ramos Ramírez</v>
      </c>
    </row>
    <row r="28" spans="1:17" ht="22.5">
      <c r="A28" s="90" t="s">
        <v>159</v>
      </c>
      <c r="B28" s="167" t="s">
        <v>653</v>
      </c>
      <c r="C28" s="90" t="s">
        <v>170</v>
      </c>
      <c r="D28" s="31" t="s">
        <v>655</v>
      </c>
      <c r="E28" s="90" t="s">
        <v>160</v>
      </c>
      <c r="F28" s="91" t="str">
        <f>IF(CasoPrueba[[#This Row],[Estado Testing]]=Resumen!$P$28,"OK",IF(CasoPrueba[[#This Row],[Estado Testing]]=Resumen!$P$29,"NO OK",IF((CasoPrueba[[#This Row],[Estado Testing]]=Resumen!$P$30)+(CasoPrueba[[#This Row],[Estado Testing]]=Resumen!$P$31),"OBSERVADO","")))</f>
        <v>NO OK</v>
      </c>
      <c r="G28" s="92" t="s">
        <v>20</v>
      </c>
      <c r="H28" s="90" t="s">
        <v>28</v>
      </c>
      <c r="I28" s="92" t="s">
        <v>162</v>
      </c>
      <c r="J28" s="90" t="s">
        <v>47</v>
      </c>
      <c r="K28" s="90"/>
      <c r="L28" s="93">
        <f>General!$A$10</f>
        <v>0</v>
      </c>
      <c r="M28" s="93"/>
      <c r="N28" s="90"/>
      <c r="O28" s="90"/>
      <c r="P28" s="92" t="s">
        <v>1066</v>
      </c>
      <c r="Q28" s="90" t="str">
        <f>CONCATENATE(General!$B$7," ",General!$B$6)</f>
        <v>Nicolay García José Ramos Ramírez</v>
      </c>
    </row>
    <row r="29" spans="1:17" ht="56.25">
      <c r="A29" s="90" t="s">
        <v>159</v>
      </c>
      <c r="B29" s="167" t="s">
        <v>654</v>
      </c>
      <c r="C29" s="90" t="s">
        <v>170</v>
      </c>
      <c r="D29" s="31" t="s">
        <v>656</v>
      </c>
      <c r="E29" s="90" t="s">
        <v>160</v>
      </c>
      <c r="F29" s="91" t="str">
        <f>IF(CasoPrueba[[#This Row],[Estado Testing]]=Resumen!$P$28,"OK",IF(CasoPrueba[[#This Row],[Estado Testing]]=Resumen!$P$29,"NO OK",IF((CasoPrueba[[#This Row],[Estado Testing]]=Resumen!$P$30)+(CasoPrueba[[#This Row],[Estado Testing]]=Resumen!$P$31),"OBSERVADO","")))</f>
        <v>OK</v>
      </c>
      <c r="G29" s="92" t="s">
        <v>19</v>
      </c>
      <c r="H29" s="90" t="s">
        <v>28</v>
      </c>
      <c r="I29" s="92"/>
      <c r="J29" s="90"/>
      <c r="K29" s="90"/>
      <c r="L29" s="93">
        <f>General!$A$10</f>
        <v>0</v>
      </c>
      <c r="M29" s="93"/>
      <c r="N29" s="90"/>
      <c r="O29" s="90"/>
      <c r="P29" s="92" t="s">
        <v>886</v>
      </c>
      <c r="Q29" s="90" t="str">
        <f>CONCATENATE(General!$B$7," ",General!$B$6)</f>
        <v>Nicolay García José Ramos Ramírez</v>
      </c>
    </row>
    <row r="30" spans="1:17" ht="33.75">
      <c r="A30" s="90" t="s">
        <v>159</v>
      </c>
      <c r="B30" s="167" t="s">
        <v>887</v>
      </c>
      <c r="C30" s="90" t="s">
        <v>170</v>
      </c>
      <c r="D30" s="31" t="s">
        <v>894</v>
      </c>
      <c r="E30" s="90" t="s">
        <v>160</v>
      </c>
      <c r="F30" s="91" t="str">
        <f>IF(CasoPrueba[[#This Row],[Estado Testing]]=Resumen!$P$28,"OK",IF(CasoPrueba[[#This Row],[Estado Testing]]=Resumen!$P$29,"NO OK",IF((CasoPrueba[[#This Row],[Estado Testing]]=Resumen!$P$30)+(CasoPrueba[[#This Row],[Estado Testing]]=Resumen!$P$31),"OBSERVADO","")))</f>
        <v>NO OK</v>
      </c>
      <c r="G30" s="92" t="s">
        <v>20</v>
      </c>
      <c r="H30" s="90" t="s">
        <v>28</v>
      </c>
      <c r="I30" s="92" t="s">
        <v>30</v>
      </c>
      <c r="J30" s="90" t="s">
        <v>47</v>
      </c>
      <c r="K30" s="90"/>
      <c r="L30" s="93">
        <f>General!$A$10</f>
        <v>0</v>
      </c>
      <c r="M30" s="93"/>
      <c r="N30" s="90"/>
      <c r="O30" s="90"/>
      <c r="P30" s="92" t="s">
        <v>1039</v>
      </c>
      <c r="Q30" s="90" t="str">
        <f>CONCATENATE(General!$B$7," ",General!$B$6)</f>
        <v>Nicolay García José Ramos Ramírez</v>
      </c>
    </row>
    <row r="31" spans="1:17" ht="30">
      <c r="A31" s="90" t="s">
        <v>159</v>
      </c>
      <c r="B31" s="167" t="s">
        <v>888</v>
      </c>
      <c r="C31" s="90" t="s">
        <v>170</v>
      </c>
      <c r="D31" s="31" t="s">
        <v>895</v>
      </c>
      <c r="E31" s="90" t="s">
        <v>160</v>
      </c>
      <c r="F31" s="91" t="str">
        <f>IF(CasoPrueba[[#This Row],[Estado Testing]]=Resumen!$P$28,"OK",IF(CasoPrueba[[#This Row],[Estado Testing]]=Resumen!$P$29,"NO OK",IF((CasoPrueba[[#This Row],[Estado Testing]]=Resumen!$P$30)+(CasoPrueba[[#This Row],[Estado Testing]]=Resumen!$P$31),"OBSERVADO","")))</f>
        <v>NO OK</v>
      </c>
      <c r="G31" s="92" t="s">
        <v>20</v>
      </c>
      <c r="H31" s="90" t="s">
        <v>28</v>
      </c>
      <c r="I31" s="92" t="s">
        <v>30</v>
      </c>
      <c r="J31" s="90" t="s">
        <v>47</v>
      </c>
      <c r="K31" s="90"/>
      <c r="L31" s="93">
        <f>General!$A$10</f>
        <v>0</v>
      </c>
      <c r="M31" s="93"/>
      <c r="N31" s="90"/>
      <c r="O31" s="90"/>
      <c r="P31" s="92" t="s">
        <v>1040</v>
      </c>
      <c r="Q31" s="90" t="str">
        <f>CONCATENATE(General!$B$7," ",General!$B$6)</f>
        <v>Nicolay García José Ramos Ramírez</v>
      </c>
    </row>
    <row r="32" spans="1:17" ht="56.25">
      <c r="A32" s="90" t="s">
        <v>159</v>
      </c>
      <c r="B32" s="167" t="s">
        <v>889</v>
      </c>
      <c r="C32" s="90" t="s">
        <v>170</v>
      </c>
      <c r="D32" s="31" t="s">
        <v>896</v>
      </c>
      <c r="E32" s="90" t="s">
        <v>160</v>
      </c>
      <c r="F32" s="91" t="str">
        <f>IF(CasoPrueba[[#This Row],[Estado Testing]]=Resumen!$P$28,"OK",IF(CasoPrueba[[#This Row],[Estado Testing]]=Resumen!$P$29,"NO OK",IF((CasoPrueba[[#This Row],[Estado Testing]]=Resumen!$P$30)+(CasoPrueba[[#This Row],[Estado Testing]]=Resumen!$P$31),"OBSERVADO","")))</f>
        <v>NO OK</v>
      </c>
      <c r="G32" s="92" t="s">
        <v>20</v>
      </c>
      <c r="H32" s="90" t="s">
        <v>28</v>
      </c>
      <c r="I32" s="92" t="s">
        <v>30</v>
      </c>
      <c r="J32" s="90" t="s">
        <v>47</v>
      </c>
      <c r="K32" s="90"/>
      <c r="L32" s="93">
        <f>General!$A$10</f>
        <v>0</v>
      </c>
      <c r="M32" s="93"/>
      <c r="N32" s="90"/>
      <c r="O32" s="90"/>
      <c r="P32" s="92" t="s">
        <v>1067</v>
      </c>
      <c r="Q32" s="90" t="str">
        <f>CONCATENATE(General!$B$7," ",General!$B$6)</f>
        <v>Nicolay García José Ramos Ramírez</v>
      </c>
    </row>
    <row r="33" spans="1:17" ht="168.75">
      <c r="A33" s="90" t="s">
        <v>159</v>
      </c>
      <c r="B33" s="167" t="s">
        <v>890</v>
      </c>
      <c r="C33" s="90" t="s">
        <v>170</v>
      </c>
      <c r="D33" s="31" t="s">
        <v>897</v>
      </c>
      <c r="E33" s="90" t="s">
        <v>160</v>
      </c>
      <c r="F33" s="91" t="str">
        <f>IF(CasoPrueba[[#This Row],[Estado Testing]]=Resumen!$P$28,"OK",IF(CasoPrueba[[#This Row],[Estado Testing]]=Resumen!$P$29,"NO OK",IF((CasoPrueba[[#This Row],[Estado Testing]]=Resumen!$P$30)+(CasoPrueba[[#This Row],[Estado Testing]]=Resumen!$P$31),"OBSERVADO","")))</f>
        <v>OK</v>
      </c>
      <c r="G33" s="92" t="s">
        <v>19</v>
      </c>
      <c r="H33" s="90" t="s">
        <v>28</v>
      </c>
      <c r="I33" s="92"/>
      <c r="J33" s="90"/>
      <c r="K33" s="90"/>
      <c r="L33" s="93">
        <f>General!$A$10</f>
        <v>0</v>
      </c>
      <c r="M33" s="93"/>
      <c r="N33" s="90"/>
      <c r="O33" s="90"/>
      <c r="P33" s="92" t="s">
        <v>952</v>
      </c>
      <c r="Q33" s="90" t="str">
        <f>CONCATENATE(General!$B$7," ",General!$B$6)</f>
        <v>Nicolay García José Ramos Ramírez</v>
      </c>
    </row>
    <row r="34" spans="1:17" ht="33.75">
      <c r="A34" s="90" t="s">
        <v>159</v>
      </c>
      <c r="B34" s="167" t="s">
        <v>891</v>
      </c>
      <c r="C34" s="90" t="s">
        <v>170</v>
      </c>
      <c r="D34" s="31" t="s">
        <v>898</v>
      </c>
      <c r="E34" s="90" t="s">
        <v>160</v>
      </c>
      <c r="F34" s="91" t="str">
        <f>IF(CasoPrueba[[#This Row],[Estado Testing]]=Resumen!$P$28,"OK",IF(CasoPrueba[[#This Row],[Estado Testing]]=Resumen!$P$29,"NO OK",IF((CasoPrueba[[#This Row],[Estado Testing]]=Resumen!$P$30)+(CasoPrueba[[#This Row],[Estado Testing]]=Resumen!$P$31),"OBSERVADO","")))</f>
        <v>NO OK</v>
      </c>
      <c r="G34" s="92" t="s">
        <v>20</v>
      </c>
      <c r="H34" s="90" t="s">
        <v>28</v>
      </c>
      <c r="I34" s="92" t="s">
        <v>162</v>
      </c>
      <c r="J34" s="90" t="s">
        <v>47</v>
      </c>
      <c r="K34" s="90"/>
      <c r="L34" s="93">
        <f>General!$A$10</f>
        <v>0</v>
      </c>
      <c r="M34" s="93"/>
      <c r="N34" s="90"/>
      <c r="O34" s="90"/>
      <c r="P34" s="92" t="s">
        <v>1041</v>
      </c>
      <c r="Q34" s="90" t="str">
        <f>CONCATENATE(General!$B$7," ",General!$B$6)</f>
        <v>Nicolay García José Ramos Ramírez</v>
      </c>
    </row>
    <row r="35" spans="1:17" ht="180">
      <c r="A35" s="90" t="s">
        <v>159</v>
      </c>
      <c r="B35" s="167" t="s">
        <v>892</v>
      </c>
      <c r="C35" s="90" t="s">
        <v>170</v>
      </c>
      <c r="D35" s="31" t="s">
        <v>899</v>
      </c>
      <c r="E35" s="90" t="s">
        <v>160</v>
      </c>
      <c r="F35" s="91" t="str">
        <f>IF(CasoPrueba[[#This Row],[Estado Testing]]=Resumen!$P$28,"OK",IF(CasoPrueba[[#This Row],[Estado Testing]]=Resumen!$P$29,"NO OK",IF((CasoPrueba[[#This Row],[Estado Testing]]=Resumen!$P$30)+(CasoPrueba[[#This Row],[Estado Testing]]=Resumen!$P$31),"OBSERVADO","")))</f>
        <v>OK</v>
      </c>
      <c r="G35" s="92" t="s">
        <v>19</v>
      </c>
      <c r="H35" s="90" t="s">
        <v>28</v>
      </c>
      <c r="I35" s="92"/>
      <c r="J35" s="90"/>
      <c r="K35" s="90"/>
      <c r="L35" s="93">
        <f>General!$A$10</f>
        <v>0</v>
      </c>
      <c r="M35" s="93"/>
      <c r="N35" s="90"/>
      <c r="O35" s="90"/>
      <c r="P35" s="92" t="s">
        <v>953</v>
      </c>
      <c r="Q35" s="90" t="str">
        <f>CONCATENATE(General!$B$7," ",General!$B$6)</f>
        <v>Nicolay García José Ramos Ramírez</v>
      </c>
    </row>
    <row r="36" spans="1:17" ht="168.75">
      <c r="A36" s="90" t="s">
        <v>159</v>
      </c>
      <c r="B36" s="167" t="s">
        <v>893</v>
      </c>
      <c r="C36" s="90" t="s">
        <v>170</v>
      </c>
      <c r="D36" s="31" t="s">
        <v>900</v>
      </c>
      <c r="E36" s="90" t="s">
        <v>160</v>
      </c>
      <c r="F36" s="91" t="str">
        <f>IF(CasoPrueba[[#This Row],[Estado Testing]]=Resumen!$P$28,"OK",IF(CasoPrueba[[#This Row],[Estado Testing]]=Resumen!$P$29,"NO OK",IF((CasoPrueba[[#This Row],[Estado Testing]]=Resumen!$P$30)+(CasoPrueba[[#This Row],[Estado Testing]]=Resumen!$P$31),"OBSERVADO","")))</f>
        <v>OK</v>
      </c>
      <c r="G36" s="92" t="s">
        <v>19</v>
      </c>
      <c r="H36" s="90" t="s">
        <v>28</v>
      </c>
      <c r="I36" s="92"/>
      <c r="J36" s="90"/>
      <c r="K36" s="90"/>
      <c r="L36" s="93">
        <f>General!$A$10</f>
        <v>0</v>
      </c>
      <c r="M36" s="93"/>
      <c r="N36" s="90"/>
      <c r="O36" s="90"/>
      <c r="P36" s="92" t="s">
        <v>954</v>
      </c>
      <c r="Q36" s="90" t="str">
        <f>CONCATENATE(General!$B$7," ",General!$B$6)</f>
        <v>Nicolay García José Ramos Ramírez</v>
      </c>
    </row>
    <row r="37" spans="1:17" ht="202.5">
      <c r="A37" s="90" t="s">
        <v>159</v>
      </c>
      <c r="B37" s="167" t="s">
        <v>904</v>
      </c>
      <c r="C37" s="90" t="s">
        <v>170</v>
      </c>
      <c r="D37" s="168" t="s">
        <v>901</v>
      </c>
      <c r="E37" s="90" t="s">
        <v>160</v>
      </c>
      <c r="F37" s="91" t="str">
        <f>IF(CasoPrueba[[#This Row],[Estado Testing]]=Resumen!$P$28,"OK",IF(CasoPrueba[[#This Row],[Estado Testing]]=Resumen!$P$29,"NO OK",IF((CasoPrueba[[#This Row],[Estado Testing]]=Resumen!$P$30)+(CasoPrueba[[#This Row],[Estado Testing]]=Resumen!$P$31),"OBSERVADO","")))</f>
        <v>OK</v>
      </c>
      <c r="G37" s="92" t="s">
        <v>19</v>
      </c>
      <c r="H37" s="90" t="s">
        <v>28</v>
      </c>
      <c r="I37" s="92"/>
      <c r="J37" s="90"/>
      <c r="K37" s="167"/>
      <c r="L37" s="171">
        <f>General!$A$10</f>
        <v>0</v>
      </c>
      <c r="M37" s="171"/>
      <c r="N37" s="167"/>
      <c r="O37" s="167"/>
      <c r="P37" s="170" t="s">
        <v>1022</v>
      </c>
      <c r="Q37" s="90" t="str">
        <f>CONCATENATE(General!$B$7," ",General!$B$6)</f>
        <v>Nicolay García José Ramos Ramírez</v>
      </c>
    </row>
    <row r="38" spans="1:17" ht="202.5">
      <c r="A38" s="90" t="s">
        <v>159</v>
      </c>
      <c r="B38" s="167" t="s">
        <v>905</v>
      </c>
      <c r="C38" s="90" t="s">
        <v>170</v>
      </c>
      <c r="D38" s="168" t="s">
        <v>902</v>
      </c>
      <c r="E38" s="90" t="s">
        <v>160</v>
      </c>
      <c r="F38" s="91" t="str">
        <f>IF(CasoPrueba[[#This Row],[Estado Testing]]=Resumen!$P$28,"OK",IF(CasoPrueba[[#This Row],[Estado Testing]]=Resumen!$P$29,"NO OK",IF((CasoPrueba[[#This Row],[Estado Testing]]=Resumen!$P$30)+(CasoPrueba[[#This Row],[Estado Testing]]=Resumen!$P$31),"OBSERVADO","")))</f>
        <v>OK</v>
      </c>
      <c r="G38" s="92" t="s">
        <v>19</v>
      </c>
      <c r="H38" s="90" t="s">
        <v>28</v>
      </c>
      <c r="I38" s="92"/>
      <c r="J38" s="90"/>
      <c r="K38" s="167"/>
      <c r="L38" s="171">
        <f>General!$A$10</f>
        <v>0</v>
      </c>
      <c r="M38" s="171"/>
      <c r="N38" s="167"/>
      <c r="O38" s="167"/>
      <c r="P38" s="170" t="s">
        <v>1023</v>
      </c>
      <c r="Q38" s="90" t="str">
        <f>CONCATENATE(General!$B$7," ",General!$B$6)</f>
        <v>Nicolay García José Ramos Ramírez</v>
      </c>
    </row>
    <row r="39" spans="1:17" ht="90">
      <c r="A39" s="90" t="s">
        <v>159</v>
      </c>
      <c r="B39" s="167" t="s">
        <v>906</v>
      </c>
      <c r="C39" s="90" t="s">
        <v>170</v>
      </c>
      <c r="D39" s="168" t="s">
        <v>903</v>
      </c>
      <c r="E39" s="90" t="s">
        <v>160</v>
      </c>
      <c r="F39" s="91" t="str">
        <f>IF(CasoPrueba[[#This Row],[Estado Testing]]=Resumen!$P$28,"OK",IF(CasoPrueba[[#This Row],[Estado Testing]]=Resumen!$P$29,"NO OK",IF((CasoPrueba[[#This Row],[Estado Testing]]=Resumen!$P$30)+(CasoPrueba[[#This Row],[Estado Testing]]=Resumen!$P$31),"OBSERVADO","")))</f>
        <v>OK</v>
      </c>
      <c r="G39" s="92" t="s">
        <v>19</v>
      </c>
      <c r="H39" s="90" t="s">
        <v>28</v>
      </c>
      <c r="I39" s="92"/>
      <c r="J39" s="90"/>
      <c r="K39" s="167"/>
      <c r="L39" s="171">
        <f>General!$A$10</f>
        <v>0</v>
      </c>
      <c r="M39" s="171"/>
      <c r="N39" s="167"/>
      <c r="O39" s="167"/>
      <c r="P39" s="170" t="s">
        <v>1024</v>
      </c>
      <c r="Q39" s="90" t="str">
        <f>CONCATENATE(General!$B$7," ",General!$B$6)</f>
        <v>Nicolay García José Ramos Ramírez</v>
      </c>
    </row>
    <row r="40" spans="1:17" ht="22.5">
      <c r="A40" s="167" t="s">
        <v>159</v>
      </c>
      <c r="B40" s="167" t="s">
        <v>906</v>
      </c>
      <c r="C40" s="90" t="s">
        <v>170</v>
      </c>
      <c r="D40" s="168" t="s">
        <v>1105</v>
      </c>
      <c r="E40" s="90" t="s">
        <v>160</v>
      </c>
      <c r="F40" s="91" t="str">
        <f>IF(CasoPrueba[[#This Row],[Estado Testing]]=Resumen!$P$28,"OK",IF(CasoPrueba[[#This Row],[Estado Testing]]=Resumen!$P$29,"NO OK",IF((CasoPrueba[[#This Row],[Estado Testing]]=Resumen!$P$30)+(CasoPrueba[[#This Row],[Estado Testing]]=Resumen!$P$31),"OBSERVADO","")))</f>
        <v/>
      </c>
      <c r="G40" s="92" t="s">
        <v>22</v>
      </c>
      <c r="H40" s="90" t="s">
        <v>28</v>
      </c>
      <c r="I40" s="92"/>
      <c r="J40" s="90"/>
      <c r="K40" s="167"/>
      <c r="L40" s="171">
        <f>General!$A$10</f>
        <v>0</v>
      </c>
      <c r="M40" s="171"/>
      <c r="N40" s="167"/>
      <c r="O40" s="167"/>
      <c r="P40" s="170"/>
      <c r="Q40" s="90" t="str">
        <f>CONCATENATE(General!$B$7," ",General!$B$6)</f>
        <v>Nicolay García José Ramos Ramírez</v>
      </c>
    </row>
  </sheetData>
  <scenarios current="0" show="0">
    <scenario name="Registro de Incidencia" locked="1" count="1" user="oecastillom" comment="Creado por oecastillom el 09/02/2011">
      <inputCells r="J5" val="&quot;Abierta&quot;"/>
    </scenario>
  </scenarios>
  <mergeCells count="1">
    <mergeCell ref="G2:N2"/>
  </mergeCells>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Resumen!$P$27:$P$32</xm:f>
          </x14:formula1>
          <xm:sqref>G5:G39</xm:sqref>
        </x14:dataValidation>
        <x14:dataValidation type="list" allowBlank="1" showInputMessage="1" showErrorMessage="1">
          <x14:formula1>
            <xm:f>Resumen!$P$17:$P$19</xm:f>
          </x14:formula1>
          <xm:sqref>H5:H39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N372"/>
  <sheetViews>
    <sheetView tabSelected="1" zoomScale="85" zoomScaleNormal="85" workbookViewId="0">
      <selection activeCell="J373" sqref="J373"/>
    </sheetView>
  </sheetViews>
  <sheetFormatPr baseColWidth="10" defaultColWidth="0" defaultRowHeight="15"/>
  <cols>
    <col min="1" max="1" width="12.7109375" style="72" customWidth="1"/>
    <col min="2" max="5" width="12.7109375" style="34" customWidth="1"/>
    <col min="6" max="7" width="12.7109375" style="73" customWidth="1"/>
    <col min="8" max="8" width="13.28515625" style="94" customWidth="1"/>
    <col min="9" max="9" width="41.5703125" style="34" customWidth="1"/>
    <col min="10" max="10" width="40.42578125" style="34" customWidth="1"/>
    <col min="11" max="11" width="12.7109375" style="31" customWidth="1"/>
    <col min="12" max="12" width="13.85546875" style="31" customWidth="1"/>
    <col min="13" max="16384" width="11.42578125" style="31" hidden="1"/>
  </cols>
  <sheetData>
    <row r="1" spans="1:14" customFormat="1" ht="31.5">
      <c r="A1" s="201" t="s">
        <v>96</v>
      </c>
      <c r="B1" s="201"/>
      <c r="C1" s="201"/>
      <c r="D1" s="201"/>
      <c r="E1" s="201"/>
      <c r="F1" s="201"/>
      <c r="G1" s="201"/>
      <c r="H1" s="201"/>
      <c r="I1" s="201"/>
      <c r="J1" s="201"/>
      <c r="K1" s="201"/>
      <c r="N1" s="31" t="s">
        <v>132</v>
      </c>
    </row>
    <row r="2" spans="1:14" s="71" customFormat="1" ht="38.25">
      <c r="A2" s="153" t="s">
        <v>89</v>
      </c>
      <c r="B2" s="154" t="s">
        <v>90</v>
      </c>
      <c r="C2" s="154" t="s">
        <v>78</v>
      </c>
      <c r="D2" s="154" t="s">
        <v>79</v>
      </c>
      <c r="E2" s="154" t="s">
        <v>91</v>
      </c>
      <c r="F2" s="155" t="s">
        <v>92</v>
      </c>
      <c r="G2" s="155" t="s">
        <v>93</v>
      </c>
      <c r="H2" s="155" t="s">
        <v>129</v>
      </c>
      <c r="I2" s="154" t="s">
        <v>3</v>
      </c>
      <c r="J2" s="154" t="s">
        <v>94</v>
      </c>
      <c r="K2" s="156" t="s">
        <v>104</v>
      </c>
      <c r="L2" s="156" t="s">
        <v>143</v>
      </c>
      <c r="N2" s="31" t="s">
        <v>133</v>
      </c>
    </row>
    <row r="3" spans="1:14" ht="45" hidden="1">
      <c r="A3" s="72" t="s">
        <v>97</v>
      </c>
      <c r="B3" s="34" t="s">
        <v>88</v>
      </c>
      <c r="C3" s="34" t="str">
        <f>VLOOKUP(Observaciones[Caso de Prueba],CasoPrueba[[#All],[Código CP]:[Prioridad]],7,TRUE)</f>
        <v>Alta</v>
      </c>
      <c r="D3" s="34" t="s">
        <v>30</v>
      </c>
      <c r="E3" s="34" t="s">
        <v>49</v>
      </c>
      <c r="F3" s="73">
        <v>40784</v>
      </c>
      <c r="G3" s="73">
        <v>40796</v>
      </c>
      <c r="H3" s="94" t="s">
        <v>132</v>
      </c>
      <c r="I3" s="34" t="s">
        <v>227</v>
      </c>
      <c r="J3" s="34" t="s">
        <v>228</v>
      </c>
      <c r="K3" s="34">
        <f>IF((Observaciones[[#This Row],[Fecha Levantamiento]]-Observaciones[[#This Row],[Fecha Detección]])&gt;=0,Observaciones[[#This Row],[Fecha Levantamiento]]-Observaciones[[#This Row],[Fecha Detección]]+1,0)</f>
        <v>13</v>
      </c>
      <c r="L3" s="34" t="str">
        <f>LOOKUP(Observaciones[[#This Row],[Caso de Prueba]],CasoPrueba[Código CP],CasoPrueba[Código de REQ])</f>
        <v>INSPECCIÓN</v>
      </c>
    </row>
    <row r="4" spans="1:14" ht="30" hidden="1">
      <c r="A4" s="165" t="s">
        <v>161</v>
      </c>
      <c r="B4" s="163" t="s">
        <v>88</v>
      </c>
      <c r="C4" s="34" t="str">
        <f>VLOOKUP(Observaciones[Caso de Prueba],CasoPrueba[[#All],[Código CP]:[Prioridad]],7,TRUE)</f>
        <v>Alta</v>
      </c>
      <c r="D4" s="163" t="s">
        <v>30</v>
      </c>
      <c r="E4" s="34" t="s">
        <v>49</v>
      </c>
      <c r="F4" s="164">
        <v>40784</v>
      </c>
      <c r="G4" s="73">
        <v>40796</v>
      </c>
      <c r="H4" s="166" t="s">
        <v>132</v>
      </c>
      <c r="I4" s="163" t="s">
        <v>192</v>
      </c>
      <c r="J4" s="163" t="s">
        <v>193</v>
      </c>
      <c r="K4" s="34">
        <f>IF((Observaciones[[#This Row],[Fecha Levantamiento]]-Observaciones[[#This Row],[Fecha Detección]])&gt;=0,Observaciones[[#This Row],[Fecha Levantamiento]]-Observaciones[[#This Row],[Fecha Detección]]+1,0)</f>
        <v>13</v>
      </c>
      <c r="L4" s="34" t="str">
        <f>LOOKUP(Observaciones[[#This Row],[Caso de Prueba]],CasoPrueba[Código CP],CasoPrueba[Código de REQ])</f>
        <v>INSPECCIÓN</v>
      </c>
    </row>
    <row r="5" spans="1:14" ht="30" hidden="1">
      <c r="A5" s="165" t="s">
        <v>194</v>
      </c>
      <c r="B5" s="163" t="s">
        <v>88</v>
      </c>
      <c r="C5" s="34" t="str">
        <f>VLOOKUP(Observaciones[Caso de Prueba],CasoPrueba[[#All],[Código CP]:[Prioridad]],7,TRUE)</f>
        <v>Alta</v>
      </c>
      <c r="D5" s="163" t="s">
        <v>162</v>
      </c>
      <c r="E5" s="34" t="s">
        <v>49</v>
      </c>
      <c r="F5" s="164">
        <v>40784</v>
      </c>
      <c r="G5" s="73">
        <v>40796</v>
      </c>
      <c r="H5" s="166" t="s">
        <v>132</v>
      </c>
      <c r="I5" s="163" t="s">
        <v>195</v>
      </c>
      <c r="J5" s="163" t="s">
        <v>196</v>
      </c>
      <c r="K5" s="34">
        <f>IF((Observaciones[[#This Row],[Fecha Levantamiento]]-Observaciones[[#This Row],[Fecha Detección]])&gt;=0,Observaciones[[#This Row],[Fecha Levantamiento]]-Observaciones[[#This Row],[Fecha Detección]]+1,0)</f>
        <v>13</v>
      </c>
      <c r="L5" s="34" t="str">
        <f>LOOKUP(Observaciones[[#This Row],[Caso de Prueba]],CasoPrueba[Código CP],CasoPrueba[Código de REQ])</f>
        <v>INSPECCIÓN</v>
      </c>
    </row>
    <row r="6" spans="1:14" ht="30" hidden="1">
      <c r="A6" s="165" t="s">
        <v>197</v>
      </c>
      <c r="B6" s="163" t="s">
        <v>88</v>
      </c>
      <c r="C6" s="34" t="str">
        <f>VLOOKUP(Observaciones[Caso de Prueba],CasoPrueba[[#All],[Código CP]:[Prioridad]],7,TRUE)</f>
        <v>Alta</v>
      </c>
      <c r="D6" s="163" t="s">
        <v>162</v>
      </c>
      <c r="E6" s="34" t="s">
        <v>49</v>
      </c>
      <c r="F6" s="164">
        <v>40784</v>
      </c>
      <c r="G6" s="73">
        <v>40796</v>
      </c>
      <c r="H6" s="166" t="s">
        <v>132</v>
      </c>
      <c r="I6" s="163" t="s">
        <v>198</v>
      </c>
      <c r="J6" s="163" t="s">
        <v>199</v>
      </c>
      <c r="K6" s="34">
        <f>IF((Observaciones[[#This Row],[Fecha Levantamiento]]-Observaciones[[#This Row],[Fecha Detección]])&gt;=0,Observaciones[[#This Row],[Fecha Levantamiento]]-Observaciones[[#This Row],[Fecha Detección]]+1,0)</f>
        <v>13</v>
      </c>
      <c r="L6" s="34" t="str">
        <f>LOOKUP(Observaciones[[#This Row],[Caso de Prueba]],CasoPrueba[Código CP],CasoPrueba[Código de REQ])</f>
        <v>INSPECCIÓN</v>
      </c>
    </row>
    <row r="7" spans="1:14" hidden="1">
      <c r="A7" s="165" t="s">
        <v>200</v>
      </c>
      <c r="B7" s="163" t="s">
        <v>88</v>
      </c>
      <c r="C7" s="34" t="str">
        <f>VLOOKUP(Observaciones[Caso de Prueba],CasoPrueba[[#All],[Código CP]:[Prioridad]],7,TRUE)</f>
        <v>Alta</v>
      </c>
      <c r="D7" s="163" t="s">
        <v>162</v>
      </c>
      <c r="E7" s="34" t="s">
        <v>49</v>
      </c>
      <c r="F7" s="164">
        <v>40784</v>
      </c>
      <c r="G7" s="73">
        <v>40796</v>
      </c>
      <c r="H7" s="166" t="s">
        <v>132</v>
      </c>
      <c r="I7" s="163" t="s">
        <v>426</v>
      </c>
      <c r="J7" s="163" t="s">
        <v>201</v>
      </c>
      <c r="K7" s="34">
        <f>IF((Observaciones[[#This Row],[Fecha Levantamiento]]-Observaciones[[#This Row],[Fecha Detección]])&gt;=0,Observaciones[[#This Row],[Fecha Levantamiento]]-Observaciones[[#This Row],[Fecha Detección]]+1,0)</f>
        <v>13</v>
      </c>
      <c r="L7" s="34" t="str">
        <f>LOOKUP(Observaciones[[#This Row],[Caso de Prueba]],CasoPrueba[Código CP],CasoPrueba[Código de REQ])</f>
        <v>INSPECCIÓN</v>
      </c>
    </row>
    <row r="8" spans="1:14" ht="30" hidden="1">
      <c r="A8" s="165" t="s">
        <v>202</v>
      </c>
      <c r="B8" s="163" t="s">
        <v>88</v>
      </c>
      <c r="C8" s="34" t="str">
        <f>VLOOKUP(Observaciones[Caso de Prueba],CasoPrueba[[#All],[Código CP]:[Prioridad]],7,TRUE)</f>
        <v>Alta</v>
      </c>
      <c r="D8" s="163" t="s">
        <v>30</v>
      </c>
      <c r="E8" s="34" t="s">
        <v>49</v>
      </c>
      <c r="F8" s="164">
        <v>40793</v>
      </c>
      <c r="G8" s="73">
        <v>40796</v>
      </c>
      <c r="H8" s="166" t="s">
        <v>132</v>
      </c>
      <c r="I8" s="163" t="s">
        <v>203</v>
      </c>
      <c r="J8" s="163" t="s">
        <v>204</v>
      </c>
      <c r="K8" s="34">
        <f>IF((Observaciones[[#This Row],[Fecha Levantamiento]]-Observaciones[[#This Row],[Fecha Detección]])&gt;=0,Observaciones[[#This Row],[Fecha Levantamiento]]-Observaciones[[#This Row],[Fecha Detección]]+1,0)</f>
        <v>4</v>
      </c>
      <c r="L8" s="34" t="str">
        <f>LOOKUP(Observaciones[[#This Row],[Caso de Prueba]],CasoPrueba[Código CP],CasoPrueba[Código de REQ])</f>
        <v>INSPECCIÓN</v>
      </c>
    </row>
    <row r="9" spans="1:14" ht="30" hidden="1">
      <c r="A9" s="165" t="s">
        <v>205</v>
      </c>
      <c r="B9" s="163" t="s">
        <v>88</v>
      </c>
      <c r="C9" s="34" t="str">
        <f>VLOOKUP(Observaciones[Caso de Prueba],CasoPrueba[[#All],[Código CP]:[Prioridad]],7,TRUE)</f>
        <v>Alta</v>
      </c>
      <c r="D9" s="163" t="s">
        <v>29</v>
      </c>
      <c r="E9" s="34" t="s">
        <v>49</v>
      </c>
      <c r="F9" s="164">
        <v>40784</v>
      </c>
      <c r="G9" s="73">
        <v>40796</v>
      </c>
      <c r="H9" s="166" t="s">
        <v>132</v>
      </c>
      <c r="I9" s="163" t="s">
        <v>206</v>
      </c>
      <c r="J9" s="163" t="s">
        <v>207</v>
      </c>
      <c r="K9" s="34">
        <f>IF((Observaciones[[#This Row],[Fecha Levantamiento]]-Observaciones[[#This Row],[Fecha Detección]])&gt;=0,Observaciones[[#This Row],[Fecha Levantamiento]]-Observaciones[[#This Row],[Fecha Detección]]+1,0)</f>
        <v>13</v>
      </c>
      <c r="L9" s="34" t="str">
        <f>LOOKUP(Observaciones[[#This Row],[Caso de Prueba]],CasoPrueba[Código CP],CasoPrueba[Código de REQ])</f>
        <v>INSPECCIÓN</v>
      </c>
    </row>
    <row r="10" spans="1:14" ht="60" hidden="1">
      <c r="A10" s="165" t="s">
        <v>208</v>
      </c>
      <c r="B10" s="163" t="s">
        <v>88</v>
      </c>
      <c r="C10" s="34" t="str">
        <f>VLOOKUP(Observaciones[Caso de Prueba],CasoPrueba[[#All],[Código CP]:[Prioridad]],7,TRUE)</f>
        <v>Alta</v>
      </c>
      <c r="D10" s="163" t="s">
        <v>29</v>
      </c>
      <c r="E10" s="34" t="s">
        <v>49</v>
      </c>
      <c r="F10" s="164">
        <v>40784</v>
      </c>
      <c r="G10" s="73">
        <v>40796</v>
      </c>
      <c r="H10" s="166" t="s">
        <v>132</v>
      </c>
      <c r="I10" s="163" t="s">
        <v>209</v>
      </c>
      <c r="J10" s="163" t="s">
        <v>210</v>
      </c>
      <c r="K10" s="34">
        <f>IF((Observaciones[[#This Row],[Fecha Levantamiento]]-Observaciones[[#This Row],[Fecha Detección]])&gt;=0,Observaciones[[#This Row],[Fecha Levantamiento]]-Observaciones[[#This Row],[Fecha Detección]]+1,0)</f>
        <v>13</v>
      </c>
      <c r="L10" s="34" t="str">
        <f>LOOKUP(Observaciones[[#This Row],[Caso de Prueba]],CasoPrueba[Código CP],CasoPrueba[Código de REQ])</f>
        <v>INSPECCIÓN</v>
      </c>
    </row>
    <row r="11" spans="1:14" ht="30" hidden="1">
      <c r="A11" s="165" t="s">
        <v>211</v>
      </c>
      <c r="B11" s="163" t="s">
        <v>88</v>
      </c>
      <c r="C11" s="34" t="str">
        <f>VLOOKUP(Observaciones[Caso de Prueba],CasoPrueba[[#All],[Código CP]:[Prioridad]],7,TRUE)</f>
        <v>Alta</v>
      </c>
      <c r="D11" s="163" t="s">
        <v>29</v>
      </c>
      <c r="E11" s="34" t="s">
        <v>49</v>
      </c>
      <c r="F11" s="164">
        <v>40784</v>
      </c>
      <c r="G11" s="73">
        <v>40796</v>
      </c>
      <c r="H11" s="166" t="s">
        <v>132</v>
      </c>
      <c r="I11" s="163" t="s">
        <v>212</v>
      </c>
      <c r="J11" s="163" t="s">
        <v>213</v>
      </c>
      <c r="K11" s="34">
        <f>IF((Observaciones[[#This Row],[Fecha Levantamiento]]-Observaciones[[#This Row],[Fecha Detección]])&gt;=0,Observaciones[[#This Row],[Fecha Levantamiento]]-Observaciones[[#This Row],[Fecha Detección]]+1,0)</f>
        <v>13</v>
      </c>
      <c r="L11" s="34" t="str">
        <f>LOOKUP(Observaciones[[#This Row],[Caso de Prueba]],CasoPrueba[Código CP],CasoPrueba[Código de REQ])</f>
        <v>INSPECCIÓN</v>
      </c>
    </row>
    <row r="12" spans="1:14" ht="60" hidden="1">
      <c r="A12" s="165" t="s">
        <v>214</v>
      </c>
      <c r="B12" s="163" t="s">
        <v>88</v>
      </c>
      <c r="C12" s="34" t="str">
        <f>VLOOKUP(Observaciones[Caso de Prueba],CasoPrueba[[#All],[Código CP]:[Prioridad]],7,TRUE)</f>
        <v>Alta</v>
      </c>
      <c r="D12" s="163" t="s">
        <v>29</v>
      </c>
      <c r="E12" s="34" t="s">
        <v>49</v>
      </c>
      <c r="F12" s="164">
        <v>40784</v>
      </c>
      <c r="G12" s="73">
        <v>40796</v>
      </c>
      <c r="H12" s="166" t="s">
        <v>132</v>
      </c>
      <c r="I12" s="163" t="s">
        <v>215</v>
      </c>
      <c r="J12" s="163" t="s">
        <v>216</v>
      </c>
      <c r="K12" s="34">
        <f>IF((Observaciones[[#This Row],[Fecha Levantamiento]]-Observaciones[[#This Row],[Fecha Detección]])&gt;=0,Observaciones[[#This Row],[Fecha Levantamiento]]-Observaciones[[#This Row],[Fecha Detección]]+1,0)</f>
        <v>13</v>
      </c>
      <c r="L12" s="34" t="str">
        <f>LOOKUP(Observaciones[[#This Row],[Caso de Prueba]],CasoPrueba[Código CP],CasoPrueba[Código de REQ])</f>
        <v>INSPECCIÓN</v>
      </c>
    </row>
    <row r="13" spans="1:14" ht="45" hidden="1">
      <c r="A13" s="165" t="s">
        <v>217</v>
      </c>
      <c r="B13" s="163" t="s">
        <v>88</v>
      </c>
      <c r="C13" s="34" t="str">
        <f>VLOOKUP(Observaciones[Caso de Prueba],CasoPrueba[[#All],[Código CP]:[Prioridad]],7,TRUE)</f>
        <v>Alta</v>
      </c>
      <c r="D13" s="163" t="s">
        <v>29</v>
      </c>
      <c r="E13" s="34" t="s">
        <v>49</v>
      </c>
      <c r="F13" s="164">
        <v>40784</v>
      </c>
      <c r="G13" s="73">
        <v>40796</v>
      </c>
      <c r="H13" s="166" t="s">
        <v>132</v>
      </c>
      <c r="I13" s="163" t="s">
        <v>218</v>
      </c>
      <c r="J13" s="163" t="s">
        <v>219</v>
      </c>
      <c r="K13" s="34">
        <f>IF((Observaciones[[#This Row],[Fecha Levantamiento]]-Observaciones[[#This Row],[Fecha Detección]])&gt;=0,Observaciones[[#This Row],[Fecha Levantamiento]]-Observaciones[[#This Row],[Fecha Detección]]+1,0)</f>
        <v>13</v>
      </c>
      <c r="L13" s="34" t="str">
        <f>LOOKUP(Observaciones[[#This Row],[Caso de Prueba]],CasoPrueba[Código CP],CasoPrueba[Código de REQ])</f>
        <v>INSPECCIÓN</v>
      </c>
    </row>
    <row r="14" spans="1:14" ht="30" hidden="1">
      <c r="A14" s="165" t="s">
        <v>220</v>
      </c>
      <c r="B14" s="163" t="s">
        <v>88</v>
      </c>
      <c r="C14" s="34" t="str">
        <f>VLOOKUP(Observaciones[Caso de Prueba],CasoPrueba[[#All],[Código CP]:[Prioridad]],7,TRUE)</f>
        <v>Alta</v>
      </c>
      <c r="D14" s="163" t="s">
        <v>30</v>
      </c>
      <c r="E14" s="34" t="s">
        <v>49</v>
      </c>
      <c r="F14" s="164">
        <v>40784</v>
      </c>
      <c r="G14" s="73">
        <v>40796</v>
      </c>
      <c r="H14" s="166" t="s">
        <v>132</v>
      </c>
      <c r="I14" s="163" t="s">
        <v>221</v>
      </c>
      <c r="J14" s="163" t="s">
        <v>222</v>
      </c>
      <c r="K14" s="34">
        <f>IF((Observaciones[[#This Row],[Fecha Levantamiento]]-Observaciones[[#This Row],[Fecha Detección]])&gt;=0,Observaciones[[#This Row],[Fecha Levantamiento]]-Observaciones[[#This Row],[Fecha Detección]]+1,0)</f>
        <v>13</v>
      </c>
      <c r="L14" s="34" t="str">
        <f>LOOKUP(Observaciones[[#This Row],[Caso de Prueba]],CasoPrueba[Código CP],CasoPrueba[Código de REQ])</f>
        <v>INSPECCIÓN</v>
      </c>
    </row>
    <row r="15" spans="1:14" ht="60" hidden="1">
      <c r="A15" s="165" t="s">
        <v>223</v>
      </c>
      <c r="B15" s="163" t="s">
        <v>88</v>
      </c>
      <c r="C15" s="34" t="str">
        <f>VLOOKUP(Observaciones[Caso de Prueba],CasoPrueba[[#All],[Código CP]:[Prioridad]],7,TRUE)</f>
        <v>Alta</v>
      </c>
      <c r="D15" s="163" t="s">
        <v>30</v>
      </c>
      <c r="E15" s="34" t="s">
        <v>49</v>
      </c>
      <c r="F15" s="164">
        <v>40784</v>
      </c>
      <c r="G15" s="73">
        <v>40796</v>
      </c>
      <c r="H15" s="166" t="s">
        <v>132</v>
      </c>
      <c r="I15" s="163" t="s">
        <v>224</v>
      </c>
      <c r="J15" s="163" t="s">
        <v>225</v>
      </c>
      <c r="K15" s="34">
        <f>IF((Observaciones[[#This Row],[Fecha Levantamiento]]-Observaciones[[#This Row],[Fecha Detección]])&gt;=0,Observaciones[[#This Row],[Fecha Levantamiento]]-Observaciones[[#This Row],[Fecha Detección]]+1,0)</f>
        <v>13</v>
      </c>
      <c r="L15" s="34" t="str">
        <f>LOOKUP(Observaciones[[#This Row],[Caso de Prueba]],CasoPrueba[Código CP],CasoPrueba[Código de REQ])</f>
        <v>INSPECCIÓN</v>
      </c>
    </row>
    <row r="16" spans="1:14" ht="45" hidden="1">
      <c r="A16" s="165" t="s">
        <v>226</v>
      </c>
      <c r="B16" s="163" t="s">
        <v>151</v>
      </c>
      <c r="C16" s="34" t="str">
        <f>VLOOKUP(Observaciones[Caso de Prueba],CasoPrueba[[#All],[Código CP]:[Prioridad]],7,TRUE)</f>
        <v>Alta</v>
      </c>
      <c r="D16" s="163" t="s">
        <v>30</v>
      </c>
      <c r="E16" s="34" t="s">
        <v>49</v>
      </c>
      <c r="F16" s="164">
        <v>40786</v>
      </c>
      <c r="G16" s="73">
        <v>40796</v>
      </c>
      <c r="H16" s="166" t="s">
        <v>132</v>
      </c>
      <c r="I16" s="163" t="s">
        <v>227</v>
      </c>
      <c r="J16" s="163" t="s">
        <v>228</v>
      </c>
      <c r="K16" s="34">
        <f>IF((Observaciones[[#This Row],[Fecha Levantamiento]]-Observaciones[[#This Row],[Fecha Detección]])&gt;=0,Observaciones[[#This Row],[Fecha Levantamiento]]-Observaciones[[#This Row],[Fecha Detección]]+1,0)</f>
        <v>11</v>
      </c>
      <c r="L16" s="34" t="str">
        <f>LOOKUP(Observaciones[[#This Row],[Caso de Prueba]],CasoPrueba[Código CP],CasoPrueba[Código de REQ])</f>
        <v>INSPECCIÓN</v>
      </c>
    </row>
    <row r="17" spans="1:12" ht="30" hidden="1">
      <c r="A17" s="165" t="s">
        <v>229</v>
      </c>
      <c r="B17" s="163" t="s">
        <v>151</v>
      </c>
      <c r="C17" s="34" t="str">
        <f>VLOOKUP(Observaciones[Caso de Prueba],CasoPrueba[[#All],[Código CP]:[Prioridad]],7,TRUE)</f>
        <v>Alta</v>
      </c>
      <c r="D17" s="163" t="s">
        <v>162</v>
      </c>
      <c r="E17" s="34" t="s">
        <v>49</v>
      </c>
      <c r="F17" s="164">
        <v>40786</v>
      </c>
      <c r="G17" s="73">
        <v>40796</v>
      </c>
      <c r="H17" s="166" t="s">
        <v>132</v>
      </c>
      <c r="I17" s="163" t="s">
        <v>230</v>
      </c>
      <c r="J17" s="163" t="s">
        <v>231</v>
      </c>
      <c r="K17" s="34">
        <f>IF((Observaciones[[#This Row],[Fecha Levantamiento]]-Observaciones[[#This Row],[Fecha Detección]])&gt;=0,Observaciones[[#This Row],[Fecha Levantamiento]]-Observaciones[[#This Row],[Fecha Detección]]+1,0)</f>
        <v>11</v>
      </c>
      <c r="L17" s="34" t="str">
        <f>LOOKUP(Observaciones[[#This Row],[Caso de Prueba]],CasoPrueba[Código CP],CasoPrueba[Código de REQ])</f>
        <v>INSPECCIÓN</v>
      </c>
    </row>
    <row r="18" spans="1:12" ht="30" hidden="1">
      <c r="A18" s="165" t="s">
        <v>232</v>
      </c>
      <c r="B18" s="163" t="s">
        <v>151</v>
      </c>
      <c r="C18" s="34" t="str">
        <f>VLOOKUP(Observaciones[Caso de Prueba],CasoPrueba[[#All],[Código CP]:[Prioridad]],7,TRUE)</f>
        <v>Alta</v>
      </c>
      <c r="D18" s="163" t="s">
        <v>162</v>
      </c>
      <c r="E18" s="34" t="s">
        <v>49</v>
      </c>
      <c r="F18" s="164">
        <v>40786</v>
      </c>
      <c r="G18" s="73">
        <v>40796</v>
      </c>
      <c r="H18" s="166" t="s">
        <v>132</v>
      </c>
      <c r="I18" s="163" t="s">
        <v>233</v>
      </c>
      <c r="J18" s="163" t="s">
        <v>234</v>
      </c>
      <c r="K18" s="34">
        <f>IF((Observaciones[[#This Row],[Fecha Levantamiento]]-Observaciones[[#This Row],[Fecha Detección]])&gt;=0,Observaciones[[#This Row],[Fecha Levantamiento]]-Observaciones[[#This Row],[Fecha Detección]]+1,0)</f>
        <v>11</v>
      </c>
      <c r="L18" s="34" t="str">
        <f>LOOKUP(Observaciones[[#This Row],[Caso de Prueba]],CasoPrueba[Código CP],CasoPrueba[Código de REQ])</f>
        <v>INSPECCIÓN</v>
      </c>
    </row>
    <row r="19" spans="1:12" ht="30" hidden="1">
      <c r="A19" s="165" t="s">
        <v>235</v>
      </c>
      <c r="B19" s="163" t="s">
        <v>151</v>
      </c>
      <c r="C19" s="34" t="str">
        <f>VLOOKUP(Observaciones[Caso de Prueba],CasoPrueba[[#All],[Código CP]:[Prioridad]],7,TRUE)</f>
        <v>Alta</v>
      </c>
      <c r="D19" s="163" t="s">
        <v>30</v>
      </c>
      <c r="E19" s="34" t="s">
        <v>49</v>
      </c>
      <c r="F19" s="164">
        <v>40793</v>
      </c>
      <c r="G19" s="73">
        <v>40796</v>
      </c>
      <c r="H19" s="166" t="s">
        <v>132</v>
      </c>
      <c r="I19" s="163" t="s">
        <v>236</v>
      </c>
      <c r="J19" s="163" t="s">
        <v>237</v>
      </c>
      <c r="K19" s="34">
        <f>IF((Observaciones[[#This Row],[Fecha Levantamiento]]-Observaciones[[#This Row],[Fecha Detección]])&gt;=0,Observaciones[[#This Row],[Fecha Levantamiento]]-Observaciones[[#This Row],[Fecha Detección]]+1,0)</f>
        <v>4</v>
      </c>
      <c r="L19" s="34" t="str">
        <f>LOOKUP(Observaciones[[#This Row],[Caso de Prueba]],CasoPrueba[Código CP],CasoPrueba[Código de REQ])</f>
        <v>INSPECCIÓN</v>
      </c>
    </row>
    <row r="20" spans="1:12" ht="30" hidden="1">
      <c r="A20" s="165" t="s">
        <v>238</v>
      </c>
      <c r="B20" s="163" t="s">
        <v>151</v>
      </c>
      <c r="C20" s="34" t="str">
        <f>VLOOKUP(Observaciones[Caso de Prueba],CasoPrueba[[#All],[Código CP]:[Prioridad]],7,TRUE)</f>
        <v>Alta</v>
      </c>
      <c r="D20" s="163" t="s">
        <v>29</v>
      </c>
      <c r="E20" s="34" t="s">
        <v>49</v>
      </c>
      <c r="F20" s="164">
        <v>40786</v>
      </c>
      <c r="G20" s="73">
        <v>40796</v>
      </c>
      <c r="H20" s="166" t="s">
        <v>132</v>
      </c>
      <c r="I20" s="163" t="s">
        <v>239</v>
      </c>
      <c r="J20" s="163" t="s">
        <v>240</v>
      </c>
      <c r="K20" s="34">
        <f>IF((Observaciones[[#This Row],[Fecha Levantamiento]]-Observaciones[[#This Row],[Fecha Detección]])&gt;=0,Observaciones[[#This Row],[Fecha Levantamiento]]-Observaciones[[#This Row],[Fecha Detección]]+1,0)</f>
        <v>11</v>
      </c>
      <c r="L20" s="34" t="str">
        <f>LOOKUP(Observaciones[[#This Row],[Caso de Prueba]],CasoPrueba[Código CP],CasoPrueba[Código de REQ])</f>
        <v>INSPECCIÓN</v>
      </c>
    </row>
    <row r="21" spans="1:12" ht="45" hidden="1">
      <c r="A21" s="165" t="s">
        <v>241</v>
      </c>
      <c r="B21" s="163" t="s">
        <v>151</v>
      </c>
      <c r="C21" s="34" t="str">
        <f>VLOOKUP(Observaciones[Caso de Prueba],CasoPrueba[[#All],[Código CP]:[Prioridad]],7,TRUE)</f>
        <v>Alta</v>
      </c>
      <c r="D21" s="163" t="s">
        <v>29</v>
      </c>
      <c r="E21" s="34" t="s">
        <v>49</v>
      </c>
      <c r="F21" s="164">
        <v>40786</v>
      </c>
      <c r="G21" s="73">
        <v>40796</v>
      </c>
      <c r="H21" s="166" t="s">
        <v>132</v>
      </c>
      <c r="I21" s="163" t="s">
        <v>242</v>
      </c>
      <c r="J21" s="163" t="s">
        <v>243</v>
      </c>
      <c r="K21" s="34">
        <f>IF((Observaciones[[#This Row],[Fecha Levantamiento]]-Observaciones[[#This Row],[Fecha Detección]])&gt;=0,Observaciones[[#This Row],[Fecha Levantamiento]]-Observaciones[[#This Row],[Fecha Detección]]+1,0)</f>
        <v>11</v>
      </c>
      <c r="L21" s="34" t="str">
        <f>LOOKUP(Observaciones[[#This Row],[Caso de Prueba]],CasoPrueba[Código CP],CasoPrueba[Código de REQ])</f>
        <v>INSPECCIÓN</v>
      </c>
    </row>
    <row r="22" spans="1:12" ht="30" hidden="1">
      <c r="A22" s="165" t="s">
        <v>244</v>
      </c>
      <c r="B22" s="163" t="s">
        <v>151</v>
      </c>
      <c r="C22" s="34" t="str">
        <f>VLOOKUP(Observaciones[Caso de Prueba],CasoPrueba[[#All],[Código CP]:[Prioridad]],7,TRUE)</f>
        <v>Alta</v>
      </c>
      <c r="D22" s="163" t="s">
        <v>29</v>
      </c>
      <c r="E22" s="34" t="s">
        <v>49</v>
      </c>
      <c r="F22" s="164">
        <v>40786</v>
      </c>
      <c r="G22" s="73">
        <v>40796</v>
      </c>
      <c r="H22" s="166" t="s">
        <v>132</v>
      </c>
      <c r="I22" s="163" t="s">
        <v>245</v>
      </c>
      <c r="J22" s="163" t="s">
        <v>246</v>
      </c>
      <c r="K22" s="34">
        <f>IF((Observaciones[[#This Row],[Fecha Levantamiento]]-Observaciones[[#This Row],[Fecha Detección]])&gt;=0,Observaciones[[#This Row],[Fecha Levantamiento]]-Observaciones[[#This Row],[Fecha Detección]]+1,0)</f>
        <v>11</v>
      </c>
      <c r="L22" s="34" t="str">
        <f>LOOKUP(Observaciones[[#This Row],[Caso de Prueba]],CasoPrueba[Código CP],CasoPrueba[Código de REQ])</f>
        <v>INSPECCIÓN</v>
      </c>
    </row>
    <row r="23" spans="1:12" ht="30" hidden="1">
      <c r="A23" s="165" t="s">
        <v>247</v>
      </c>
      <c r="B23" s="163" t="s">
        <v>151</v>
      </c>
      <c r="C23" s="34" t="str">
        <f>VLOOKUP(Observaciones[Caso de Prueba],CasoPrueba[[#All],[Código CP]:[Prioridad]],7,TRUE)</f>
        <v>Alta</v>
      </c>
      <c r="D23" s="163" t="s">
        <v>162</v>
      </c>
      <c r="E23" s="34" t="s">
        <v>49</v>
      </c>
      <c r="F23" s="164">
        <v>40786</v>
      </c>
      <c r="G23" s="73">
        <v>40796</v>
      </c>
      <c r="H23" s="166" t="s">
        <v>132</v>
      </c>
      <c r="I23" s="163" t="s">
        <v>248</v>
      </c>
      <c r="J23" s="163" t="s">
        <v>196</v>
      </c>
      <c r="K23" s="34">
        <f>IF((Observaciones[[#This Row],[Fecha Levantamiento]]-Observaciones[[#This Row],[Fecha Detección]])&gt;=0,Observaciones[[#This Row],[Fecha Levantamiento]]-Observaciones[[#This Row],[Fecha Detección]]+1,0)</f>
        <v>11</v>
      </c>
      <c r="L23" s="34" t="str">
        <f>LOOKUP(Observaciones[[#This Row],[Caso de Prueba]],CasoPrueba[Código CP],CasoPrueba[Código de REQ])</f>
        <v>INSPECCIÓN</v>
      </c>
    </row>
    <row r="24" spans="1:12" ht="30" hidden="1">
      <c r="A24" s="165" t="s">
        <v>249</v>
      </c>
      <c r="B24" s="163" t="s">
        <v>151</v>
      </c>
      <c r="C24" s="34" t="str">
        <f>VLOOKUP(Observaciones[Caso de Prueba],CasoPrueba[[#All],[Código CP]:[Prioridad]],7,TRUE)</f>
        <v>Alta</v>
      </c>
      <c r="D24" s="163" t="s">
        <v>28</v>
      </c>
      <c r="E24" s="34" t="s">
        <v>49</v>
      </c>
      <c r="F24" s="164">
        <v>40786</v>
      </c>
      <c r="G24" s="73">
        <v>40796</v>
      </c>
      <c r="H24" s="166" t="s">
        <v>132</v>
      </c>
      <c r="I24" s="163" t="s">
        <v>250</v>
      </c>
      <c r="J24" s="163" t="s">
        <v>251</v>
      </c>
      <c r="K24" s="34">
        <f>IF((Observaciones[[#This Row],[Fecha Levantamiento]]-Observaciones[[#This Row],[Fecha Detección]])&gt;=0,Observaciones[[#This Row],[Fecha Levantamiento]]-Observaciones[[#This Row],[Fecha Detección]]+1,0)</f>
        <v>11</v>
      </c>
      <c r="L24" s="34" t="str">
        <f>LOOKUP(Observaciones[[#This Row],[Caso de Prueba]],CasoPrueba[Código CP],CasoPrueba[Código de REQ])</f>
        <v>INSPECCIÓN</v>
      </c>
    </row>
    <row r="25" spans="1:12" ht="45" hidden="1">
      <c r="A25" s="165" t="s">
        <v>252</v>
      </c>
      <c r="B25" s="163" t="s">
        <v>152</v>
      </c>
      <c r="C25" s="34" t="str">
        <f>VLOOKUP(Observaciones[Caso de Prueba],CasoPrueba[[#All],[Código CP]:[Prioridad]],7,TRUE)</f>
        <v>Alta</v>
      </c>
      <c r="D25" s="163" t="s">
        <v>30</v>
      </c>
      <c r="E25" s="34" t="s">
        <v>49</v>
      </c>
      <c r="F25" s="164">
        <v>40786</v>
      </c>
      <c r="G25" s="73">
        <v>40796</v>
      </c>
      <c r="H25" s="166" t="s">
        <v>132</v>
      </c>
      <c r="I25" s="163" t="s">
        <v>253</v>
      </c>
      <c r="J25" s="163" t="s">
        <v>228</v>
      </c>
      <c r="K25" s="34">
        <f>IF((Observaciones[[#This Row],[Fecha Levantamiento]]-Observaciones[[#This Row],[Fecha Detección]])&gt;=0,Observaciones[[#This Row],[Fecha Levantamiento]]-Observaciones[[#This Row],[Fecha Detección]]+1,0)</f>
        <v>11</v>
      </c>
      <c r="L25" s="34" t="str">
        <f>LOOKUP(Observaciones[[#This Row],[Caso de Prueba]],CasoPrueba[Código CP],CasoPrueba[Código de REQ])</f>
        <v>INSPECCIÓN</v>
      </c>
    </row>
    <row r="26" spans="1:12" ht="30" hidden="1">
      <c r="A26" s="165" t="s">
        <v>254</v>
      </c>
      <c r="B26" s="163" t="s">
        <v>152</v>
      </c>
      <c r="C26" s="34" t="str">
        <f>VLOOKUP(Observaciones[Caso de Prueba],CasoPrueba[[#All],[Código CP]:[Prioridad]],7,TRUE)</f>
        <v>Alta</v>
      </c>
      <c r="D26" s="163" t="s">
        <v>30</v>
      </c>
      <c r="E26" s="163" t="s">
        <v>49</v>
      </c>
      <c r="F26" s="164">
        <v>40793</v>
      </c>
      <c r="G26" s="73">
        <v>40796</v>
      </c>
      <c r="H26" s="166" t="s">
        <v>132</v>
      </c>
      <c r="I26" s="163" t="s">
        <v>236</v>
      </c>
      <c r="J26" s="163" t="s">
        <v>255</v>
      </c>
      <c r="K26" s="34">
        <f>IF((Observaciones[[#This Row],[Fecha Levantamiento]]-Observaciones[[#This Row],[Fecha Detección]])&gt;=0,Observaciones[[#This Row],[Fecha Levantamiento]]-Observaciones[[#This Row],[Fecha Detección]]+1,0)</f>
        <v>4</v>
      </c>
      <c r="L26" s="34" t="str">
        <f>LOOKUP(Observaciones[[#This Row],[Caso de Prueba]],CasoPrueba[Código CP],CasoPrueba[Código de REQ])</f>
        <v>INSPECCIÓN</v>
      </c>
    </row>
    <row r="27" spans="1:12" ht="30" hidden="1">
      <c r="A27" s="165" t="s">
        <v>256</v>
      </c>
      <c r="B27" s="163" t="s">
        <v>152</v>
      </c>
      <c r="C27" s="34" t="str">
        <f>VLOOKUP(Observaciones[Caso de Prueba],CasoPrueba[[#All],[Código CP]:[Prioridad]],7,TRUE)</f>
        <v>Alta</v>
      </c>
      <c r="D27" s="163" t="s">
        <v>29</v>
      </c>
      <c r="E27" s="163" t="s">
        <v>49</v>
      </c>
      <c r="F27" s="164">
        <v>40786</v>
      </c>
      <c r="G27" s="73">
        <v>40796</v>
      </c>
      <c r="H27" s="166" t="s">
        <v>132</v>
      </c>
      <c r="I27" s="163" t="s">
        <v>257</v>
      </c>
      <c r="J27" s="163" t="s">
        <v>258</v>
      </c>
      <c r="K27" s="34">
        <f>IF((Observaciones[[#This Row],[Fecha Levantamiento]]-Observaciones[[#This Row],[Fecha Detección]])&gt;=0,Observaciones[[#This Row],[Fecha Levantamiento]]-Observaciones[[#This Row],[Fecha Detección]]+1,0)</f>
        <v>11</v>
      </c>
      <c r="L27" s="34" t="str">
        <f>LOOKUP(Observaciones[[#This Row],[Caso de Prueba]],CasoPrueba[Código CP],CasoPrueba[Código de REQ])</f>
        <v>INSPECCIÓN</v>
      </c>
    </row>
    <row r="28" spans="1:12" ht="60" hidden="1">
      <c r="A28" s="165" t="s">
        <v>259</v>
      </c>
      <c r="B28" s="163" t="s">
        <v>152</v>
      </c>
      <c r="C28" s="34" t="str">
        <f>VLOOKUP(Observaciones[Caso de Prueba],CasoPrueba[[#All],[Código CP]:[Prioridad]],7,TRUE)</f>
        <v>Alta</v>
      </c>
      <c r="D28" s="163" t="s">
        <v>29</v>
      </c>
      <c r="E28" s="163" t="s">
        <v>49</v>
      </c>
      <c r="F28" s="164">
        <v>40786</v>
      </c>
      <c r="G28" s="73">
        <v>40796</v>
      </c>
      <c r="H28" s="166" t="s">
        <v>132</v>
      </c>
      <c r="I28" s="163" t="s">
        <v>260</v>
      </c>
      <c r="J28" s="163" t="s">
        <v>261</v>
      </c>
      <c r="K28" s="34">
        <f>IF((Observaciones[[#This Row],[Fecha Levantamiento]]-Observaciones[[#This Row],[Fecha Detección]])&gt;=0,Observaciones[[#This Row],[Fecha Levantamiento]]-Observaciones[[#This Row],[Fecha Detección]]+1,0)</f>
        <v>11</v>
      </c>
      <c r="L28" s="34" t="str">
        <f>LOOKUP(Observaciones[[#This Row],[Caso de Prueba]],CasoPrueba[Código CP],CasoPrueba[Código de REQ])</f>
        <v>INSPECCIÓN</v>
      </c>
    </row>
    <row r="29" spans="1:12" ht="30" hidden="1">
      <c r="A29" s="165" t="s">
        <v>262</v>
      </c>
      <c r="B29" s="163" t="s">
        <v>152</v>
      </c>
      <c r="C29" s="34" t="str">
        <f>VLOOKUP(Observaciones[Caso de Prueba],CasoPrueba[[#All],[Código CP]:[Prioridad]],7,TRUE)</f>
        <v>Alta</v>
      </c>
      <c r="D29" s="163" t="s">
        <v>162</v>
      </c>
      <c r="E29" s="163" t="s">
        <v>49</v>
      </c>
      <c r="F29" s="164">
        <v>40786</v>
      </c>
      <c r="G29" s="73">
        <v>40796</v>
      </c>
      <c r="H29" s="166" t="s">
        <v>132</v>
      </c>
      <c r="I29" s="163" t="s">
        <v>263</v>
      </c>
      <c r="J29" s="163" t="s">
        <v>264</v>
      </c>
      <c r="K29" s="34">
        <f>IF((Observaciones[[#This Row],[Fecha Levantamiento]]-Observaciones[[#This Row],[Fecha Detección]])&gt;=0,Observaciones[[#This Row],[Fecha Levantamiento]]-Observaciones[[#This Row],[Fecha Detección]]+1,0)</f>
        <v>11</v>
      </c>
      <c r="L29" s="34" t="str">
        <f>LOOKUP(Observaciones[[#This Row],[Caso de Prueba]],CasoPrueba[Código CP],CasoPrueba[Código de REQ])</f>
        <v>INSPECCIÓN</v>
      </c>
    </row>
    <row r="30" spans="1:12" hidden="1">
      <c r="A30" s="165" t="s">
        <v>265</v>
      </c>
      <c r="B30" s="163" t="s">
        <v>152</v>
      </c>
      <c r="C30" s="34" t="str">
        <f>VLOOKUP(Observaciones[Caso de Prueba],CasoPrueba[[#All],[Código CP]:[Prioridad]],7,TRUE)</f>
        <v>Alta</v>
      </c>
      <c r="D30" s="163" t="s">
        <v>28</v>
      </c>
      <c r="E30" s="163" t="s">
        <v>49</v>
      </c>
      <c r="F30" s="164">
        <v>40793</v>
      </c>
      <c r="G30" s="73">
        <v>40796</v>
      </c>
      <c r="H30" s="166" t="s">
        <v>132</v>
      </c>
      <c r="I30" s="163" t="s">
        <v>250</v>
      </c>
      <c r="J30" s="163" t="s">
        <v>266</v>
      </c>
      <c r="K30" s="34">
        <f>IF((Observaciones[[#This Row],[Fecha Levantamiento]]-Observaciones[[#This Row],[Fecha Detección]])&gt;=0,Observaciones[[#This Row],[Fecha Levantamiento]]-Observaciones[[#This Row],[Fecha Detección]]+1,0)</f>
        <v>4</v>
      </c>
      <c r="L30" s="34" t="str">
        <f>LOOKUP(Observaciones[[#This Row],[Caso de Prueba]],CasoPrueba[Código CP],CasoPrueba[Código de REQ])</f>
        <v>INSPECCIÓN</v>
      </c>
    </row>
    <row r="31" spans="1:12" ht="30" hidden="1">
      <c r="A31" s="165" t="s">
        <v>267</v>
      </c>
      <c r="B31" s="163" t="s">
        <v>153</v>
      </c>
      <c r="C31" s="34" t="str">
        <f>VLOOKUP(Observaciones[Caso de Prueba],CasoPrueba[[#All],[Código CP]:[Prioridad]],7,TRUE)</f>
        <v>Alta</v>
      </c>
      <c r="D31" s="163" t="s">
        <v>30</v>
      </c>
      <c r="E31" s="163" t="s">
        <v>49</v>
      </c>
      <c r="F31" s="164">
        <v>40788</v>
      </c>
      <c r="G31" s="73">
        <v>40796</v>
      </c>
      <c r="H31" s="166" t="s">
        <v>132</v>
      </c>
      <c r="I31" s="163" t="s">
        <v>268</v>
      </c>
      <c r="J31" s="163" t="s">
        <v>269</v>
      </c>
      <c r="K31" s="34">
        <f>IF((Observaciones[[#This Row],[Fecha Levantamiento]]-Observaciones[[#This Row],[Fecha Detección]])&gt;=0,Observaciones[[#This Row],[Fecha Levantamiento]]-Observaciones[[#This Row],[Fecha Detección]]+1,0)</f>
        <v>9</v>
      </c>
      <c r="L31" s="34" t="str">
        <f>LOOKUP(Observaciones[[#This Row],[Caso de Prueba]],CasoPrueba[Código CP],CasoPrueba[Código de REQ])</f>
        <v>INSPECCIÓN</v>
      </c>
    </row>
    <row r="32" spans="1:12" ht="45" hidden="1">
      <c r="A32" s="165" t="s">
        <v>270</v>
      </c>
      <c r="B32" s="163" t="s">
        <v>153</v>
      </c>
      <c r="C32" s="34" t="str">
        <f>VLOOKUP(Observaciones[Caso de Prueba],CasoPrueba[[#All],[Código CP]:[Prioridad]],7,TRUE)</f>
        <v>Alta</v>
      </c>
      <c r="D32" s="163" t="s">
        <v>30</v>
      </c>
      <c r="E32" s="163" t="s">
        <v>49</v>
      </c>
      <c r="F32" s="164">
        <v>40788</v>
      </c>
      <c r="G32" s="73">
        <v>40796</v>
      </c>
      <c r="H32" s="166" t="s">
        <v>132</v>
      </c>
      <c r="I32" s="163" t="s">
        <v>253</v>
      </c>
      <c r="J32" s="163" t="s">
        <v>228</v>
      </c>
      <c r="K32" s="34">
        <f>IF((Observaciones[[#This Row],[Fecha Levantamiento]]-Observaciones[[#This Row],[Fecha Detección]])&gt;=0,Observaciones[[#This Row],[Fecha Levantamiento]]-Observaciones[[#This Row],[Fecha Detección]]+1,0)</f>
        <v>9</v>
      </c>
      <c r="L32" s="34" t="str">
        <f>LOOKUP(Observaciones[[#This Row],[Caso de Prueba]],CasoPrueba[Código CP],CasoPrueba[Código de REQ])</f>
        <v>INSPECCIÓN</v>
      </c>
    </row>
    <row r="33" spans="1:12" ht="30" hidden="1">
      <c r="A33" s="165" t="s">
        <v>271</v>
      </c>
      <c r="B33" s="163" t="s">
        <v>153</v>
      </c>
      <c r="C33" s="34" t="str">
        <f>VLOOKUP(Observaciones[Caso de Prueba],CasoPrueba[[#All],[Código CP]:[Prioridad]],7,TRUE)</f>
        <v>Alta</v>
      </c>
      <c r="D33" s="163" t="s">
        <v>30</v>
      </c>
      <c r="E33" s="163" t="s">
        <v>49</v>
      </c>
      <c r="F33" s="164">
        <v>40793</v>
      </c>
      <c r="G33" s="73">
        <v>40796</v>
      </c>
      <c r="H33" s="166" t="s">
        <v>132</v>
      </c>
      <c r="I33" s="163" t="s">
        <v>236</v>
      </c>
      <c r="J33" s="163" t="s">
        <v>272</v>
      </c>
      <c r="K33" s="34">
        <f>IF((Observaciones[[#This Row],[Fecha Levantamiento]]-Observaciones[[#This Row],[Fecha Detección]])&gt;=0,Observaciones[[#This Row],[Fecha Levantamiento]]-Observaciones[[#This Row],[Fecha Detección]]+1,0)</f>
        <v>4</v>
      </c>
      <c r="L33" s="34" t="str">
        <f>LOOKUP(Observaciones[[#This Row],[Caso de Prueba]],CasoPrueba[Código CP],CasoPrueba[Código de REQ])</f>
        <v>INSPECCIÓN</v>
      </c>
    </row>
    <row r="34" spans="1:12" ht="30" hidden="1">
      <c r="A34" s="165" t="s">
        <v>273</v>
      </c>
      <c r="B34" s="163" t="s">
        <v>153</v>
      </c>
      <c r="C34" s="34" t="str">
        <f>VLOOKUP(Observaciones[Caso de Prueba],CasoPrueba[[#All],[Código CP]:[Prioridad]],7,TRUE)</f>
        <v>Alta</v>
      </c>
      <c r="D34" s="163" t="s">
        <v>29</v>
      </c>
      <c r="E34" s="163" t="s">
        <v>49</v>
      </c>
      <c r="F34" s="164">
        <v>40788</v>
      </c>
      <c r="G34" s="73">
        <v>40796</v>
      </c>
      <c r="H34" s="166" t="s">
        <v>132</v>
      </c>
      <c r="I34" s="163" t="s">
        <v>206</v>
      </c>
      <c r="J34" s="163" t="s">
        <v>274</v>
      </c>
      <c r="K34" s="34">
        <f>IF((Observaciones[[#This Row],[Fecha Levantamiento]]-Observaciones[[#This Row],[Fecha Detección]])&gt;=0,Observaciones[[#This Row],[Fecha Levantamiento]]-Observaciones[[#This Row],[Fecha Detección]]+1,0)</f>
        <v>9</v>
      </c>
      <c r="L34" s="34" t="str">
        <f>LOOKUP(Observaciones[[#This Row],[Caso de Prueba]],CasoPrueba[Código CP],CasoPrueba[Código de REQ])</f>
        <v>INSPECCIÓN</v>
      </c>
    </row>
    <row r="35" spans="1:12" ht="45" hidden="1">
      <c r="A35" s="165" t="s">
        <v>275</v>
      </c>
      <c r="B35" s="163" t="s">
        <v>153</v>
      </c>
      <c r="C35" s="34" t="str">
        <f>VLOOKUP(Observaciones[Caso de Prueba],CasoPrueba[[#All],[Código CP]:[Prioridad]],7,TRUE)</f>
        <v>Alta</v>
      </c>
      <c r="D35" s="163" t="s">
        <v>30</v>
      </c>
      <c r="E35" s="163" t="s">
        <v>49</v>
      </c>
      <c r="F35" s="164">
        <v>40788</v>
      </c>
      <c r="G35" s="73">
        <v>40796</v>
      </c>
      <c r="H35" s="166" t="s">
        <v>132</v>
      </c>
      <c r="I35" s="163" t="s">
        <v>276</v>
      </c>
      <c r="J35" s="163" t="s">
        <v>277</v>
      </c>
      <c r="K35" s="34">
        <f>IF((Observaciones[[#This Row],[Fecha Levantamiento]]-Observaciones[[#This Row],[Fecha Detección]])&gt;=0,Observaciones[[#This Row],[Fecha Levantamiento]]-Observaciones[[#This Row],[Fecha Detección]]+1,0)</f>
        <v>9</v>
      </c>
      <c r="L35" s="34" t="str">
        <f>LOOKUP(Observaciones[[#This Row],[Caso de Prueba]],CasoPrueba[Código CP],CasoPrueba[Código de REQ])</f>
        <v>INSPECCIÓN</v>
      </c>
    </row>
    <row r="36" spans="1:12" ht="60" hidden="1">
      <c r="A36" s="165" t="s">
        <v>278</v>
      </c>
      <c r="B36" s="163" t="s">
        <v>153</v>
      </c>
      <c r="C36" s="34" t="str">
        <f>VLOOKUP(Observaciones[Caso de Prueba],CasoPrueba[[#All],[Código CP]:[Prioridad]],7,TRUE)</f>
        <v>Alta</v>
      </c>
      <c r="D36" s="163" t="s">
        <v>29</v>
      </c>
      <c r="E36" s="163" t="s">
        <v>49</v>
      </c>
      <c r="F36" s="164">
        <v>40788</v>
      </c>
      <c r="G36" s="73">
        <v>40796</v>
      </c>
      <c r="H36" s="166" t="s">
        <v>132</v>
      </c>
      <c r="I36" s="163" t="s">
        <v>279</v>
      </c>
      <c r="J36" s="163" t="s">
        <v>280</v>
      </c>
      <c r="K36" s="34">
        <f>IF((Observaciones[[#This Row],[Fecha Levantamiento]]-Observaciones[[#This Row],[Fecha Detección]])&gt;=0,Observaciones[[#This Row],[Fecha Levantamiento]]-Observaciones[[#This Row],[Fecha Detección]]+1,0)</f>
        <v>9</v>
      </c>
      <c r="L36" s="34" t="str">
        <f>LOOKUP(Observaciones[[#This Row],[Caso de Prueba]],CasoPrueba[Código CP],CasoPrueba[Código de REQ])</f>
        <v>INSPECCIÓN</v>
      </c>
    </row>
    <row r="37" spans="1:12" ht="30" hidden="1">
      <c r="A37" s="165" t="s">
        <v>281</v>
      </c>
      <c r="B37" s="163" t="s">
        <v>153</v>
      </c>
      <c r="C37" s="34" t="str">
        <f>VLOOKUP(Observaciones[Caso de Prueba],CasoPrueba[[#All],[Código CP]:[Prioridad]],7,TRUE)</f>
        <v>Alta</v>
      </c>
      <c r="D37" s="163" t="s">
        <v>29</v>
      </c>
      <c r="E37" s="163" t="s">
        <v>49</v>
      </c>
      <c r="F37" s="164">
        <v>40788</v>
      </c>
      <c r="G37" s="73">
        <v>40796</v>
      </c>
      <c r="H37" s="166" t="s">
        <v>132</v>
      </c>
      <c r="I37" s="163" t="s">
        <v>282</v>
      </c>
      <c r="J37" s="163" t="s">
        <v>283</v>
      </c>
      <c r="K37" s="34">
        <f>IF((Observaciones[[#This Row],[Fecha Levantamiento]]-Observaciones[[#This Row],[Fecha Detección]])&gt;=0,Observaciones[[#This Row],[Fecha Levantamiento]]-Observaciones[[#This Row],[Fecha Detección]]+1,0)</f>
        <v>9</v>
      </c>
      <c r="L37" s="34" t="str">
        <f>LOOKUP(Observaciones[[#This Row],[Caso de Prueba]],CasoPrueba[Código CP],CasoPrueba[Código de REQ])</f>
        <v>INSPECCIÓN</v>
      </c>
    </row>
    <row r="38" spans="1:12" ht="30" hidden="1">
      <c r="A38" s="165" t="s">
        <v>284</v>
      </c>
      <c r="B38" s="163" t="s">
        <v>153</v>
      </c>
      <c r="C38" s="34" t="str">
        <f>VLOOKUP(Observaciones[Caso de Prueba],CasoPrueba[[#All],[Código CP]:[Prioridad]],7,TRUE)</f>
        <v>Alta</v>
      </c>
      <c r="D38" s="163" t="s">
        <v>29</v>
      </c>
      <c r="E38" s="163" t="s">
        <v>49</v>
      </c>
      <c r="F38" s="164">
        <v>40788</v>
      </c>
      <c r="G38" s="73">
        <v>40796</v>
      </c>
      <c r="H38" s="166" t="s">
        <v>132</v>
      </c>
      <c r="I38" s="163" t="s">
        <v>285</v>
      </c>
      <c r="J38" s="163" t="s">
        <v>286</v>
      </c>
      <c r="K38" s="34">
        <f>IF((Observaciones[[#This Row],[Fecha Levantamiento]]-Observaciones[[#This Row],[Fecha Detección]])&gt;=0,Observaciones[[#This Row],[Fecha Levantamiento]]-Observaciones[[#This Row],[Fecha Detección]]+1,0)</f>
        <v>9</v>
      </c>
      <c r="L38" s="34" t="str">
        <f>LOOKUP(Observaciones[[#This Row],[Caso de Prueba]],CasoPrueba[Código CP],CasoPrueba[Código de REQ])</f>
        <v>INSPECCIÓN</v>
      </c>
    </row>
    <row r="39" spans="1:12" ht="45" hidden="1">
      <c r="A39" s="165" t="s">
        <v>287</v>
      </c>
      <c r="B39" s="163" t="s">
        <v>153</v>
      </c>
      <c r="C39" s="34" t="str">
        <f>VLOOKUP(Observaciones[Caso de Prueba],CasoPrueba[[#All],[Código CP]:[Prioridad]],7,TRUE)</f>
        <v>Alta</v>
      </c>
      <c r="D39" s="163" t="s">
        <v>29</v>
      </c>
      <c r="E39" s="163" t="s">
        <v>49</v>
      </c>
      <c r="F39" s="164">
        <v>40788</v>
      </c>
      <c r="G39" s="73">
        <v>40796</v>
      </c>
      <c r="H39" s="166" t="s">
        <v>132</v>
      </c>
      <c r="I39" s="163" t="s">
        <v>288</v>
      </c>
      <c r="J39" s="163" t="s">
        <v>289</v>
      </c>
      <c r="K39" s="34">
        <f>IF((Observaciones[[#This Row],[Fecha Levantamiento]]-Observaciones[[#This Row],[Fecha Detección]])&gt;=0,Observaciones[[#This Row],[Fecha Levantamiento]]-Observaciones[[#This Row],[Fecha Detección]]+1,0)</f>
        <v>9</v>
      </c>
      <c r="L39" s="34" t="str">
        <f>LOOKUP(Observaciones[[#This Row],[Caso de Prueba]],CasoPrueba[Código CP],CasoPrueba[Código de REQ])</f>
        <v>INSPECCIÓN</v>
      </c>
    </row>
    <row r="40" spans="1:12" ht="30" hidden="1">
      <c r="A40" s="165" t="s">
        <v>290</v>
      </c>
      <c r="B40" s="163" t="s">
        <v>153</v>
      </c>
      <c r="C40" s="34" t="str">
        <f>VLOOKUP(Observaciones[Caso de Prueba],CasoPrueba[[#All],[Código CP]:[Prioridad]],7,TRUE)</f>
        <v>Alta</v>
      </c>
      <c r="D40" s="163" t="s">
        <v>162</v>
      </c>
      <c r="E40" s="163" t="s">
        <v>49</v>
      </c>
      <c r="F40" s="164">
        <v>40788</v>
      </c>
      <c r="G40" s="73">
        <v>40796</v>
      </c>
      <c r="H40" s="166" t="s">
        <v>132</v>
      </c>
      <c r="I40" s="163" t="s">
        <v>291</v>
      </c>
      <c r="J40" s="163" t="s">
        <v>199</v>
      </c>
      <c r="K40" s="34">
        <f>IF((Observaciones[[#This Row],[Fecha Levantamiento]]-Observaciones[[#This Row],[Fecha Detección]])&gt;=0,Observaciones[[#This Row],[Fecha Levantamiento]]-Observaciones[[#This Row],[Fecha Detección]]+1,0)</f>
        <v>9</v>
      </c>
      <c r="L40" s="34" t="str">
        <f>LOOKUP(Observaciones[[#This Row],[Caso de Prueba]],CasoPrueba[Código CP],CasoPrueba[Código de REQ])</f>
        <v>INSPECCIÓN</v>
      </c>
    </row>
    <row r="41" spans="1:12" ht="30" hidden="1">
      <c r="A41" s="165" t="s">
        <v>292</v>
      </c>
      <c r="B41" s="163" t="s">
        <v>153</v>
      </c>
      <c r="C41" s="34" t="str">
        <f>VLOOKUP(Observaciones[Caso de Prueba],CasoPrueba[[#All],[Código CP]:[Prioridad]],7,TRUE)</f>
        <v>Alta</v>
      </c>
      <c r="D41" s="163" t="s">
        <v>30</v>
      </c>
      <c r="E41" s="163" t="s">
        <v>49</v>
      </c>
      <c r="F41" s="164">
        <v>40788</v>
      </c>
      <c r="G41" s="73">
        <v>40796</v>
      </c>
      <c r="H41" s="166" t="s">
        <v>132</v>
      </c>
      <c r="I41" s="163" t="s">
        <v>293</v>
      </c>
      <c r="J41" s="163" t="s">
        <v>294</v>
      </c>
      <c r="K41" s="34">
        <f>IF((Observaciones[[#This Row],[Fecha Levantamiento]]-Observaciones[[#This Row],[Fecha Detección]])&gt;=0,Observaciones[[#This Row],[Fecha Levantamiento]]-Observaciones[[#This Row],[Fecha Detección]]+1,0)</f>
        <v>9</v>
      </c>
      <c r="L41" s="34" t="str">
        <f>LOOKUP(Observaciones[[#This Row],[Caso de Prueba]],CasoPrueba[Código CP],CasoPrueba[Código de REQ])</f>
        <v>INSPECCIÓN</v>
      </c>
    </row>
    <row r="42" spans="1:12" ht="30" hidden="1">
      <c r="A42" s="165" t="s">
        <v>295</v>
      </c>
      <c r="B42" s="163" t="s">
        <v>153</v>
      </c>
      <c r="C42" s="34" t="str">
        <f>VLOOKUP(Observaciones[Caso de Prueba],CasoPrueba[[#All],[Código CP]:[Prioridad]],7,TRUE)</f>
        <v>Alta</v>
      </c>
      <c r="D42" s="163" t="s">
        <v>29</v>
      </c>
      <c r="E42" s="163" t="s">
        <v>49</v>
      </c>
      <c r="F42" s="164">
        <v>40788</v>
      </c>
      <c r="G42" s="73">
        <v>40796</v>
      </c>
      <c r="H42" s="166" t="s">
        <v>132</v>
      </c>
      <c r="I42" s="163" t="s">
        <v>296</v>
      </c>
      <c r="J42" s="163" t="s">
        <v>297</v>
      </c>
      <c r="K42" s="34">
        <f>IF((Observaciones[[#This Row],[Fecha Levantamiento]]-Observaciones[[#This Row],[Fecha Detección]])&gt;=0,Observaciones[[#This Row],[Fecha Levantamiento]]-Observaciones[[#This Row],[Fecha Detección]]+1,0)</f>
        <v>9</v>
      </c>
      <c r="L42" s="34" t="str">
        <f>LOOKUP(Observaciones[[#This Row],[Caso de Prueba]],CasoPrueba[Código CP],CasoPrueba[Código de REQ])</f>
        <v>INSPECCIÓN</v>
      </c>
    </row>
    <row r="43" spans="1:12" ht="45" hidden="1">
      <c r="A43" s="165" t="s">
        <v>298</v>
      </c>
      <c r="B43" s="163" t="s">
        <v>154</v>
      </c>
      <c r="C43" s="34" t="str">
        <f>VLOOKUP(Observaciones[Caso de Prueba],CasoPrueba[[#All],[Código CP]:[Prioridad]],7,TRUE)</f>
        <v>Alta</v>
      </c>
      <c r="D43" s="163" t="s">
        <v>30</v>
      </c>
      <c r="E43" s="163" t="s">
        <v>49</v>
      </c>
      <c r="F43" s="164">
        <v>40788</v>
      </c>
      <c r="G43" s="73">
        <v>40796</v>
      </c>
      <c r="H43" s="166" t="s">
        <v>132</v>
      </c>
      <c r="I43" s="163" t="s">
        <v>253</v>
      </c>
      <c r="J43" s="163" t="s">
        <v>228</v>
      </c>
      <c r="K43" s="34">
        <f>IF((Observaciones[[#This Row],[Fecha Levantamiento]]-Observaciones[[#This Row],[Fecha Detección]])&gt;=0,Observaciones[[#This Row],[Fecha Levantamiento]]-Observaciones[[#This Row],[Fecha Detección]]+1,0)</f>
        <v>9</v>
      </c>
      <c r="L43" s="34" t="str">
        <f>LOOKUP(Observaciones[[#This Row],[Caso de Prueba]],CasoPrueba[Código CP],CasoPrueba[Código de REQ])</f>
        <v>INSPECCIÓN</v>
      </c>
    </row>
    <row r="44" spans="1:12" ht="30" hidden="1">
      <c r="A44" s="165" t="s">
        <v>299</v>
      </c>
      <c r="B44" s="163" t="s">
        <v>154</v>
      </c>
      <c r="C44" s="34" t="str">
        <f>VLOOKUP(Observaciones[Caso de Prueba],CasoPrueba[[#All],[Código CP]:[Prioridad]],7,TRUE)</f>
        <v>Alta</v>
      </c>
      <c r="D44" s="163" t="s">
        <v>30</v>
      </c>
      <c r="E44" s="163" t="s">
        <v>49</v>
      </c>
      <c r="F44" s="164">
        <v>40793</v>
      </c>
      <c r="G44" s="73">
        <v>40796</v>
      </c>
      <c r="H44" s="166" t="s">
        <v>132</v>
      </c>
      <c r="I44" s="163" t="s">
        <v>236</v>
      </c>
      <c r="J44" s="163" t="s">
        <v>255</v>
      </c>
      <c r="K44" s="34">
        <f>IF((Observaciones[[#This Row],[Fecha Levantamiento]]-Observaciones[[#This Row],[Fecha Detección]])&gt;=0,Observaciones[[#This Row],[Fecha Levantamiento]]-Observaciones[[#This Row],[Fecha Detección]]+1,0)</f>
        <v>4</v>
      </c>
      <c r="L44" s="34" t="str">
        <f>LOOKUP(Observaciones[[#This Row],[Caso de Prueba]],CasoPrueba[Código CP],CasoPrueba[Código de REQ])</f>
        <v>INSPECCIÓN</v>
      </c>
    </row>
    <row r="45" spans="1:12" ht="30" hidden="1">
      <c r="A45" s="165" t="s">
        <v>300</v>
      </c>
      <c r="B45" s="163" t="s">
        <v>154</v>
      </c>
      <c r="C45" s="34" t="str">
        <f>VLOOKUP(Observaciones[Caso de Prueba],CasoPrueba[[#All],[Código CP]:[Prioridad]],7,TRUE)</f>
        <v>Alta</v>
      </c>
      <c r="D45" s="163" t="s">
        <v>29</v>
      </c>
      <c r="E45" s="163" t="s">
        <v>49</v>
      </c>
      <c r="F45" s="164">
        <v>40788</v>
      </c>
      <c r="G45" s="73">
        <v>40796</v>
      </c>
      <c r="H45" s="166" t="s">
        <v>132</v>
      </c>
      <c r="I45" s="163" t="s">
        <v>301</v>
      </c>
      <c r="J45" s="163" t="s">
        <v>258</v>
      </c>
      <c r="K45" s="34">
        <f>IF((Observaciones[[#This Row],[Fecha Levantamiento]]-Observaciones[[#This Row],[Fecha Detección]])&gt;=0,Observaciones[[#This Row],[Fecha Levantamiento]]-Observaciones[[#This Row],[Fecha Detección]]+1,0)</f>
        <v>9</v>
      </c>
      <c r="L45" s="34" t="str">
        <f>LOOKUP(Observaciones[[#This Row],[Caso de Prueba]],CasoPrueba[Código CP],CasoPrueba[Código de REQ])</f>
        <v>INSPECCIÓN</v>
      </c>
    </row>
    <row r="46" spans="1:12" ht="60" hidden="1">
      <c r="A46" s="165" t="s">
        <v>302</v>
      </c>
      <c r="B46" s="163" t="s">
        <v>154</v>
      </c>
      <c r="C46" s="34" t="str">
        <f>VLOOKUP(Observaciones[Caso de Prueba],CasoPrueba[[#All],[Código CP]:[Prioridad]],7,TRUE)</f>
        <v>Alta</v>
      </c>
      <c r="D46" s="163" t="s">
        <v>29</v>
      </c>
      <c r="E46" s="163" t="s">
        <v>49</v>
      </c>
      <c r="F46" s="164">
        <v>40788</v>
      </c>
      <c r="G46" s="73">
        <v>40796</v>
      </c>
      <c r="H46" s="166" t="s">
        <v>132</v>
      </c>
      <c r="I46" s="163" t="s">
        <v>303</v>
      </c>
      <c r="J46" s="163" t="s">
        <v>261</v>
      </c>
      <c r="K46" s="34">
        <f>IF((Observaciones[[#This Row],[Fecha Levantamiento]]-Observaciones[[#This Row],[Fecha Detección]])&gt;=0,Observaciones[[#This Row],[Fecha Levantamiento]]-Observaciones[[#This Row],[Fecha Detección]]+1,0)</f>
        <v>9</v>
      </c>
      <c r="L46" s="34" t="str">
        <f>LOOKUP(Observaciones[[#This Row],[Caso de Prueba]],CasoPrueba[Código CP],CasoPrueba[Código de REQ])</f>
        <v>INSPECCIÓN</v>
      </c>
    </row>
    <row r="47" spans="1:12" hidden="1">
      <c r="A47" s="165" t="s">
        <v>304</v>
      </c>
      <c r="B47" s="163" t="s">
        <v>154</v>
      </c>
      <c r="C47" s="34" t="str">
        <f>VLOOKUP(Observaciones[Caso de Prueba],CasoPrueba[[#All],[Código CP]:[Prioridad]],7,TRUE)</f>
        <v>Alta</v>
      </c>
      <c r="D47" s="163" t="s">
        <v>28</v>
      </c>
      <c r="E47" s="163" t="s">
        <v>49</v>
      </c>
      <c r="F47" s="164">
        <v>40793</v>
      </c>
      <c r="G47" s="73">
        <v>40796</v>
      </c>
      <c r="H47" s="166" t="s">
        <v>132</v>
      </c>
      <c r="I47" s="163" t="s">
        <v>250</v>
      </c>
      <c r="J47" s="163" t="s">
        <v>305</v>
      </c>
      <c r="K47" s="34">
        <f>IF((Observaciones[[#This Row],[Fecha Levantamiento]]-Observaciones[[#This Row],[Fecha Detección]])&gt;=0,Observaciones[[#This Row],[Fecha Levantamiento]]-Observaciones[[#This Row],[Fecha Detección]]+1,0)</f>
        <v>4</v>
      </c>
      <c r="L47" s="34" t="str">
        <f>LOOKUP(Observaciones[[#This Row],[Caso de Prueba]],CasoPrueba[Código CP],CasoPrueba[Código de REQ])</f>
        <v>INSPECCIÓN</v>
      </c>
    </row>
    <row r="48" spans="1:12" ht="45" hidden="1">
      <c r="A48" s="165" t="s">
        <v>306</v>
      </c>
      <c r="B48" s="163" t="s">
        <v>155</v>
      </c>
      <c r="C48" s="34" t="str">
        <f>VLOOKUP(Observaciones[Caso de Prueba],CasoPrueba[[#All],[Código CP]:[Prioridad]],7,TRUE)</f>
        <v>Alta</v>
      </c>
      <c r="D48" s="163" t="s">
        <v>30</v>
      </c>
      <c r="E48" s="163" t="s">
        <v>49</v>
      </c>
      <c r="F48" s="164">
        <v>40788</v>
      </c>
      <c r="G48" s="73">
        <v>40796</v>
      </c>
      <c r="H48" s="166" t="s">
        <v>132</v>
      </c>
      <c r="I48" s="163" t="s">
        <v>253</v>
      </c>
      <c r="J48" s="163" t="s">
        <v>228</v>
      </c>
      <c r="K48" s="34">
        <f>IF((Observaciones[[#This Row],[Fecha Levantamiento]]-Observaciones[[#This Row],[Fecha Detección]])&gt;=0,Observaciones[[#This Row],[Fecha Levantamiento]]-Observaciones[[#This Row],[Fecha Detección]]+1,0)</f>
        <v>9</v>
      </c>
      <c r="L48" s="34" t="str">
        <f>LOOKUP(Observaciones[[#This Row],[Caso de Prueba]],CasoPrueba[Código CP],CasoPrueba[Código de REQ])</f>
        <v>INSPECCIÓN</v>
      </c>
    </row>
    <row r="49" spans="1:12" ht="30" hidden="1">
      <c r="A49" s="165" t="s">
        <v>307</v>
      </c>
      <c r="B49" s="163" t="s">
        <v>155</v>
      </c>
      <c r="C49" s="34" t="str">
        <f>VLOOKUP(Observaciones[Caso de Prueba],CasoPrueba[[#All],[Código CP]:[Prioridad]],7,TRUE)</f>
        <v>Alta</v>
      </c>
      <c r="D49" s="163" t="s">
        <v>30</v>
      </c>
      <c r="E49" s="163" t="s">
        <v>49</v>
      </c>
      <c r="F49" s="164">
        <v>40793</v>
      </c>
      <c r="G49" s="73">
        <v>40796</v>
      </c>
      <c r="H49" s="166" t="s">
        <v>132</v>
      </c>
      <c r="I49" s="163" t="s">
        <v>236</v>
      </c>
      <c r="J49" s="163" t="s">
        <v>255</v>
      </c>
      <c r="K49" s="34">
        <f>IF((Observaciones[[#This Row],[Fecha Levantamiento]]-Observaciones[[#This Row],[Fecha Detección]])&gt;=0,Observaciones[[#This Row],[Fecha Levantamiento]]-Observaciones[[#This Row],[Fecha Detección]]+1,0)</f>
        <v>4</v>
      </c>
      <c r="L49" s="34" t="str">
        <f>LOOKUP(Observaciones[[#This Row],[Caso de Prueba]],CasoPrueba[Código CP],CasoPrueba[Código de REQ])</f>
        <v>INSPECCIÓN</v>
      </c>
    </row>
    <row r="50" spans="1:12" ht="30" hidden="1">
      <c r="A50" s="165" t="s">
        <v>308</v>
      </c>
      <c r="B50" s="163" t="s">
        <v>155</v>
      </c>
      <c r="C50" s="34" t="str">
        <f>VLOOKUP(Observaciones[Caso de Prueba],CasoPrueba[[#All],[Código CP]:[Prioridad]],7,TRUE)</f>
        <v>Alta</v>
      </c>
      <c r="D50" s="163" t="s">
        <v>29</v>
      </c>
      <c r="E50" s="163" t="s">
        <v>49</v>
      </c>
      <c r="F50" s="164">
        <v>40788</v>
      </c>
      <c r="G50" s="73">
        <v>40796</v>
      </c>
      <c r="H50" s="166" t="s">
        <v>132</v>
      </c>
      <c r="I50" s="163" t="s">
        <v>301</v>
      </c>
      <c r="J50" s="163" t="s">
        <v>258</v>
      </c>
      <c r="K50" s="34">
        <f>IF((Observaciones[[#This Row],[Fecha Levantamiento]]-Observaciones[[#This Row],[Fecha Detección]])&gt;=0,Observaciones[[#This Row],[Fecha Levantamiento]]-Observaciones[[#This Row],[Fecha Detección]]+1,0)</f>
        <v>9</v>
      </c>
      <c r="L50" s="34" t="str">
        <f>LOOKUP(Observaciones[[#This Row],[Caso de Prueba]],CasoPrueba[Código CP],CasoPrueba[Código de REQ])</f>
        <v>INSPECCIÓN</v>
      </c>
    </row>
    <row r="51" spans="1:12" ht="45" hidden="1">
      <c r="A51" s="165" t="s">
        <v>309</v>
      </c>
      <c r="B51" s="163" t="s">
        <v>156</v>
      </c>
      <c r="C51" s="34" t="str">
        <f>VLOOKUP(Observaciones[Caso de Prueba],CasoPrueba[[#All],[Código CP]:[Prioridad]],7,TRUE)</f>
        <v>Alta</v>
      </c>
      <c r="D51" s="163" t="s">
        <v>30</v>
      </c>
      <c r="E51" s="163" t="s">
        <v>49</v>
      </c>
      <c r="F51" s="164">
        <v>40789</v>
      </c>
      <c r="G51" s="73">
        <v>40796</v>
      </c>
      <c r="H51" s="166" t="s">
        <v>132</v>
      </c>
      <c r="I51" s="163" t="s">
        <v>253</v>
      </c>
      <c r="J51" s="163" t="s">
        <v>228</v>
      </c>
      <c r="K51" s="34">
        <f>IF((Observaciones[[#This Row],[Fecha Levantamiento]]-Observaciones[[#This Row],[Fecha Detección]])&gt;=0,Observaciones[[#This Row],[Fecha Levantamiento]]-Observaciones[[#This Row],[Fecha Detección]]+1,0)</f>
        <v>8</v>
      </c>
      <c r="L51" s="34" t="str">
        <f>LOOKUP(Observaciones[[#This Row],[Caso de Prueba]],CasoPrueba[Código CP],CasoPrueba[Código de REQ])</f>
        <v>INSPECCIÓN</v>
      </c>
    </row>
    <row r="52" spans="1:12" ht="30" hidden="1">
      <c r="A52" s="165" t="s">
        <v>310</v>
      </c>
      <c r="B52" s="163" t="s">
        <v>156</v>
      </c>
      <c r="C52" s="34" t="str">
        <f>VLOOKUP(Observaciones[Caso de Prueba],CasoPrueba[[#All],[Código CP]:[Prioridad]],7,TRUE)</f>
        <v>Alta</v>
      </c>
      <c r="D52" s="163" t="s">
        <v>30</v>
      </c>
      <c r="E52" s="163" t="s">
        <v>49</v>
      </c>
      <c r="F52" s="164">
        <v>40793</v>
      </c>
      <c r="G52" s="73">
        <v>40796</v>
      </c>
      <c r="H52" s="166" t="s">
        <v>132</v>
      </c>
      <c r="I52" s="163" t="s">
        <v>236</v>
      </c>
      <c r="J52" s="163" t="s">
        <v>255</v>
      </c>
      <c r="K52" s="34">
        <f>IF((Observaciones[[#This Row],[Fecha Levantamiento]]-Observaciones[[#This Row],[Fecha Detección]])&gt;=0,Observaciones[[#This Row],[Fecha Levantamiento]]-Observaciones[[#This Row],[Fecha Detección]]+1,0)</f>
        <v>4</v>
      </c>
      <c r="L52" s="34" t="str">
        <f>LOOKUP(Observaciones[[#This Row],[Caso de Prueba]],CasoPrueba[Código CP],CasoPrueba[Código de REQ])</f>
        <v>INSPECCIÓN</v>
      </c>
    </row>
    <row r="53" spans="1:12" ht="30" hidden="1">
      <c r="A53" s="165" t="s">
        <v>311</v>
      </c>
      <c r="B53" s="163" t="s">
        <v>156</v>
      </c>
      <c r="C53" s="34" t="str">
        <f>VLOOKUP(Observaciones[Caso de Prueba],CasoPrueba[[#All],[Código CP]:[Prioridad]],7,TRUE)</f>
        <v>Alta</v>
      </c>
      <c r="D53" s="163" t="s">
        <v>30</v>
      </c>
      <c r="E53" s="163" t="s">
        <v>49</v>
      </c>
      <c r="F53" s="164">
        <v>40789</v>
      </c>
      <c r="G53" s="73">
        <v>40796</v>
      </c>
      <c r="H53" s="166" t="s">
        <v>132</v>
      </c>
      <c r="I53" s="163" t="s">
        <v>312</v>
      </c>
      <c r="J53" s="163" t="s">
        <v>313</v>
      </c>
      <c r="K53" s="34">
        <f>IF((Observaciones[[#This Row],[Fecha Levantamiento]]-Observaciones[[#This Row],[Fecha Detección]])&gt;=0,Observaciones[[#This Row],[Fecha Levantamiento]]-Observaciones[[#This Row],[Fecha Detección]]+1,0)</f>
        <v>8</v>
      </c>
      <c r="L53" s="34" t="str">
        <f>LOOKUP(Observaciones[[#This Row],[Caso de Prueba]],CasoPrueba[Código CP],CasoPrueba[Código de REQ])</f>
        <v>INSPECCIÓN</v>
      </c>
    </row>
    <row r="54" spans="1:12" ht="45" hidden="1">
      <c r="A54" s="165" t="s">
        <v>314</v>
      </c>
      <c r="B54" s="163" t="s">
        <v>156</v>
      </c>
      <c r="C54" s="34" t="str">
        <f>VLOOKUP(Observaciones[Caso de Prueba],CasoPrueba[[#All],[Código CP]:[Prioridad]],7,TRUE)</f>
        <v>Alta</v>
      </c>
      <c r="D54" s="163" t="s">
        <v>29</v>
      </c>
      <c r="E54" s="163" t="s">
        <v>49</v>
      </c>
      <c r="F54" s="164">
        <v>40789</v>
      </c>
      <c r="G54" s="73">
        <v>40796</v>
      </c>
      <c r="H54" s="166" t="s">
        <v>132</v>
      </c>
      <c r="I54" s="163" t="s">
        <v>315</v>
      </c>
      <c r="J54" s="163" t="s">
        <v>261</v>
      </c>
      <c r="K54" s="34">
        <f>IF((Observaciones[[#This Row],[Fecha Levantamiento]]-Observaciones[[#This Row],[Fecha Detección]])&gt;=0,Observaciones[[#This Row],[Fecha Levantamiento]]-Observaciones[[#This Row],[Fecha Detección]]+1,0)</f>
        <v>8</v>
      </c>
      <c r="L54" s="34" t="str">
        <f>LOOKUP(Observaciones[[#This Row],[Caso de Prueba]],CasoPrueba[Código CP],CasoPrueba[Código de REQ])</f>
        <v>INSPECCIÓN</v>
      </c>
    </row>
    <row r="55" spans="1:12" ht="60" hidden="1">
      <c r="A55" s="165" t="s">
        <v>316</v>
      </c>
      <c r="B55" s="163" t="s">
        <v>156</v>
      </c>
      <c r="C55" s="34" t="str">
        <f>VLOOKUP(Observaciones[Caso de Prueba],CasoPrueba[[#All],[Código CP]:[Prioridad]],7,TRUE)</f>
        <v>Alta</v>
      </c>
      <c r="D55" s="163" t="s">
        <v>30</v>
      </c>
      <c r="E55" s="163" t="s">
        <v>49</v>
      </c>
      <c r="F55" s="164">
        <v>40793</v>
      </c>
      <c r="G55" s="73">
        <v>40796</v>
      </c>
      <c r="H55" s="166" t="s">
        <v>132</v>
      </c>
      <c r="I55" s="163" t="s">
        <v>317</v>
      </c>
      <c r="J55" s="163" t="s">
        <v>318</v>
      </c>
      <c r="K55" s="34">
        <f>IF((Observaciones[[#This Row],[Fecha Levantamiento]]-Observaciones[[#This Row],[Fecha Detección]])&gt;=0,Observaciones[[#This Row],[Fecha Levantamiento]]-Observaciones[[#This Row],[Fecha Detección]]+1,0)</f>
        <v>4</v>
      </c>
      <c r="L55" s="34" t="str">
        <f>LOOKUP(Observaciones[[#This Row],[Caso de Prueba]],CasoPrueba[Código CP],CasoPrueba[Código de REQ])</f>
        <v>INSPECCIÓN</v>
      </c>
    </row>
    <row r="56" spans="1:12" ht="60" hidden="1">
      <c r="A56" s="165" t="s">
        <v>319</v>
      </c>
      <c r="B56" s="163" t="s">
        <v>156</v>
      </c>
      <c r="C56" s="34" t="str">
        <f>VLOOKUP(Observaciones[Caso de Prueba],CasoPrueba[[#All],[Código CP]:[Prioridad]],7,TRUE)</f>
        <v>Alta</v>
      </c>
      <c r="D56" s="163" t="s">
        <v>30</v>
      </c>
      <c r="E56" s="163" t="s">
        <v>49</v>
      </c>
      <c r="F56" s="164">
        <v>40789</v>
      </c>
      <c r="G56" s="73">
        <v>40796</v>
      </c>
      <c r="H56" s="166" t="s">
        <v>132</v>
      </c>
      <c r="I56" s="163" t="s">
        <v>320</v>
      </c>
      <c r="J56" s="163" t="s">
        <v>321</v>
      </c>
      <c r="K56" s="34">
        <f>IF((Observaciones[[#This Row],[Fecha Levantamiento]]-Observaciones[[#This Row],[Fecha Detección]])&gt;=0,Observaciones[[#This Row],[Fecha Levantamiento]]-Observaciones[[#This Row],[Fecha Detección]]+1,0)</f>
        <v>8</v>
      </c>
      <c r="L56" s="34" t="str">
        <f>LOOKUP(Observaciones[[#This Row],[Caso de Prueba]],CasoPrueba[Código CP],CasoPrueba[Código de REQ])</f>
        <v>INSPECCIÓN</v>
      </c>
    </row>
    <row r="57" spans="1:12" ht="30" hidden="1">
      <c r="A57" s="165" t="s">
        <v>322</v>
      </c>
      <c r="B57" s="163" t="s">
        <v>156</v>
      </c>
      <c r="C57" s="34" t="str">
        <f>VLOOKUP(Observaciones[Caso de Prueba],CasoPrueba[[#All],[Código CP]:[Prioridad]],7,TRUE)</f>
        <v>Alta</v>
      </c>
      <c r="D57" s="163" t="s">
        <v>29</v>
      </c>
      <c r="E57" s="163" t="s">
        <v>49</v>
      </c>
      <c r="F57" s="164">
        <v>40789</v>
      </c>
      <c r="G57" s="73">
        <v>40796</v>
      </c>
      <c r="H57" s="166" t="s">
        <v>132</v>
      </c>
      <c r="I57" s="163" t="s">
        <v>323</v>
      </c>
      <c r="J57" s="163" t="s">
        <v>324</v>
      </c>
      <c r="K57" s="34">
        <f>IF((Observaciones[[#This Row],[Fecha Levantamiento]]-Observaciones[[#This Row],[Fecha Detección]])&gt;=0,Observaciones[[#This Row],[Fecha Levantamiento]]-Observaciones[[#This Row],[Fecha Detección]]+1,0)</f>
        <v>8</v>
      </c>
      <c r="L57" s="34" t="str">
        <f>LOOKUP(Observaciones[[#This Row],[Caso de Prueba]],CasoPrueba[Código CP],CasoPrueba[Código de REQ])</f>
        <v>INSPECCIÓN</v>
      </c>
    </row>
    <row r="58" spans="1:12" ht="45" hidden="1">
      <c r="A58" s="165" t="s">
        <v>325</v>
      </c>
      <c r="B58" s="163" t="s">
        <v>157</v>
      </c>
      <c r="C58" s="34" t="str">
        <f>VLOOKUP(Observaciones[Caso de Prueba],CasoPrueba[[#All],[Código CP]:[Prioridad]],7,TRUE)</f>
        <v>Alta</v>
      </c>
      <c r="D58" s="163" t="s">
        <v>30</v>
      </c>
      <c r="E58" s="163" t="s">
        <v>49</v>
      </c>
      <c r="F58" s="164">
        <v>40789</v>
      </c>
      <c r="G58" s="73">
        <v>40796</v>
      </c>
      <c r="H58" s="166" t="s">
        <v>132</v>
      </c>
      <c r="I58" s="163" t="s">
        <v>253</v>
      </c>
      <c r="J58" s="163" t="s">
        <v>228</v>
      </c>
      <c r="K58" s="34">
        <f>IF((Observaciones[[#This Row],[Fecha Levantamiento]]-Observaciones[[#This Row],[Fecha Detección]])&gt;=0,Observaciones[[#This Row],[Fecha Levantamiento]]-Observaciones[[#This Row],[Fecha Detección]]+1,0)</f>
        <v>8</v>
      </c>
      <c r="L58" s="34" t="str">
        <f>LOOKUP(Observaciones[[#This Row],[Caso de Prueba]],CasoPrueba[Código CP],CasoPrueba[Código de REQ])</f>
        <v>INSPECCIÓN</v>
      </c>
    </row>
    <row r="59" spans="1:12" ht="30" hidden="1">
      <c r="A59" s="165" t="s">
        <v>326</v>
      </c>
      <c r="B59" s="163" t="s">
        <v>157</v>
      </c>
      <c r="C59" s="34" t="str">
        <f>VLOOKUP(Observaciones[Caso de Prueba],CasoPrueba[[#All],[Código CP]:[Prioridad]],7,TRUE)</f>
        <v>Alta</v>
      </c>
      <c r="D59" s="163" t="s">
        <v>30</v>
      </c>
      <c r="E59" s="163" t="s">
        <v>49</v>
      </c>
      <c r="F59" s="164">
        <v>40793</v>
      </c>
      <c r="G59" s="73">
        <v>40796</v>
      </c>
      <c r="H59" s="166" t="s">
        <v>132</v>
      </c>
      <c r="I59" s="163" t="s">
        <v>236</v>
      </c>
      <c r="J59" s="163" t="s">
        <v>272</v>
      </c>
      <c r="K59" s="34">
        <f>IF((Observaciones[[#This Row],[Fecha Levantamiento]]-Observaciones[[#This Row],[Fecha Detección]])&gt;=0,Observaciones[[#This Row],[Fecha Levantamiento]]-Observaciones[[#This Row],[Fecha Detección]]+1,0)</f>
        <v>4</v>
      </c>
      <c r="L59" s="34" t="str">
        <f>LOOKUP(Observaciones[[#This Row],[Caso de Prueba]],CasoPrueba[Código CP],CasoPrueba[Código de REQ])</f>
        <v>INSPECCIÓN</v>
      </c>
    </row>
    <row r="60" spans="1:12" ht="30" hidden="1">
      <c r="A60" s="165" t="s">
        <v>327</v>
      </c>
      <c r="B60" s="163" t="s">
        <v>157</v>
      </c>
      <c r="C60" s="34" t="str">
        <f>VLOOKUP(Observaciones[Caso de Prueba],CasoPrueba[[#All],[Código CP]:[Prioridad]],7,TRUE)</f>
        <v>Alta</v>
      </c>
      <c r="D60" s="163" t="s">
        <v>162</v>
      </c>
      <c r="E60" s="163" t="s">
        <v>49</v>
      </c>
      <c r="F60" s="164">
        <v>40789</v>
      </c>
      <c r="G60" s="73">
        <v>40796</v>
      </c>
      <c r="H60" s="166" t="s">
        <v>132</v>
      </c>
      <c r="I60" s="163" t="s">
        <v>328</v>
      </c>
      <c r="J60" s="163" t="s">
        <v>199</v>
      </c>
      <c r="K60" s="34">
        <f>IF((Observaciones[[#This Row],[Fecha Levantamiento]]-Observaciones[[#This Row],[Fecha Detección]])&gt;=0,Observaciones[[#This Row],[Fecha Levantamiento]]-Observaciones[[#This Row],[Fecha Detección]]+1,0)</f>
        <v>8</v>
      </c>
      <c r="L60" s="34" t="str">
        <f>LOOKUP(Observaciones[[#This Row],[Caso de Prueba]],CasoPrueba[Código CP],CasoPrueba[Código de REQ])</f>
        <v>INSPECCIÓN</v>
      </c>
    </row>
    <row r="61" spans="1:12" ht="30" hidden="1">
      <c r="A61" s="165" t="s">
        <v>329</v>
      </c>
      <c r="B61" s="163" t="s">
        <v>157</v>
      </c>
      <c r="C61" s="34" t="str">
        <f>VLOOKUP(Observaciones[Caso de Prueba],CasoPrueba[[#All],[Código CP]:[Prioridad]],7,TRUE)</f>
        <v>Alta</v>
      </c>
      <c r="D61" s="163" t="s">
        <v>29</v>
      </c>
      <c r="E61" s="163" t="s">
        <v>49</v>
      </c>
      <c r="F61" s="164">
        <v>40789</v>
      </c>
      <c r="G61" s="73">
        <v>40796</v>
      </c>
      <c r="H61" s="166" t="s">
        <v>132</v>
      </c>
      <c r="I61" s="163" t="s">
        <v>330</v>
      </c>
      <c r="J61" s="163" t="s">
        <v>331</v>
      </c>
      <c r="K61" s="34">
        <f>IF((Observaciones[[#This Row],[Fecha Levantamiento]]-Observaciones[[#This Row],[Fecha Detección]])&gt;=0,Observaciones[[#This Row],[Fecha Levantamiento]]-Observaciones[[#This Row],[Fecha Detección]]+1,0)</f>
        <v>8</v>
      </c>
      <c r="L61" s="34" t="str">
        <f>LOOKUP(Observaciones[[#This Row],[Caso de Prueba]],CasoPrueba[Código CP],CasoPrueba[Código de REQ])</f>
        <v>INSPECCIÓN</v>
      </c>
    </row>
    <row r="62" spans="1:12" ht="45" hidden="1">
      <c r="A62" s="165" t="s">
        <v>332</v>
      </c>
      <c r="B62" s="163" t="s">
        <v>157</v>
      </c>
      <c r="C62" s="34" t="str">
        <f>VLOOKUP(Observaciones[Caso de Prueba],CasoPrueba[[#All],[Código CP]:[Prioridad]],7,TRUE)</f>
        <v>Alta</v>
      </c>
      <c r="D62" s="163" t="s">
        <v>29</v>
      </c>
      <c r="E62" s="163" t="s">
        <v>49</v>
      </c>
      <c r="F62" s="164">
        <v>40789</v>
      </c>
      <c r="G62" s="73">
        <v>40796</v>
      </c>
      <c r="H62" s="166" t="s">
        <v>132</v>
      </c>
      <c r="I62" s="163" t="s">
        <v>333</v>
      </c>
      <c r="J62" s="163" t="s">
        <v>280</v>
      </c>
      <c r="K62" s="34">
        <f>IF((Observaciones[[#This Row],[Fecha Levantamiento]]-Observaciones[[#This Row],[Fecha Detección]])&gt;=0,Observaciones[[#This Row],[Fecha Levantamiento]]-Observaciones[[#This Row],[Fecha Detección]]+1,0)</f>
        <v>8</v>
      </c>
      <c r="L62" s="34" t="str">
        <f>LOOKUP(Observaciones[[#This Row],[Caso de Prueba]],CasoPrueba[Código CP],CasoPrueba[Código de REQ])</f>
        <v>INSPECCIÓN</v>
      </c>
    </row>
    <row r="63" spans="1:12" hidden="1">
      <c r="A63" s="165" t="s">
        <v>334</v>
      </c>
      <c r="B63" s="163" t="s">
        <v>157</v>
      </c>
      <c r="C63" s="34" t="str">
        <f>VLOOKUP(Observaciones[Caso de Prueba],CasoPrueba[[#All],[Código CP]:[Prioridad]],7,TRUE)</f>
        <v>Alta</v>
      </c>
      <c r="D63" s="163" t="s">
        <v>28</v>
      </c>
      <c r="E63" s="163" t="s">
        <v>49</v>
      </c>
      <c r="F63" s="164">
        <v>40793</v>
      </c>
      <c r="G63" s="73">
        <v>40796</v>
      </c>
      <c r="H63" s="166" t="s">
        <v>132</v>
      </c>
      <c r="I63" s="163" t="s">
        <v>250</v>
      </c>
      <c r="J63" s="163" t="s">
        <v>335</v>
      </c>
      <c r="K63" s="34">
        <f>IF((Observaciones[[#This Row],[Fecha Levantamiento]]-Observaciones[[#This Row],[Fecha Detección]])&gt;=0,Observaciones[[#This Row],[Fecha Levantamiento]]-Observaciones[[#This Row],[Fecha Detección]]+1,0)</f>
        <v>4</v>
      </c>
      <c r="L63" s="34" t="str">
        <f>LOOKUP(Observaciones[[#This Row],[Caso de Prueba]],CasoPrueba[Código CP],CasoPrueba[Código de REQ])</f>
        <v>INSPECCIÓN</v>
      </c>
    </row>
    <row r="64" spans="1:12" ht="45" hidden="1">
      <c r="A64" s="165" t="s">
        <v>336</v>
      </c>
      <c r="B64" s="163" t="s">
        <v>158</v>
      </c>
      <c r="C64" s="34" t="str">
        <f>VLOOKUP(Observaciones[Caso de Prueba],CasoPrueba[[#All],[Código CP]:[Prioridad]],7,TRUE)</f>
        <v>Alta</v>
      </c>
      <c r="D64" s="163" t="s">
        <v>30</v>
      </c>
      <c r="E64" s="163" t="s">
        <v>49</v>
      </c>
      <c r="F64" s="164">
        <v>40791</v>
      </c>
      <c r="G64" s="73">
        <v>40796</v>
      </c>
      <c r="H64" s="166" t="s">
        <v>132</v>
      </c>
      <c r="I64" s="163" t="s">
        <v>253</v>
      </c>
      <c r="J64" s="163" t="s">
        <v>228</v>
      </c>
      <c r="K64" s="34">
        <f>IF((Observaciones[[#This Row],[Fecha Levantamiento]]-Observaciones[[#This Row],[Fecha Detección]])&gt;=0,Observaciones[[#This Row],[Fecha Levantamiento]]-Observaciones[[#This Row],[Fecha Detección]]+1,0)</f>
        <v>6</v>
      </c>
      <c r="L64" s="34" t="str">
        <f>LOOKUP(Observaciones[[#This Row],[Caso de Prueba]],CasoPrueba[Código CP],CasoPrueba[Código de REQ])</f>
        <v>INSPECCIÓN</v>
      </c>
    </row>
    <row r="65" spans="1:12" ht="30" hidden="1">
      <c r="A65" s="165" t="s">
        <v>337</v>
      </c>
      <c r="B65" s="163" t="s">
        <v>158</v>
      </c>
      <c r="C65" s="34" t="str">
        <f>VLOOKUP(Observaciones[Caso de Prueba],CasoPrueba[[#All],[Código CP]:[Prioridad]],7,TRUE)</f>
        <v>Alta</v>
      </c>
      <c r="D65" s="163" t="s">
        <v>30</v>
      </c>
      <c r="E65" s="163" t="s">
        <v>49</v>
      </c>
      <c r="F65" s="164">
        <v>40793</v>
      </c>
      <c r="G65" s="73">
        <v>40796</v>
      </c>
      <c r="H65" s="166" t="s">
        <v>132</v>
      </c>
      <c r="I65" s="163" t="s">
        <v>236</v>
      </c>
      <c r="J65" s="163" t="s">
        <v>255</v>
      </c>
      <c r="K65" s="34">
        <f>IF((Observaciones[[#This Row],[Fecha Levantamiento]]-Observaciones[[#This Row],[Fecha Detección]])&gt;=0,Observaciones[[#This Row],[Fecha Levantamiento]]-Observaciones[[#This Row],[Fecha Detección]]+1,0)</f>
        <v>4</v>
      </c>
      <c r="L65" s="34" t="str">
        <f>LOOKUP(Observaciones[[#This Row],[Caso de Prueba]],CasoPrueba[Código CP],CasoPrueba[Código de REQ])</f>
        <v>INSPECCIÓN</v>
      </c>
    </row>
    <row r="66" spans="1:12" ht="60" hidden="1">
      <c r="A66" s="165" t="s">
        <v>338</v>
      </c>
      <c r="B66" s="163" t="s">
        <v>158</v>
      </c>
      <c r="C66" s="34" t="str">
        <f>VLOOKUP(Observaciones[Caso de Prueba],CasoPrueba[[#All],[Código CP]:[Prioridad]],7,TRUE)</f>
        <v>Alta</v>
      </c>
      <c r="D66" s="163" t="s">
        <v>30</v>
      </c>
      <c r="E66" s="163" t="s">
        <v>49</v>
      </c>
      <c r="F66" s="164">
        <v>40793</v>
      </c>
      <c r="G66" s="73">
        <v>40796</v>
      </c>
      <c r="H66" s="166" t="s">
        <v>132</v>
      </c>
      <c r="I66" s="163" t="s">
        <v>317</v>
      </c>
      <c r="J66" s="163" t="s">
        <v>318</v>
      </c>
      <c r="K66" s="34">
        <f>IF((Observaciones[[#This Row],[Fecha Levantamiento]]-Observaciones[[#This Row],[Fecha Detección]])&gt;=0,Observaciones[[#This Row],[Fecha Levantamiento]]-Observaciones[[#This Row],[Fecha Detección]]+1,0)</f>
        <v>4</v>
      </c>
      <c r="L66" s="34" t="str">
        <f>LOOKUP(Observaciones[[#This Row],[Caso de Prueba]],CasoPrueba[Código CP],CasoPrueba[Código de REQ])</f>
        <v>INSPECCIÓN</v>
      </c>
    </row>
    <row r="67" spans="1:12" ht="45" hidden="1">
      <c r="A67" s="165" t="s">
        <v>339</v>
      </c>
      <c r="B67" s="163" t="s">
        <v>158</v>
      </c>
      <c r="C67" s="34" t="str">
        <f>VLOOKUP(Observaciones[Caso de Prueba],CasoPrueba[[#All],[Código CP]:[Prioridad]],7,TRUE)</f>
        <v>Alta</v>
      </c>
      <c r="D67" s="163" t="s">
        <v>29</v>
      </c>
      <c r="E67" s="163" t="s">
        <v>49</v>
      </c>
      <c r="F67" s="164">
        <v>40791</v>
      </c>
      <c r="G67" s="73">
        <v>40796</v>
      </c>
      <c r="H67" s="166" t="s">
        <v>132</v>
      </c>
      <c r="I67" s="163" t="s">
        <v>340</v>
      </c>
      <c r="J67" s="163" t="s">
        <v>261</v>
      </c>
      <c r="K67" s="34">
        <f>IF((Observaciones[[#This Row],[Fecha Levantamiento]]-Observaciones[[#This Row],[Fecha Detección]])&gt;=0,Observaciones[[#This Row],[Fecha Levantamiento]]-Observaciones[[#This Row],[Fecha Detección]]+1,0)</f>
        <v>6</v>
      </c>
      <c r="L67" s="34" t="str">
        <f>LOOKUP(Observaciones[[#This Row],[Caso de Prueba]],CasoPrueba[Código CP],CasoPrueba[Código de REQ])</f>
        <v>INSPECCIÓN</v>
      </c>
    </row>
    <row r="68" spans="1:12" ht="45" hidden="1">
      <c r="A68" s="165" t="s">
        <v>341</v>
      </c>
      <c r="B68" s="163" t="s">
        <v>158</v>
      </c>
      <c r="C68" s="34" t="str">
        <f>VLOOKUP(Observaciones[Caso de Prueba],CasoPrueba[[#All],[Código CP]:[Prioridad]],7,TRUE)</f>
        <v>Alta</v>
      </c>
      <c r="D68" s="163" t="s">
        <v>162</v>
      </c>
      <c r="E68" s="163" t="s">
        <v>49</v>
      </c>
      <c r="F68" s="164">
        <v>40791</v>
      </c>
      <c r="G68" s="73">
        <v>40796</v>
      </c>
      <c r="H68" s="166" t="s">
        <v>132</v>
      </c>
      <c r="I68" s="163" t="s">
        <v>342</v>
      </c>
      <c r="J68" s="163" t="s">
        <v>264</v>
      </c>
      <c r="K68" s="34">
        <f>IF((Observaciones[[#This Row],[Fecha Levantamiento]]-Observaciones[[#This Row],[Fecha Detección]])&gt;=0,Observaciones[[#This Row],[Fecha Levantamiento]]-Observaciones[[#This Row],[Fecha Detección]]+1,0)</f>
        <v>6</v>
      </c>
      <c r="L68" s="34" t="str">
        <f>LOOKUP(Observaciones[[#This Row],[Caso de Prueba]],CasoPrueba[Código CP],CasoPrueba[Código de REQ])</f>
        <v>INSPECCIÓN</v>
      </c>
    </row>
    <row r="69" spans="1:12" ht="30" hidden="1">
      <c r="A69" s="165" t="s">
        <v>343</v>
      </c>
      <c r="B69" s="163" t="s">
        <v>158</v>
      </c>
      <c r="C69" s="34" t="str">
        <f>VLOOKUP(Observaciones[Caso de Prueba],CasoPrueba[[#All],[Código CP]:[Prioridad]],7,TRUE)</f>
        <v>Alta</v>
      </c>
      <c r="D69" s="163" t="s">
        <v>29</v>
      </c>
      <c r="E69" s="163" t="s">
        <v>49</v>
      </c>
      <c r="F69" s="164">
        <v>40791</v>
      </c>
      <c r="G69" s="73">
        <v>40796</v>
      </c>
      <c r="H69" s="166" t="s">
        <v>132</v>
      </c>
      <c r="I69" s="163" t="s">
        <v>323</v>
      </c>
      <c r="J69" s="163" t="s">
        <v>324</v>
      </c>
      <c r="K69" s="34">
        <f>IF((Observaciones[[#This Row],[Fecha Levantamiento]]-Observaciones[[#This Row],[Fecha Detección]])&gt;=0,Observaciones[[#This Row],[Fecha Levantamiento]]-Observaciones[[#This Row],[Fecha Detección]]+1,0)</f>
        <v>6</v>
      </c>
      <c r="L69" s="34" t="str">
        <f>LOOKUP(Observaciones[[#This Row],[Caso de Prueba]],CasoPrueba[Código CP],CasoPrueba[Código de REQ])</f>
        <v>INSPECCIÓN</v>
      </c>
    </row>
    <row r="70" spans="1:12" ht="45" hidden="1">
      <c r="A70" s="165" t="s">
        <v>344</v>
      </c>
      <c r="B70" s="163" t="s">
        <v>171</v>
      </c>
      <c r="C70" s="34" t="str">
        <f>VLOOKUP(Observaciones[Caso de Prueba],CasoPrueba[[#All],[Código CP]:[Prioridad]],7,TRUE)</f>
        <v>Alta</v>
      </c>
      <c r="D70" s="163" t="s">
        <v>30</v>
      </c>
      <c r="E70" s="163" t="s">
        <v>49</v>
      </c>
      <c r="F70" s="164">
        <v>40791</v>
      </c>
      <c r="G70" s="73">
        <v>40796</v>
      </c>
      <c r="H70" s="166" t="s">
        <v>132</v>
      </c>
      <c r="I70" s="163" t="s">
        <v>253</v>
      </c>
      <c r="J70" s="163" t="s">
        <v>228</v>
      </c>
      <c r="K70" s="34">
        <f>IF((Observaciones[[#This Row],[Fecha Levantamiento]]-Observaciones[[#This Row],[Fecha Detección]])&gt;=0,Observaciones[[#This Row],[Fecha Levantamiento]]-Observaciones[[#This Row],[Fecha Detección]]+1,0)</f>
        <v>6</v>
      </c>
      <c r="L70" s="34" t="str">
        <f>LOOKUP(Observaciones[[#This Row],[Caso de Prueba]],CasoPrueba[Código CP],CasoPrueba[Código de REQ])</f>
        <v>INSPECCIÓN</v>
      </c>
    </row>
    <row r="71" spans="1:12" ht="30" hidden="1">
      <c r="A71" s="165" t="s">
        <v>345</v>
      </c>
      <c r="B71" s="163" t="s">
        <v>171</v>
      </c>
      <c r="C71" s="34" t="str">
        <f>VLOOKUP(Observaciones[Caso de Prueba],CasoPrueba[[#All],[Código CP]:[Prioridad]],7,TRUE)</f>
        <v>Alta</v>
      </c>
      <c r="D71" s="163" t="s">
        <v>30</v>
      </c>
      <c r="E71" s="163" t="s">
        <v>49</v>
      </c>
      <c r="F71" s="164">
        <v>40793</v>
      </c>
      <c r="G71" s="73">
        <v>40796</v>
      </c>
      <c r="H71" s="166" t="s">
        <v>132</v>
      </c>
      <c r="I71" s="163" t="s">
        <v>236</v>
      </c>
      <c r="J71" s="163" t="s">
        <v>255</v>
      </c>
      <c r="K71" s="34">
        <f>IF((Observaciones[[#This Row],[Fecha Levantamiento]]-Observaciones[[#This Row],[Fecha Detección]])&gt;=0,Observaciones[[#This Row],[Fecha Levantamiento]]-Observaciones[[#This Row],[Fecha Detección]]+1,0)</f>
        <v>4</v>
      </c>
      <c r="L71" s="34" t="str">
        <f>LOOKUP(Observaciones[[#This Row],[Caso de Prueba]],CasoPrueba[Código CP],CasoPrueba[Código de REQ])</f>
        <v>INSPECCIÓN</v>
      </c>
    </row>
    <row r="72" spans="1:12" ht="30" hidden="1">
      <c r="A72" s="165" t="s">
        <v>346</v>
      </c>
      <c r="B72" s="163" t="s">
        <v>171</v>
      </c>
      <c r="C72" s="34" t="str">
        <f>VLOOKUP(Observaciones[Caso de Prueba],CasoPrueba[[#All],[Código CP]:[Prioridad]],7,TRUE)</f>
        <v>Alta</v>
      </c>
      <c r="D72" s="163" t="s">
        <v>29</v>
      </c>
      <c r="E72" s="163" t="s">
        <v>49</v>
      </c>
      <c r="F72" s="164">
        <v>40791</v>
      </c>
      <c r="G72" s="73">
        <v>40796</v>
      </c>
      <c r="H72" s="166" t="s">
        <v>132</v>
      </c>
      <c r="I72" s="163" t="s">
        <v>323</v>
      </c>
      <c r="J72" s="163" t="s">
        <v>324</v>
      </c>
      <c r="K72" s="34">
        <f>IF((Observaciones[[#This Row],[Fecha Levantamiento]]-Observaciones[[#This Row],[Fecha Detección]])&gt;=0,Observaciones[[#This Row],[Fecha Levantamiento]]-Observaciones[[#This Row],[Fecha Detección]]+1,0)</f>
        <v>6</v>
      </c>
      <c r="L72" s="34" t="str">
        <f>LOOKUP(Observaciones[[#This Row],[Caso de Prueba]],CasoPrueba[Código CP],CasoPrueba[Código de REQ])</f>
        <v>INSPECCIÓN</v>
      </c>
    </row>
    <row r="73" spans="1:12" hidden="1">
      <c r="A73" s="165" t="s">
        <v>347</v>
      </c>
      <c r="B73" s="163" t="s">
        <v>171</v>
      </c>
      <c r="C73" s="34" t="str">
        <f>VLOOKUP(Observaciones[Caso de Prueba],CasoPrueba[[#All],[Código CP]:[Prioridad]],7,TRUE)</f>
        <v>Alta</v>
      </c>
      <c r="D73" s="163" t="s">
        <v>28</v>
      </c>
      <c r="E73" s="163" t="s">
        <v>49</v>
      </c>
      <c r="F73" s="164">
        <v>40793</v>
      </c>
      <c r="G73" s="73">
        <v>40796</v>
      </c>
      <c r="H73" s="166" t="s">
        <v>132</v>
      </c>
      <c r="I73" s="163" t="s">
        <v>250</v>
      </c>
      <c r="J73" s="163" t="s">
        <v>266</v>
      </c>
      <c r="K73" s="34">
        <f>IF((Observaciones[[#This Row],[Fecha Levantamiento]]-Observaciones[[#This Row],[Fecha Detección]])&gt;=0,Observaciones[[#This Row],[Fecha Levantamiento]]-Observaciones[[#This Row],[Fecha Detección]]+1,0)</f>
        <v>4</v>
      </c>
      <c r="L73" s="34" t="str">
        <f>LOOKUP(Observaciones[[#This Row],[Caso de Prueba]],CasoPrueba[Código CP],CasoPrueba[Código de REQ])</f>
        <v>INSPECCIÓN</v>
      </c>
    </row>
    <row r="74" spans="1:12" ht="45" hidden="1">
      <c r="A74" s="165" t="s">
        <v>348</v>
      </c>
      <c r="B74" s="163" t="s">
        <v>172</v>
      </c>
      <c r="C74" s="34" t="str">
        <f>VLOOKUP(Observaciones[Caso de Prueba],CasoPrueba[[#All],[Código CP]:[Prioridad]],7,TRUE)</f>
        <v>Alta</v>
      </c>
      <c r="D74" s="163" t="s">
        <v>162</v>
      </c>
      <c r="E74" s="163" t="s">
        <v>49</v>
      </c>
      <c r="F74" s="164">
        <v>40793</v>
      </c>
      <c r="G74" s="73">
        <v>40796</v>
      </c>
      <c r="H74" s="166" t="s">
        <v>132</v>
      </c>
      <c r="I74" s="163" t="s">
        <v>349</v>
      </c>
      <c r="J74" s="163" t="s">
        <v>196</v>
      </c>
      <c r="K74" s="34">
        <f>IF((Observaciones[[#This Row],[Fecha Levantamiento]]-Observaciones[[#This Row],[Fecha Detección]])&gt;=0,Observaciones[[#This Row],[Fecha Levantamiento]]-Observaciones[[#This Row],[Fecha Detección]]+1,0)</f>
        <v>4</v>
      </c>
      <c r="L74" s="34" t="str">
        <f>LOOKUP(Observaciones[[#This Row],[Caso de Prueba]],CasoPrueba[Código CP],CasoPrueba[Código de REQ])</f>
        <v>INSPECCIÓN</v>
      </c>
    </row>
    <row r="75" spans="1:12" ht="30" hidden="1">
      <c r="A75" s="165" t="s">
        <v>350</v>
      </c>
      <c r="B75" s="163" t="s">
        <v>172</v>
      </c>
      <c r="C75" s="34" t="str">
        <f>VLOOKUP(Observaciones[Caso de Prueba],CasoPrueba[[#All],[Código CP]:[Prioridad]],7,TRUE)</f>
        <v>Alta</v>
      </c>
      <c r="D75" s="163" t="s">
        <v>162</v>
      </c>
      <c r="E75" s="163" t="s">
        <v>49</v>
      </c>
      <c r="F75" s="164">
        <v>40793</v>
      </c>
      <c r="G75" s="73">
        <v>40796</v>
      </c>
      <c r="H75" s="166" t="s">
        <v>132</v>
      </c>
      <c r="I75" s="163" t="s">
        <v>351</v>
      </c>
      <c r="J75" s="163" t="s">
        <v>352</v>
      </c>
      <c r="K75" s="34">
        <f>IF((Observaciones[[#This Row],[Fecha Levantamiento]]-Observaciones[[#This Row],[Fecha Detección]])&gt;=0,Observaciones[[#This Row],[Fecha Levantamiento]]-Observaciones[[#This Row],[Fecha Detección]]+1,0)</f>
        <v>4</v>
      </c>
      <c r="L75" s="34" t="str">
        <f>LOOKUP(Observaciones[[#This Row],[Caso de Prueba]],CasoPrueba[Código CP],CasoPrueba[Código de REQ])</f>
        <v>INSPECCIÓN</v>
      </c>
    </row>
    <row r="76" spans="1:12" ht="30" hidden="1">
      <c r="A76" s="165" t="s">
        <v>353</v>
      </c>
      <c r="B76" s="163" t="s">
        <v>172</v>
      </c>
      <c r="C76" s="34" t="str">
        <f>VLOOKUP(Observaciones[Caso de Prueba],CasoPrueba[[#All],[Código CP]:[Prioridad]],7,TRUE)</f>
        <v>Alta</v>
      </c>
      <c r="D76" s="163" t="s">
        <v>30</v>
      </c>
      <c r="E76" s="163" t="s">
        <v>49</v>
      </c>
      <c r="F76" s="164">
        <v>40793</v>
      </c>
      <c r="G76" s="73">
        <v>40796</v>
      </c>
      <c r="H76" s="166" t="s">
        <v>132</v>
      </c>
      <c r="I76" s="163" t="s">
        <v>354</v>
      </c>
      <c r="J76" s="163" t="s">
        <v>355</v>
      </c>
      <c r="K76" s="34">
        <f>IF((Observaciones[[#This Row],[Fecha Levantamiento]]-Observaciones[[#This Row],[Fecha Detección]])&gt;=0,Observaciones[[#This Row],[Fecha Levantamiento]]-Observaciones[[#This Row],[Fecha Detección]]+1,0)</f>
        <v>4</v>
      </c>
      <c r="L76" s="34" t="str">
        <f>LOOKUP(Observaciones[[#This Row],[Caso de Prueba]],CasoPrueba[Código CP],CasoPrueba[Código de REQ])</f>
        <v>INSPECCIÓN</v>
      </c>
    </row>
    <row r="77" spans="1:12" ht="45" hidden="1">
      <c r="A77" s="165" t="s">
        <v>356</v>
      </c>
      <c r="B77" s="163" t="s">
        <v>172</v>
      </c>
      <c r="C77" s="34" t="str">
        <f>VLOOKUP(Observaciones[Caso de Prueba],CasoPrueba[[#All],[Código CP]:[Prioridad]],7,TRUE)</f>
        <v>Alta</v>
      </c>
      <c r="D77" s="163" t="s">
        <v>28</v>
      </c>
      <c r="E77" s="163" t="s">
        <v>49</v>
      </c>
      <c r="F77" s="164">
        <v>40793</v>
      </c>
      <c r="G77" s="73">
        <v>40796</v>
      </c>
      <c r="H77" s="166" t="s">
        <v>132</v>
      </c>
      <c r="I77" s="163" t="s">
        <v>357</v>
      </c>
      <c r="J77" s="163" t="s">
        <v>358</v>
      </c>
      <c r="K77" s="34">
        <f>IF((Observaciones[[#This Row],[Fecha Levantamiento]]-Observaciones[[#This Row],[Fecha Detección]])&gt;=0,Observaciones[[#This Row],[Fecha Levantamiento]]-Observaciones[[#This Row],[Fecha Detección]]+1,0)</f>
        <v>4</v>
      </c>
      <c r="L77" s="34" t="str">
        <f>LOOKUP(Observaciones[[#This Row],[Caso de Prueba]],CasoPrueba[Código CP],CasoPrueba[Código de REQ])</f>
        <v>INSPECCIÓN</v>
      </c>
    </row>
    <row r="78" spans="1:12" hidden="1">
      <c r="A78" s="165" t="s">
        <v>359</v>
      </c>
      <c r="B78" s="163" t="s">
        <v>172</v>
      </c>
      <c r="C78" s="34" t="str">
        <f>VLOOKUP(Observaciones[Caso de Prueba],CasoPrueba[[#All],[Código CP]:[Prioridad]],7,TRUE)</f>
        <v>Alta</v>
      </c>
      <c r="D78" s="163" t="s">
        <v>28</v>
      </c>
      <c r="E78" s="163" t="s">
        <v>49</v>
      </c>
      <c r="F78" s="164">
        <v>40793</v>
      </c>
      <c r="G78" s="73">
        <v>40796</v>
      </c>
      <c r="H78" s="166" t="s">
        <v>132</v>
      </c>
      <c r="I78" s="163" t="s">
        <v>250</v>
      </c>
      <c r="J78" s="163" t="s">
        <v>360</v>
      </c>
      <c r="K78" s="34">
        <f>IF((Observaciones[[#This Row],[Fecha Levantamiento]]-Observaciones[[#This Row],[Fecha Detección]])&gt;=0,Observaciones[[#This Row],[Fecha Levantamiento]]-Observaciones[[#This Row],[Fecha Detección]]+1,0)</f>
        <v>4</v>
      </c>
      <c r="L78" s="34" t="str">
        <f>LOOKUP(Observaciones[[#This Row],[Caso de Prueba]],CasoPrueba[Código CP],CasoPrueba[Código de REQ])</f>
        <v>INSPECCIÓN</v>
      </c>
    </row>
    <row r="79" spans="1:12" ht="30" hidden="1">
      <c r="A79" s="165" t="s">
        <v>361</v>
      </c>
      <c r="B79" s="163" t="s">
        <v>172</v>
      </c>
      <c r="C79" s="34" t="str">
        <f>VLOOKUP(Observaciones[Caso de Prueba],CasoPrueba[[#All],[Código CP]:[Prioridad]],7,TRUE)</f>
        <v>Alta</v>
      </c>
      <c r="D79" s="163" t="s">
        <v>29</v>
      </c>
      <c r="E79" s="163" t="s">
        <v>49</v>
      </c>
      <c r="F79" s="164">
        <v>40793</v>
      </c>
      <c r="G79" s="73">
        <v>40796</v>
      </c>
      <c r="H79" s="166" t="s">
        <v>132</v>
      </c>
      <c r="I79" s="163" t="s">
        <v>301</v>
      </c>
      <c r="J79" s="163" t="s">
        <v>362</v>
      </c>
      <c r="K79" s="34">
        <f>IF((Observaciones[[#This Row],[Fecha Levantamiento]]-Observaciones[[#This Row],[Fecha Detección]])&gt;=0,Observaciones[[#This Row],[Fecha Levantamiento]]-Observaciones[[#This Row],[Fecha Detección]]+1,0)</f>
        <v>4</v>
      </c>
      <c r="L79" s="34" t="str">
        <f>LOOKUP(Observaciones[[#This Row],[Caso de Prueba]],CasoPrueba[Código CP],CasoPrueba[Código de REQ])</f>
        <v>INSPECCIÓN</v>
      </c>
    </row>
    <row r="80" spans="1:12" ht="45" hidden="1">
      <c r="A80" s="165" t="s">
        <v>363</v>
      </c>
      <c r="B80" s="163" t="s">
        <v>172</v>
      </c>
      <c r="C80" s="34" t="str">
        <f>VLOOKUP(Observaciones[Caso de Prueba],CasoPrueba[[#All],[Código CP]:[Prioridad]],7,TRUE)</f>
        <v>Alta</v>
      </c>
      <c r="D80" s="163" t="s">
        <v>29</v>
      </c>
      <c r="E80" s="163" t="s">
        <v>49</v>
      </c>
      <c r="F80" s="164">
        <v>40793</v>
      </c>
      <c r="G80" s="73">
        <v>40796</v>
      </c>
      <c r="H80" s="166" t="s">
        <v>132</v>
      </c>
      <c r="I80" s="163" t="s">
        <v>364</v>
      </c>
      <c r="J80" s="163" t="s">
        <v>365</v>
      </c>
      <c r="K80" s="34">
        <f>IF((Observaciones[[#This Row],[Fecha Levantamiento]]-Observaciones[[#This Row],[Fecha Detección]])&gt;=0,Observaciones[[#This Row],[Fecha Levantamiento]]-Observaciones[[#This Row],[Fecha Detección]]+1,0)</f>
        <v>4</v>
      </c>
      <c r="L80" s="34" t="str">
        <f>LOOKUP(Observaciones[[#This Row],[Caso de Prueba]],CasoPrueba[Código CP],CasoPrueba[Código de REQ])</f>
        <v>INSPECCIÓN</v>
      </c>
    </row>
    <row r="81" spans="1:12" ht="45" hidden="1">
      <c r="A81" s="165" t="s">
        <v>366</v>
      </c>
      <c r="B81" s="163" t="s">
        <v>172</v>
      </c>
      <c r="C81" s="34" t="str">
        <f>VLOOKUP(Observaciones[Caso de Prueba],CasoPrueba[[#All],[Código CP]:[Prioridad]],7,TRUE)</f>
        <v>Alta</v>
      </c>
      <c r="D81" s="163" t="s">
        <v>30</v>
      </c>
      <c r="E81" s="163" t="s">
        <v>49</v>
      </c>
      <c r="F81" s="164">
        <v>40793</v>
      </c>
      <c r="G81" s="73">
        <v>40796</v>
      </c>
      <c r="H81" s="166" t="s">
        <v>132</v>
      </c>
      <c r="I81" s="163" t="s">
        <v>460</v>
      </c>
      <c r="J81" s="163" t="s">
        <v>367</v>
      </c>
      <c r="K81" s="34">
        <f>IF((Observaciones[[#This Row],[Fecha Levantamiento]]-Observaciones[[#This Row],[Fecha Detección]])&gt;=0,Observaciones[[#This Row],[Fecha Levantamiento]]-Observaciones[[#This Row],[Fecha Detección]]+1,0)</f>
        <v>4</v>
      </c>
      <c r="L81" s="34" t="str">
        <f>LOOKUP(Observaciones[[#This Row],[Caso de Prueba]],CasoPrueba[Código CP],CasoPrueba[Código de REQ])</f>
        <v>INSPECCIÓN</v>
      </c>
    </row>
    <row r="82" spans="1:12" ht="60" hidden="1">
      <c r="A82" s="165" t="s">
        <v>368</v>
      </c>
      <c r="B82" s="163" t="s">
        <v>172</v>
      </c>
      <c r="C82" s="34" t="str">
        <f>VLOOKUP(Observaciones[Caso de Prueba],CasoPrueba[[#All],[Código CP]:[Prioridad]],7,TRUE)</f>
        <v>Alta</v>
      </c>
      <c r="D82" s="163" t="s">
        <v>29</v>
      </c>
      <c r="E82" s="163" t="s">
        <v>49</v>
      </c>
      <c r="F82" s="164">
        <v>40793</v>
      </c>
      <c r="G82" s="73">
        <v>40796</v>
      </c>
      <c r="H82" s="166" t="s">
        <v>132</v>
      </c>
      <c r="I82" s="163" t="s">
        <v>369</v>
      </c>
      <c r="J82" s="163" t="s">
        <v>370</v>
      </c>
      <c r="K82" s="34">
        <f>IF((Observaciones[[#This Row],[Fecha Levantamiento]]-Observaciones[[#This Row],[Fecha Detección]])&gt;=0,Observaciones[[#This Row],[Fecha Levantamiento]]-Observaciones[[#This Row],[Fecha Detección]]+1,0)</f>
        <v>4</v>
      </c>
      <c r="L82" s="34" t="str">
        <f>LOOKUP(Observaciones[[#This Row],[Caso de Prueba]],CasoPrueba[Código CP],CasoPrueba[Código de REQ])</f>
        <v>INSPECCIÓN</v>
      </c>
    </row>
    <row r="83" spans="1:12" ht="60" hidden="1">
      <c r="A83" s="165" t="s">
        <v>371</v>
      </c>
      <c r="B83" s="163" t="s">
        <v>172</v>
      </c>
      <c r="C83" s="34" t="str">
        <f>VLOOKUP(Observaciones[Caso de Prueba],CasoPrueba[[#All],[Código CP]:[Prioridad]],7,TRUE)</f>
        <v>Alta</v>
      </c>
      <c r="D83" s="163" t="s">
        <v>29</v>
      </c>
      <c r="E83" s="163" t="s">
        <v>49</v>
      </c>
      <c r="F83" s="164">
        <v>40793</v>
      </c>
      <c r="G83" s="73">
        <v>40796</v>
      </c>
      <c r="H83" s="166" t="s">
        <v>132</v>
      </c>
      <c r="I83" s="163" t="s">
        <v>372</v>
      </c>
      <c r="J83" s="163" t="s">
        <v>370</v>
      </c>
      <c r="K83" s="34">
        <f>IF((Observaciones[[#This Row],[Fecha Levantamiento]]-Observaciones[[#This Row],[Fecha Detección]])&gt;=0,Observaciones[[#This Row],[Fecha Levantamiento]]-Observaciones[[#This Row],[Fecha Detección]]+1,0)</f>
        <v>4</v>
      </c>
      <c r="L83" s="34" t="str">
        <f>LOOKUP(Observaciones[[#This Row],[Caso de Prueba]],CasoPrueba[Código CP],CasoPrueba[Código de REQ])</f>
        <v>INSPECCIÓN</v>
      </c>
    </row>
    <row r="84" spans="1:12" ht="30" hidden="1">
      <c r="A84" s="165" t="s">
        <v>373</v>
      </c>
      <c r="B84" s="163" t="s">
        <v>172</v>
      </c>
      <c r="C84" s="34" t="str">
        <f>VLOOKUP(Observaciones[Caso de Prueba],CasoPrueba[[#All],[Código CP]:[Prioridad]],7,TRUE)</f>
        <v>Alta</v>
      </c>
      <c r="D84" s="163" t="s">
        <v>29</v>
      </c>
      <c r="E84" s="163" t="s">
        <v>49</v>
      </c>
      <c r="F84" s="164">
        <v>40793</v>
      </c>
      <c r="G84" s="73">
        <v>40796</v>
      </c>
      <c r="H84" s="166" t="s">
        <v>132</v>
      </c>
      <c r="I84" s="163" t="s">
        <v>374</v>
      </c>
      <c r="J84" s="163" t="s">
        <v>375</v>
      </c>
      <c r="K84" s="34">
        <f>IF((Observaciones[[#This Row],[Fecha Levantamiento]]-Observaciones[[#This Row],[Fecha Detección]])&gt;=0,Observaciones[[#This Row],[Fecha Levantamiento]]-Observaciones[[#This Row],[Fecha Detección]]+1,0)</f>
        <v>4</v>
      </c>
      <c r="L84" s="34" t="str">
        <f>LOOKUP(Observaciones[[#This Row],[Caso de Prueba]],CasoPrueba[Código CP],CasoPrueba[Código de REQ])</f>
        <v>INSPECCIÓN</v>
      </c>
    </row>
    <row r="85" spans="1:12" ht="90" hidden="1">
      <c r="A85" s="165" t="s">
        <v>376</v>
      </c>
      <c r="B85" s="163" t="s">
        <v>172</v>
      </c>
      <c r="C85" s="34" t="str">
        <f>VLOOKUP(Observaciones[Caso de Prueba],CasoPrueba[[#All],[Código CP]:[Prioridad]],7,TRUE)</f>
        <v>Alta</v>
      </c>
      <c r="D85" s="163" t="s">
        <v>29</v>
      </c>
      <c r="E85" s="163" t="s">
        <v>49</v>
      </c>
      <c r="F85" s="164">
        <v>40793</v>
      </c>
      <c r="G85" s="73">
        <v>40796</v>
      </c>
      <c r="H85" s="166" t="s">
        <v>132</v>
      </c>
      <c r="I85" s="163" t="s">
        <v>377</v>
      </c>
      <c r="J85" s="163" t="s">
        <v>378</v>
      </c>
      <c r="K85" s="34">
        <f>IF((Observaciones[[#This Row],[Fecha Levantamiento]]-Observaciones[[#This Row],[Fecha Detección]])&gt;=0,Observaciones[[#This Row],[Fecha Levantamiento]]-Observaciones[[#This Row],[Fecha Detección]]+1,0)</f>
        <v>4</v>
      </c>
      <c r="L85" s="34" t="str">
        <f>LOOKUP(Observaciones[[#This Row],[Caso de Prueba]],CasoPrueba[Código CP],CasoPrueba[Código de REQ])</f>
        <v>INSPECCIÓN</v>
      </c>
    </row>
    <row r="86" spans="1:12" ht="45" hidden="1">
      <c r="A86" s="165" t="s">
        <v>379</v>
      </c>
      <c r="B86" s="163" t="s">
        <v>172</v>
      </c>
      <c r="C86" s="34" t="str">
        <f>VLOOKUP(Observaciones[Caso de Prueba],CasoPrueba[[#All],[Código CP]:[Prioridad]],7,TRUE)</f>
        <v>Alta</v>
      </c>
      <c r="D86" s="163" t="s">
        <v>162</v>
      </c>
      <c r="E86" s="163" t="s">
        <v>49</v>
      </c>
      <c r="F86" s="164">
        <v>40793</v>
      </c>
      <c r="G86" s="73">
        <v>40796</v>
      </c>
      <c r="H86" s="166" t="s">
        <v>132</v>
      </c>
      <c r="I86" s="163" t="s">
        <v>380</v>
      </c>
      <c r="J86" s="163" t="s">
        <v>234</v>
      </c>
      <c r="K86" s="34">
        <f>IF((Observaciones[[#This Row],[Fecha Levantamiento]]-Observaciones[[#This Row],[Fecha Detección]])&gt;=0,Observaciones[[#This Row],[Fecha Levantamiento]]-Observaciones[[#This Row],[Fecha Detección]]+1,0)</f>
        <v>4</v>
      </c>
      <c r="L86" s="34" t="str">
        <f>LOOKUP(Observaciones[[#This Row],[Caso de Prueba]],CasoPrueba[Código CP],CasoPrueba[Código de REQ])</f>
        <v>INSPECCIÓN</v>
      </c>
    </row>
    <row r="87" spans="1:12" ht="90" hidden="1">
      <c r="A87" s="165" t="s">
        <v>381</v>
      </c>
      <c r="B87" s="163" t="s">
        <v>172</v>
      </c>
      <c r="C87" s="34" t="str">
        <f>VLOOKUP(Observaciones[Caso de Prueba],CasoPrueba[[#All],[Código CP]:[Prioridad]],7,TRUE)</f>
        <v>Alta</v>
      </c>
      <c r="D87" s="163" t="s">
        <v>29</v>
      </c>
      <c r="E87" s="163" t="s">
        <v>49</v>
      </c>
      <c r="F87" s="164">
        <v>40793</v>
      </c>
      <c r="G87" s="73">
        <v>40796</v>
      </c>
      <c r="H87" s="166" t="s">
        <v>132</v>
      </c>
      <c r="I87" s="163" t="s">
        <v>382</v>
      </c>
      <c r="J87" s="163" t="s">
        <v>383</v>
      </c>
      <c r="K87" s="34">
        <f>IF((Observaciones[[#This Row],[Fecha Levantamiento]]-Observaciones[[#This Row],[Fecha Detección]])&gt;=0,Observaciones[[#This Row],[Fecha Levantamiento]]-Observaciones[[#This Row],[Fecha Detección]]+1,0)</f>
        <v>4</v>
      </c>
      <c r="L87" s="34" t="str">
        <f>LOOKUP(Observaciones[[#This Row],[Caso de Prueba]],CasoPrueba[Código CP],CasoPrueba[Código de REQ])</f>
        <v>INSPECCIÓN</v>
      </c>
    </row>
    <row r="88" spans="1:12" ht="30" hidden="1">
      <c r="A88" s="165" t="s">
        <v>384</v>
      </c>
      <c r="B88" s="163" t="s">
        <v>173</v>
      </c>
      <c r="C88" s="34" t="str">
        <f>VLOOKUP(Observaciones[Caso de Prueba],CasoPrueba[[#All],[Código CP]:[Prioridad]],7,TRUE)</f>
        <v>Alta</v>
      </c>
      <c r="D88" s="163" t="s">
        <v>162</v>
      </c>
      <c r="E88" s="163" t="s">
        <v>49</v>
      </c>
      <c r="F88" s="164">
        <v>40795</v>
      </c>
      <c r="G88" s="73">
        <v>40796</v>
      </c>
      <c r="H88" s="166" t="s">
        <v>132</v>
      </c>
      <c r="I88" s="163" t="s">
        <v>385</v>
      </c>
      <c r="J88" s="163" t="s">
        <v>386</v>
      </c>
      <c r="K88" s="34">
        <f>IF((Observaciones[[#This Row],[Fecha Levantamiento]]-Observaciones[[#This Row],[Fecha Detección]])&gt;=0,Observaciones[[#This Row],[Fecha Levantamiento]]-Observaciones[[#This Row],[Fecha Detección]]+1,0)</f>
        <v>2</v>
      </c>
      <c r="L88" s="34" t="str">
        <f>LOOKUP(Observaciones[[#This Row],[Caso de Prueba]],CasoPrueba[Código CP],CasoPrueba[Código de REQ])</f>
        <v>INSPECCIÓN</v>
      </c>
    </row>
    <row r="89" spans="1:12" ht="75" hidden="1">
      <c r="A89" s="165" t="s">
        <v>387</v>
      </c>
      <c r="B89" s="163" t="s">
        <v>173</v>
      </c>
      <c r="C89" s="34" t="str">
        <f>VLOOKUP(Observaciones[Caso de Prueba],CasoPrueba[[#All],[Código CP]:[Prioridad]],7,TRUE)</f>
        <v>Alta</v>
      </c>
      <c r="D89" s="163" t="s">
        <v>162</v>
      </c>
      <c r="E89" s="163" t="s">
        <v>49</v>
      </c>
      <c r="F89" s="164">
        <v>40795</v>
      </c>
      <c r="G89" s="73">
        <v>40796</v>
      </c>
      <c r="H89" s="166" t="s">
        <v>132</v>
      </c>
      <c r="I89" s="163" t="s">
        <v>388</v>
      </c>
      <c r="J89" s="163" t="s">
        <v>389</v>
      </c>
      <c r="K89" s="34">
        <f>IF((Observaciones[[#This Row],[Fecha Levantamiento]]-Observaciones[[#This Row],[Fecha Detección]])&gt;=0,Observaciones[[#This Row],[Fecha Levantamiento]]-Observaciones[[#This Row],[Fecha Detección]]+1,0)</f>
        <v>2</v>
      </c>
      <c r="L89" s="34" t="str">
        <f>LOOKUP(Observaciones[[#This Row],[Caso de Prueba]],CasoPrueba[Código CP],CasoPrueba[Código de REQ])</f>
        <v>INSPECCIÓN</v>
      </c>
    </row>
    <row r="90" spans="1:12" ht="30" hidden="1">
      <c r="A90" s="165" t="s">
        <v>390</v>
      </c>
      <c r="B90" s="163" t="s">
        <v>173</v>
      </c>
      <c r="C90" s="34" t="str">
        <f>VLOOKUP(Observaciones[Caso de Prueba],CasoPrueba[[#All],[Código CP]:[Prioridad]],7,TRUE)</f>
        <v>Alta</v>
      </c>
      <c r="D90" s="163" t="s">
        <v>30</v>
      </c>
      <c r="E90" s="163" t="s">
        <v>49</v>
      </c>
      <c r="F90" s="164">
        <v>40795</v>
      </c>
      <c r="G90" s="73">
        <v>40796</v>
      </c>
      <c r="H90" s="166" t="s">
        <v>132</v>
      </c>
      <c r="I90" s="163" t="s">
        <v>354</v>
      </c>
      <c r="J90" s="163" t="s">
        <v>391</v>
      </c>
      <c r="K90" s="34">
        <f>IF((Observaciones[[#This Row],[Fecha Levantamiento]]-Observaciones[[#This Row],[Fecha Detección]])&gt;=0,Observaciones[[#This Row],[Fecha Levantamiento]]-Observaciones[[#This Row],[Fecha Detección]]+1,0)</f>
        <v>2</v>
      </c>
      <c r="L90" s="34" t="str">
        <f>LOOKUP(Observaciones[[#This Row],[Caso de Prueba]],CasoPrueba[Código CP],CasoPrueba[Código de REQ])</f>
        <v>INSPECCIÓN</v>
      </c>
    </row>
    <row r="91" spans="1:12" ht="45" hidden="1">
      <c r="A91" s="165" t="s">
        <v>392</v>
      </c>
      <c r="B91" s="163" t="s">
        <v>173</v>
      </c>
      <c r="C91" s="34" t="str">
        <f>VLOOKUP(Observaciones[Caso de Prueba],CasoPrueba[[#All],[Código CP]:[Prioridad]],7,TRUE)</f>
        <v>Alta</v>
      </c>
      <c r="D91" s="163" t="s">
        <v>28</v>
      </c>
      <c r="E91" s="163" t="s">
        <v>49</v>
      </c>
      <c r="F91" s="164">
        <v>40795</v>
      </c>
      <c r="G91" s="73">
        <v>40796</v>
      </c>
      <c r="H91" s="166" t="s">
        <v>132</v>
      </c>
      <c r="I91" s="163" t="s">
        <v>393</v>
      </c>
      <c r="J91" s="163" t="s">
        <v>394</v>
      </c>
      <c r="K91" s="34">
        <f>IF((Observaciones[[#This Row],[Fecha Levantamiento]]-Observaciones[[#This Row],[Fecha Detección]])&gt;=0,Observaciones[[#This Row],[Fecha Levantamiento]]-Observaciones[[#This Row],[Fecha Detección]]+1,0)</f>
        <v>2</v>
      </c>
      <c r="L91" s="34" t="str">
        <f>LOOKUP(Observaciones[[#This Row],[Caso de Prueba]],CasoPrueba[Código CP],CasoPrueba[Código de REQ])</f>
        <v>INSPECCIÓN</v>
      </c>
    </row>
    <row r="92" spans="1:12" ht="45" hidden="1">
      <c r="A92" s="165" t="s">
        <v>395</v>
      </c>
      <c r="B92" s="163" t="s">
        <v>173</v>
      </c>
      <c r="C92" s="34" t="str">
        <f>VLOOKUP(Observaciones[Caso de Prueba],CasoPrueba[[#All],[Código CP]:[Prioridad]],7,TRUE)</f>
        <v>Alta</v>
      </c>
      <c r="D92" s="163" t="s">
        <v>30</v>
      </c>
      <c r="E92" s="163" t="s">
        <v>49</v>
      </c>
      <c r="F92" s="164">
        <v>40795</v>
      </c>
      <c r="G92" s="73">
        <v>40796</v>
      </c>
      <c r="H92" s="166" t="s">
        <v>132</v>
      </c>
      <c r="I92" s="163" t="s">
        <v>396</v>
      </c>
      <c r="J92" s="163" t="s">
        <v>397</v>
      </c>
      <c r="K92" s="34">
        <f>IF((Observaciones[[#This Row],[Fecha Levantamiento]]-Observaciones[[#This Row],[Fecha Detección]])&gt;=0,Observaciones[[#This Row],[Fecha Levantamiento]]-Observaciones[[#This Row],[Fecha Detección]]+1,0)</f>
        <v>2</v>
      </c>
      <c r="L92" s="34" t="str">
        <f>LOOKUP(Observaciones[[#This Row],[Caso de Prueba]],CasoPrueba[Código CP],CasoPrueba[Código de REQ])</f>
        <v>INSPECCIÓN</v>
      </c>
    </row>
    <row r="93" spans="1:12" ht="45" hidden="1">
      <c r="A93" s="165" t="s">
        <v>398</v>
      </c>
      <c r="B93" s="163" t="s">
        <v>173</v>
      </c>
      <c r="C93" s="34" t="str">
        <f>VLOOKUP(Observaciones[Caso de Prueba],CasoPrueba[[#All],[Código CP]:[Prioridad]],7,TRUE)</f>
        <v>Alta</v>
      </c>
      <c r="D93" s="163" t="s">
        <v>30</v>
      </c>
      <c r="E93" s="163" t="s">
        <v>49</v>
      </c>
      <c r="F93" s="164">
        <v>40795</v>
      </c>
      <c r="G93" s="73">
        <v>40796</v>
      </c>
      <c r="H93" s="166" t="s">
        <v>132</v>
      </c>
      <c r="I93" s="163" t="s">
        <v>399</v>
      </c>
      <c r="J93" s="163" t="s">
        <v>400</v>
      </c>
      <c r="K93" s="34">
        <f>IF((Observaciones[[#This Row],[Fecha Levantamiento]]-Observaciones[[#This Row],[Fecha Detección]])&gt;=0,Observaciones[[#This Row],[Fecha Levantamiento]]-Observaciones[[#This Row],[Fecha Detección]]+1,0)</f>
        <v>2</v>
      </c>
      <c r="L93" s="34" t="str">
        <f>LOOKUP(Observaciones[[#This Row],[Caso de Prueba]],CasoPrueba[Código CP],CasoPrueba[Código de REQ])</f>
        <v>INSPECCIÓN</v>
      </c>
    </row>
    <row r="94" spans="1:12" ht="60" hidden="1">
      <c r="A94" s="165" t="s">
        <v>401</v>
      </c>
      <c r="B94" s="163" t="s">
        <v>173</v>
      </c>
      <c r="C94" s="34" t="str">
        <f>VLOOKUP(Observaciones[Caso de Prueba],CasoPrueba[[#All],[Código CP]:[Prioridad]],7,TRUE)</f>
        <v>Alta</v>
      </c>
      <c r="D94" s="163" t="s">
        <v>30</v>
      </c>
      <c r="E94" s="163" t="s">
        <v>49</v>
      </c>
      <c r="F94" s="164">
        <v>40795</v>
      </c>
      <c r="G94" s="73">
        <v>40796</v>
      </c>
      <c r="H94" s="166" t="s">
        <v>132</v>
      </c>
      <c r="I94" s="163" t="s">
        <v>402</v>
      </c>
      <c r="J94" s="163" t="s">
        <v>403</v>
      </c>
      <c r="K94" s="34">
        <f>IF((Observaciones[[#This Row],[Fecha Levantamiento]]-Observaciones[[#This Row],[Fecha Detección]])&gt;=0,Observaciones[[#This Row],[Fecha Levantamiento]]-Observaciones[[#This Row],[Fecha Detección]]+1,0)</f>
        <v>2</v>
      </c>
      <c r="L94" s="34" t="str">
        <f>LOOKUP(Observaciones[[#This Row],[Caso de Prueba]],CasoPrueba[Código CP],CasoPrueba[Código de REQ])</f>
        <v>INSPECCIÓN</v>
      </c>
    </row>
    <row r="95" spans="1:12" ht="60" hidden="1">
      <c r="A95" s="165" t="s">
        <v>404</v>
      </c>
      <c r="B95" s="163" t="s">
        <v>175</v>
      </c>
      <c r="C95" s="34" t="str">
        <f>VLOOKUP(Observaciones[Caso de Prueba],CasoPrueba[[#All],[Código CP]:[Prioridad]],7,TRUE)</f>
        <v>Alta</v>
      </c>
      <c r="D95" s="163" t="s">
        <v>162</v>
      </c>
      <c r="E95" s="163" t="s">
        <v>49</v>
      </c>
      <c r="F95" s="164">
        <v>40795</v>
      </c>
      <c r="G95" s="73">
        <v>40796</v>
      </c>
      <c r="H95" s="166" t="s">
        <v>132</v>
      </c>
      <c r="I95" s="163" t="s">
        <v>405</v>
      </c>
      <c r="J95" s="163" t="s">
        <v>406</v>
      </c>
      <c r="K95" s="34">
        <f>IF((Observaciones[[#This Row],[Fecha Levantamiento]]-Observaciones[[#This Row],[Fecha Detección]])&gt;=0,Observaciones[[#This Row],[Fecha Levantamiento]]-Observaciones[[#This Row],[Fecha Detección]]+1,0)</f>
        <v>2</v>
      </c>
      <c r="L95" s="34" t="str">
        <f>LOOKUP(Observaciones[[#This Row],[Caso de Prueba]],CasoPrueba[Código CP],CasoPrueba[Código de REQ])</f>
        <v>INSPECCIÓN</v>
      </c>
    </row>
    <row r="96" spans="1:12" ht="30" hidden="1">
      <c r="A96" s="165" t="s">
        <v>407</v>
      </c>
      <c r="B96" s="163" t="s">
        <v>175</v>
      </c>
      <c r="C96" s="34" t="str">
        <f>VLOOKUP(Observaciones[Caso de Prueba],CasoPrueba[[#All],[Código CP]:[Prioridad]],7,TRUE)</f>
        <v>Alta</v>
      </c>
      <c r="D96" s="163" t="s">
        <v>30</v>
      </c>
      <c r="E96" s="163" t="s">
        <v>49</v>
      </c>
      <c r="F96" s="164">
        <v>40795</v>
      </c>
      <c r="G96" s="73">
        <v>40796</v>
      </c>
      <c r="H96" s="166" t="s">
        <v>132</v>
      </c>
      <c r="I96" s="163" t="s">
        <v>354</v>
      </c>
      <c r="J96" s="163" t="s">
        <v>408</v>
      </c>
      <c r="K96" s="34">
        <f>IF((Observaciones[[#This Row],[Fecha Levantamiento]]-Observaciones[[#This Row],[Fecha Detección]])&gt;=0,Observaciones[[#This Row],[Fecha Levantamiento]]-Observaciones[[#This Row],[Fecha Detección]]+1,0)</f>
        <v>2</v>
      </c>
      <c r="L96" s="34" t="str">
        <f>LOOKUP(Observaciones[[#This Row],[Caso de Prueba]],CasoPrueba[Código CP],CasoPrueba[Código de REQ])</f>
        <v>INSPECCIÓN</v>
      </c>
    </row>
    <row r="97" spans="1:12" ht="45" hidden="1">
      <c r="A97" s="165" t="s">
        <v>409</v>
      </c>
      <c r="B97" s="163" t="s">
        <v>175</v>
      </c>
      <c r="C97" s="34" t="str">
        <f>VLOOKUP(Observaciones[Caso de Prueba],CasoPrueba[[#All],[Código CP]:[Prioridad]],7,TRUE)</f>
        <v>Alta</v>
      </c>
      <c r="D97" s="163" t="s">
        <v>162</v>
      </c>
      <c r="E97" s="163" t="s">
        <v>49</v>
      </c>
      <c r="F97" s="164">
        <v>40795</v>
      </c>
      <c r="G97" s="73">
        <v>40796</v>
      </c>
      <c r="H97" s="166" t="s">
        <v>132</v>
      </c>
      <c r="I97" s="163" t="s">
        <v>410</v>
      </c>
      <c r="J97" s="163" t="s">
        <v>411</v>
      </c>
      <c r="K97" s="34">
        <f>IF((Observaciones[[#This Row],[Fecha Levantamiento]]-Observaciones[[#This Row],[Fecha Detección]])&gt;=0,Observaciones[[#This Row],[Fecha Levantamiento]]-Observaciones[[#This Row],[Fecha Detección]]+1,0)</f>
        <v>2</v>
      </c>
      <c r="L97" s="34" t="str">
        <f>LOOKUP(Observaciones[[#This Row],[Caso de Prueba]],CasoPrueba[Código CP],CasoPrueba[Código de REQ])</f>
        <v>INSPECCIÓN</v>
      </c>
    </row>
    <row r="98" spans="1:12" ht="48" hidden="1" customHeight="1">
      <c r="A98" s="165" t="s">
        <v>412</v>
      </c>
      <c r="B98" s="163" t="s">
        <v>175</v>
      </c>
      <c r="C98" s="34" t="str">
        <f>VLOOKUP(Observaciones[Caso de Prueba],CasoPrueba[[#All],[Código CP]:[Prioridad]],7,TRUE)</f>
        <v>Alta</v>
      </c>
      <c r="D98" s="163" t="s">
        <v>29</v>
      </c>
      <c r="E98" s="163" t="s">
        <v>49</v>
      </c>
      <c r="F98" s="164">
        <v>40795</v>
      </c>
      <c r="G98" s="73">
        <v>40796</v>
      </c>
      <c r="H98" s="166" t="s">
        <v>132</v>
      </c>
      <c r="I98" s="163" t="s">
        <v>413</v>
      </c>
      <c r="J98" s="163" t="s">
        <v>414</v>
      </c>
      <c r="K98" s="34">
        <f>IF((Observaciones[[#This Row],[Fecha Levantamiento]]-Observaciones[[#This Row],[Fecha Detección]])&gt;=0,Observaciones[[#This Row],[Fecha Levantamiento]]-Observaciones[[#This Row],[Fecha Detección]]+1,0)</f>
        <v>2</v>
      </c>
      <c r="L98" s="34" t="str">
        <f>LOOKUP(Observaciones[[#This Row],[Caso de Prueba]],CasoPrueba[Código CP],CasoPrueba[Código de REQ])</f>
        <v>INSPECCIÓN</v>
      </c>
    </row>
    <row r="99" spans="1:12" ht="60" hidden="1">
      <c r="A99" s="165" t="s">
        <v>415</v>
      </c>
      <c r="B99" s="163" t="s">
        <v>175</v>
      </c>
      <c r="C99" s="34" t="str">
        <f>VLOOKUP(Observaciones[Caso de Prueba],CasoPrueba[[#All],[Código CP]:[Prioridad]],7,TRUE)</f>
        <v>Alta</v>
      </c>
      <c r="D99" s="163" t="s">
        <v>30</v>
      </c>
      <c r="E99" s="163" t="s">
        <v>49</v>
      </c>
      <c r="F99" s="164">
        <v>40795</v>
      </c>
      <c r="G99" s="73">
        <v>40796</v>
      </c>
      <c r="H99" s="166" t="s">
        <v>132</v>
      </c>
      <c r="I99" s="163" t="s">
        <v>416</v>
      </c>
      <c r="J99" s="163" t="s">
        <v>417</v>
      </c>
      <c r="K99" s="34">
        <f>IF((Observaciones[[#This Row],[Fecha Levantamiento]]-Observaciones[[#This Row],[Fecha Detección]])&gt;=0,Observaciones[[#This Row],[Fecha Levantamiento]]-Observaciones[[#This Row],[Fecha Detección]]+1,0)</f>
        <v>2</v>
      </c>
      <c r="L99" s="34" t="str">
        <f>LOOKUP(Observaciones[[#This Row],[Caso de Prueba]],CasoPrueba[Código CP],CasoPrueba[Código de REQ])</f>
        <v>INSPECCIÓN</v>
      </c>
    </row>
    <row r="100" spans="1:12" ht="30" hidden="1">
      <c r="A100" s="165" t="s">
        <v>418</v>
      </c>
      <c r="B100" s="163" t="s">
        <v>175</v>
      </c>
      <c r="C100" s="34" t="str">
        <f>VLOOKUP(Observaciones[Caso de Prueba],CasoPrueba[[#All],[Código CP]:[Prioridad]],7,TRUE)</f>
        <v>Alta</v>
      </c>
      <c r="D100" s="163" t="s">
        <v>162</v>
      </c>
      <c r="E100" s="163" t="s">
        <v>49</v>
      </c>
      <c r="F100" s="164">
        <v>40795</v>
      </c>
      <c r="G100" s="73">
        <v>40796</v>
      </c>
      <c r="H100" s="166" t="s">
        <v>132</v>
      </c>
      <c r="I100" s="163" t="s">
        <v>419</v>
      </c>
      <c r="J100" s="163" t="s">
        <v>196</v>
      </c>
      <c r="K100" s="34">
        <f>IF((Observaciones[[#This Row],[Fecha Levantamiento]]-Observaciones[[#This Row],[Fecha Detección]])&gt;=0,Observaciones[[#This Row],[Fecha Levantamiento]]-Observaciones[[#This Row],[Fecha Detección]]+1,0)</f>
        <v>2</v>
      </c>
      <c r="L100" s="34" t="str">
        <f>LOOKUP(Observaciones[[#This Row],[Caso de Prueba]],CasoPrueba[Código CP],CasoPrueba[Código de REQ])</f>
        <v>INSPECCIÓN</v>
      </c>
    </row>
    <row r="101" spans="1:12" ht="30" hidden="1">
      <c r="A101" s="165" t="s">
        <v>420</v>
      </c>
      <c r="B101" s="163" t="s">
        <v>176</v>
      </c>
      <c r="C101" s="34" t="str">
        <f>VLOOKUP(Observaciones[Caso de Prueba],CasoPrueba[[#All],[Código CP]:[Prioridad]],7,TRUE)</f>
        <v>Alta</v>
      </c>
      <c r="D101" s="163" t="s">
        <v>30</v>
      </c>
      <c r="E101" s="163" t="s">
        <v>49</v>
      </c>
      <c r="F101" s="164">
        <v>40795</v>
      </c>
      <c r="G101" s="73">
        <v>40796</v>
      </c>
      <c r="H101" s="166" t="s">
        <v>132</v>
      </c>
      <c r="I101" s="163" t="s">
        <v>354</v>
      </c>
      <c r="J101" s="163" t="s">
        <v>408</v>
      </c>
      <c r="K101" s="34">
        <f>IF((Observaciones[[#This Row],[Fecha Levantamiento]]-Observaciones[[#This Row],[Fecha Detección]])&gt;=0,Observaciones[[#This Row],[Fecha Levantamiento]]-Observaciones[[#This Row],[Fecha Detección]]+1,0)</f>
        <v>2</v>
      </c>
      <c r="L101" s="34" t="str">
        <f>LOOKUP(Observaciones[[#This Row],[Caso de Prueba]],CasoPrueba[Código CP],CasoPrueba[Código de REQ])</f>
        <v>INSPECCIÓN</v>
      </c>
    </row>
    <row r="102" spans="1:12" hidden="1">
      <c r="A102" s="165" t="s">
        <v>421</v>
      </c>
      <c r="B102" s="163" t="s">
        <v>176</v>
      </c>
      <c r="C102" s="34" t="str">
        <f>VLOOKUP(Observaciones[Caso de Prueba],CasoPrueba[[#All],[Código CP]:[Prioridad]],7,TRUE)</f>
        <v>Alta</v>
      </c>
      <c r="D102" s="163" t="s">
        <v>29</v>
      </c>
      <c r="E102" s="163" t="s">
        <v>49</v>
      </c>
      <c r="F102" s="164">
        <v>40795</v>
      </c>
      <c r="G102" s="73">
        <v>40796</v>
      </c>
      <c r="H102" s="166" t="s">
        <v>132</v>
      </c>
      <c r="I102" s="163" t="s">
        <v>422</v>
      </c>
      <c r="J102" s="163" t="s">
        <v>362</v>
      </c>
      <c r="K102" s="34">
        <f>IF((Observaciones[[#This Row],[Fecha Levantamiento]]-Observaciones[[#This Row],[Fecha Detección]])&gt;=0,Observaciones[[#This Row],[Fecha Levantamiento]]-Observaciones[[#This Row],[Fecha Detección]]+1,0)</f>
        <v>2</v>
      </c>
      <c r="L102" s="34" t="str">
        <f>LOOKUP(Observaciones[[#This Row],[Caso de Prueba]],CasoPrueba[Código CP],CasoPrueba[Código de REQ])</f>
        <v>INSPECCIÓN</v>
      </c>
    </row>
    <row r="103" spans="1:12" ht="45" hidden="1">
      <c r="A103" s="165" t="s">
        <v>423</v>
      </c>
      <c r="B103" s="163" t="s">
        <v>176</v>
      </c>
      <c r="C103" s="34" t="str">
        <f>VLOOKUP(Observaciones[Caso de Prueba],CasoPrueba[[#All],[Código CP]:[Prioridad]],7,TRUE)</f>
        <v>Alta</v>
      </c>
      <c r="D103" s="163" t="s">
        <v>30</v>
      </c>
      <c r="E103" s="163" t="s">
        <v>49</v>
      </c>
      <c r="F103" s="164">
        <v>40795</v>
      </c>
      <c r="G103" s="73">
        <v>40796</v>
      </c>
      <c r="H103" s="166" t="s">
        <v>132</v>
      </c>
      <c r="I103" s="163" t="s">
        <v>424</v>
      </c>
      <c r="J103" s="163" t="s">
        <v>425</v>
      </c>
      <c r="K103" s="34">
        <f>IF((Observaciones[[#This Row],[Fecha Levantamiento]]-Observaciones[[#This Row],[Fecha Detección]])&gt;=0,Observaciones[[#This Row],[Fecha Levantamiento]]-Observaciones[[#This Row],[Fecha Detección]]+1,0)</f>
        <v>2</v>
      </c>
      <c r="L103" s="34" t="str">
        <f>LOOKUP(Observaciones[[#This Row],[Caso de Prueba]],CasoPrueba[Código CP],CasoPrueba[Código de REQ])</f>
        <v>INSPECCIÓN</v>
      </c>
    </row>
    <row r="104" spans="1:12" ht="45" hidden="1">
      <c r="A104" s="165" t="s">
        <v>427</v>
      </c>
      <c r="B104" s="34" t="s">
        <v>88</v>
      </c>
      <c r="C104" s="34" t="str">
        <f>VLOOKUP(Observaciones[Caso de Prueba],CasoPrueba[[#All],[Código CP]:[Prioridad]],7,TRUE)</f>
        <v>Alta</v>
      </c>
      <c r="D104" s="34" t="s">
        <v>162</v>
      </c>
      <c r="E104" s="34" t="s">
        <v>49</v>
      </c>
      <c r="F104" s="73">
        <v>40798</v>
      </c>
      <c r="G104" s="73">
        <v>40803</v>
      </c>
      <c r="H104" s="166" t="s">
        <v>132</v>
      </c>
      <c r="I104" s="34" t="s">
        <v>438</v>
      </c>
      <c r="J104" s="34" t="s">
        <v>196</v>
      </c>
      <c r="K104" s="34">
        <f>IF((Observaciones[[#This Row],[Fecha Levantamiento]]-Observaciones[[#This Row],[Fecha Detección]])&gt;=0,Observaciones[[#This Row],[Fecha Levantamiento]]-Observaciones[[#This Row],[Fecha Detección]]+1,0)</f>
        <v>6</v>
      </c>
      <c r="L104" s="34" t="str">
        <f>LOOKUP(Observaciones[[#This Row],[Caso de Prueba]],CasoPrueba[Código CP],CasoPrueba[Código de REQ])</f>
        <v>INSPECCIÓN</v>
      </c>
    </row>
    <row r="105" spans="1:12" ht="76.5" hidden="1" customHeight="1">
      <c r="A105" s="165" t="s">
        <v>428</v>
      </c>
      <c r="B105" s="34" t="s">
        <v>88</v>
      </c>
      <c r="C105" s="34" t="str">
        <f>VLOOKUP(Observaciones[Caso de Prueba],CasoPrueba[[#All],[Código CP]:[Prioridad]],7,TRUE)</f>
        <v>Alta</v>
      </c>
      <c r="D105" s="34" t="s">
        <v>29</v>
      </c>
      <c r="E105" s="34" t="s">
        <v>49</v>
      </c>
      <c r="F105" s="73">
        <v>40798</v>
      </c>
      <c r="G105" s="73">
        <v>40803</v>
      </c>
      <c r="H105" s="166" t="s">
        <v>132</v>
      </c>
      <c r="I105" s="34" t="s">
        <v>439</v>
      </c>
      <c r="J105" s="34" t="s">
        <v>465</v>
      </c>
      <c r="K105" s="34">
        <f>IF((Observaciones[[#This Row],[Fecha Levantamiento]]-Observaciones[[#This Row],[Fecha Detección]])&gt;=0,Observaciones[[#This Row],[Fecha Levantamiento]]-Observaciones[[#This Row],[Fecha Detección]]+1,0)</f>
        <v>6</v>
      </c>
      <c r="L105" s="34" t="str">
        <f>LOOKUP(Observaciones[[#This Row],[Caso de Prueba]],CasoPrueba[Código CP],CasoPrueba[Código de REQ])</f>
        <v>INSPECCIÓN</v>
      </c>
    </row>
    <row r="106" spans="1:12" ht="48" hidden="1" customHeight="1">
      <c r="A106" s="165" t="s">
        <v>429</v>
      </c>
      <c r="B106" s="34" t="s">
        <v>88</v>
      </c>
      <c r="C106" s="34" t="str">
        <f>VLOOKUP(Observaciones[Caso de Prueba],CasoPrueba[[#All],[Código CP]:[Prioridad]],7,TRUE)</f>
        <v>Alta</v>
      </c>
      <c r="D106" s="34" t="s">
        <v>162</v>
      </c>
      <c r="E106" s="34" t="s">
        <v>49</v>
      </c>
      <c r="F106" s="73">
        <v>40798</v>
      </c>
      <c r="G106" s="73">
        <v>40803</v>
      </c>
      <c r="H106" s="166" t="s">
        <v>132</v>
      </c>
      <c r="I106" s="34" t="s">
        <v>440</v>
      </c>
      <c r="J106" s="34" t="s">
        <v>466</v>
      </c>
      <c r="K106" s="34">
        <f>IF((Observaciones[[#This Row],[Fecha Levantamiento]]-Observaciones[[#This Row],[Fecha Detección]])&gt;=0,Observaciones[[#This Row],[Fecha Levantamiento]]-Observaciones[[#This Row],[Fecha Detección]]+1,0)</f>
        <v>6</v>
      </c>
      <c r="L106" s="34" t="str">
        <f>LOOKUP(Observaciones[[#This Row],[Caso de Prueba]],CasoPrueba[Código CP],CasoPrueba[Código de REQ])</f>
        <v>INSPECCIÓN</v>
      </c>
    </row>
    <row r="107" spans="1:12" ht="45" hidden="1">
      <c r="A107" s="165" t="s">
        <v>430</v>
      </c>
      <c r="B107" s="34" t="s">
        <v>88</v>
      </c>
      <c r="C107" s="34" t="str">
        <f>VLOOKUP(Observaciones[Caso de Prueba],CasoPrueba[[#All],[Código CP]:[Prioridad]],7,TRUE)</f>
        <v>Alta</v>
      </c>
      <c r="D107" s="34" t="s">
        <v>30</v>
      </c>
      <c r="E107" s="34" t="s">
        <v>49</v>
      </c>
      <c r="F107" s="73">
        <v>40798</v>
      </c>
      <c r="G107" s="73">
        <v>40803</v>
      </c>
      <c r="H107" s="166" t="s">
        <v>132</v>
      </c>
      <c r="I107" s="34" t="s">
        <v>458</v>
      </c>
      <c r="J107" s="34" t="s">
        <v>467</v>
      </c>
      <c r="K107" s="34">
        <f>IF((Observaciones[[#This Row],[Fecha Levantamiento]]-Observaciones[[#This Row],[Fecha Detección]])&gt;=0,Observaciones[[#This Row],[Fecha Levantamiento]]-Observaciones[[#This Row],[Fecha Detección]]+1,0)</f>
        <v>6</v>
      </c>
      <c r="L107" s="34" t="str">
        <f>LOOKUP(Observaciones[[#This Row],[Caso de Prueba]],CasoPrueba[Código CP],CasoPrueba[Código de REQ])</f>
        <v>INSPECCIÓN</v>
      </c>
    </row>
    <row r="108" spans="1:12" ht="30" hidden="1">
      <c r="A108" s="165" t="s">
        <v>431</v>
      </c>
      <c r="B108" s="34" t="s">
        <v>151</v>
      </c>
      <c r="C108" s="34" t="str">
        <f>VLOOKUP(Observaciones[Caso de Prueba],CasoPrueba[[#All],[Código CP]:[Prioridad]],7,TRUE)</f>
        <v>Alta</v>
      </c>
      <c r="D108" s="34" t="s">
        <v>162</v>
      </c>
      <c r="E108" s="34" t="s">
        <v>49</v>
      </c>
      <c r="F108" s="73">
        <v>40798</v>
      </c>
      <c r="G108" s="73">
        <v>40803</v>
      </c>
      <c r="H108" s="166" t="s">
        <v>132</v>
      </c>
      <c r="I108" s="34" t="s">
        <v>441</v>
      </c>
      <c r="J108" s="34" t="s">
        <v>234</v>
      </c>
      <c r="K108" s="34">
        <f>IF((Observaciones[[#This Row],[Fecha Levantamiento]]-Observaciones[[#This Row],[Fecha Detección]])&gt;=0,Observaciones[[#This Row],[Fecha Levantamiento]]-Observaciones[[#This Row],[Fecha Detección]]+1,0)</f>
        <v>6</v>
      </c>
      <c r="L108" s="34" t="str">
        <f>LOOKUP(Observaciones[[#This Row],[Caso de Prueba]],CasoPrueba[Código CP],CasoPrueba[Código de REQ])</f>
        <v>INSPECCIÓN</v>
      </c>
    </row>
    <row r="109" spans="1:12" ht="45" hidden="1">
      <c r="A109" s="165" t="s">
        <v>432</v>
      </c>
      <c r="B109" s="34" t="s">
        <v>152</v>
      </c>
      <c r="C109" s="34" t="str">
        <f>VLOOKUP(Observaciones[Caso de Prueba],CasoPrueba[[#All],[Código CP]:[Prioridad]],7,TRUE)</f>
        <v>Alta</v>
      </c>
      <c r="D109" s="34" t="s">
        <v>29</v>
      </c>
      <c r="E109" s="34" t="s">
        <v>49</v>
      </c>
      <c r="F109" s="73">
        <v>40798</v>
      </c>
      <c r="G109" s="73">
        <v>40803</v>
      </c>
      <c r="H109" s="166" t="s">
        <v>132</v>
      </c>
      <c r="I109" s="34" t="s">
        <v>442</v>
      </c>
      <c r="J109" s="34" t="s">
        <v>468</v>
      </c>
      <c r="K109" s="34">
        <f>IF((Observaciones[[#This Row],[Fecha Levantamiento]]-Observaciones[[#This Row],[Fecha Detección]])&gt;=0,Observaciones[[#This Row],[Fecha Levantamiento]]-Observaciones[[#This Row],[Fecha Detección]]+1,0)</f>
        <v>6</v>
      </c>
      <c r="L109" s="34" t="str">
        <f>LOOKUP(Observaciones[[#This Row],[Caso de Prueba]],CasoPrueba[Código CP],CasoPrueba[Código de REQ])</f>
        <v>INSPECCIÓN</v>
      </c>
    </row>
    <row r="110" spans="1:12" ht="30" hidden="1">
      <c r="A110" s="165" t="s">
        <v>433</v>
      </c>
      <c r="B110" s="34" t="s">
        <v>153</v>
      </c>
      <c r="C110" s="34" t="str">
        <f>VLOOKUP(Observaciones[Caso de Prueba],CasoPrueba[[#All],[Código CP]:[Prioridad]],7,TRUE)</f>
        <v>Alta</v>
      </c>
      <c r="D110" s="34" t="s">
        <v>162</v>
      </c>
      <c r="E110" s="34" t="s">
        <v>49</v>
      </c>
      <c r="F110" s="73">
        <v>40800</v>
      </c>
      <c r="G110" s="73">
        <v>40803</v>
      </c>
      <c r="H110" s="94" t="s">
        <v>132</v>
      </c>
      <c r="I110" s="34" t="s">
        <v>443</v>
      </c>
      <c r="J110" s="34" t="s">
        <v>234</v>
      </c>
      <c r="K110" s="34">
        <f>IF((Observaciones[[#This Row],[Fecha Levantamiento]]-Observaciones[[#This Row],[Fecha Detección]])&gt;=0,Observaciones[[#This Row],[Fecha Levantamiento]]-Observaciones[[#This Row],[Fecha Detección]]+1,0)</f>
        <v>4</v>
      </c>
      <c r="L110" s="34" t="str">
        <f>LOOKUP(Observaciones[[#This Row],[Caso de Prueba]],CasoPrueba[Código CP],CasoPrueba[Código de REQ])</f>
        <v>INSPECCIÓN</v>
      </c>
    </row>
    <row r="111" spans="1:12" ht="30" hidden="1">
      <c r="A111" s="165" t="s">
        <v>434</v>
      </c>
      <c r="B111" s="34" t="s">
        <v>153</v>
      </c>
      <c r="C111" s="34" t="str">
        <f>VLOOKUP(Observaciones[Caso de Prueba],CasoPrueba[[#All],[Código CP]:[Prioridad]],7,TRUE)</f>
        <v>Alta</v>
      </c>
      <c r="D111" s="34" t="s">
        <v>162</v>
      </c>
      <c r="E111" s="34" t="s">
        <v>49</v>
      </c>
      <c r="F111" s="73">
        <v>40800</v>
      </c>
      <c r="G111" s="73">
        <v>40803</v>
      </c>
      <c r="H111" s="94" t="s">
        <v>132</v>
      </c>
      <c r="I111" s="34" t="s">
        <v>444</v>
      </c>
      <c r="J111" s="34" t="s">
        <v>234</v>
      </c>
      <c r="K111" s="34">
        <f>IF((Observaciones[[#This Row],[Fecha Levantamiento]]-Observaciones[[#This Row],[Fecha Detección]])&gt;=0,Observaciones[[#This Row],[Fecha Levantamiento]]-Observaciones[[#This Row],[Fecha Detección]]+1,0)</f>
        <v>4</v>
      </c>
      <c r="L111" s="34" t="str">
        <f>LOOKUP(Observaciones[[#This Row],[Caso de Prueba]],CasoPrueba[Código CP],CasoPrueba[Código de REQ])</f>
        <v>INSPECCIÓN</v>
      </c>
    </row>
    <row r="112" spans="1:12" ht="45" hidden="1">
      <c r="A112" s="165" t="s">
        <v>435</v>
      </c>
      <c r="B112" s="34" t="s">
        <v>153</v>
      </c>
      <c r="C112" s="34" t="str">
        <f>VLOOKUP(Observaciones[Caso de Prueba],CasoPrueba[[#All],[Código CP]:[Prioridad]],7,TRUE)</f>
        <v>Alta</v>
      </c>
      <c r="D112" s="34" t="s">
        <v>29</v>
      </c>
      <c r="E112" s="34" t="s">
        <v>49</v>
      </c>
      <c r="F112" s="73">
        <v>40800</v>
      </c>
      <c r="G112" s="73">
        <v>40803</v>
      </c>
      <c r="H112" s="94" t="s">
        <v>132</v>
      </c>
      <c r="I112" s="34" t="s">
        <v>446</v>
      </c>
      <c r="J112" s="34" t="s">
        <v>469</v>
      </c>
      <c r="K112" s="34"/>
      <c r="L112" s="34"/>
    </row>
    <row r="113" spans="1:12" ht="120" hidden="1">
      <c r="A113" s="165" t="s">
        <v>436</v>
      </c>
      <c r="B113" s="34" t="s">
        <v>154</v>
      </c>
      <c r="C113" s="34" t="str">
        <f>VLOOKUP(Observaciones[Caso de Prueba],CasoPrueba[[#All],[Código CP]:[Prioridad]],7,TRUE)</f>
        <v>Alta</v>
      </c>
      <c r="D113" s="34" t="s">
        <v>30</v>
      </c>
      <c r="E113" s="34" t="s">
        <v>49</v>
      </c>
      <c r="F113" s="73">
        <v>40800</v>
      </c>
      <c r="G113" s="73">
        <v>40803</v>
      </c>
      <c r="H113" s="94" t="s">
        <v>132</v>
      </c>
      <c r="I113" s="34" t="s">
        <v>445</v>
      </c>
      <c r="J113" s="34" t="s">
        <v>470</v>
      </c>
      <c r="K113" s="34">
        <f>IF((Observaciones[[#This Row],[Fecha Levantamiento]]-Observaciones[[#This Row],[Fecha Detección]])&gt;=0,Observaciones[[#This Row],[Fecha Levantamiento]]-Observaciones[[#This Row],[Fecha Detección]]+1,0)</f>
        <v>4</v>
      </c>
      <c r="L113" s="34" t="str">
        <f>LOOKUP(Observaciones[[#This Row],[Caso de Prueba]],CasoPrueba[Código CP],CasoPrueba[Código de REQ])</f>
        <v>INSPECCIÓN</v>
      </c>
    </row>
    <row r="114" spans="1:12" ht="30" hidden="1">
      <c r="A114" s="165" t="s">
        <v>437</v>
      </c>
      <c r="B114" s="34" t="s">
        <v>154</v>
      </c>
      <c r="C114" s="34" t="str">
        <f>VLOOKUP(Observaciones[Caso de Prueba],CasoPrueba[[#All],[Código CP]:[Prioridad]],7,TRUE)</f>
        <v>Alta</v>
      </c>
      <c r="D114" s="34" t="s">
        <v>29</v>
      </c>
      <c r="E114" s="34" t="s">
        <v>49</v>
      </c>
      <c r="F114" s="73">
        <v>40800</v>
      </c>
      <c r="G114" s="73">
        <v>40803</v>
      </c>
      <c r="H114" s="94" t="s">
        <v>132</v>
      </c>
      <c r="I114" s="34" t="s">
        <v>455</v>
      </c>
      <c r="J114" s="34" t="s">
        <v>471</v>
      </c>
      <c r="K114" s="34">
        <f>IF((Observaciones[[#This Row],[Fecha Levantamiento]]-Observaciones[[#This Row],[Fecha Detección]])&gt;=0,Observaciones[[#This Row],[Fecha Levantamiento]]-Observaciones[[#This Row],[Fecha Detección]]+1,0)</f>
        <v>4</v>
      </c>
      <c r="L114" s="34" t="str">
        <f>LOOKUP(Observaciones[[#This Row],[Caso de Prueba]],CasoPrueba[Código CP],CasoPrueba[Código de REQ])</f>
        <v>INSPECCIÓN</v>
      </c>
    </row>
    <row r="115" spans="1:12" ht="45" hidden="1">
      <c r="A115" s="165" t="s">
        <v>447</v>
      </c>
      <c r="B115" s="34" t="s">
        <v>156</v>
      </c>
      <c r="C115" s="34" t="str">
        <f>VLOOKUP(Observaciones[Caso de Prueba],CasoPrueba[[#All],[Código CP]:[Prioridad]],7,TRUE)</f>
        <v>Alta</v>
      </c>
      <c r="D115" s="34" t="s">
        <v>30</v>
      </c>
      <c r="E115" s="34" t="s">
        <v>49</v>
      </c>
      <c r="F115" s="73">
        <v>40800</v>
      </c>
      <c r="G115" s="73">
        <v>40803</v>
      </c>
      <c r="H115" s="94" t="s">
        <v>132</v>
      </c>
      <c r="I115" s="34" t="s">
        <v>456</v>
      </c>
      <c r="J115" s="34" t="s">
        <v>470</v>
      </c>
      <c r="K115" s="34">
        <f>IF((Observaciones[[#This Row],[Fecha Levantamiento]]-Observaciones[[#This Row],[Fecha Detección]])&gt;=0,Observaciones[[#This Row],[Fecha Levantamiento]]-Observaciones[[#This Row],[Fecha Detección]]+1,0)</f>
        <v>4</v>
      </c>
      <c r="L115" s="34" t="str">
        <f>LOOKUP(Observaciones[[#This Row],[Caso de Prueba]],CasoPrueba[Código CP],CasoPrueba[Código de REQ])</f>
        <v>INSPECCIÓN</v>
      </c>
    </row>
    <row r="116" spans="1:12" ht="45" hidden="1">
      <c r="A116" s="165" t="s">
        <v>448</v>
      </c>
      <c r="B116" s="34" t="s">
        <v>156</v>
      </c>
      <c r="C116" s="34" t="str">
        <f>VLOOKUP(Observaciones[Caso de Prueba],CasoPrueba[[#All],[Código CP]:[Prioridad]],7,TRUE)</f>
        <v>Alta</v>
      </c>
      <c r="D116" s="34" t="s">
        <v>29</v>
      </c>
      <c r="E116" s="34" t="s">
        <v>49</v>
      </c>
      <c r="F116" s="73">
        <v>40800</v>
      </c>
      <c r="G116" s="73">
        <v>40803</v>
      </c>
      <c r="H116" s="94" t="s">
        <v>132</v>
      </c>
      <c r="I116" s="34" t="s">
        <v>457</v>
      </c>
      <c r="J116" s="34" t="s">
        <v>472</v>
      </c>
      <c r="K116" s="34">
        <f>IF((Observaciones[[#This Row],[Fecha Levantamiento]]-Observaciones[[#This Row],[Fecha Detección]])&gt;=0,Observaciones[[#This Row],[Fecha Levantamiento]]-Observaciones[[#This Row],[Fecha Detección]]+1,0)</f>
        <v>4</v>
      </c>
      <c r="L116" s="34" t="str">
        <f>LOOKUP(Observaciones[[#This Row],[Caso de Prueba]],CasoPrueba[Código CP],CasoPrueba[Código de REQ])</f>
        <v>INSPECCIÓN</v>
      </c>
    </row>
    <row r="117" spans="1:12" ht="45" hidden="1">
      <c r="A117" s="165" t="s">
        <v>449</v>
      </c>
      <c r="B117" s="34" t="s">
        <v>158</v>
      </c>
      <c r="C117" s="34" t="str">
        <f>VLOOKUP(Observaciones[Caso de Prueba],CasoPrueba[[#All],[Código CP]:[Prioridad]],7,TRUE)</f>
        <v>Alta</v>
      </c>
      <c r="D117" s="34" t="s">
        <v>30</v>
      </c>
      <c r="E117" s="34" t="s">
        <v>49</v>
      </c>
      <c r="F117" s="73">
        <v>40800</v>
      </c>
      <c r="G117" s="73">
        <v>40803</v>
      </c>
      <c r="H117" s="94" t="s">
        <v>132</v>
      </c>
      <c r="I117" s="34" t="s">
        <v>456</v>
      </c>
      <c r="J117" s="34" t="s">
        <v>470</v>
      </c>
      <c r="K117" s="34">
        <f>IF((Observaciones[[#This Row],[Fecha Levantamiento]]-Observaciones[[#This Row],[Fecha Detección]])&gt;=0,Observaciones[[#This Row],[Fecha Levantamiento]]-Observaciones[[#This Row],[Fecha Detección]]+1,0)</f>
        <v>4</v>
      </c>
      <c r="L117" s="34" t="str">
        <f>LOOKUP(Observaciones[[#This Row],[Caso de Prueba]],CasoPrueba[Código CP],CasoPrueba[Código de REQ])</f>
        <v>INSPECCIÓN</v>
      </c>
    </row>
    <row r="118" spans="1:12" ht="45" hidden="1">
      <c r="A118" s="165" t="s">
        <v>450</v>
      </c>
      <c r="B118" s="34" t="s">
        <v>172</v>
      </c>
      <c r="C118" s="34" t="str">
        <f>VLOOKUP(Observaciones[Caso de Prueba],CasoPrueba[[#All],[Código CP]:[Prioridad]],7,TRUE)</f>
        <v>Alta</v>
      </c>
      <c r="D118" s="34" t="s">
        <v>28</v>
      </c>
      <c r="E118" s="34" t="s">
        <v>49</v>
      </c>
      <c r="F118" s="73">
        <v>40800</v>
      </c>
      <c r="G118" s="73">
        <v>40803</v>
      </c>
      <c r="H118" s="94" t="s">
        <v>132</v>
      </c>
      <c r="I118" s="34" t="s">
        <v>459</v>
      </c>
      <c r="J118" s="34" t="s">
        <v>467</v>
      </c>
      <c r="K118" s="34">
        <f>IF((Observaciones[[#This Row],[Fecha Levantamiento]]-Observaciones[[#This Row],[Fecha Detección]])&gt;=0,Observaciones[[#This Row],[Fecha Levantamiento]]-Observaciones[[#This Row],[Fecha Detección]]+1,0)</f>
        <v>4</v>
      </c>
      <c r="L118" s="34" t="str">
        <f>LOOKUP(Observaciones[[#This Row],[Caso de Prueba]],CasoPrueba[Código CP],CasoPrueba[Código de REQ])</f>
        <v>INSPECCIÓN</v>
      </c>
    </row>
    <row r="119" spans="1:12" ht="93" hidden="1" customHeight="1">
      <c r="A119" s="165" t="s">
        <v>451</v>
      </c>
      <c r="B119" s="34" t="s">
        <v>172</v>
      </c>
      <c r="C119" s="34" t="str">
        <f>VLOOKUP(Observaciones[Caso de Prueba],CasoPrueba[[#All],[Código CP]:[Prioridad]],7,TRUE)</f>
        <v>Alta</v>
      </c>
      <c r="D119" s="34" t="s">
        <v>29</v>
      </c>
      <c r="E119" s="34" t="s">
        <v>49</v>
      </c>
      <c r="F119" s="73">
        <v>40800</v>
      </c>
      <c r="G119" s="73">
        <v>40803</v>
      </c>
      <c r="H119" s="94" t="s">
        <v>132</v>
      </c>
      <c r="I119" s="34" t="s">
        <v>476</v>
      </c>
      <c r="J119" s="34" t="s">
        <v>473</v>
      </c>
      <c r="K119" s="34">
        <f>IF((Observaciones[[#This Row],[Fecha Levantamiento]]-Observaciones[[#This Row],[Fecha Detección]])&gt;=0,Observaciones[[#This Row],[Fecha Levantamiento]]-Observaciones[[#This Row],[Fecha Detección]]+1,0)</f>
        <v>4</v>
      </c>
      <c r="L119" s="34" t="str">
        <f>LOOKUP(Observaciones[[#This Row],[Caso de Prueba]],CasoPrueba[Código CP],CasoPrueba[Código de REQ])</f>
        <v>INSPECCIÓN</v>
      </c>
    </row>
    <row r="120" spans="1:12" ht="105" hidden="1">
      <c r="A120" s="165" t="s">
        <v>452</v>
      </c>
      <c r="B120" s="34" t="s">
        <v>172</v>
      </c>
      <c r="C120" s="34" t="str">
        <f>VLOOKUP(Observaciones[Caso de Prueba],CasoPrueba[[#All],[Código CP]:[Prioridad]],7,TRUE)</f>
        <v>Alta</v>
      </c>
      <c r="D120" s="34" t="s">
        <v>29</v>
      </c>
      <c r="E120" s="34" t="s">
        <v>49</v>
      </c>
      <c r="F120" s="73">
        <v>40800</v>
      </c>
      <c r="G120" s="73">
        <v>40803</v>
      </c>
      <c r="H120" s="94" t="s">
        <v>132</v>
      </c>
      <c r="I120" s="34" t="s">
        <v>477</v>
      </c>
      <c r="J120" s="34" t="s">
        <v>474</v>
      </c>
      <c r="K120" s="34">
        <f>IF((Observaciones[[#This Row],[Fecha Levantamiento]]-Observaciones[[#This Row],[Fecha Detección]])&gt;=0,Observaciones[[#This Row],[Fecha Levantamiento]]-Observaciones[[#This Row],[Fecha Detección]]+1,0)</f>
        <v>4</v>
      </c>
      <c r="L120" s="34" t="str">
        <f>LOOKUP(Observaciones[[#This Row],[Caso de Prueba]],CasoPrueba[Código CP],CasoPrueba[Código de REQ])</f>
        <v>INSPECCIÓN</v>
      </c>
    </row>
    <row r="121" spans="1:12" ht="105" hidden="1">
      <c r="A121" s="165" t="s">
        <v>453</v>
      </c>
      <c r="B121" s="34" t="s">
        <v>173</v>
      </c>
      <c r="C121" s="34" t="str">
        <f>VLOOKUP(Observaciones[Caso de Prueba],CasoPrueba[[#All],[Código CP]:[Prioridad]],7,TRUE)</f>
        <v>Alta</v>
      </c>
      <c r="D121" s="34" t="s">
        <v>28</v>
      </c>
      <c r="E121" s="34" t="s">
        <v>49</v>
      </c>
      <c r="F121" s="73">
        <v>40800</v>
      </c>
      <c r="G121" s="73">
        <v>40803</v>
      </c>
      <c r="H121" s="94" t="s">
        <v>132</v>
      </c>
      <c r="I121" s="34" t="s">
        <v>461</v>
      </c>
      <c r="J121" s="34" t="s">
        <v>266</v>
      </c>
      <c r="K121" s="34">
        <f>IF((Observaciones[[#This Row],[Fecha Levantamiento]]-Observaciones[[#This Row],[Fecha Detección]])&gt;=0,Observaciones[[#This Row],[Fecha Levantamiento]]-Observaciones[[#This Row],[Fecha Detección]]+1,0)</f>
        <v>4</v>
      </c>
      <c r="L121" s="34" t="str">
        <f>LOOKUP(Observaciones[[#This Row],[Caso de Prueba]],CasoPrueba[Código CP],CasoPrueba[Código de REQ])</f>
        <v>INSPECCIÓN</v>
      </c>
    </row>
    <row r="122" spans="1:12" ht="30" hidden="1">
      <c r="A122" s="165" t="s">
        <v>454</v>
      </c>
      <c r="B122" s="34" t="s">
        <v>174</v>
      </c>
      <c r="C122" s="34" t="str">
        <f>VLOOKUP(Observaciones[Caso de Prueba],CasoPrueba[[#All],[Código CP]:[Prioridad]],7,TRUE)</f>
        <v>Alta</v>
      </c>
      <c r="D122" s="34" t="s">
        <v>30</v>
      </c>
      <c r="E122" s="34" t="s">
        <v>49</v>
      </c>
      <c r="F122" s="73">
        <v>40800</v>
      </c>
      <c r="G122" s="73">
        <v>40803</v>
      </c>
      <c r="H122" s="94" t="s">
        <v>132</v>
      </c>
      <c r="I122" s="34" t="s">
        <v>462</v>
      </c>
      <c r="J122" s="34" t="s">
        <v>475</v>
      </c>
      <c r="K122" s="34">
        <f>IF((Observaciones[[#This Row],[Fecha Levantamiento]]-Observaciones[[#This Row],[Fecha Detección]])&gt;=0,Observaciones[[#This Row],[Fecha Levantamiento]]-Observaciones[[#This Row],[Fecha Detección]]+1,0)</f>
        <v>4</v>
      </c>
      <c r="L122" s="34" t="str">
        <f>LOOKUP(Observaciones[[#This Row],[Caso de Prueba]],CasoPrueba[Código CP],CasoPrueba[Código de REQ])</f>
        <v>INSPECCIÓN</v>
      </c>
    </row>
    <row r="123" spans="1:12" ht="45" hidden="1">
      <c r="A123" s="165" t="s">
        <v>478</v>
      </c>
      <c r="B123" s="34" t="s">
        <v>173</v>
      </c>
      <c r="C123" s="34" t="str">
        <f>VLOOKUP(Observaciones[Caso de Prueba],CasoPrueba[[#All],[Código CP]:[Prioridad]],7,TRUE)</f>
        <v>Alta</v>
      </c>
      <c r="D123" s="34" t="s">
        <v>162</v>
      </c>
      <c r="E123" s="34" t="s">
        <v>49</v>
      </c>
      <c r="F123" s="73">
        <v>40802</v>
      </c>
      <c r="G123" s="73">
        <v>40805</v>
      </c>
      <c r="H123" s="94" t="s">
        <v>132</v>
      </c>
      <c r="I123" s="34" t="s">
        <v>484</v>
      </c>
      <c r="J123" s="34" t="s">
        <v>493</v>
      </c>
      <c r="K123" s="34">
        <f>IF((Observaciones[[#This Row],[Fecha Levantamiento]]-Observaciones[[#This Row],[Fecha Detección]])&gt;=0,Observaciones[[#This Row],[Fecha Levantamiento]]-Observaciones[[#This Row],[Fecha Detección]]+1,0)</f>
        <v>4</v>
      </c>
      <c r="L123" s="34" t="str">
        <f>LOOKUP(Observaciones[[#This Row],[Caso de Prueba]],CasoPrueba[Código CP],CasoPrueba[Código de REQ])</f>
        <v>INSPECCIÓN</v>
      </c>
    </row>
    <row r="124" spans="1:12" ht="45.75" hidden="1" customHeight="1">
      <c r="A124" s="165" t="s">
        <v>479</v>
      </c>
      <c r="B124" s="34" t="s">
        <v>173</v>
      </c>
      <c r="C124" s="34" t="str">
        <f>VLOOKUP(Observaciones[Caso de Prueba],CasoPrueba[[#All],[Código CP]:[Prioridad]],7,TRUE)</f>
        <v>Alta</v>
      </c>
      <c r="D124" s="34" t="s">
        <v>29</v>
      </c>
      <c r="E124" s="34" t="s">
        <v>49</v>
      </c>
      <c r="F124" s="73">
        <v>40802</v>
      </c>
      <c r="G124" s="73">
        <v>40805</v>
      </c>
      <c r="H124" s="94" t="s">
        <v>132</v>
      </c>
      <c r="I124" s="34" t="s">
        <v>485</v>
      </c>
      <c r="J124" s="34" t="s">
        <v>494</v>
      </c>
      <c r="K124" s="34">
        <f>IF((Observaciones[[#This Row],[Fecha Levantamiento]]-Observaciones[[#This Row],[Fecha Detección]])&gt;=0,Observaciones[[#This Row],[Fecha Levantamiento]]-Observaciones[[#This Row],[Fecha Detección]]+1,0)</f>
        <v>4</v>
      </c>
      <c r="L124" s="34" t="str">
        <f>LOOKUP(Observaciones[[#This Row],[Caso de Prueba]],CasoPrueba[Código CP],CasoPrueba[Código de REQ])</f>
        <v>INSPECCIÓN</v>
      </c>
    </row>
    <row r="125" spans="1:12" ht="30" hidden="1">
      <c r="A125" s="165" t="s">
        <v>480</v>
      </c>
      <c r="B125" s="34" t="s">
        <v>173</v>
      </c>
      <c r="C125" s="34" t="str">
        <f>VLOOKUP(Observaciones[Caso de Prueba],CasoPrueba[[#All],[Código CP]:[Prioridad]],7,TRUE)</f>
        <v>Alta</v>
      </c>
      <c r="D125" s="34" t="s">
        <v>29</v>
      </c>
      <c r="E125" s="34" t="s">
        <v>49</v>
      </c>
      <c r="F125" s="73">
        <v>40802</v>
      </c>
      <c r="G125" s="73">
        <v>40805</v>
      </c>
      <c r="H125" s="94" t="s">
        <v>132</v>
      </c>
      <c r="I125" s="34" t="s">
        <v>486</v>
      </c>
      <c r="J125" s="34" t="s">
        <v>495</v>
      </c>
      <c r="K125" s="34">
        <f>IF((Observaciones[[#This Row],[Fecha Levantamiento]]-Observaciones[[#This Row],[Fecha Detección]])&gt;=0,Observaciones[[#This Row],[Fecha Levantamiento]]-Observaciones[[#This Row],[Fecha Detección]]+1,0)</f>
        <v>4</v>
      </c>
      <c r="L125" s="34" t="str">
        <f>LOOKUP(Observaciones[[#This Row],[Caso de Prueba]],CasoPrueba[Código CP],CasoPrueba[Código de REQ])</f>
        <v>INSPECCIÓN</v>
      </c>
    </row>
    <row r="126" spans="1:12" ht="45" hidden="1">
      <c r="A126" s="165" t="s">
        <v>481</v>
      </c>
      <c r="B126" s="34" t="s">
        <v>487</v>
      </c>
      <c r="C126" s="34" t="str">
        <f>VLOOKUP(Observaciones[Caso de Prueba],CasoPrueba[[#All],[Código CP]:[Prioridad]],7,TRUE)</f>
        <v>Alta</v>
      </c>
      <c r="D126" s="34" t="s">
        <v>162</v>
      </c>
      <c r="E126" s="34" t="s">
        <v>49</v>
      </c>
      <c r="F126" s="73">
        <v>40805</v>
      </c>
      <c r="G126" s="73">
        <v>40831</v>
      </c>
      <c r="H126" s="94" t="s">
        <v>132</v>
      </c>
      <c r="I126" s="34" t="s">
        <v>624</v>
      </c>
      <c r="J126" s="34" t="s">
        <v>816</v>
      </c>
      <c r="K126" s="34">
        <f>IF((Observaciones[[#This Row],[Fecha Levantamiento]]-Observaciones[[#This Row],[Fecha Detección]])&gt;=0,Observaciones[[#This Row],[Fecha Levantamiento]]-Observaciones[[#This Row],[Fecha Detección]]+1,0)</f>
        <v>27</v>
      </c>
      <c r="L126" s="34" t="str">
        <f>LOOKUP(Observaciones[[#This Row],[Caso de Prueba]],CasoPrueba[Código CP],CasoPrueba[Código de REQ])</f>
        <v>INSPECCIÓN</v>
      </c>
    </row>
    <row r="127" spans="1:12" ht="90" hidden="1">
      <c r="A127" s="165" t="s">
        <v>482</v>
      </c>
      <c r="B127" s="34" t="s">
        <v>487</v>
      </c>
      <c r="C127" s="34" t="str">
        <f>VLOOKUP(Observaciones[Caso de Prueba],CasoPrueba[[#All],[Código CP]:[Prioridad]],7,TRUE)</f>
        <v>Alta</v>
      </c>
      <c r="D127" s="34" t="s">
        <v>30</v>
      </c>
      <c r="E127" s="34" t="s">
        <v>49</v>
      </c>
      <c r="F127" s="73">
        <v>40805</v>
      </c>
      <c r="G127" s="73">
        <v>40831</v>
      </c>
      <c r="H127" s="94" t="s">
        <v>132</v>
      </c>
      <c r="I127" s="34" t="s">
        <v>599</v>
      </c>
      <c r="J127" s="34" t="s">
        <v>817</v>
      </c>
      <c r="K127" s="34">
        <f>IF((Observaciones[[#This Row],[Fecha Levantamiento]]-Observaciones[[#This Row],[Fecha Detección]])&gt;=0,Observaciones[[#This Row],[Fecha Levantamiento]]-Observaciones[[#This Row],[Fecha Detección]]+1,0)</f>
        <v>27</v>
      </c>
      <c r="L127" s="34" t="str">
        <f>LOOKUP(Observaciones[[#This Row],[Caso de Prueba]],CasoPrueba[Código CP],CasoPrueba[Código de REQ])</f>
        <v>INSPECCIÓN</v>
      </c>
    </row>
    <row r="128" spans="1:12" ht="30" hidden="1">
      <c r="A128" s="165" t="s">
        <v>483</v>
      </c>
      <c r="B128" s="34" t="s">
        <v>487</v>
      </c>
      <c r="C128" s="34" t="str">
        <f>VLOOKUP(Observaciones[Caso de Prueba],CasoPrueba[[#All],[Código CP]:[Prioridad]],7,TRUE)</f>
        <v>Alta</v>
      </c>
      <c r="D128" s="34" t="s">
        <v>29</v>
      </c>
      <c r="E128" s="34" t="s">
        <v>49</v>
      </c>
      <c r="F128" s="73">
        <v>40805</v>
      </c>
      <c r="G128" s="73">
        <v>40831</v>
      </c>
      <c r="H128" s="94" t="s">
        <v>132</v>
      </c>
      <c r="I128" s="34" t="s">
        <v>583</v>
      </c>
      <c r="J128" s="34" t="s">
        <v>818</v>
      </c>
      <c r="K128" s="34">
        <f>IF((Observaciones[[#This Row],[Fecha Levantamiento]]-Observaciones[[#This Row],[Fecha Detección]])&gt;=0,Observaciones[[#This Row],[Fecha Levantamiento]]-Observaciones[[#This Row],[Fecha Detección]]+1,0)</f>
        <v>27</v>
      </c>
      <c r="L128" s="34" t="str">
        <f>LOOKUP(Observaciones[[#This Row],[Caso de Prueba]],CasoPrueba[Código CP],CasoPrueba[Código de REQ])</f>
        <v>INSPECCIÓN</v>
      </c>
    </row>
    <row r="129" spans="1:12" ht="30" hidden="1">
      <c r="A129" s="165" t="s">
        <v>496</v>
      </c>
      <c r="B129" s="34" t="s">
        <v>487</v>
      </c>
      <c r="C129" s="34" t="str">
        <f>VLOOKUP(Observaciones[Caso de Prueba],CasoPrueba[[#All],[Código CP]:[Prioridad]],7,TRUE)</f>
        <v>Alta</v>
      </c>
      <c r="D129" s="34" t="s">
        <v>28</v>
      </c>
      <c r="E129" s="34" t="s">
        <v>49</v>
      </c>
      <c r="F129" s="73">
        <v>40805</v>
      </c>
      <c r="G129" s="73">
        <v>40831</v>
      </c>
      <c r="H129" s="94" t="s">
        <v>132</v>
      </c>
      <c r="I129" s="34" t="s">
        <v>584</v>
      </c>
      <c r="J129" s="34" t="s">
        <v>819</v>
      </c>
      <c r="K129" s="34">
        <f>IF((Observaciones[[#This Row],[Fecha Levantamiento]]-Observaciones[[#This Row],[Fecha Detección]])&gt;=0,Observaciones[[#This Row],[Fecha Levantamiento]]-Observaciones[[#This Row],[Fecha Detección]]+1,0)</f>
        <v>27</v>
      </c>
      <c r="L129" s="34" t="str">
        <f>LOOKUP(Observaciones[[#This Row],[Caso de Prueba]],CasoPrueba[Código CP],CasoPrueba[Código de REQ])</f>
        <v>INSPECCIÓN</v>
      </c>
    </row>
    <row r="130" spans="1:12" ht="30" hidden="1">
      <c r="A130" s="165" t="s">
        <v>497</v>
      </c>
      <c r="B130" s="34" t="s">
        <v>487</v>
      </c>
      <c r="C130" s="34" t="str">
        <f>VLOOKUP(Observaciones[Caso de Prueba],CasoPrueba[[#All],[Código CP]:[Prioridad]],7,TRUE)</f>
        <v>Alta</v>
      </c>
      <c r="D130" s="34" t="s">
        <v>30</v>
      </c>
      <c r="E130" s="34" t="s">
        <v>49</v>
      </c>
      <c r="F130" s="73">
        <v>40805</v>
      </c>
      <c r="G130" s="73">
        <v>40831</v>
      </c>
      <c r="H130" s="94" t="s">
        <v>132</v>
      </c>
      <c r="I130" s="34" t="s">
        <v>585</v>
      </c>
      <c r="J130" s="34" t="s">
        <v>820</v>
      </c>
      <c r="K130" s="34">
        <f>IF((Observaciones[[#This Row],[Fecha Levantamiento]]-Observaciones[[#This Row],[Fecha Detección]])&gt;=0,Observaciones[[#This Row],[Fecha Levantamiento]]-Observaciones[[#This Row],[Fecha Detección]]+1,0)</f>
        <v>27</v>
      </c>
      <c r="L130" s="34" t="str">
        <f>LOOKUP(Observaciones[[#This Row],[Caso de Prueba]],CasoPrueba[Código CP],CasoPrueba[Código de REQ])</f>
        <v>INSPECCIÓN</v>
      </c>
    </row>
    <row r="131" spans="1:12" ht="60" hidden="1">
      <c r="A131" s="165" t="s">
        <v>498</v>
      </c>
      <c r="B131" s="34" t="s">
        <v>487</v>
      </c>
      <c r="C131" s="34" t="str">
        <f>VLOOKUP(Observaciones[Caso de Prueba],CasoPrueba[[#All],[Código CP]:[Prioridad]],7,TRUE)</f>
        <v>Alta</v>
      </c>
      <c r="D131" s="34" t="s">
        <v>29</v>
      </c>
      <c r="E131" s="34" t="s">
        <v>49</v>
      </c>
      <c r="F131" s="73">
        <v>40805</v>
      </c>
      <c r="G131" s="73">
        <v>40831</v>
      </c>
      <c r="H131" s="94" t="s">
        <v>132</v>
      </c>
      <c r="I131" s="34" t="s">
        <v>586</v>
      </c>
      <c r="J131" s="34" t="s">
        <v>821</v>
      </c>
      <c r="K131" s="34">
        <f>IF((Observaciones[[#This Row],[Fecha Levantamiento]]-Observaciones[[#This Row],[Fecha Detección]])&gt;=0,Observaciones[[#This Row],[Fecha Levantamiento]]-Observaciones[[#This Row],[Fecha Detección]]+1,0)</f>
        <v>27</v>
      </c>
      <c r="L131" s="34" t="str">
        <f>LOOKUP(Observaciones[[#This Row],[Caso de Prueba]],CasoPrueba[Código CP],CasoPrueba[Código de REQ])</f>
        <v>INSPECCIÓN</v>
      </c>
    </row>
    <row r="132" spans="1:12" ht="60" hidden="1">
      <c r="A132" s="165" t="s">
        <v>499</v>
      </c>
      <c r="B132" s="34" t="s">
        <v>487</v>
      </c>
      <c r="C132" s="34" t="str">
        <f>VLOOKUP(Observaciones[Caso de Prueba],CasoPrueba[[#All],[Código CP]:[Prioridad]],7,TRUE)</f>
        <v>Alta</v>
      </c>
      <c r="D132" s="34" t="s">
        <v>30</v>
      </c>
      <c r="E132" s="34" t="s">
        <v>49</v>
      </c>
      <c r="F132" s="73">
        <v>40805</v>
      </c>
      <c r="G132" s="73">
        <v>40831</v>
      </c>
      <c r="H132" s="94" t="s">
        <v>132</v>
      </c>
      <c r="I132" s="34" t="s">
        <v>626</v>
      </c>
      <c r="J132" s="34" t="s">
        <v>822</v>
      </c>
      <c r="K132" s="34">
        <f>IF((Observaciones[[#This Row],[Fecha Levantamiento]]-Observaciones[[#This Row],[Fecha Detección]])&gt;=0,Observaciones[[#This Row],[Fecha Levantamiento]]-Observaciones[[#This Row],[Fecha Detección]]+1,0)</f>
        <v>27</v>
      </c>
      <c r="L132" s="34" t="str">
        <f>LOOKUP(Observaciones[[#This Row],[Caso de Prueba]],CasoPrueba[Código CP],CasoPrueba[Código de REQ])</f>
        <v>INSPECCIÓN</v>
      </c>
    </row>
    <row r="133" spans="1:12" ht="45" hidden="1">
      <c r="A133" s="165" t="s">
        <v>500</v>
      </c>
      <c r="B133" s="34" t="s">
        <v>487</v>
      </c>
      <c r="C133" s="34" t="str">
        <f>VLOOKUP(Observaciones[Caso de Prueba],CasoPrueba[[#All],[Código CP]:[Prioridad]],7,TRUE)</f>
        <v>Alta</v>
      </c>
      <c r="D133" s="34" t="s">
        <v>162</v>
      </c>
      <c r="E133" s="34" t="s">
        <v>49</v>
      </c>
      <c r="F133" s="73">
        <v>40805</v>
      </c>
      <c r="G133" s="73">
        <v>40831</v>
      </c>
      <c r="H133" s="94" t="s">
        <v>132</v>
      </c>
      <c r="I133" s="34" t="s">
        <v>587</v>
      </c>
      <c r="J133" s="34" t="s">
        <v>823</v>
      </c>
      <c r="K133" s="34">
        <f>IF((Observaciones[[#This Row],[Fecha Levantamiento]]-Observaciones[[#This Row],[Fecha Detección]])&gt;=0,Observaciones[[#This Row],[Fecha Levantamiento]]-Observaciones[[#This Row],[Fecha Detección]]+1,0)</f>
        <v>27</v>
      </c>
      <c r="L133" s="34" t="str">
        <f>LOOKUP(Observaciones[[#This Row],[Caso de Prueba]],CasoPrueba[Código CP],CasoPrueba[Código de REQ])</f>
        <v>INSPECCIÓN</v>
      </c>
    </row>
    <row r="134" spans="1:12" ht="45" hidden="1">
      <c r="A134" s="165" t="s">
        <v>501</v>
      </c>
      <c r="B134" s="34" t="s">
        <v>487</v>
      </c>
      <c r="C134" s="34" t="str">
        <f>VLOOKUP(Observaciones[Caso de Prueba],CasoPrueba[[#All],[Código CP]:[Prioridad]],7,TRUE)</f>
        <v>Alta</v>
      </c>
      <c r="D134" s="34" t="s">
        <v>29</v>
      </c>
      <c r="E134" s="34" t="s">
        <v>49</v>
      </c>
      <c r="F134" s="73">
        <v>40805</v>
      </c>
      <c r="G134" s="73">
        <v>40831</v>
      </c>
      <c r="H134" s="94" t="s">
        <v>132</v>
      </c>
      <c r="I134" s="34" t="s">
        <v>588</v>
      </c>
      <c r="J134" s="34" t="s">
        <v>824</v>
      </c>
      <c r="K134" s="34">
        <f>IF((Observaciones[[#This Row],[Fecha Levantamiento]]-Observaciones[[#This Row],[Fecha Detección]])&gt;=0,Observaciones[[#This Row],[Fecha Levantamiento]]-Observaciones[[#This Row],[Fecha Detección]]+1,0)</f>
        <v>27</v>
      </c>
      <c r="L134" s="34" t="str">
        <f>LOOKUP(Observaciones[[#This Row],[Caso de Prueba]],CasoPrueba[Código CP],CasoPrueba[Código de REQ])</f>
        <v>INSPECCIÓN</v>
      </c>
    </row>
    <row r="135" spans="1:12" ht="45" hidden="1">
      <c r="A135" s="165" t="s">
        <v>502</v>
      </c>
      <c r="B135" s="34" t="s">
        <v>487</v>
      </c>
      <c r="C135" s="34" t="str">
        <f>VLOOKUP(Observaciones[Caso de Prueba],CasoPrueba[[#All],[Código CP]:[Prioridad]],7,TRUE)</f>
        <v>Alta</v>
      </c>
      <c r="D135" s="34" t="s">
        <v>29</v>
      </c>
      <c r="E135" s="34" t="s">
        <v>49</v>
      </c>
      <c r="F135" s="73">
        <v>40805</v>
      </c>
      <c r="G135" s="73">
        <v>40831</v>
      </c>
      <c r="H135" s="94" t="s">
        <v>132</v>
      </c>
      <c r="I135" s="34" t="s">
        <v>589</v>
      </c>
      <c r="J135" s="34" t="s">
        <v>825</v>
      </c>
      <c r="K135" s="34">
        <f>IF((Observaciones[[#This Row],[Fecha Levantamiento]]-Observaciones[[#This Row],[Fecha Detección]])&gt;=0,Observaciones[[#This Row],[Fecha Levantamiento]]-Observaciones[[#This Row],[Fecha Detección]]+1,0)</f>
        <v>27</v>
      </c>
      <c r="L135" s="34" t="str">
        <f>LOOKUP(Observaciones[[#This Row],[Caso de Prueba]],CasoPrueba[Código CP],CasoPrueba[Código de REQ])</f>
        <v>INSPECCIÓN</v>
      </c>
    </row>
    <row r="136" spans="1:12" ht="105" hidden="1">
      <c r="A136" s="165" t="s">
        <v>503</v>
      </c>
      <c r="B136" s="34" t="s">
        <v>487</v>
      </c>
      <c r="C136" s="34" t="str">
        <f>VLOOKUP(Observaciones[Caso de Prueba],CasoPrueba[[#All],[Código CP]:[Prioridad]],7,TRUE)</f>
        <v>Alta</v>
      </c>
      <c r="D136" s="34" t="s">
        <v>29</v>
      </c>
      <c r="E136" s="34" t="s">
        <v>49</v>
      </c>
      <c r="F136" s="73">
        <v>40805</v>
      </c>
      <c r="G136" s="73">
        <v>40831</v>
      </c>
      <c r="H136" s="94" t="s">
        <v>132</v>
      </c>
      <c r="I136" s="34" t="s">
        <v>590</v>
      </c>
      <c r="J136" s="34" t="s">
        <v>826</v>
      </c>
      <c r="K136" s="34">
        <f>IF((Observaciones[[#This Row],[Fecha Levantamiento]]-Observaciones[[#This Row],[Fecha Detección]])&gt;=0,Observaciones[[#This Row],[Fecha Levantamiento]]-Observaciones[[#This Row],[Fecha Detección]]+1,0)</f>
        <v>27</v>
      </c>
      <c r="L136" s="34" t="str">
        <f>LOOKUP(Observaciones[[#This Row],[Caso de Prueba]],CasoPrueba[Código CP],CasoPrueba[Código de REQ])</f>
        <v>INSPECCIÓN</v>
      </c>
    </row>
    <row r="137" spans="1:12" ht="60" hidden="1">
      <c r="A137" s="165" t="s">
        <v>504</v>
      </c>
      <c r="B137" s="34" t="s">
        <v>487</v>
      </c>
      <c r="C137" s="34" t="str">
        <f>VLOOKUP(Observaciones[Caso de Prueba],CasoPrueba[[#All],[Código CP]:[Prioridad]],7,TRUE)</f>
        <v>Alta</v>
      </c>
      <c r="D137" s="34" t="s">
        <v>29</v>
      </c>
      <c r="E137" s="34" t="s">
        <v>49</v>
      </c>
      <c r="F137" s="73">
        <v>40805</v>
      </c>
      <c r="G137" s="73">
        <v>40831</v>
      </c>
      <c r="H137" s="94" t="s">
        <v>132</v>
      </c>
      <c r="I137" s="34" t="s">
        <v>591</v>
      </c>
      <c r="J137" s="34" t="s">
        <v>827</v>
      </c>
      <c r="K137" s="34">
        <f>IF((Observaciones[[#This Row],[Fecha Levantamiento]]-Observaciones[[#This Row],[Fecha Detección]])&gt;=0,Observaciones[[#This Row],[Fecha Levantamiento]]-Observaciones[[#This Row],[Fecha Detección]]+1,0)</f>
        <v>27</v>
      </c>
      <c r="L137" s="34" t="str">
        <f>LOOKUP(Observaciones[[#This Row],[Caso de Prueba]],CasoPrueba[Código CP],CasoPrueba[Código de REQ])</f>
        <v>INSPECCIÓN</v>
      </c>
    </row>
    <row r="138" spans="1:12" ht="30" hidden="1">
      <c r="A138" s="165" t="s">
        <v>505</v>
      </c>
      <c r="B138" s="34" t="s">
        <v>487</v>
      </c>
      <c r="C138" s="34" t="str">
        <f>VLOOKUP(Observaciones[Caso de Prueba],CasoPrueba[[#All],[Código CP]:[Prioridad]],7,TRUE)</f>
        <v>Alta</v>
      </c>
      <c r="D138" s="34" t="s">
        <v>162</v>
      </c>
      <c r="E138" s="34" t="s">
        <v>49</v>
      </c>
      <c r="F138" s="73">
        <v>40805</v>
      </c>
      <c r="G138" s="73">
        <v>40831</v>
      </c>
      <c r="H138" s="94" t="s">
        <v>132</v>
      </c>
      <c r="I138" s="34" t="s">
        <v>592</v>
      </c>
      <c r="J138" s="34" t="s">
        <v>234</v>
      </c>
      <c r="K138" s="34">
        <f>IF((Observaciones[[#This Row],[Fecha Levantamiento]]-Observaciones[[#This Row],[Fecha Detección]])&gt;=0,Observaciones[[#This Row],[Fecha Levantamiento]]-Observaciones[[#This Row],[Fecha Detección]]+1,0)</f>
        <v>27</v>
      </c>
      <c r="L138" s="34" t="str">
        <f>LOOKUP(Observaciones[[#This Row],[Caso de Prueba]],CasoPrueba[Código CP],CasoPrueba[Código de REQ])</f>
        <v>INSPECCIÓN</v>
      </c>
    </row>
    <row r="139" spans="1:12" ht="78.75" hidden="1" customHeight="1">
      <c r="A139" s="165" t="s">
        <v>506</v>
      </c>
      <c r="B139" s="34" t="s">
        <v>487</v>
      </c>
      <c r="C139" s="34" t="str">
        <f>VLOOKUP(Observaciones[Caso de Prueba],CasoPrueba[[#All],[Código CP]:[Prioridad]],7,TRUE)</f>
        <v>Alta</v>
      </c>
      <c r="D139" s="34" t="s">
        <v>29</v>
      </c>
      <c r="E139" s="34" t="s">
        <v>49</v>
      </c>
      <c r="F139" s="73">
        <v>40805</v>
      </c>
      <c r="G139" s="73">
        <v>40831</v>
      </c>
      <c r="H139" s="94" t="s">
        <v>132</v>
      </c>
      <c r="I139" s="34" t="s">
        <v>593</v>
      </c>
      <c r="J139" s="34" t="s">
        <v>828</v>
      </c>
      <c r="K139" s="34">
        <f>IF((Observaciones[[#This Row],[Fecha Levantamiento]]-Observaciones[[#This Row],[Fecha Detección]])&gt;=0,Observaciones[[#This Row],[Fecha Levantamiento]]-Observaciones[[#This Row],[Fecha Detección]]+1,0)</f>
        <v>27</v>
      </c>
      <c r="L139" s="34" t="str">
        <f>LOOKUP(Observaciones[[#This Row],[Caso de Prueba]],CasoPrueba[Código CP],CasoPrueba[Código de REQ])</f>
        <v>INSPECCIÓN</v>
      </c>
    </row>
    <row r="140" spans="1:12" hidden="1">
      <c r="A140" s="165" t="s">
        <v>507</v>
      </c>
      <c r="B140" s="34" t="s">
        <v>487</v>
      </c>
      <c r="C140" s="34" t="str">
        <f>VLOOKUP(Observaciones[Caso de Prueba],CasoPrueba[[#All],[Código CP]:[Prioridad]],7,TRUE)</f>
        <v>Alta</v>
      </c>
      <c r="D140" s="34" t="s">
        <v>30</v>
      </c>
      <c r="E140" s="34" t="s">
        <v>49</v>
      </c>
      <c r="F140" s="73">
        <v>40805</v>
      </c>
      <c r="G140" s="73">
        <v>40831</v>
      </c>
      <c r="H140" s="94" t="s">
        <v>132</v>
      </c>
      <c r="I140" s="34" t="s">
        <v>594</v>
      </c>
      <c r="J140" s="34" t="s">
        <v>829</v>
      </c>
      <c r="K140" s="34">
        <f>IF((Observaciones[[#This Row],[Fecha Levantamiento]]-Observaciones[[#This Row],[Fecha Detección]])&gt;=0,Observaciones[[#This Row],[Fecha Levantamiento]]-Observaciones[[#This Row],[Fecha Detección]]+1,0)</f>
        <v>27</v>
      </c>
      <c r="L140" s="34" t="str">
        <f>LOOKUP(Observaciones[[#This Row],[Caso de Prueba]],CasoPrueba[Código CP],CasoPrueba[Código de REQ])</f>
        <v>INSPECCIÓN</v>
      </c>
    </row>
    <row r="141" spans="1:12" ht="30" hidden="1">
      <c r="A141" s="165" t="s">
        <v>508</v>
      </c>
      <c r="B141" s="34" t="s">
        <v>487</v>
      </c>
      <c r="C141" s="34" t="str">
        <f>VLOOKUP(Observaciones[Caso de Prueba],CasoPrueba[[#All],[Código CP]:[Prioridad]],7,TRUE)</f>
        <v>Alta</v>
      </c>
      <c r="D141" s="34" t="s">
        <v>162</v>
      </c>
      <c r="E141" s="34" t="s">
        <v>49</v>
      </c>
      <c r="F141" s="73">
        <v>40805</v>
      </c>
      <c r="G141" s="73">
        <v>40831</v>
      </c>
      <c r="H141" s="94" t="s">
        <v>132</v>
      </c>
      <c r="I141" s="34" t="s">
        <v>595</v>
      </c>
      <c r="J141" s="34" t="s">
        <v>823</v>
      </c>
      <c r="K141" s="34">
        <f>IF((Observaciones[[#This Row],[Fecha Levantamiento]]-Observaciones[[#This Row],[Fecha Detección]])&gt;=0,Observaciones[[#This Row],[Fecha Levantamiento]]-Observaciones[[#This Row],[Fecha Detección]]+1,0)</f>
        <v>27</v>
      </c>
      <c r="L141" s="34" t="str">
        <f>LOOKUP(Observaciones[[#This Row],[Caso de Prueba]],CasoPrueba[Código CP],CasoPrueba[Código de REQ])</f>
        <v>INSPECCIÓN</v>
      </c>
    </row>
    <row r="142" spans="1:12" ht="45" hidden="1">
      <c r="A142" s="165" t="s">
        <v>509</v>
      </c>
      <c r="B142" s="34" t="s">
        <v>487</v>
      </c>
      <c r="C142" s="34" t="str">
        <f>VLOOKUP(Observaciones[Caso de Prueba],CasoPrueba[[#All],[Código CP]:[Prioridad]],7,TRUE)</f>
        <v>Alta</v>
      </c>
      <c r="D142" s="34" t="s">
        <v>29</v>
      </c>
      <c r="E142" s="34" t="s">
        <v>49</v>
      </c>
      <c r="F142" s="73">
        <v>40805</v>
      </c>
      <c r="G142" s="73">
        <v>40831</v>
      </c>
      <c r="H142" s="94" t="s">
        <v>132</v>
      </c>
      <c r="I142" s="34" t="s">
        <v>596</v>
      </c>
      <c r="J142" s="34" t="s">
        <v>826</v>
      </c>
      <c r="K142" s="34">
        <f>IF((Observaciones[[#This Row],[Fecha Levantamiento]]-Observaciones[[#This Row],[Fecha Detección]])&gt;=0,Observaciones[[#This Row],[Fecha Levantamiento]]-Observaciones[[#This Row],[Fecha Detección]]+1,0)</f>
        <v>27</v>
      </c>
      <c r="L142" s="34" t="str">
        <f>LOOKUP(Observaciones[[#This Row],[Caso de Prueba]],CasoPrueba[Código CP],CasoPrueba[Código de REQ])</f>
        <v>INSPECCIÓN</v>
      </c>
    </row>
    <row r="143" spans="1:12" ht="63.75" hidden="1" customHeight="1">
      <c r="A143" s="165" t="s">
        <v>510</v>
      </c>
      <c r="B143" s="34" t="s">
        <v>488</v>
      </c>
      <c r="C143" s="34" t="str">
        <f>VLOOKUP(Observaciones[Caso de Prueba],CasoPrueba[[#All],[Código CP]:[Prioridad]],7,TRUE)</f>
        <v>Alta</v>
      </c>
      <c r="D143" s="34" t="s">
        <v>29</v>
      </c>
      <c r="E143" s="34" t="s">
        <v>49</v>
      </c>
      <c r="F143" s="73">
        <v>40805</v>
      </c>
      <c r="G143" s="73">
        <v>40831</v>
      </c>
      <c r="H143" s="94" t="s">
        <v>132</v>
      </c>
      <c r="I143" s="34" t="s">
        <v>597</v>
      </c>
      <c r="J143" s="34" t="s">
        <v>830</v>
      </c>
      <c r="K143" s="34">
        <f>IF((Observaciones[[#This Row],[Fecha Levantamiento]]-Observaciones[[#This Row],[Fecha Detección]])&gt;=0,Observaciones[[#This Row],[Fecha Levantamiento]]-Observaciones[[#This Row],[Fecha Detección]]+1,0)</f>
        <v>27</v>
      </c>
      <c r="L143" s="34" t="str">
        <f>LOOKUP(Observaciones[[#This Row],[Caso de Prueba]],CasoPrueba[Código CP],CasoPrueba[Código de REQ])</f>
        <v>INSPECCIÓN</v>
      </c>
    </row>
    <row r="144" spans="1:12" ht="30" hidden="1">
      <c r="A144" s="165" t="s">
        <v>511</v>
      </c>
      <c r="B144" s="34" t="s">
        <v>488</v>
      </c>
      <c r="C144" s="34" t="str">
        <f>VLOOKUP(Observaciones[Caso de Prueba],CasoPrueba[[#All],[Código CP]:[Prioridad]],7,TRUE)</f>
        <v>Alta</v>
      </c>
      <c r="D144" s="34" t="s">
        <v>162</v>
      </c>
      <c r="E144" s="34" t="s">
        <v>49</v>
      </c>
      <c r="F144" s="73">
        <v>40805</v>
      </c>
      <c r="G144" s="73">
        <v>40831</v>
      </c>
      <c r="H144" s="94" t="s">
        <v>132</v>
      </c>
      <c r="I144" s="34" t="s">
        <v>598</v>
      </c>
      <c r="J144" s="34" t="s">
        <v>831</v>
      </c>
      <c r="K144" s="34">
        <f>IF((Observaciones[[#This Row],[Fecha Levantamiento]]-Observaciones[[#This Row],[Fecha Detección]])&gt;=0,Observaciones[[#This Row],[Fecha Levantamiento]]-Observaciones[[#This Row],[Fecha Detección]]+1,0)</f>
        <v>27</v>
      </c>
      <c r="L144" s="34" t="str">
        <f>LOOKUP(Observaciones[[#This Row],[Caso de Prueba]],CasoPrueba[Código CP],CasoPrueba[Código de REQ])</f>
        <v>INSPECCIÓN</v>
      </c>
    </row>
    <row r="145" spans="1:12" ht="30" hidden="1">
      <c r="A145" s="165" t="s">
        <v>512</v>
      </c>
      <c r="B145" s="34" t="s">
        <v>488</v>
      </c>
      <c r="C145" s="34" t="str">
        <f>VLOOKUP(Observaciones[Caso de Prueba],CasoPrueba[[#All],[Código CP]:[Prioridad]],7,TRUE)</f>
        <v>Alta</v>
      </c>
      <c r="D145" s="34" t="s">
        <v>28</v>
      </c>
      <c r="E145" s="34" t="s">
        <v>49</v>
      </c>
      <c r="F145" s="73">
        <v>40805</v>
      </c>
      <c r="G145" s="73">
        <v>40831</v>
      </c>
      <c r="H145" s="94" t="s">
        <v>132</v>
      </c>
      <c r="I145" s="34" t="s">
        <v>584</v>
      </c>
      <c r="J145" s="34" t="s">
        <v>832</v>
      </c>
      <c r="K145" s="34">
        <f>IF((Observaciones[[#This Row],[Fecha Levantamiento]]-Observaciones[[#This Row],[Fecha Detección]])&gt;=0,Observaciones[[#This Row],[Fecha Levantamiento]]-Observaciones[[#This Row],[Fecha Detección]]+1,0)</f>
        <v>27</v>
      </c>
      <c r="L145" s="34" t="str">
        <f>LOOKUP(Observaciones[[#This Row],[Caso de Prueba]],CasoPrueba[Código CP],CasoPrueba[Código de REQ])</f>
        <v>INSPECCIÓN</v>
      </c>
    </row>
    <row r="146" spans="1:12" ht="90" hidden="1">
      <c r="A146" s="165" t="s">
        <v>513</v>
      </c>
      <c r="B146" s="34" t="s">
        <v>488</v>
      </c>
      <c r="C146" s="34" t="str">
        <f>VLOOKUP(Observaciones[Caso de Prueba],CasoPrueba[[#All],[Código CP]:[Prioridad]],7,TRUE)</f>
        <v>Alta</v>
      </c>
      <c r="D146" s="34" t="s">
        <v>30</v>
      </c>
      <c r="E146" s="34" t="s">
        <v>49</v>
      </c>
      <c r="F146" s="73">
        <v>40805</v>
      </c>
      <c r="G146" s="73">
        <v>40831</v>
      </c>
      <c r="H146" s="94" t="s">
        <v>132</v>
      </c>
      <c r="I146" s="34" t="s">
        <v>599</v>
      </c>
      <c r="J146" s="34" t="s">
        <v>817</v>
      </c>
      <c r="K146" s="34">
        <f>IF((Observaciones[[#This Row],[Fecha Levantamiento]]-Observaciones[[#This Row],[Fecha Detección]])&gt;=0,Observaciones[[#This Row],[Fecha Levantamiento]]-Observaciones[[#This Row],[Fecha Detección]]+1,0)</f>
        <v>27</v>
      </c>
      <c r="L146" s="34" t="str">
        <f>LOOKUP(Observaciones[[#This Row],[Caso de Prueba]],CasoPrueba[Código CP],CasoPrueba[Código de REQ])</f>
        <v>INSPECCIÓN</v>
      </c>
    </row>
    <row r="147" spans="1:12" ht="30" hidden="1">
      <c r="A147" s="165" t="s">
        <v>514</v>
      </c>
      <c r="B147" s="34" t="s">
        <v>488</v>
      </c>
      <c r="C147" s="34" t="str">
        <f>VLOOKUP(Observaciones[Caso de Prueba],CasoPrueba[[#All],[Código CP]:[Prioridad]],7,TRUE)</f>
        <v>Alta</v>
      </c>
      <c r="D147" s="34" t="s">
        <v>30</v>
      </c>
      <c r="E147" s="34" t="s">
        <v>49</v>
      </c>
      <c r="F147" s="73">
        <v>40805</v>
      </c>
      <c r="G147" s="73">
        <v>40831</v>
      </c>
      <c r="H147" s="94" t="s">
        <v>132</v>
      </c>
      <c r="I147" s="34" t="s">
        <v>600</v>
      </c>
      <c r="J147" s="34" t="s">
        <v>833</v>
      </c>
      <c r="K147" s="34">
        <f>IF((Observaciones[[#This Row],[Fecha Levantamiento]]-Observaciones[[#This Row],[Fecha Detección]])&gt;=0,Observaciones[[#This Row],[Fecha Levantamiento]]-Observaciones[[#This Row],[Fecha Detección]]+1,0)</f>
        <v>27</v>
      </c>
      <c r="L147" s="34" t="str">
        <f>LOOKUP(Observaciones[[#This Row],[Caso de Prueba]],CasoPrueba[Código CP],CasoPrueba[Código de REQ])</f>
        <v>INSPECCIÓN</v>
      </c>
    </row>
    <row r="148" spans="1:12" ht="80.25" hidden="1" customHeight="1">
      <c r="A148" s="165" t="s">
        <v>515</v>
      </c>
      <c r="B148" s="34" t="s">
        <v>488</v>
      </c>
      <c r="C148" s="34" t="str">
        <f>VLOOKUP(Observaciones[Caso de Prueba],CasoPrueba[[#All],[Código CP]:[Prioridad]],7,TRUE)</f>
        <v>Alta</v>
      </c>
      <c r="D148" s="34" t="s">
        <v>28</v>
      </c>
      <c r="E148" s="34" t="s">
        <v>49</v>
      </c>
      <c r="F148" s="73">
        <v>40805</v>
      </c>
      <c r="G148" s="73">
        <v>40831</v>
      </c>
      <c r="H148" s="94" t="s">
        <v>132</v>
      </c>
      <c r="I148" s="34" t="s">
        <v>601</v>
      </c>
      <c r="J148" s="34" t="s">
        <v>834</v>
      </c>
      <c r="K148" s="34">
        <f>IF((Observaciones[[#This Row],[Fecha Levantamiento]]-Observaciones[[#This Row],[Fecha Detección]])&gt;=0,Observaciones[[#This Row],[Fecha Levantamiento]]-Observaciones[[#This Row],[Fecha Detección]]+1,0)</f>
        <v>27</v>
      </c>
      <c r="L148" s="34" t="str">
        <f>LOOKUP(Observaciones[[#This Row],[Caso de Prueba]],CasoPrueba[Código CP],CasoPrueba[Código de REQ])</f>
        <v>INSPECCIÓN</v>
      </c>
    </row>
    <row r="149" spans="1:12" ht="78" hidden="1" customHeight="1">
      <c r="A149" s="165" t="s">
        <v>516</v>
      </c>
      <c r="B149" s="34" t="s">
        <v>488</v>
      </c>
      <c r="C149" s="34" t="str">
        <f>VLOOKUP(Observaciones[Caso de Prueba],CasoPrueba[[#All],[Código CP]:[Prioridad]],7,TRUE)</f>
        <v>Alta</v>
      </c>
      <c r="D149" s="34" t="s">
        <v>29</v>
      </c>
      <c r="E149" s="34" t="s">
        <v>49</v>
      </c>
      <c r="F149" s="73">
        <v>40805</v>
      </c>
      <c r="G149" s="73">
        <v>40831</v>
      </c>
      <c r="H149" s="94" t="s">
        <v>132</v>
      </c>
      <c r="I149" s="34" t="s">
        <v>602</v>
      </c>
      <c r="J149" s="34" t="s">
        <v>835</v>
      </c>
      <c r="K149" s="34">
        <f>IF((Observaciones[[#This Row],[Fecha Levantamiento]]-Observaciones[[#This Row],[Fecha Detección]])&gt;=0,Observaciones[[#This Row],[Fecha Levantamiento]]-Observaciones[[#This Row],[Fecha Detección]]+1,0)</f>
        <v>27</v>
      </c>
      <c r="L149" s="34" t="str">
        <f>LOOKUP(Observaciones[[#This Row],[Caso de Prueba]],CasoPrueba[Código CP],CasoPrueba[Código de REQ])</f>
        <v>INSPECCIÓN</v>
      </c>
    </row>
    <row r="150" spans="1:12" ht="49.5" hidden="1" customHeight="1">
      <c r="A150" s="165" t="s">
        <v>517</v>
      </c>
      <c r="B150" s="34" t="s">
        <v>488</v>
      </c>
      <c r="C150" s="34" t="str">
        <f>VLOOKUP(Observaciones[Caso de Prueba],CasoPrueba[[#All],[Código CP]:[Prioridad]],7,TRUE)</f>
        <v>Alta</v>
      </c>
      <c r="D150" s="34" t="s">
        <v>162</v>
      </c>
      <c r="E150" s="34" t="s">
        <v>49</v>
      </c>
      <c r="F150" s="73">
        <v>40805</v>
      </c>
      <c r="G150" s="73">
        <v>40831</v>
      </c>
      <c r="H150" s="94" t="s">
        <v>132</v>
      </c>
      <c r="I150" s="34" t="s">
        <v>603</v>
      </c>
      <c r="J150" s="34" t="s">
        <v>234</v>
      </c>
      <c r="K150" s="34">
        <f>IF((Observaciones[[#This Row],[Fecha Levantamiento]]-Observaciones[[#This Row],[Fecha Detección]])&gt;=0,Observaciones[[#This Row],[Fecha Levantamiento]]-Observaciones[[#This Row],[Fecha Detección]]+1,0)</f>
        <v>27</v>
      </c>
      <c r="L150" s="34" t="str">
        <f>LOOKUP(Observaciones[[#This Row],[Caso de Prueba]],CasoPrueba[Código CP],CasoPrueba[Código de REQ])</f>
        <v>INSPECCIÓN</v>
      </c>
    </row>
    <row r="151" spans="1:12" ht="45" hidden="1">
      <c r="A151" s="165" t="s">
        <v>518</v>
      </c>
      <c r="B151" s="34" t="s">
        <v>488</v>
      </c>
      <c r="C151" s="34" t="str">
        <f>VLOOKUP(Observaciones[Caso de Prueba],CasoPrueba[[#All],[Código CP]:[Prioridad]],7,TRUE)</f>
        <v>Alta</v>
      </c>
      <c r="D151" s="34" t="s">
        <v>162</v>
      </c>
      <c r="E151" s="34" t="s">
        <v>49</v>
      </c>
      <c r="F151" s="73">
        <v>40805</v>
      </c>
      <c r="G151" s="73">
        <v>40831</v>
      </c>
      <c r="H151" s="94" t="s">
        <v>132</v>
      </c>
      <c r="I151" s="34" t="s">
        <v>604</v>
      </c>
      <c r="J151" s="34" t="s">
        <v>234</v>
      </c>
      <c r="K151" s="34">
        <f>IF((Observaciones[[#This Row],[Fecha Levantamiento]]-Observaciones[[#This Row],[Fecha Detección]])&gt;=0,Observaciones[[#This Row],[Fecha Levantamiento]]-Observaciones[[#This Row],[Fecha Detección]]+1,0)</f>
        <v>27</v>
      </c>
      <c r="L151" s="34" t="str">
        <f>LOOKUP(Observaciones[[#This Row],[Caso de Prueba]],CasoPrueba[Código CP],CasoPrueba[Código de REQ])</f>
        <v>INSPECCIÓN</v>
      </c>
    </row>
    <row r="152" spans="1:12" ht="30" hidden="1">
      <c r="A152" s="165" t="s">
        <v>519</v>
      </c>
      <c r="B152" s="34" t="s">
        <v>488</v>
      </c>
      <c r="C152" s="34" t="str">
        <f>VLOOKUP(Observaciones[Caso de Prueba],CasoPrueba[[#All],[Código CP]:[Prioridad]],7,TRUE)</f>
        <v>Alta</v>
      </c>
      <c r="D152" s="34" t="s">
        <v>162</v>
      </c>
      <c r="E152" s="34" t="s">
        <v>49</v>
      </c>
      <c r="F152" s="73">
        <v>40805</v>
      </c>
      <c r="G152" s="73">
        <v>40831</v>
      </c>
      <c r="H152" s="94" t="s">
        <v>132</v>
      </c>
      <c r="I152" s="34" t="s">
        <v>595</v>
      </c>
      <c r="J152" s="34" t="s">
        <v>234</v>
      </c>
      <c r="K152" s="34">
        <f>IF((Observaciones[[#This Row],[Fecha Levantamiento]]-Observaciones[[#This Row],[Fecha Detección]])&gt;=0,Observaciones[[#This Row],[Fecha Levantamiento]]-Observaciones[[#This Row],[Fecha Detección]]+1,0)</f>
        <v>27</v>
      </c>
      <c r="L152" s="34" t="str">
        <f>LOOKUP(Observaciones[[#This Row],[Caso de Prueba]],CasoPrueba[Código CP],CasoPrueba[Código de REQ])</f>
        <v>INSPECCIÓN</v>
      </c>
    </row>
    <row r="153" spans="1:12" ht="66" hidden="1" customHeight="1">
      <c r="A153" s="165" t="s">
        <v>520</v>
      </c>
      <c r="B153" s="34" t="s">
        <v>489</v>
      </c>
      <c r="C153" s="34" t="str">
        <f>VLOOKUP(Observaciones[Caso de Prueba],CasoPrueba[[#All],[Código CP]:[Prioridad]],7,TRUE)</f>
        <v>Alta</v>
      </c>
      <c r="D153" s="34" t="s">
        <v>29</v>
      </c>
      <c r="E153" s="34" t="s">
        <v>49</v>
      </c>
      <c r="F153" s="73">
        <v>40807</v>
      </c>
      <c r="G153" s="73">
        <v>40831</v>
      </c>
      <c r="H153" s="94" t="s">
        <v>132</v>
      </c>
      <c r="I153" s="34" t="s">
        <v>597</v>
      </c>
      <c r="J153" s="34" t="s">
        <v>830</v>
      </c>
      <c r="K153" s="34">
        <f>IF((Observaciones[[#This Row],[Fecha Levantamiento]]-Observaciones[[#This Row],[Fecha Detección]])&gt;=0,Observaciones[[#This Row],[Fecha Levantamiento]]-Observaciones[[#This Row],[Fecha Detección]]+1,0)</f>
        <v>25</v>
      </c>
      <c r="L153" s="34" t="str">
        <f>LOOKUP(Observaciones[[#This Row],[Caso de Prueba]],CasoPrueba[Código CP],CasoPrueba[Código de REQ])</f>
        <v>INSPECCIÓN</v>
      </c>
    </row>
    <row r="154" spans="1:12" ht="30" hidden="1">
      <c r="A154" s="165" t="s">
        <v>521</v>
      </c>
      <c r="B154" s="34" t="s">
        <v>489</v>
      </c>
      <c r="C154" s="34" t="str">
        <f>VLOOKUP(Observaciones[Caso de Prueba],CasoPrueba[[#All],[Código CP]:[Prioridad]],7,TRUE)</f>
        <v>Alta</v>
      </c>
      <c r="D154" s="34" t="s">
        <v>28</v>
      </c>
      <c r="E154" s="34" t="s">
        <v>49</v>
      </c>
      <c r="F154" s="73">
        <v>40807</v>
      </c>
      <c r="G154" s="73">
        <v>40831</v>
      </c>
      <c r="H154" s="94" t="s">
        <v>132</v>
      </c>
      <c r="I154" s="34" t="s">
        <v>584</v>
      </c>
      <c r="J154" s="34" t="s">
        <v>832</v>
      </c>
      <c r="K154" s="34">
        <f>IF((Observaciones[[#This Row],[Fecha Levantamiento]]-Observaciones[[#This Row],[Fecha Detección]])&gt;=0,Observaciones[[#This Row],[Fecha Levantamiento]]-Observaciones[[#This Row],[Fecha Detección]]+1,0)</f>
        <v>25</v>
      </c>
      <c r="L154" s="34" t="str">
        <f>LOOKUP(Observaciones[[#This Row],[Caso de Prueba]],CasoPrueba[Código CP],CasoPrueba[Código de REQ])</f>
        <v>INSPECCIÓN</v>
      </c>
    </row>
    <row r="155" spans="1:12" ht="45" hidden="1">
      <c r="A155" s="165" t="s">
        <v>522</v>
      </c>
      <c r="B155" s="34" t="s">
        <v>489</v>
      </c>
      <c r="C155" s="34" t="str">
        <f>VLOOKUP(Observaciones[Caso de Prueba],CasoPrueba[[#All],[Código CP]:[Prioridad]],7,TRUE)</f>
        <v>Alta</v>
      </c>
      <c r="D155" s="34" t="s">
        <v>162</v>
      </c>
      <c r="E155" s="34" t="s">
        <v>49</v>
      </c>
      <c r="F155" s="73">
        <v>40807</v>
      </c>
      <c r="G155" s="73">
        <v>40831</v>
      </c>
      <c r="H155" s="94" t="s">
        <v>132</v>
      </c>
      <c r="I155" s="34" t="s">
        <v>605</v>
      </c>
      <c r="J155" s="34" t="s">
        <v>836</v>
      </c>
      <c r="K155" s="34">
        <f>IF((Observaciones[[#This Row],[Fecha Levantamiento]]-Observaciones[[#This Row],[Fecha Detección]])&gt;=0,Observaciones[[#This Row],[Fecha Levantamiento]]-Observaciones[[#This Row],[Fecha Detección]]+1,0)</f>
        <v>25</v>
      </c>
      <c r="L155" s="34" t="str">
        <f>LOOKUP(Observaciones[[#This Row],[Caso de Prueba]],CasoPrueba[Código CP],CasoPrueba[Código de REQ])</f>
        <v>INSPECCIÓN</v>
      </c>
    </row>
    <row r="156" spans="1:12" ht="45" hidden="1">
      <c r="A156" s="165" t="s">
        <v>523</v>
      </c>
      <c r="B156" s="34" t="s">
        <v>489</v>
      </c>
      <c r="C156" s="34" t="str">
        <f>VLOOKUP(Observaciones[Caso de Prueba],CasoPrueba[[#All],[Código CP]:[Prioridad]],7,TRUE)</f>
        <v>Alta</v>
      </c>
      <c r="D156" s="34" t="s">
        <v>29</v>
      </c>
      <c r="E156" s="34" t="s">
        <v>49</v>
      </c>
      <c r="F156" s="73">
        <v>40807</v>
      </c>
      <c r="G156" s="73">
        <v>40831</v>
      </c>
      <c r="H156" s="94" t="s">
        <v>132</v>
      </c>
      <c r="I156" s="34" t="s">
        <v>606</v>
      </c>
      <c r="J156" s="34" t="s">
        <v>266</v>
      </c>
      <c r="K156" s="34">
        <f>IF((Observaciones[[#This Row],[Fecha Levantamiento]]-Observaciones[[#This Row],[Fecha Detección]])&gt;=0,Observaciones[[#This Row],[Fecha Levantamiento]]-Observaciones[[#This Row],[Fecha Detección]]+1,0)</f>
        <v>25</v>
      </c>
      <c r="L156" s="34" t="str">
        <f>LOOKUP(Observaciones[[#This Row],[Caso de Prueba]],CasoPrueba[Código CP],CasoPrueba[Código de REQ])</f>
        <v>INSPECCIÓN</v>
      </c>
    </row>
    <row r="157" spans="1:12" ht="90" hidden="1">
      <c r="A157" s="165" t="s">
        <v>524</v>
      </c>
      <c r="B157" s="34" t="s">
        <v>489</v>
      </c>
      <c r="C157" s="34" t="str">
        <f>VLOOKUP(Observaciones[Caso de Prueba],CasoPrueba[[#All],[Código CP]:[Prioridad]],7,TRUE)</f>
        <v>Alta</v>
      </c>
      <c r="D157" s="34" t="s">
        <v>29</v>
      </c>
      <c r="E157" s="34" t="s">
        <v>49</v>
      </c>
      <c r="F157" s="73">
        <v>40807</v>
      </c>
      <c r="G157" s="73">
        <v>40831</v>
      </c>
      <c r="H157" s="94" t="s">
        <v>132</v>
      </c>
      <c r="I157" s="34" t="s">
        <v>599</v>
      </c>
      <c r="J157" s="34" t="s">
        <v>817</v>
      </c>
      <c r="K157" s="34">
        <f>IF((Observaciones[[#This Row],[Fecha Levantamiento]]-Observaciones[[#This Row],[Fecha Detección]])&gt;=0,Observaciones[[#This Row],[Fecha Levantamiento]]-Observaciones[[#This Row],[Fecha Detección]]+1,0)</f>
        <v>25</v>
      </c>
      <c r="L157" s="34" t="str">
        <f>LOOKUP(Observaciones[[#This Row],[Caso de Prueba]],CasoPrueba[Código CP],CasoPrueba[Código de REQ])</f>
        <v>INSPECCIÓN</v>
      </c>
    </row>
    <row r="158" spans="1:12" ht="75" hidden="1">
      <c r="A158" s="165" t="s">
        <v>525</v>
      </c>
      <c r="B158" s="34" t="s">
        <v>489</v>
      </c>
      <c r="C158" s="34" t="str">
        <f>VLOOKUP(Observaciones[Caso de Prueba],CasoPrueba[[#All],[Código CP]:[Prioridad]],7,TRUE)</f>
        <v>Alta</v>
      </c>
      <c r="D158" s="34" t="s">
        <v>30</v>
      </c>
      <c r="E158" s="34" t="s">
        <v>49</v>
      </c>
      <c r="F158" s="73">
        <v>40807</v>
      </c>
      <c r="G158" s="73">
        <v>40831</v>
      </c>
      <c r="H158" s="94" t="s">
        <v>132</v>
      </c>
      <c r="I158" s="34" t="s">
        <v>607</v>
      </c>
      <c r="J158" s="34" t="s">
        <v>837</v>
      </c>
      <c r="K158" s="34">
        <f>IF((Observaciones[[#This Row],[Fecha Levantamiento]]-Observaciones[[#This Row],[Fecha Detección]])&gt;=0,Observaciones[[#This Row],[Fecha Levantamiento]]-Observaciones[[#This Row],[Fecha Detección]]+1,0)</f>
        <v>25</v>
      </c>
      <c r="L158" s="34" t="str">
        <f>LOOKUP(Observaciones[[#This Row],[Caso de Prueba]],CasoPrueba[Código CP],CasoPrueba[Código de REQ])</f>
        <v>INSPECCIÓN</v>
      </c>
    </row>
    <row r="159" spans="1:12" ht="60" hidden="1">
      <c r="A159" s="165" t="s">
        <v>526</v>
      </c>
      <c r="B159" s="34" t="s">
        <v>489</v>
      </c>
      <c r="C159" s="34" t="str">
        <f>VLOOKUP(Observaciones[Caso de Prueba],CasoPrueba[[#All],[Código CP]:[Prioridad]],7,TRUE)</f>
        <v>Alta</v>
      </c>
      <c r="D159" s="34" t="s">
        <v>29</v>
      </c>
      <c r="E159" s="34" t="s">
        <v>49</v>
      </c>
      <c r="F159" s="73">
        <v>40807</v>
      </c>
      <c r="G159" s="73">
        <v>40831</v>
      </c>
      <c r="H159" s="94" t="s">
        <v>132</v>
      </c>
      <c r="I159" s="34" t="s">
        <v>608</v>
      </c>
      <c r="J159" s="34" t="s">
        <v>838</v>
      </c>
      <c r="K159" s="34">
        <f>IF((Observaciones[[#This Row],[Fecha Levantamiento]]-Observaciones[[#This Row],[Fecha Detección]])&gt;=0,Observaciones[[#This Row],[Fecha Levantamiento]]-Observaciones[[#This Row],[Fecha Detección]]+1,0)</f>
        <v>25</v>
      </c>
      <c r="L159" s="34" t="str">
        <f>LOOKUP(Observaciones[[#This Row],[Caso de Prueba]],CasoPrueba[Código CP],CasoPrueba[Código de REQ])</f>
        <v>INSPECCIÓN</v>
      </c>
    </row>
    <row r="160" spans="1:12" ht="30" hidden="1">
      <c r="A160" s="165" t="s">
        <v>527</v>
      </c>
      <c r="B160" s="34" t="s">
        <v>489</v>
      </c>
      <c r="C160" s="34" t="str">
        <f>VLOOKUP(Observaciones[Caso de Prueba],CasoPrueba[[#All],[Código CP]:[Prioridad]],7,TRUE)</f>
        <v>Alta</v>
      </c>
      <c r="D160" s="34" t="s">
        <v>28</v>
      </c>
      <c r="E160" s="34" t="s">
        <v>49</v>
      </c>
      <c r="F160" s="73">
        <v>40807</v>
      </c>
      <c r="G160" s="73">
        <v>40831</v>
      </c>
      <c r="H160" s="94" t="s">
        <v>132</v>
      </c>
      <c r="I160" s="34" t="s">
        <v>609</v>
      </c>
      <c r="J160" s="34" t="s">
        <v>266</v>
      </c>
      <c r="K160" s="34">
        <f>IF((Observaciones[[#This Row],[Fecha Levantamiento]]-Observaciones[[#This Row],[Fecha Detección]])&gt;=0,Observaciones[[#This Row],[Fecha Levantamiento]]-Observaciones[[#This Row],[Fecha Detección]]+1,0)</f>
        <v>25</v>
      </c>
      <c r="L160" s="34" t="str">
        <f>LOOKUP(Observaciones[[#This Row],[Caso de Prueba]],CasoPrueba[Código CP],CasoPrueba[Código de REQ])</f>
        <v>INSPECCIÓN</v>
      </c>
    </row>
    <row r="161" spans="1:12" ht="45" hidden="1">
      <c r="A161" s="165" t="s">
        <v>528</v>
      </c>
      <c r="B161" s="34" t="s">
        <v>489</v>
      </c>
      <c r="C161" s="34" t="str">
        <f>VLOOKUP(Observaciones[Caso de Prueba],CasoPrueba[[#All],[Código CP]:[Prioridad]],7,TRUE)</f>
        <v>Alta</v>
      </c>
      <c r="D161" s="34" t="s">
        <v>29</v>
      </c>
      <c r="E161" s="34" t="s">
        <v>49</v>
      </c>
      <c r="F161" s="73">
        <v>40807</v>
      </c>
      <c r="G161" s="73">
        <v>40831</v>
      </c>
      <c r="H161" s="94" t="s">
        <v>132</v>
      </c>
      <c r="I161" s="34" t="s">
        <v>610</v>
      </c>
      <c r="J161" s="34" t="s">
        <v>839</v>
      </c>
      <c r="K161" s="34">
        <f>IF((Observaciones[[#This Row],[Fecha Levantamiento]]-Observaciones[[#This Row],[Fecha Detección]])&gt;=0,Observaciones[[#This Row],[Fecha Levantamiento]]-Observaciones[[#This Row],[Fecha Detección]]+1,0)</f>
        <v>25</v>
      </c>
      <c r="L161" s="34" t="str">
        <f>LOOKUP(Observaciones[[#This Row],[Caso de Prueba]],CasoPrueba[Código CP],CasoPrueba[Código de REQ])</f>
        <v>INSPECCIÓN</v>
      </c>
    </row>
    <row r="162" spans="1:12" ht="45" hidden="1">
      <c r="A162" s="165" t="s">
        <v>529</v>
      </c>
      <c r="B162" s="34" t="s">
        <v>489</v>
      </c>
      <c r="C162" s="34" t="str">
        <f>VLOOKUP(Observaciones[Caso de Prueba],CasoPrueba[[#All],[Código CP]:[Prioridad]],7,TRUE)</f>
        <v>Alta</v>
      </c>
      <c r="D162" s="34" t="s">
        <v>162</v>
      </c>
      <c r="E162" s="34" t="s">
        <v>49</v>
      </c>
      <c r="F162" s="73">
        <v>40807</v>
      </c>
      <c r="G162" s="73">
        <v>40831</v>
      </c>
      <c r="H162" s="94" t="s">
        <v>132</v>
      </c>
      <c r="I162" s="34" t="s">
        <v>611</v>
      </c>
      <c r="J162" s="34" t="s">
        <v>234</v>
      </c>
      <c r="K162" s="34">
        <f>IF((Observaciones[[#This Row],[Fecha Levantamiento]]-Observaciones[[#This Row],[Fecha Detección]])&gt;=0,Observaciones[[#This Row],[Fecha Levantamiento]]-Observaciones[[#This Row],[Fecha Detección]]+1,0)</f>
        <v>25</v>
      </c>
      <c r="L162" s="34" t="str">
        <f>LOOKUP(Observaciones[[#This Row],[Caso de Prueba]],CasoPrueba[Código CP],CasoPrueba[Código de REQ])</f>
        <v>INSPECCIÓN</v>
      </c>
    </row>
    <row r="163" spans="1:12" ht="75" hidden="1">
      <c r="A163" s="165" t="s">
        <v>530</v>
      </c>
      <c r="B163" s="34" t="s">
        <v>489</v>
      </c>
      <c r="C163" s="34" t="str">
        <f>VLOOKUP(Observaciones[Caso de Prueba],CasoPrueba[[#All],[Código CP]:[Prioridad]],7,TRUE)</f>
        <v>Alta</v>
      </c>
      <c r="D163" s="34" t="s">
        <v>29</v>
      </c>
      <c r="E163" s="34" t="s">
        <v>49</v>
      </c>
      <c r="F163" s="73">
        <v>40807</v>
      </c>
      <c r="G163" s="73">
        <v>40831</v>
      </c>
      <c r="H163" s="94" t="s">
        <v>132</v>
      </c>
      <c r="I163" s="34" t="s">
        <v>612</v>
      </c>
      <c r="J163" s="34" t="s">
        <v>266</v>
      </c>
      <c r="K163" s="34">
        <f>IF((Observaciones[[#This Row],[Fecha Levantamiento]]-Observaciones[[#This Row],[Fecha Detección]])&gt;=0,Observaciones[[#This Row],[Fecha Levantamiento]]-Observaciones[[#This Row],[Fecha Detección]]+1,0)</f>
        <v>25</v>
      </c>
      <c r="L163" s="34" t="str">
        <f>LOOKUP(Observaciones[[#This Row],[Caso de Prueba]],CasoPrueba[Código CP],CasoPrueba[Código de REQ])</f>
        <v>INSPECCIÓN</v>
      </c>
    </row>
    <row r="164" spans="1:12" ht="59.25" hidden="1" customHeight="1">
      <c r="A164" s="165" t="s">
        <v>531</v>
      </c>
      <c r="B164" s="34" t="s">
        <v>489</v>
      </c>
      <c r="C164" s="34" t="str">
        <f>VLOOKUP(Observaciones[Caso de Prueba],CasoPrueba[[#All],[Código CP]:[Prioridad]],7,TRUE)</f>
        <v>Alta</v>
      </c>
      <c r="D164" s="34" t="s">
        <v>162</v>
      </c>
      <c r="E164" s="34" t="s">
        <v>49</v>
      </c>
      <c r="F164" s="73">
        <v>40807</v>
      </c>
      <c r="G164" s="73">
        <v>40831</v>
      </c>
      <c r="H164" s="94" t="s">
        <v>132</v>
      </c>
      <c r="I164" s="34" t="s">
        <v>613</v>
      </c>
      <c r="J164" s="34" t="s">
        <v>264</v>
      </c>
      <c r="K164" s="34">
        <f>IF((Observaciones[[#This Row],[Fecha Levantamiento]]-Observaciones[[#This Row],[Fecha Detección]])&gt;=0,Observaciones[[#This Row],[Fecha Levantamiento]]-Observaciones[[#This Row],[Fecha Detección]]+1,0)</f>
        <v>25</v>
      </c>
      <c r="L164" s="34" t="str">
        <f>LOOKUP(Observaciones[[#This Row],[Caso de Prueba]],CasoPrueba[Código CP],CasoPrueba[Código de REQ])</f>
        <v>INSPECCIÓN</v>
      </c>
    </row>
    <row r="165" spans="1:12" ht="30" hidden="1">
      <c r="A165" s="165" t="s">
        <v>532</v>
      </c>
      <c r="B165" s="34" t="s">
        <v>614</v>
      </c>
      <c r="C165" s="34" t="str">
        <f>VLOOKUP(Observaciones[Caso de Prueba],CasoPrueba[[#All],[Código CP]:[Prioridad]],7,TRUE)</f>
        <v>Alta</v>
      </c>
      <c r="D165" s="34" t="s">
        <v>162</v>
      </c>
      <c r="E165" s="34" t="s">
        <v>49</v>
      </c>
      <c r="F165" s="73">
        <v>40807</v>
      </c>
      <c r="G165" s="73">
        <v>40831</v>
      </c>
      <c r="H165" s="94" t="s">
        <v>132</v>
      </c>
      <c r="I165" s="34" t="s">
        <v>625</v>
      </c>
      <c r="J165" s="34" t="s">
        <v>199</v>
      </c>
      <c r="K165" s="34">
        <f>IF((Observaciones[[#This Row],[Fecha Levantamiento]]-Observaciones[[#This Row],[Fecha Detección]])&gt;=0,Observaciones[[#This Row],[Fecha Levantamiento]]-Observaciones[[#This Row],[Fecha Detección]]+1,0)</f>
        <v>25</v>
      </c>
      <c r="L165" s="34" t="str">
        <f>LOOKUP(Observaciones[[#This Row],[Caso de Prueba]],CasoPrueba[Código CP],CasoPrueba[Código de REQ])</f>
        <v>INSPECCIÓN</v>
      </c>
    </row>
    <row r="166" spans="1:12" ht="30" hidden="1">
      <c r="A166" s="165" t="s">
        <v>533</v>
      </c>
      <c r="B166" s="34" t="s">
        <v>614</v>
      </c>
      <c r="C166" s="34" t="str">
        <f>VLOOKUP(Observaciones[Caso de Prueba],CasoPrueba[[#All],[Código CP]:[Prioridad]],7,TRUE)</f>
        <v>Alta</v>
      </c>
      <c r="D166" s="34" t="s">
        <v>28</v>
      </c>
      <c r="E166" s="34" t="s">
        <v>49</v>
      </c>
      <c r="F166" s="73">
        <v>40807</v>
      </c>
      <c r="G166" s="73">
        <v>40831</v>
      </c>
      <c r="H166" s="94" t="s">
        <v>132</v>
      </c>
      <c r="I166" s="34" t="s">
        <v>584</v>
      </c>
      <c r="J166" s="34" t="s">
        <v>819</v>
      </c>
      <c r="K166" s="34">
        <f>IF((Observaciones[[#This Row],[Fecha Levantamiento]]-Observaciones[[#This Row],[Fecha Detección]])&gt;=0,Observaciones[[#This Row],[Fecha Levantamiento]]-Observaciones[[#This Row],[Fecha Detección]]+1,0)</f>
        <v>25</v>
      </c>
      <c r="L166" s="34" t="str">
        <f>LOOKUP(Observaciones[[#This Row],[Caso de Prueba]],CasoPrueba[Código CP],CasoPrueba[Código de REQ])</f>
        <v>INSPECCIÓN</v>
      </c>
    </row>
    <row r="167" spans="1:12" ht="90" hidden="1">
      <c r="A167" s="165" t="s">
        <v>534</v>
      </c>
      <c r="B167" s="34" t="s">
        <v>614</v>
      </c>
      <c r="C167" s="34" t="str">
        <f>VLOOKUP(Observaciones[Caso de Prueba],CasoPrueba[[#All],[Código CP]:[Prioridad]],7,TRUE)</f>
        <v>Alta</v>
      </c>
      <c r="D167" s="34" t="s">
        <v>29</v>
      </c>
      <c r="E167" s="34" t="s">
        <v>49</v>
      </c>
      <c r="F167" s="73">
        <v>40807</v>
      </c>
      <c r="G167" s="73">
        <v>40831</v>
      </c>
      <c r="H167" s="94" t="s">
        <v>132</v>
      </c>
      <c r="I167" s="34" t="s">
        <v>599</v>
      </c>
      <c r="J167" s="34" t="s">
        <v>840</v>
      </c>
      <c r="K167" s="34">
        <f>IF((Observaciones[[#This Row],[Fecha Levantamiento]]-Observaciones[[#This Row],[Fecha Detección]])&gt;=0,Observaciones[[#This Row],[Fecha Levantamiento]]-Observaciones[[#This Row],[Fecha Detección]]+1,0)</f>
        <v>25</v>
      </c>
      <c r="L167" s="34" t="str">
        <f>LOOKUP(Observaciones[[#This Row],[Caso de Prueba]],CasoPrueba[Código CP],CasoPrueba[Código de REQ])</f>
        <v>INSPECCIÓN</v>
      </c>
    </row>
    <row r="168" spans="1:12" ht="30" hidden="1">
      <c r="A168" s="165" t="s">
        <v>535</v>
      </c>
      <c r="B168" s="34" t="s">
        <v>614</v>
      </c>
      <c r="C168" s="34" t="str">
        <f>VLOOKUP(Observaciones[Caso de Prueba],CasoPrueba[[#All],[Código CP]:[Prioridad]],7,TRUE)</f>
        <v>Alta</v>
      </c>
      <c r="D168" s="34" t="s">
        <v>162</v>
      </c>
      <c r="E168" s="34" t="s">
        <v>49</v>
      </c>
      <c r="F168" s="73">
        <v>40807</v>
      </c>
      <c r="G168" s="73">
        <v>40831</v>
      </c>
      <c r="H168" s="94" t="s">
        <v>132</v>
      </c>
      <c r="I168" s="34" t="s">
        <v>634</v>
      </c>
      <c r="J168" s="34" t="s">
        <v>467</v>
      </c>
      <c r="K168" s="34">
        <f>IF((Observaciones[[#This Row],[Fecha Levantamiento]]-Observaciones[[#This Row],[Fecha Detección]])&gt;=0,Observaciones[[#This Row],[Fecha Levantamiento]]-Observaciones[[#This Row],[Fecha Detección]]+1,0)</f>
        <v>25</v>
      </c>
      <c r="L168" s="34" t="str">
        <f>LOOKUP(Observaciones[[#This Row],[Caso de Prueba]],CasoPrueba[Código CP],CasoPrueba[Código de REQ])</f>
        <v>INSPECCIÓN</v>
      </c>
    </row>
    <row r="169" spans="1:12" ht="45" hidden="1">
      <c r="A169" s="165" t="s">
        <v>536</v>
      </c>
      <c r="B169" s="34" t="s">
        <v>614</v>
      </c>
      <c r="C169" s="34" t="str">
        <f>VLOOKUP(Observaciones[Caso de Prueba],CasoPrueba[[#All],[Código CP]:[Prioridad]],7,TRUE)</f>
        <v>Alta</v>
      </c>
      <c r="D169" s="34" t="s">
        <v>30</v>
      </c>
      <c r="E169" s="34" t="s">
        <v>49</v>
      </c>
      <c r="F169" s="73">
        <v>40807</v>
      </c>
      <c r="G169" s="73">
        <v>40831</v>
      </c>
      <c r="H169" s="94" t="s">
        <v>132</v>
      </c>
      <c r="I169" s="34" t="s">
        <v>630</v>
      </c>
      <c r="J169" s="34" t="s">
        <v>841</v>
      </c>
      <c r="K169" s="34">
        <f>IF((Observaciones[[#This Row],[Fecha Levantamiento]]-Observaciones[[#This Row],[Fecha Detección]])&gt;=0,Observaciones[[#This Row],[Fecha Levantamiento]]-Observaciones[[#This Row],[Fecha Detección]]+1,0)</f>
        <v>25</v>
      </c>
      <c r="L169" s="34" t="str">
        <f>LOOKUP(Observaciones[[#This Row],[Caso de Prueba]],CasoPrueba[Código CP],CasoPrueba[Código de REQ])</f>
        <v>INSPECCIÓN</v>
      </c>
    </row>
    <row r="170" spans="1:12" ht="45" hidden="1">
      <c r="A170" s="165" t="s">
        <v>537</v>
      </c>
      <c r="B170" s="34" t="s">
        <v>614</v>
      </c>
      <c r="C170" s="34" t="str">
        <f>VLOOKUP(Observaciones[Caso de Prueba],CasoPrueba[[#All],[Código CP]:[Prioridad]],7,TRUE)</f>
        <v>Alta</v>
      </c>
      <c r="D170" s="34" t="s">
        <v>162</v>
      </c>
      <c r="E170" s="34" t="s">
        <v>49</v>
      </c>
      <c r="F170" s="73">
        <v>40807</v>
      </c>
      <c r="G170" s="73">
        <v>40831</v>
      </c>
      <c r="H170" s="94" t="s">
        <v>132</v>
      </c>
      <c r="I170" s="34" t="s">
        <v>627</v>
      </c>
      <c r="J170" s="34" t="s">
        <v>842</v>
      </c>
      <c r="K170" s="34">
        <f>IF((Observaciones[[#This Row],[Fecha Levantamiento]]-Observaciones[[#This Row],[Fecha Detección]])&gt;=0,Observaciones[[#This Row],[Fecha Levantamiento]]-Observaciones[[#This Row],[Fecha Detección]]+1,0)</f>
        <v>25</v>
      </c>
      <c r="L170" s="34" t="str">
        <f>LOOKUP(Observaciones[[#This Row],[Caso de Prueba]],CasoPrueba[Código CP],CasoPrueba[Código de REQ])</f>
        <v>INSPECCIÓN</v>
      </c>
    </row>
    <row r="171" spans="1:12" ht="30" hidden="1">
      <c r="A171" s="165" t="s">
        <v>538</v>
      </c>
      <c r="B171" s="34" t="s">
        <v>614</v>
      </c>
      <c r="C171" s="34" t="str">
        <f>VLOOKUP(Observaciones[Caso de Prueba],CasoPrueba[[#All],[Código CP]:[Prioridad]],7,TRUE)</f>
        <v>Alta</v>
      </c>
      <c r="D171" s="34" t="s">
        <v>162</v>
      </c>
      <c r="E171" s="34" t="s">
        <v>49</v>
      </c>
      <c r="F171" s="73">
        <v>40807</v>
      </c>
      <c r="G171" s="73">
        <v>40831</v>
      </c>
      <c r="H171" s="94" t="s">
        <v>132</v>
      </c>
      <c r="I171" s="34" t="s">
        <v>628</v>
      </c>
      <c r="J171" s="34" t="s">
        <v>467</v>
      </c>
      <c r="K171" s="34">
        <f>IF((Observaciones[[#This Row],[Fecha Levantamiento]]-Observaciones[[#This Row],[Fecha Detección]])&gt;=0,Observaciones[[#This Row],[Fecha Levantamiento]]-Observaciones[[#This Row],[Fecha Detección]]+1,0)</f>
        <v>25</v>
      </c>
      <c r="L171" s="34" t="str">
        <f>LOOKUP(Observaciones[[#This Row],[Caso de Prueba]],CasoPrueba[Código CP],CasoPrueba[Código de REQ])</f>
        <v>INSPECCIÓN</v>
      </c>
    </row>
    <row r="172" spans="1:12" ht="45" hidden="1">
      <c r="A172" s="165" t="s">
        <v>539</v>
      </c>
      <c r="B172" s="34" t="s">
        <v>614</v>
      </c>
      <c r="C172" s="34" t="str">
        <f>VLOOKUP(Observaciones[Caso de Prueba],CasoPrueba[[#All],[Código CP]:[Prioridad]],7,TRUE)</f>
        <v>Alta</v>
      </c>
      <c r="D172" s="34" t="s">
        <v>162</v>
      </c>
      <c r="E172" s="34" t="s">
        <v>49</v>
      </c>
      <c r="F172" s="73">
        <v>40807</v>
      </c>
      <c r="G172" s="73">
        <v>40831</v>
      </c>
      <c r="H172" s="94" t="s">
        <v>132</v>
      </c>
      <c r="I172" s="34" t="s">
        <v>629</v>
      </c>
      <c r="J172" s="34" t="s">
        <v>467</v>
      </c>
      <c r="K172" s="34">
        <f>IF((Observaciones[[#This Row],[Fecha Levantamiento]]-Observaciones[[#This Row],[Fecha Detección]])&gt;=0,Observaciones[[#This Row],[Fecha Levantamiento]]-Observaciones[[#This Row],[Fecha Detección]]+1,0)</f>
        <v>25</v>
      </c>
      <c r="L172" s="34" t="str">
        <f>LOOKUP(Observaciones[[#This Row],[Caso de Prueba]],CasoPrueba[Código CP],CasoPrueba[Código de REQ])</f>
        <v>INSPECCIÓN</v>
      </c>
    </row>
    <row r="173" spans="1:12" ht="30" hidden="1">
      <c r="A173" s="165" t="s">
        <v>540</v>
      </c>
      <c r="B173" s="34" t="s">
        <v>614</v>
      </c>
      <c r="C173" s="34" t="str">
        <f>VLOOKUP(Observaciones[Caso de Prueba],CasoPrueba[[#All],[Código CP]:[Prioridad]],7,TRUE)</f>
        <v>Alta</v>
      </c>
      <c r="D173" s="34" t="s">
        <v>162</v>
      </c>
      <c r="E173" s="34" t="s">
        <v>49</v>
      </c>
      <c r="F173" s="73">
        <v>40807</v>
      </c>
      <c r="G173" s="73">
        <v>40831</v>
      </c>
      <c r="H173" s="94" t="s">
        <v>132</v>
      </c>
      <c r="I173" s="34" t="s">
        <v>631</v>
      </c>
      <c r="J173" s="34" t="s">
        <v>199</v>
      </c>
      <c r="K173" s="34">
        <f>IF((Observaciones[[#This Row],[Fecha Levantamiento]]-Observaciones[[#This Row],[Fecha Detección]])&gt;=0,Observaciones[[#This Row],[Fecha Levantamiento]]-Observaciones[[#This Row],[Fecha Detección]]+1,0)</f>
        <v>25</v>
      </c>
      <c r="L173" s="34" t="str">
        <f>LOOKUP(Observaciones[[#This Row],[Caso de Prueba]],CasoPrueba[Código CP],CasoPrueba[Código de REQ])</f>
        <v>INSPECCIÓN</v>
      </c>
    </row>
    <row r="174" spans="1:12" ht="45" hidden="1">
      <c r="A174" s="165" t="s">
        <v>541</v>
      </c>
      <c r="B174" s="34" t="s">
        <v>614</v>
      </c>
      <c r="C174" s="34" t="str">
        <f>VLOOKUP(Observaciones[Caso de Prueba],CasoPrueba[[#All],[Código CP]:[Prioridad]],7,TRUE)</f>
        <v>Alta</v>
      </c>
      <c r="D174" s="34" t="s">
        <v>29</v>
      </c>
      <c r="E174" s="34" t="s">
        <v>49</v>
      </c>
      <c r="F174" s="73">
        <v>40807</v>
      </c>
      <c r="G174" s="73">
        <v>40831</v>
      </c>
      <c r="H174" s="94" t="s">
        <v>132</v>
      </c>
      <c r="I174" s="34" t="s">
        <v>632</v>
      </c>
      <c r="J174" s="34" t="s">
        <v>843</v>
      </c>
      <c r="K174" s="34">
        <f>IF((Observaciones[[#This Row],[Fecha Levantamiento]]-Observaciones[[#This Row],[Fecha Detección]])&gt;=0,Observaciones[[#This Row],[Fecha Levantamiento]]-Observaciones[[#This Row],[Fecha Detección]]+1,0)</f>
        <v>25</v>
      </c>
      <c r="L174" s="34" t="str">
        <f>LOOKUP(Observaciones[[#This Row],[Caso de Prueba]],CasoPrueba[Código CP],CasoPrueba[Código de REQ])</f>
        <v>INSPECCIÓN</v>
      </c>
    </row>
    <row r="175" spans="1:12" ht="60" hidden="1">
      <c r="A175" s="165" t="s">
        <v>542</v>
      </c>
      <c r="B175" s="34" t="s">
        <v>614</v>
      </c>
      <c r="C175" s="34" t="str">
        <f>VLOOKUP(Observaciones[Caso de Prueba],CasoPrueba[[#All],[Código CP]:[Prioridad]],7,TRUE)</f>
        <v>Alta</v>
      </c>
      <c r="D175" s="34" t="s">
        <v>29</v>
      </c>
      <c r="E175" s="34" t="s">
        <v>49</v>
      </c>
      <c r="F175" s="73">
        <v>40807</v>
      </c>
      <c r="G175" s="73">
        <v>40831</v>
      </c>
      <c r="H175" s="94" t="s">
        <v>132</v>
      </c>
      <c r="I175" s="34" t="s">
        <v>633</v>
      </c>
      <c r="J175" s="34" t="s">
        <v>844</v>
      </c>
      <c r="K175" s="34">
        <f>IF((Observaciones[[#This Row],[Fecha Levantamiento]]-Observaciones[[#This Row],[Fecha Detección]])&gt;=0,Observaciones[[#This Row],[Fecha Levantamiento]]-Observaciones[[#This Row],[Fecha Detección]]+1,0)</f>
        <v>25</v>
      </c>
      <c r="L175" s="34" t="str">
        <f>LOOKUP(Observaciones[[#This Row],[Caso de Prueba]],CasoPrueba[Código CP],CasoPrueba[Código de REQ])</f>
        <v>INSPECCIÓN</v>
      </c>
    </row>
    <row r="176" spans="1:12" ht="45" hidden="1">
      <c r="A176" s="165" t="s">
        <v>543</v>
      </c>
      <c r="B176" s="34" t="s">
        <v>616</v>
      </c>
      <c r="C176" s="34" t="str">
        <f>VLOOKUP(Observaciones[Caso de Prueba],CasoPrueba[[#All],[Código CP]:[Prioridad]],7,TRUE)</f>
        <v>Alta</v>
      </c>
      <c r="D176" s="34" t="s">
        <v>29</v>
      </c>
      <c r="E176" s="34" t="s">
        <v>49</v>
      </c>
      <c r="F176" s="73">
        <v>40826</v>
      </c>
      <c r="G176" s="73">
        <v>40831</v>
      </c>
      <c r="H176" s="94" t="s">
        <v>132</v>
      </c>
      <c r="I176" s="34" t="s">
        <v>597</v>
      </c>
      <c r="J176" s="34" t="s">
        <v>830</v>
      </c>
      <c r="K176" s="34">
        <f>IF((Observaciones[[#This Row],[Fecha Levantamiento]]-Observaciones[[#This Row],[Fecha Detección]])&gt;=0,Observaciones[[#This Row],[Fecha Levantamiento]]-Observaciones[[#This Row],[Fecha Detección]]+1,0)</f>
        <v>6</v>
      </c>
      <c r="L176" s="34" t="str">
        <f>LOOKUP(Observaciones[[#This Row],[Caso de Prueba]],CasoPrueba[Código CP],CasoPrueba[Código de REQ])</f>
        <v>INSPECCIÓN</v>
      </c>
    </row>
    <row r="177" spans="1:12" ht="30" hidden="1">
      <c r="A177" s="165" t="s">
        <v>544</v>
      </c>
      <c r="B177" s="34" t="s">
        <v>616</v>
      </c>
      <c r="C177" s="34" t="str">
        <f>VLOOKUP(Observaciones[Caso de Prueba],CasoPrueba[[#All],[Código CP]:[Prioridad]],7,TRUE)</f>
        <v>Alta</v>
      </c>
      <c r="D177" s="34" t="s">
        <v>28</v>
      </c>
      <c r="E177" s="34" t="s">
        <v>49</v>
      </c>
      <c r="F177" s="73">
        <v>40826</v>
      </c>
      <c r="G177" s="73">
        <v>40831</v>
      </c>
      <c r="H177" s="94" t="s">
        <v>132</v>
      </c>
      <c r="I177" s="34" t="s">
        <v>584</v>
      </c>
      <c r="J177" s="34" t="s">
        <v>832</v>
      </c>
      <c r="K177" s="34">
        <f>IF((Observaciones[[#This Row],[Fecha Levantamiento]]-Observaciones[[#This Row],[Fecha Detección]])&gt;=0,Observaciones[[#This Row],[Fecha Levantamiento]]-Observaciones[[#This Row],[Fecha Detección]]+1,0)</f>
        <v>6</v>
      </c>
      <c r="L177" s="34" t="str">
        <f>LOOKUP(Observaciones[[#This Row],[Caso de Prueba]],CasoPrueba[Código CP],CasoPrueba[Código de REQ])</f>
        <v>INSPECCIÓN</v>
      </c>
    </row>
    <row r="178" spans="1:12" ht="75" hidden="1">
      <c r="A178" s="165" t="s">
        <v>545</v>
      </c>
      <c r="B178" s="34" t="s">
        <v>616</v>
      </c>
      <c r="C178" s="34" t="str">
        <f>VLOOKUP(Observaciones[Caso de Prueba],CasoPrueba[[#All],[Código CP]:[Prioridad]],7,TRUE)</f>
        <v>Alta</v>
      </c>
      <c r="D178" s="34" t="s">
        <v>28</v>
      </c>
      <c r="E178" s="34" t="s">
        <v>49</v>
      </c>
      <c r="F178" s="73">
        <v>40826</v>
      </c>
      <c r="G178" s="73">
        <v>40831</v>
      </c>
      <c r="H178" s="94" t="s">
        <v>132</v>
      </c>
      <c r="I178" s="34" t="s">
        <v>635</v>
      </c>
      <c r="J178" s="34" t="s">
        <v>845</v>
      </c>
      <c r="K178" s="34">
        <f>IF((Observaciones[[#This Row],[Fecha Levantamiento]]-Observaciones[[#This Row],[Fecha Detección]])&gt;=0,Observaciones[[#This Row],[Fecha Levantamiento]]-Observaciones[[#This Row],[Fecha Detección]]+1,0)</f>
        <v>6</v>
      </c>
      <c r="L178" s="34" t="str">
        <f>LOOKUP(Observaciones[[#This Row],[Caso de Prueba]],CasoPrueba[Código CP],CasoPrueba[Código de REQ])</f>
        <v>INSPECCIÓN</v>
      </c>
    </row>
    <row r="179" spans="1:12" ht="45" hidden="1">
      <c r="A179" s="165" t="s">
        <v>546</v>
      </c>
      <c r="B179" s="34" t="s">
        <v>616</v>
      </c>
      <c r="C179" s="34" t="str">
        <f>VLOOKUP(Observaciones[Caso de Prueba],CasoPrueba[[#All],[Código CP]:[Prioridad]],7,TRUE)</f>
        <v>Alta</v>
      </c>
      <c r="D179" s="34" t="s">
        <v>30</v>
      </c>
      <c r="E179" s="34" t="s">
        <v>49</v>
      </c>
      <c r="F179" s="73">
        <v>40826</v>
      </c>
      <c r="G179" s="73">
        <v>40831</v>
      </c>
      <c r="H179" s="94" t="s">
        <v>132</v>
      </c>
      <c r="I179" s="34" t="s">
        <v>636</v>
      </c>
      <c r="J179" s="34" t="s">
        <v>846</v>
      </c>
      <c r="K179" s="34">
        <f>IF((Observaciones[[#This Row],[Fecha Levantamiento]]-Observaciones[[#This Row],[Fecha Detección]])&gt;=0,Observaciones[[#This Row],[Fecha Levantamiento]]-Observaciones[[#This Row],[Fecha Detección]]+1,0)</f>
        <v>6</v>
      </c>
      <c r="L179" s="34" t="str">
        <f>LOOKUP(Observaciones[[#This Row],[Caso de Prueba]],CasoPrueba[Código CP],CasoPrueba[Código de REQ])</f>
        <v>INSPECCIÓN</v>
      </c>
    </row>
    <row r="180" spans="1:12" ht="30" hidden="1">
      <c r="A180" s="165" t="s">
        <v>547</v>
      </c>
      <c r="B180" s="34" t="s">
        <v>616</v>
      </c>
      <c r="C180" s="34" t="str">
        <f>VLOOKUP(Observaciones[Caso de Prueba],CasoPrueba[[#All],[Código CP]:[Prioridad]],7,TRUE)</f>
        <v>Alta</v>
      </c>
      <c r="D180" s="34" t="s">
        <v>29</v>
      </c>
      <c r="E180" s="34" t="s">
        <v>49</v>
      </c>
      <c r="F180" s="73">
        <v>40826</v>
      </c>
      <c r="G180" s="73">
        <v>40831</v>
      </c>
      <c r="H180" s="94" t="s">
        <v>132</v>
      </c>
      <c r="I180" s="34" t="s">
        <v>637</v>
      </c>
      <c r="J180" s="34" t="s">
        <v>847</v>
      </c>
      <c r="K180" s="34">
        <f>IF((Observaciones[[#This Row],[Fecha Levantamiento]]-Observaciones[[#This Row],[Fecha Detección]])&gt;=0,Observaciones[[#This Row],[Fecha Levantamiento]]-Observaciones[[#This Row],[Fecha Detección]]+1,0)</f>
        <v>6</v>
      </c>
      <c r="L180" s="34" t="str">
        <f>LOOKUP(Observaciones[[#This Row],[Caso de Prueba]],CasoPrueba[Código CP],CasoPrueba[Código de REQ])</f>
        <v>INSPECCIÓN</v>
      </c>
    </row>
    <row r="181" spans="1:12" ht="45" hidden="1">
      <c r="A181" s="165" t="s">
        <v>548</v>
      </c>
      <c r="B181" s="34" t="s">
        <v>616</v>
      </c>
      <c r="C181" s="34" t="str">
        <f>VLOOKUP(Observaciones[Caso de Prueba],CasoPrueba[[#All],[Código CP]:[Prioridad]],7,TRUE)</f>
        <v>Alta</v>
      </c>
      <c r="D181" s="34" t="s">
        <v>30</v>
      </c>
      <c r="E181" s="34" t="s">
        <v>49</v>
      </c>
      <c r="F181" s="73">
        <v>40826</v>
      </c>
      <c r="G181" s="73">
        <v>40831</v>
      </c>
      <c r="H181" s="94" t="s">
        <v>132</v>
      </c>
      <c r="I181" s="34" t="s">
        <v>638</v>
      </c>
      <c r="J181" s="34" t="s">
        <v>848</v>
      </c>
      <c r="K181" s="34">
        <f>IF((Observaciones[[#This Row],[Fecha Levantamiento]]-Observaciones[[#This Row],[Fecha Detección]])&gt;=0,Observaciones[[#This Row],[Fecha Levantamiento]]-Observaciones[[#This Row],[Fecha Detección]]+1,0)</f>
        <v>6</v>
      </c>
      <c r="L181" s="34" t="str">
        <f>LOOKUP(Observaciones[[#This Row],[Caso de Prueba]],CasoPrueba[Código CP],CasoPrueba[Código de REQ])</f>
        <v>INSPECCIÓN</v>
      </c>
    </row>
    <row r="182" spans="1:12" ht="43.5" hidden="1" customHeight="1">
      <c r="A182" s="165" t="s">
        <v>549</v>
      </c>
      <c r="B182" s="34" t="s">
        <v>616</v>
      </c>
      <c r="C182" s="34" t="str">
        <f>VLOOKUP(Observaciones[Caso de Prueba],CasoPrueba[[#All],[Código CP]:[Prioridad]],7,TRUE)</f>
        <v>Alta</v>
      </c>
      <c r="D182" s="34" t="s">
        <v>30</v>
      </c>
      <c r="E182" s="34" t="s">
        <v>49</v>
      </c>
      <c r="F182" s="73">
        <v>40826</v>
      </c>
      <c r="G182" s="73">
        <v>40831</v>
      </c>
      <c r="H182" s="94" t="s">
        <v>132</v>
      </c>
      <c r="I182" s="34" t="s">
        <v>639</v>
      </c>
      <c r="J182" s="34" t="s">
        <v>849</v>
      </c>
      <c r="K182" s="34">
        <f>IF((Observaciones[[#This Row],[Fecha Levantamiento]]-Observaciones[[#This Row],[Fecha Detección]])&gt;=0,Observaciones[[#This Row],[Fecha Levantamiento]]-Observaciones[[#This Row],[Fecha Detección]]+1,0)</f>
        <v>6</v>
      </c>
      <c r="L182" s="34" t="str">
        <f>LOOKUP(Observaciones[[#This Row],[Caso de Prueba]],CasoPrueba[Código CP],CasoPrueba[Código de REQ])</f>
        <v>INSPECCIÓN</v>
      </c>
    </row>
    <row r="183" spans="1:12" ht="30" hidden="1">
      <c r="A183" s="165" t="s">
        <v>550</v>
      </c>
      <c r="B183" s="34" t="s">
        <v>616</v>
      </c>
      <c r="C183" s="34" t="str">
        <f>VLOOKUP(Observaciones[Caso de Prueba],CasoPrueba[[#All],[Código CP]:[Prioridad]],7,TRUE)</f>
        <v>Alta</v>
      </c>
      <c r="D183" s="34" t="s">
        <v>29</v>
      </c>
      <c r="E183" s="34" t="s">
        <v>49</v>
      </c>
      <c r="F183" s="73">
        <v>40828</v>
      </c>
      <c r="G183" s="73">
        <v>40831</v>
      </c>
      <c r="H183" s="94" t="s">
        <v>132</v>
      </c>
      <c r="I183" s="34" t="s">
        <v>640</v>
      </c>
      <c r="J183" s="34" t="s">
        <v>850</v>
      </c>
      <c r="K183" s="34">
        <f>IF((Observaciones[[#This Row],[Fecha Levantamiento]]-Observaciones[[#This Row],[Fecha Detección]])&gt;=0,Observaciones[[#This Row],[Fecha Levantamiento]]-Observaciones[[#This Row],[Fecha Detección]]+1,0)</f>
        <v>4</v>
      </c>
      <c r="L183" s="34" t="str">
        <f>LOOKUP(Observaciones[[#This Row],[Caso de Prueba]],CasoPrueba[Código CP],CasoPrueba[Código de REQ])</f>
        <v>INSPECCIÓN</v>
      </c>
    </row>
    <row r="184" spans="1:12" ht="64.5" hidden="1" customHeight="1">
      <c r="A184" s="165" t="s">
        <v>551</v>
      </c>
      <c r="B184" s="34" t="s">
        <v>617</v>
      </c>
      <c r="C184" s="34" t="str">
        <f>VLOOKUP(Observaciones[Caso de Prueba],CasoPrueba[[#All],[Código CP]:[Prioridad]],7,TRUE)</f>
        <v>Alta</v>
      </c>
      <c r="D184" s="34" t="s">
        <v>29</v>
      </c>
      <c r="E184" s="34" t="s">
        <v>49</v>
      </c>
      <c r="F184" s="73">
        <v>40828</v>
      </c>
      <c r="G184" s="73">
        <v>40831</v>
      </c>
      <c r="H184" s="94" t="s">
        <v>132</v>
      </c>
      <c r="I184" s="34" t="s">
        <v>597</v>
      </c>
      <c r="J184" s="34" t="s">
        <v>830</v>
      </c>
      <c r="K184" s="34">
        <f>IF((Observaciones[[#This Row],[Fecha Levantamiento]]-Observaciones[[#This Row],[Fecha Detección]])&gt;=0,Observaciones[[#This Row],[Fecha Levantamiento]]-Observaciones[[#This Row],[Fecha Detección]]+1,0)</f>
        <v>4</v>
      </c>
      <c r="L184" s="34" t="str">
        <f>LOOKUP(Observaciones[[#This Row],[Caso de Prueba]],CasoPrueba[Código CP],CasoPrueba[Código de REQ])</f>
        <v>INSPECCIÓN</v>
      </c>
    </row>
    <row r="185" spans="1:12" ht="45" hidden="1">
      <c r="A185" s="165" t="s">
        <v>552</v>
      </c>
      <c r="B185" s="34" t="s">
        <v>617</v>
      </c>
      <c r="C185" s="34" t="str">
        <f>VLOOKUP(Observaciones[Caso de Prueba],CasoPrueba[[#All],[Código CP]:[Prioridad]],7,TRUE)</f>
        <v>Alta</v>
      </c>
      <c r="D185" s="34" t="s">
        <v>162</v>
      </c>
      <c r="E185" s="34" t="s">
        <v>49</v>
      </c>
      <c r="F185" s="73">
        <v>40828</v>
      </c>
      <c r="G185" s="73">
        <v>40831</v>
      </c>
      <c r="H185" s="94" t="s">
        <v>132</v>
      </c>
      <c r="I185" s="34" t="s">
        <v>641</v>
      </c>
      <c r="J185" s="34" t="s">
        <v>851</v>
      </c>
      <c r="K185" s="34">
        <f>IF((Observaciones[[#This Row],[Fecha Levantamiento]]-Observaciones[[#This Row],[Fecha Detección]])&gt;=0,Observaciones[[#This Row],[Fecha Levantamiento]]-Observaciones[[#This Row],[Fecha Detección]]+1,0)</f>
        <v>4</v>
      </c>
      <c r="L185" s="34" t="str">
        <f>LOOKUP(Observaciones[[#This Row],[Caso de Prueba]],CasoPrueba[Código CP],CasoPrueba[Código de REQ])</f>
        <v>INSPECCIÓN</v>
      </c>
    </row>
    <row r="186" spans="1:12" ht="30" hidden="1">
      <c r="A186" s="165" t="s">
        <v>553</v>
      </c>
      <c r="B186" s="34" t="s">
        <v>617</v>
      </c>
      <c r="C186" s="34" t="str">
        <f>VLOOKUP(Observaciones[Caso de Prueba],CasoPrueba[[#All],[Código CP]:[Prioridad]],7,TRUE)</f>
        <v>Alta</v>
      </c>
      <c r="D186" s="34" t="s">
        <v>29</v>
      </c>
      <c r="E186" s="34" t="s">
        <v>49</v>
      </c>
      <c r="F186" s="73">
        <v>40828</v>
      </c>
      <c r="G186" s="73">
        <v>40831</v>
      </c>
      <c r="H186" s="94" t="s">
        <v>132</v>
      </c>
      <c r="I186" s="34" t="s">
        <v>644</v>
      </c>
      <c r="J186" s="34" t="s">
        <v>852</v>
      </c>
      <c r="K186" s="34">
        <f>IF((Observaciones[[#This Row],[Fecha Levantamiento]]-Observaciones[[#This Row],[Fecha Detección]])&gt;=0,Observaciones[[#This Row],[Fecha Levantamiento]]-Observaciones[[#This Row],[Fecha Detección]]+1,0)</f>
        <v>4</v>
      </c>
      <c r="L186" s="34" t="str">
        <f>LOOKUP(Observaciones[[#This Row],[Caso de Prueba]],CasoPrueba[Código CP],CasoPrueba[Código de REQ])</f>
        <v>INSPECCIÓN</v>
      </c>
    </row>
    <row r="187" spans="1:12" ht="45" hidden="1">
      <c r="A187" s="165" t="s">
        <v>554</v>
      </c>
      <c r="B187" s="34" t="s">
        <v>617</v>
      </c>
      <c r="C187" s="34" t="str">
        <f>VLOOKUP(Observaciones[Caso de Prueba],CasoPrueba[[#All],[Código CP]:[Prioridad]],7,TRUE)</f>
        <v>Alta</v>
      </c>
      <c r="D187" s="34" t="s">
        <v>29</v>
      </c>
      <c r="E187" s="34" t="s">
        <v>49</v>
      </c>
      <c r="F187" s="73">
        <v>40828</v>
      </c>
      <c r="G187" s="73">
        <v>40831</v>
      </c>
      <c r="H187" s="94" t="s">
        <v>132</v>
      </c>
      <c r="I187" s="34" t="s">
        <v>642</v>
      </c>
      <c r="J187" s="34" t="s">
        <v>853</v>
      </c>
      <c r="K187" s="34">
        <f>IF((Observaciones[[#This Row],[Fecha Levantamiento]]-Observaciones[[#This Row],[Fecha Detección]])&gt;=0,Observaciones[[#This Row],[Fecha Levantamiento]]-Observaciones[[#This Row],[Fecha Detección]]+1,0)</f>
        <v>4</v>
      </c>
      <c r="L187" s="34" t="str">
        <f>LOOKUP(Observaciones[[#This Row],[Caso de Prueba]],CasoPrueba[Código CP],CasoPrueba[Código de REQ])</f>
        <v>INSPECCIÓN</v>
      </c>
    </row>
    <row r="188" spans="1:12" ht="57" hidden="1" customHeight="1">
      <c r="A188" s="165" t="s">
        <v>555</v>
      </c>
      <c r="B188" s="34" t="s">
        <v>617</v>
      </c>
      <c r="C188" s="34" t="str">
        <f>VLOOKUP(Observaciones[Caso de Prueba],CasoPrueba[[#All],[Código CP]:[Prioridad]],7,TRUE)</f>
        <v>Alta</v>
      </c>
      <c r="D188" s="34" t="s">
        <v>29</v>
      </c>
      <c r="E188" s="34" t="s">
        <v>49</v>
      </c>
      <c r="F188" s="73">
        <v>40828</v>
      </c>
      <c r="G188" s="73">
        <v>40831</v>
      </c>
      <c r="H188" s="94" t="s">
        <v>132</v>
      </c>
      <c r="I188" s="34" t="s">
        <v>643</v>
      </c>
      <c r="J188" s="34" t="s">
        <v>854</v>
      </c>
      <c r="K188" s="34">
        <f>IF((Observaciones[[#This Row],[Fecha Levantamiento]]-Observaciones[[#This Row],[Fecha Detección]])&gt;=0,Observaciones[[#This Row],[Fecha Levantamiento]]-Observaciones[[#This Row],[Fecha Detección]]+1,0)</f>
        <v>4</v>
      </c>
      <c r="L188" s="34" t="str">
        <f>LOOKUP(Observaciones[[#This Row],[Caso de Prueba]],CasoPrueba[Código CP],CasoPrueba[Código de REQ])</f>
        <v>INSPECCIÓN</v>
      </c>
    </row>
    <row r="189" spans="1:12" ht="30" hidden="1">
      <c r="A189" s="165" t="s">
        <v>556</v>
      </c>
      <c r="B189" s="34" t="s">
        <v>617</v>
      </c>
      <c r="C189" s="34" t="str">
        <f>VLOOKUP(Observaciones[Caso de Prueba],CasoPrueba[[#All],[Código CP]:[Prioridad]],7,TRUE)</f>
        <v>Alta</v>
      </c>
      <c r="D189" s="34" t="s">
        <v>29</v>
      </c>
      <c r="E189" s="34" t="s">
        <v>49</v>
      </c>
      <c r="F189" s="73">
        <v>40828</v>
      </c>
      <c r="G189" s="73">
        <v>40831</v>
      </c>
      <c r="H189" s="94" t="s">
        <v>132</v>
      </c>
      <c r="I189" s="34" t="s">
        <v>645</v>
      </c>
      <c r="J189" s="34" t="s">
        <v>855</v>
      </c>
      <c r="K189" s="34">
        <f>IF((Observaciones[[#This Row],[Fecha Levantamiento]]-Observaciones[[#This Row],[Fecha Detección]])&gt;=0,Observaciones[[#This Row],[Fecha Levantamiento]]-Observaciones[[#This Row],[Fecha Detección]]+1,0)</f>
        <v>4</v>
      </c>
      <c r="L189" s="34" t="str">
        <f>LOOKUP(Observaciones[[#This Row],[Caso de Prueba]],CasoPrueba[Código CP],CasoPrueba[Código de REQ])</f>
        <v>INSPECCIÓN</v>
      </c>
    </row>
    <row r="190" spans="1:12" ht="45" hidden="1">
      <c r="A190" s="165" t="s">
        <v>557</v>
      </c>
      <c r="B190" s="34" t="s">
        <v>618</v>
      </c>
      <c r="C190" s="34" t="str">
        <f>VLOOKUP(Observaciones[Caso de Prueba],CasoPrueba[[#All],[Código CP]:[Prioridad]],7,TRUE)</f>
        <v>Alta</v>
      </c>
      <c r="D190" s="34" t="s">
        <v>29</v>
      </c>
      <c r="E190" s="34" t="s">
        <v>49</v>
      </c>
      <c r="F190" s="73">
        <v>40828</v>
      </c>
      <c r="G190" s="73">
        <v>40831</v>
      </c>
      <c r="H190" s="94" t="s">
        <v>132</v>
      </c>
      <c r="I190" s="34" t="s">
        <v>597</v>
      </c>
      <c r="J190" s="34" t="s">
        <v>830</v>
      </c>
      <c r="K190" s="34">
        <f>IF((Observaciones[[#This Row],[Fecha Levantamiento]]-Observaciones[[#This Row],[Fecha Detección]])&gt;=0,Observaciones[[#This Row],[Fecha Levantamiento]]-Observaciones[[#This Row],[Fecha Detección]]+1,0)</f>
        <v>4</v>
      </c>
      <c r="L190" s="34" t="str">
        <f>LOOKUP(Observaciones[[#This Row],[Caso de Prueba]],CasoPrueba[Código CP],CasoPrueba[Código de REQ])</f>
        <v>INSPECCIÓN</v>
      </c>
    </row>
    <row r="191" spans="1:12" ht="45" hidden="1">
      <c r="A191" s="165" t="s">
        <v>558</v>
      </c>
      <c r="B191" s="34" t="s">
        <v>618</v>
      </c>
      <c r="C191" s="34" t="str">
        <f>VLOOKUP(Observaciones[Caso de Prueba],CasoPrueba[[#All],[Código CP]:[Prioridad]],7,TRUE)</f>
        <v>Alta</v>
      </c>
      <c r="D191" s="34" t="s">
        <v>30</v>
      </c>
      <c r="E191" s="34" t="s">
        <v>49</v>
      </c>
      <c r="F191" s="73">
        <v>40828</v>
      </c>
      <c r="G191" s="73">
        <v>40831</v>
      </c>
      <c r="H191" s="94" t="s">
        <v>132</v>
      </c>
      <c r="I191" s="34" t="s">
        <v>646</v>
      </c>
      <c r="J191" s="34" t="s">
        <v>856</v>
      </c>
      <c r="K191" s="34">
        <f>IF((Observaciones[[#This Row],[Fecha Levantamiento]]-Observaciones[[#This Row],[Fecha Detección]])&gt;=0,Observaciones[[#This Row],[Fecha Levantamiento]]-Observaciones[[#This Row],[Fecha Detección]]+1,0)</f>
        <v>4</v>
      </c>
      <c r="L191" s="34" t="str">
        <f>LOOKUP(Observaciones[[#This Row],[Caso de Prueba]],CasoPrueba[Código CP],CasoPrueba[Código de REQ])</f>
        <v>INSPECCIÓN</v>
      </c>
    </row>
    <row r="192" spans="1:12" ht="45" hidden="1">
      <c r="A192" s="165" t="s">
        <v>559</v>
      </c>
      <c r="B192" s="34" t="s">
        <v>618</v>
      </c>
      <c r="C192" s="34" t="str">
        <f>VLOOKUP(Observaciones[Caso de Prueba],CasoPrueba[[#All],[Código CP]:[Prioridad]],7,TRUE)</f>
        <v>Alta</v>
      </c>
      <c r="D192" s="34" t="s">
        <v>29</v>
      </c>
      <c r="E192" s="34" t="s">
        <v>49</v>
      </c>
      <c r="F192" s="73">
        <v>40828</v>
      </c>
      <c r="G192" s="73">
        <v>40831</v>
      </c>
      <c r="H192" s="94" t="s">
        <v>132</v>
      </c>
      <c r="I192" s="34" t="s">
        <v>648</v>
      </c>
      <c r="J192" s="34" t="s">
        <v>468</v>
      </c>
      <c r="K192" s="34">
        <f>IF((Observaciones[[#This Row],[Fecha Levantamiento]]-Observaciones[[#This Row],[Fecha Detección]])&gt;=0,Observaciones[[#This Row],[Fecha Levantamiento]]-Observaciones[[#This Row],[Fecha Detección]]+1,0)</f>
        <v>4</v>
      </c>
      <c r="L192" s="34" t="str">
        <f>LOOKUP(Observaciones[[#This Row],[Caso de Prueba]],CasoPrueba[Código CP],CasoPrueba[Código de REQ])</f>
        <v>INSPECCIÓN</v>
      </c>
    </row>
    <row r="193" spans="1:12" ht="60" hidden="1">
      <c r="A193" s="165" t="s">
        <v>560</v>
      </c>
      <c r="B193" s="34" t="s">
        <v>618</v>
      </c>
      <c r="C193" s="34" t="str">
        <f>VLOOKUP(Observaciones[Caso de Prueba],CasoPrueba[[#All],[Código CP]:[Prioridad]],7,TRUE)</f>
        <v>Alta</v>
      </c>
      <c r="D193" s="34" t="s">
        <v>28</v>
      </c>
      <c r="E193" s="34" t="s">
        <v>49</v>
      </c>
      <c r="F193" s="73">
        <v>40828</v>
      </c>
      <c r="G193" s="73">
        <v>40831</v>
      </c>
      <c r="H193" s="94" t="s">
        <v>132</v>
      </c>
      <c r="I193" s="34" t="s">
        <v>649</v>
      </c>
      <c r="J193" s="34" t="s">
        <v>857</v>
      </c>
      <c r="K193" s="34">
        <f>IF((Observaciones[[#This Row],[Fecha Levantamiento]]-Observaciones[[#This Row],[Fecha Detección]])&gt;=0,Observaciones[[#This Row],[Fecha Levantamiento]]-Observaciones[[#This Row],[Fecha Detección]]+1,0)</f>
        <v>4</v>
      </c>
      <c r="L193" s="34" t="str">
        <f>LOOKUP(Observaciones[[#This Row],[Caso de Prueba]],CasoPrueba[Código CP],CasoPrueba[Código de REQ])</f>
        <v>INSPECCIÓN</v>
      </c>
    </row>
    <row r="194" spans="1:12" ht="45" hidden="1">
      <c r="A194" s="165" t="s">
        <v>561</v>
      </c>
      <c r="B194" s="34" t="s">
        <v>619</v>
      </c>
      <c r="C194" s="34" t="str">
        <f>VLOOKUP(Observaciones[Caso de Prueba],CasoPrueba[[#All],[Código CP]:[Prioridad]],7,TRUE)</f>
        <v>Alta</v>
      </c>
      <c r="D194" s="34" t="s">
        <v>29</v>
      </c>
      <c r="E194" s="34" t="s">
        <v>49</v>
      </c>
      <c r="F194" s="73">
        <v>40828</v>
      </c>
      <c r="G194" s="73">
        <v>40831</v>
      </c>
      <c r="H194" s="94" t="s">
        <v>132</v>
      </c>
      <c r="I194" s="34" t="s">
        <v>597</v>
      </c>
      <c r="J194" s="34" t="s">
        <v>830</v>
      </c>
      <c r="K194" s="34">
        <f>IF((Observaciones[[#This Row],[Fecha Levantamiento]]-Observaciones[[#This Row],[Fecha Detección]])&gt;=0,Observaciones[[#This Row],[Fecha Levantamiento]]-Observaciones[[#This Row],[Fecha Detección]]+1,0)</f>
        <v>4</v>
      </c>
      <c r="L194" s="34" t="str">
        <f>LOOKUP(Observaciones[[#This Row],[Caso de Prueba]],CasoPrueba[Código CP],CasoPrueba[Código de REQ])</f>
        <v>INSPECCIÓN</v>
      </c>
    </row>
    <row r="195" spans="1:12" ht="30" hidden="1">
      <c r="A195" s="165" t="s">
        <v>562</v>
      </c>
      <c r="B195" s="34" t="s">
        <v>619</v>
      </c>
      <c r="C195" s="34" t="str">
        <f>VLOOKUP(Observaciones[Caso de Prueba],CasoPrueba[[#All],[Código CP]:[Prioridad]],7,TRUE)</f>
        <v>Alta</v>
      </c>
      <c r="D195" s="34" t="s">
        <v>162</v>
      </c>
      <c r="E195" s="34" t="s">
        <v>49</v>
      </c>
      <c r="F195" s="73">
        <v>40828</v>
      </c>
      <c r="G195" s="73">
        <v>40831</v>
      </c>
      <c r="H195" s="94" t="s">
        <v>132</v>
      </c>
      <c r="I195" s="34" t="s">
        <v>647</v>
      </c>
      <c r="J195" s="34" t="s">
        <v>386</v>
      </c>
      <c r="K195" s="34">
        <f>IF((Observaciones[[#This Row],[Fecha Levantamiento]]-Observaciones[[#This Row],[Fecha Detección]])&gt;=0,Observaciones[[#This Row],[Fecha Levantamiento]]-Observaciones[[#This Row],[Fecha Detección]]+1,0)</f>
        <v>4</v>
      </c>
      <c r="L195" s="34" t="str">
        <f>LOOKUP(Observaciones[[#This Row],[Caso de Prueba]],CasoPrueba[Código CP],CasoPrueba[Código de REQ])</f>
        <v>INSPECCIÓN</v>
      </c>
    </row>
    <row r="196" spans="1:12" ht="60" hidden="1">
      <c r="A196" s="165" t="s">
        <v>563</v>
      </c>
      <c r="B196" s="34" t="s">
        <v>619</v>
      </c>
      <c r="C196" s="34" t="str">
        <f>VLOOKUP(Observaciones[Caso de Prueba],CasoPrueba[[#All],[Código CP]:[Prioridad]],7,TRUE)</f>
        <v>Alta</v>
      </c>
      <c r="D196" s="34" t="s">
        <v>28</v>
      </c>
      <c r="E196" s="34" t="s">
        <v>49</v>
      </c>
      <c r="F196" s="73">
        <v>40828</v>
      </c>
      <c r="G196" s="73">
        <v>40831</v>
      </c>
      <c r="H196" s="94" t="s">
        <v>132</v>
      </c>
      <c r="I196" s="34" t="s">
        <v>650</v>
      </c>
      <c r="J196" s="34" t="s">
        <v>857</v>
      </c>
      <c r="K196" s="34">
        <f>IF((Observaciones[[#This Row],[Fecha Levantamiento]]-Observaciones[[#This Row],[Fecha Detección]])&gt;=0,Observaciones[[#This Row],[Fecha Levantamiento]]-Observaciones[[#This Row],[Fecha Detección]]+1,0)</f>
        <v>4</v>
      </c>
      <c r="L196" s="34" t="str">
        <f>LOOKUP(Observaciones[[#This Row],[Caso de Prueba]],CasoPrueba[Código CP],CasoPrueba[Código de REQ])</f>
        <v>INSPECCIÓN</v>
      </c>
    </row>
    <row r="197" spans="1:12" ht="30" hidden="1">
      <c r="A197" s="165" t="s">
        <v>564</v>
      </c>
      <c r="B197" s="34" t="s">
        <v>619</v>
      </c>
      <c r="C197" s="34" t="str">
        <f>VLOOKUP(Observaciones[Caso de Prueba],CasoPrueba[[#All],[Código CP]:[Prioridad]],7,TRUE)</f>
        <v>Alta</v>
      </c>
      <c r="D197" s="34" t="s">
        <v>29</v>
      </c>
      <c r="E197" s="34" t="s">
        <v>49</v>
      </c>
      <c r="F197" s="73">
        <v>40828</v>
      </c>
      <c r="G197" s="73">
        <v>40831</v>
      </c>
      <c r="H197" s="94" t="s">
        <v>132</v>
      </c>
      <c r="I197" s="34" t="s">
        <v>651</v>
      </c>
      <c r="J197" s="34" t="s">
        <v>858</v>
      </c>
      <c r="K197" s="34">
        <f>IF((Observaciones[[#This Row],[Fecha Levantamiento]]-Observaciones[[#This Row],[Fecha Detección]])&gt;=0,Observaciones[[#This Row],[Fecha Levantamiento]]-Observaciones[[#This Row],[Fecha Detección]]+1,0)</f>
        <v>4</v>
      </c>
      <c r="L197" s="34" t="str">
        <f>LOOKUP(Observaciones[[#This Row],[Caso de Prueba]],CasoPrueba[Código CP],CasoPrueba[Código de REQ])</f>
        <v>INSPECCIÓN</v>
      </c>
    </row>
    <row r="198" spans="1:12" ht="90" hidden="1">
      <c r="A198" s="165" t="s">
        <v>565</v>
      </c>
      <c r="B198" s="34" t="s">
        <v>619</v>
      </c>
      <c r="C198" s="34" t="str">
        <f>VLOOKUP(Observaciones[Caso de Prueba],CasoPrueba[[#All],[Código CP]:[Prioridad]],7,TRUE)</f>
        <v>Alta</v>
      </c>
      <c r="D198" s="34" t="s">
        <v>29</v>
      </c>
      <c r="E198" s="34" t="s">
        <v>49</v>
      </c>
      <c r="F198" s="73">
        <v>40828</v>
      </c>
      <c r="G198" s="73">
        <v>40831</v>
      </c>
      <c r="H198" s="94" t="s">
        <v>132</v>
      </c>
      <c r="I198" s="34" t="s">
        <v>599</v>
      </c>
      <c r="J198" s="34" t="s">
        <v>817</v>
      </c>
      <c r="K198" s="34">
        <f>IF((Observaciones[[#This Row],[Fecha Levantamiento]]-Observaciones[[#This Row],[Fecha Detección]])&gt;=0,Observaciones[[#This Row],[Fecha Levantamiento]]-Observaciones[[#This Row],[Fecha Detección]]+1,0)</f>
        <v>4</v>
      </c>
      <c r="L198" s="34" t="str">
        <f>LOOKUP(Observaciones[[#This Row],[Caso de Prueba]],CasoPrueba[Código CP],CasoPrueba[Código de REQ])</f>
        <v>INSPECCIÓN</v>
      </c>
    </row>
    <row r="199" spans="1:12" ht="45" hidden="1">
      <c r="A199" s="165" t="s">
        <v>566</v>
      </c>
      <c r="B199" s="34" t="s">
        <v>619</v>
      </c>
      <c r="C199" s="34" t="str">
        <f>VLOOKUP(Observaciones[Caso de Prueba],CasoPrueba[[#All],[Código CP]:[Prioridad]],7,TRUE)</f>
        <v>Alta</v>
      </c>
      <c r="D199" s="34" t="s">
        <v>162</v>
      </c>
      <c r="E199" s="34" t="s">
        <v>49</v>
      </c>
      <c r="F199" s="73">
        <v>40828</v>
      </c>
      <c r="G199" s="73">
        <v>40831</v>
      </c>
      <c r="H199" s="94" t="s">
        <v>132</v>
      </c>
      <c r="I199" s="34" t="s">
        <v>652</v>
      </c>
      <c r="J199" s="34" t="s">
        <v>823</v>
      </c>
      <c r="K199" s="34">
        <f>IF((Observaciones[[#This Row],[Fecha Levantamiento]]-Observaciones[[#This Row],[Fecha Detección]])&gt;=0,Observaciones[[#This Row],[Fecha Levantamiento]]-Observaciones[[#This Row],[Fecha Detección]]+1,0)</f>
        <v>4</v>
      </c>
      <c r="L199" s="34" t="str">
        <f>LOOKUP(Observaciones[[#This Row],[Caso de Prueba]],CasoPrueba[Código CP],CasoPrueba[Código de REQ])</f>
        <v>INSPECCIÓN</v>
      </c>
    </row>
    <row r="200" spans="1:12" ht="45" hidden="1">
      <c r="A200" s="165" t="s">
        <v>567</v>
      </c>
      <c r="B200" s="34" t="s">
        <v>653</v>
      </c>
      <c r="C200" s="34" t="str">
        <f>VLOOKUP(Observaciones[Caso de Prueba],CasoPrueba[[#All],[Código CP]:[Prioridad]],7,TRUE)</f>
        <v>Alta</v>
      </c>
      <c r="D200" s="34" t="s">
        <v>162</v>
      </c>
      <c r="E200" s="34" t="s">
        <v>49</v>
      </c>
      <c r="F200" s="73">
        <v>40829</v>
      </c>
      <c r="G200" s="73">
        <v>40831</v>
      </c>
      <c r="H200" s="94" t="s">
        <v>132</v>
      </c>
      <c r="I200" s="34" t="s">
        <v>803</v>
      </c>
      <c r="J200" s="34" t="s">
        <v>859</v>
      </c>
      <c r="K200" s="34">
        <f>IF((Observaciones[[#This Row],[Fecha Levantamiento]]-Observaciones[[#This Row],[Fecha Detección]])&gt;=0,Observaciones[[#This Row],[Fecha Levantamiento]]-Observaciones[[#This Row],[Fecha Detección]]+1,0)</f>
        <v>3</v>
      </c>
      <c r="L200" s="34" t="str">
        <f>LOOKUP(Observaciones[[#This Row],[Caso de Prueba]],CasoPrueba[Código CP],CasoPrueba[Código de REQ])</f>
        <v>INSPECCIÓN</v>
      </c>
    </row>
    <row r="201" spans="1:12" ht="30" hidden="1">
      <c r="A201" s="165" t="s">
        <v>568</v>
      </c>
      <c r="B201" s="34" t="s">
        <v>653</v>
      </c>
      <c r="C201" s="34" t="str">
        <f>VLOOKUP(Observaciones[Caso de Prueba],CasoPrueba[[#All],[Código CP]:[Prioridad]],7,TRUE)</f>
        <v>Alta</v>
      </c>
      <c r="D201" s="34" t="s">
        <v>28</v>
      </c>
      <c r="E201" s="34" t="s">
        <v>49</v>
      </c>
      <c r="F201" s="73">
        <v>40829</v>
      </c>
      <c r="G201" s="73">
        <v>40831</v>
      </c>
      <c r="H201" s="94" t="s">
        <v>132</v>
      </c>
      <c r="I201" s="34" t="s">
        <v>584</v>
      </c>
      <c r="J201" s="34" t="s">
        <v>860</v>
      </c>
      <c r="K201" s="34">
        <f>IF((Observaciones[[#This Row],[Fecha Levantamiento]]-Observaciones[[#This Row],[Fecha Detección]])&gt;=0,Observaciones[[#This Row],[Fecha Levantamiento]]-Observaciones[[#This Row],[Fecha Detección]]+1,0)</f>
        <v>3</v>
      </c>
      <c r="L201" s="34" t="str">
        <f>LOOKUP(Observaciones[[#This Row],[Caso de Prueba]],CasoPrueba[Código CP],CasoPrueba[Código de REQ])</f>
        <v>INSPECCIÓN</v>
      </c>
    </row>
    <row r="202" spans="1:12" ht="45" hidden="1">
      <c r="A202" s="165" t="s">
        <v>569</v>
      </c>
      <c r="B202" s="34" t="s">
        <v>653</v>
      </c>
      <c r="C202" s="34" t="str">
        <f>VLOOKUP(Observaciones[Caso de Prueba],CasoPrueba[[#All],[Código CP]:[Prioridad]],7,TRUE)</f>
        <v>Alta</v>
      </c>
      <c r="D202" s="34" t="s">
        <v>29</v>
      </c>
      <c r="E202" s="34" t="s">
        <v>49</v>
      </c>
      <c r="F202" s="73">
        <v>40829</v>
      </c>
      <c r="G202" s="73">
        <v>40831</v>
      </c>
      <c r="H202" s="94" t="s">
        <v>132</v>
      </c>
      <c r="I202" s="34" t="s">
        <v>804</v>
      </c>
      <c r="J202" s="34" t="s">
        <v>861</v>
      </c>
      <c r="K202" s="34">
        <f>IF((Observaciones[[#This Row],[Fecha Levantamiento]]-Observaciones[[#This Row],[Fecha Detección]])&gt;=0,Observaciones[[#This Row],[Fecha Levantamiento]]-Observaciones[[#This Row],[Fecha Detección]]+1,0)</f>
        <v>3</v>
      </c>
      <c r="L202" s="34" t="str">
        <f>LOOKUP(Observaciones[[#This Row],[Caso de Prueba]],CasoPrueba[Código CP],CasoPrueba[Código de REQ])</f>
        <v>INSPECCIÓN</v>
      </c>
    </row>
    <row r="203" spans="1:12" ht="30" hidden="1">
      <c r="A203" s="165" t="s">
        <v>570</v>
      </c>
      <c r="B203" s="34" t="s">
        <v>653</v>
      </c>
      <c r="C203" s="34" t="str">
        <f>VLOOKUP(Observaciones[Caso de Prueba],CasoPrueba[[#All],[Código CP]:[Prioridad]],7,TRUE)</f>
        <v>Alta</v>
      </c>
      <c r="D203" s="34" t="s">
        <v>29</v>
      </c>
      <c r="E203" s="34" t="s">
        <v>49</v>
      </c>
      <c r="F203" s="73">
        <v>40829</v>
      </c>
      <c r="G203" s="73">
        <v>40831</v>
      </c>
      <c r="H203" s="94" t="s">
        <v>132</v>
      </c>
      <c r="I203" s="34" t="s">
        <v>805</v>
      </c>
      <c r="J203" s="34" t="s">
        <v>862</v>
      </c>
      <c r="K203" s="34">
        <f>IF((Observaciones[[#This Row],[Fecha Levantamiento]]-Observaciones[[#This Row],[Fecha Detección]])&gt;=0,Observaciones[[#This Row],[Fecha Levantamiento]]-Observaciones[[#This Row],[Fecha Detección]]+1,0)</f>
        <v>3</v>
      </c>
      <c r="L203" s="34" t="str">
        <f>LOOKUP(Observaciones[[#This Row],[Caso de Prueba]],CasoPrueba[Código CP],CasoPrueba[Código de REQ])</f>
        <v>INSPECCIÓN</v>
      </c>
    </row>
    <row r="204" spans="1:12" ht="30" hidden="1">
      <c r="A204" s="165" t="s">
        <v>571</v>
      </c>
      <c r="B204" s="34" t="s">
        <v>653</v>
      </c>
      <c r="C204" s="34" t="str">
        <f>VLOOKUP(Observaciones[Caso de Prueba],CasoPrueba[[#All],[Código CP]:[Prioridad]],7,TRUE)</f>
        <v>Alta</v>
      </c>
      <c r="D204" s="34" t="s">
        <v>30</v>
      </c>
      <c r="E204" s="34" t="s">
        <v>49</v>
      </c>
      <c r="F204" s="73">
        <v>40829</v>
      </c>
      <c r="G204" s="73">
        <v>40831</v>
      </c>
      <c r="H204" s="94" t="s">
        <v>132</v>
      </c>
      <c r="I204" s="34" t="s">
        <v>806</v>
      </c>
      <c r="J204" s="34" t="s">
        <v>863</v>
      </c>
      <c r="K204" s="34">
        <f>IF((Observaciones[[#This Row],[Fecha Levantamiento]]-Observaciones[[#This Row],[Fecha Detección]])&gt;=0,Observaciones[[#This Row],[Fecha Levantamiento]]-Observaciones[[#This Row],[Fecha Detección]]+1,0)</f>
        <v>3</v>
      </c>
      <c r="L204" s="34" t="str">
        <f>LOOKUP(Observaciones[[#This Row],[Caso de Prueba]],CasoPrueba[Código CP],CasoPrueba[Código de REQ])</f>
        <v>INSPECCIÓN</v>
      </c>
    </row>
    <row r="205" spans="1:12" ht="45" hidden="1">
      <c r="A205" s="165" t="s">
        <v>572</v>
      </c>
      <c r="B205" s="34" t="s">
        <v>653</v>
      </c>
      <c r="C205" s="34" t="str">
        <f>VLOOKUP(Observaciones[Caso de Prueba],CasoPrueba[[#All],[Código CP]:[Prioridad]],7,TRUE)</f>
        <v>Alta</v>
      </c>
      <c r="D205" s="34" t="s">
        <v>162</v>
      </c>
      <c r="E205" s="34" t="s">
        <v>49</v>
      </c>
      <c r="F205" s="73">
        <v>40829</v>
      </c>
      <c r="G205" s="73">
        <v>40831</v>
      </c>
      <c r="H205" s="94" t="s">
        <v>132</v>
      </c>
      <c r="I205" s="34" t="s">
        <v>807</v>
      </c>
      <c r="J205" s="34" t="s">
        <v>467</v>
      </c>
      <c r="K205" s="34">
        <f>IF((Observaciones[[#This Row],[Fecha Levantamiento]]-Observaciones[[#This Row],[Fecha Detección]])&gt;=0,Observaciones[[#This Row],[Fecha Levantamiento]]-Observaciones[[#This Row],[Fecha Detección]]+1,0)</f>
        <v>3</v>
      </c>
      <c r="L205" s="34" t="str">
        <f>LOOKUP(Observaciones[[#This Row],[Caso de Prueba]],CasoPrueba[Código CP],CasoPrueba[Código de REQ])</f>
        <v>INSPECCIÓN</v>
      </c>
    </row>
    <row r="206" spans="1:12" ht="45" hidden="1">
      <c r="A206" s="165" t="s">
        <v>573</v>
      </c>
      <c r="B206" s="34" t="s">
        <v>653</v>
      </c>
      <c r="C206" s="34" t="str">
        <f>VLOOKUP(Observaciones[Caso de Prueba],CasoPrueba[[#All],[Código CP]:[Prioridad]],7,TRUE)</f>
        <v>Alta</v>
      </c>
      <c r="D206" s="34" t="s">
        <v>29</v>
      </c>
      <c r="E206" s="34" t="s">
        <v>49</v>
      </c>
      <c r="F206" s="73">
        <v>40829</v>
      </c>
      <c r="G206" s="73">
        <v>40831</v>
      </c>
      <c r="H206" s="94" t="s">
        <v>132</v>
      </c>
      <c r="I206" s="34" t="s">
        <v>879</v>
      </c>
      <c r="J206" s="34" t="s">
        <v>864</v>
      </c>
      <c r="K206" s="34">
        <f>IF((Observaciones[[#This Row],[Fecha Levantamiento]]-Observaciones[[#This Row],[Fecha Detección]])&gt;=0,Observaciones[[#This Row],[Fecha Levantamiento]]-Observaciones[[#This Row],[Fecha Detección]]+1,0)</f>
        <v>3</v>
      </c>
      <c r="L206" s="34" t="str">
        <f>LOOKUP(Observaciones[[#This Row],[Caso de Prueba]],CasoPrueba[Código CP],CasoPrueba[Código de REQ])</f>
        <v>INSPECCIÓN</v>
      </c>
    </row>
    <row r="207" spans="1:12" ht="30" hidden="1">
      <c r="A207" s="165" t="s">
        <v>574</v>
      </c>
      <c r="B207" s="34" t="s">
        <v>653</v>
      </c>
      <c r="C207" s="34" t="str">
        <f>VLOOKUP(Observaciones[Caso de Prueba],CasoPrueba[[#All],[Código CP]:[Prioridad]],7,TRUE)</f>
        <v>Alta</v>
      </c>
      <c r="D207" s="34" t="s">
        <v>29</v>
      </c>
      <c r="E207" s="34" t="s">
        <v>49</v>
      </c>
      <c r="F207" s="73">
        <v>40829</v>
      </c>
      <c r="G207" s="73">
        <v>40831</v>
      </c>
      <c r="H207" s="94" t="s">
        <v>132</v>
      </c>
      <c r="I207" s="34" t="s">
        <v>808</v>
      </c>
      <c r="J207" s="34" t="s">
        <v>865</v>
      </c>
      <c r="K207" s="34">
        <f>IF((Observaciones[[#This Row],[Fecha Levantamiento]]-Observaciones[[#This Row],[Fecha Detección]])&gt;=0,Observaciones[[#This Row],[Fecha Levantamiento]]-Observaciones[[#This Row],[Fecha Detección]]+1,0)</f>
        <v>3</v>
      </c>
      <c r="L207" s="34" t="str">
        <f>LOOKUP(Observaciones[[#This Row],[Caso de Prueba]],CasoPrueba[Código CP],CasoPrueba[Código de REQ])</f>
        <v>INSPECCIÓN</v>
      </c>
    </row>
    <row r="208" spans="1:12" ht="30" hidden="1">
      <c r="A208" s="165" t="s">
        <v>575</v>
      </c>
      <c r="B208" s="34" t="s">
        <v>653</v>
      </c>
      <c r="C208" s="34" t="str">
        <f>VLOOKUP(Observaciones[Caso de Prueba],CasoPrueba[[#All],[Código CP]:[Prioridad]],7,TRUE)</f>
        <v>Alta</v>
      </c>
      <c r="D208" s="34" t="s">
        <v>162</v>
      </c>
      <c r="E208" s="34" t="s">
        <v>49</v>
      </c>
      <c r="F208" s="73">
        <v>40829</v>
      </c>
      <c r="G208" s="73">
        <v>40831</v>
      </c>
      <c r="H208" s="94" t="s">
        <v>132</v>
      </c>
      <c r="I208" s="34" t="s">
        <v>809</v>
      </c>
      <c r="J208" s="34" t="s">
        <v>467</v>
      </c>
      <c r="K208" s="34">
        <f>IF((Observaciones[[#This Row],[Fecha Levantamiento]]-Observaciones[[#This Row],[Fecha Detección]])&gt;=0,Observaciones[[#This Row],[Fecha Levantamiento]]-Observaciones[[#This Row],[Fecha Detección]]+1,0)</f>
        <v>3</v>
      </c>
      <c r="L208" s="34" t="str">
        <f>LOOKUP(Observaciones[[#This Row],[Caso de Prueba]],CasoPrueba[Código CP],CasoPrueba[Código de REQ])</f>
        <v>INSPECCIÓN</v>
      </c>
    </row>
    <row r="209" spans="1:12" ht="60" hidden="1">
      <c r="A209" s="165" t="s">
        <v>576</v>
      </c>
      <c r="B209" s="34" t="s">
        <v>653</v>
      </c>
      <c r="C209" s="34" t="str">
        <f>VLOOKUP(Observaciones[Caso de Prueba],CasoPrueba[[#All],[Código CP]:[Prioridad]],7,TRUE)</f>
        <v>Alta</v>
      </c>
      <c r="D209" s="34" t="s">
        <v>30</v>
      </c>
      <c r="E209" s="34" t="s">
        <v>49</v>
      </c>
      <c r="F209" s="73">
        <v>40829</v>
      </c>
      <c r="G209" s="73">
        <v>40831</v>
      </c>
      <c r="H209" s="94" t="s">
        <v>132</v>
      </c>
      <c r="I209" s="34" t="s">
        <v>880</v>
      </c>
      <c r="J209" s="34" t="s">
        <v>866</v>
      </c>
      <c r="K209" s="34">
        <f>IF((Observaciones[[#This Row],[Fecha Levantamiento]]-Observaciones[[#This Row],[Fecha Detección]])&gt;=0,Observaciones[[#This Row],[Fecha Levantamiento]]-Observaciones[[#This Row],[Fecha Detección]]+1,0)</f>
        <v>3</v>
      </c>
      <c r="L209" s="34" t="str">
        <f>LOOKUP(Observaciones[[#This Row],[Caso de Prueba]],CasoPrueba[Código CP],CasoPrueba[Código de REQ])</f>
        <v>INSPECCIÓN</v>
      </c>
    </row>
    <row r="210" spans="1:12" ht="30" hidden="1">
      <c r="A210" s="165" t="s">
        <v>577</v>
      </c>
      <c r="B210" s="34" t="s">
        <v>653</v>
      </c>
      <c r="C210" s="34" t="str">
        <f>VLOOKUP(Observaciones[Caso de Prueba],CasoPrueba[[#All],[Código CP]:[Prioridad]],7,TRUE)</f>
        <v>Alta</v>
      </c>
      <c r="D210" s="34" t="s">
        <v>30</v>
      </c>
      <c r="E210" s="34" t="s">
        <v>49</v>
      </c>
      <c r="F210" s="73">
        <v>40829</v>
      </c>
      <c r="G210" s="73">
        <v>40831</v>
      </c>
      <c r="H210" s="94" t="s">
        <v>132</v>
      </c>
      <c r="I210" s="34" t="s">
        <v>810</v>
      </c>
      <c r="J210" s="34" t="s">
        <v>867</v>
      </c>
      <c r="K210" s="34">
        <f>IF((Observaciones[[#This Row],[Fecha Levantamiento]]-Observaciones[[#This Row],[Fecha Detección]])&gt;=0,Observaciones[[#This Row],[Fecha Levantamiento]]-Observaciones[[#This Row],[Fecha Detección]]+1,0)</f>
        <v>3</v>
      </c>
      <c r="L210" s="34" t="str">
        <f>LOOKUP(Observaciones[[#This Row],[Caso de Prueba]],CasoPrueba[Código CP],CasoPrueba[Código de REQ])</f>
        <v>INSPECCIÓN</v>
      </c>
    </row>
    <row r="211" spans="1:12" ht="30" hidden="1">
      <c r="A211" s="165" t="s">
        <v>578</v>
      </c>
      <c r="B211" s="34" t="s">
        <v>653</v>
      </c>
      <c r="C211" s="34" t="str">
        <f>VLOOKUP(Observaciones[Caso de Prueba],CasoPrueba[[#All],[Código CP]:[Prioridad]],7,TRUE)</f>
        <v>Alta</v>
      </c>
      <c r="D211" s="34" t="s">
        <v>162</v>
      </c>
      <c r="E211" s="34" t="s">
        <v>49</v>
      </c>
      <c r="F211" s="73">
        <v>40829</v>
      </c>
      <c r="G211" s="73">
        <v>40831</v>
      </c>
      <c r="H211" s="94" t="s">
        <v>132</v>
      </c>
      <c r="I211" s="34" t="s">
        <v>811</v>
      </c>
      <c r="J211" s="34" t="s">
        <v>467</v>
      </c>
      <c r="K211" s="34">
        <f>IF((Observaciones[[#This Row],[Fecha Levantamiento]]-Observaciones[[#This Row],[Fecha Detección]])&gt;=0,Observaciones[[#This Row],[Fecha Levantamiento]]-Observaciones[[#This Row],[Fecha Detección]]+1,0)</f>
        <v>3</v>
      </c>
      <c r="L211" s="34" t="str">
        <f>LOOKUP(Observaciones[[#This Row],[Caso de Prueba]],CasoPrueba[Código CP],CasoPrueba[Código de REQ])</f>
        <v>INSPECCIÓN</v>
      </c>
    </row>
    <row r="212" spans="1:12" ht="45" hidden="1">
      <c r="A212" s="165" t="s">
        <v>579</v>
      </c>
      <c r="B212" s="34" t="s">
        <v>654</v>
      </c>
      <c r="C212" s="34" t="str">
        <f>VLOOKUP(Observaciones[Caso de Prueba],CasoPrueba[[#All],[Código CP]:[Prioridad]],7,TRUE)</f>
        <v>Alta</v>
      </c>
      <c r="D212" s="34" t="s">
        <v>29</v>
      </c>
      <c r="E212" s="34" t="s">
        <v>49</v>
      </c>
      <c r="F212" s="73">
        <v>40830</v>
      </c>
      <c r="G212" s="73">
        <v>40831</v>
      </c>
      <c r="H212" s="94" t="s">
        <v>132</v>
      </c>
      <c r="I212" s="34" t="s">
        <v>597</v>
      </c>
      <c r="J212" s="34" t="s">
        <v>830</v>
      </c>
      <c r="K212" s="34">
        <f>IF((Observaciones[[#This Row],[Fecha Levantamiento]]-Observaciones[[#This Row],[Fecha Detección]])&gt;=0,Observaciones[[#This Row],[Fecha Levantamiento]]-Observaciones[[#This Row],[Fecha Detección]]+1,0)</f>
        <v>2</v>
      </c>
      <c r="L212" s="34" t="str">
        <f>LOOKUP(Observaciones[[#This Row],[Caso de Prueba]],CasoPrueba[Código CP],CasoPrueba[Código de REQ])</f>
        <v>INSPECCIÓN</v>
      </c>
    </row>
    <row r="213" spans="1:12" ht="30" hidden="1">
      <c r="A213" s="165" t="s">
        <v>580</v>
      </c>
      <c r="B213" s="34" t="s">
        <v>654</v>
      </c>
      <c r="C213" s="34" t="str">
        <f>VLOOKUP(Observaciones[Caso de Prueba],CasoPrueba[[#All],[Código CP]:[Prioridad]],7,TRUE)</f>
        <v>Alta</v>
      </c>
      <c r="D213" s="34" t="s">
        <v>28</v>
      </c>
      <c r="E213" s="34" t="s">
        <v>49</v>
      </c>
      <c r="F213" s="73">
        <v>40830</v>
      </c>
      <c r="G213" s="73">
        <v>40831</v>
      </c>
      <c r="H213" s="94" t="s">
        <v>132</v>
      </c>
      <c r="I213" s="34" t="s">
        <v>584</v>
      </c>
      <c r="J213" s="34" t="s">
        <v>832</v>
      </c>
      <c r="K213" s="34">
        <f>IF((Observaciones[[#This Row],[Fecha Levantamiento]]-Observaciones[[#This Row],[Fecha Detección]])&gt;=0,Observaciones[[#This Row],[Fecha Levantamiento]]-Observaciones[[#This Row],[Fecha Detección]]+1,0)</f>
        <v>2</v>
      </c>
      <c r="L213" s="34" t="str">
        <f>LOOKUP(Observaciones[[#This Row],[Caso de Prueba]],CasoPrueba[Código CP],CasoPrueba[Código de REQ])</f>
        <v>INSPECCIÓN</v>
      </c>
    </row>
    <row r="214" spans="1:12" ht="45" hidden="1">
      <c r="A214" s="165" t="s">
        <v>581</v>
      </c>
      <c r="B214" s="34" t="s">
        <v>654</v>
      </c>
      <c r="C214" s="34" t="str">
        <f>VLOOKUP(Observaciones[Caso de Prueba],CasoPrueba[[#All],[Código CP]:[Prioridad]],7,TRUE)</f>
        <v>Alta</v>
      </c>
      <c r="D214" s="34" t="s">
        <v>29</v>
      </c>
      <c r="E214" s="34" t="s">
        <v>49</v>
      </c>
      <c r="F214" s="73">
        <v>40830</v>
      </c>
      <c r="G214" s="73">
        <v>40831</v>
      </c>
      <c r="H214" s="94" t="s">
        <v>132</v>
      </c>
      <c r="I214" s="34" t="s">
        <v>812</v>
      </c>
      <c r="J214" s="34" t="s">
        <v>868</v>
      </c>
      <c r="K214" s="34">
        <f>IF((Observaciones[[#This Row],[Fecha Levantamiento]]-Observaciones[[#This Row],[Fecha Detección]])&gt;=0,Observaciones[[#This Row],[Fecha Levantamiento]]-Observaciones[[#This Row],[Fecha Detección]]+1,0)</f>
        <v>2</v>
      </c>
      <c r="L214" s="34" t="str">
        <f>LOOKUP(Observaciones[[#This Row],[Caso de Prueba]],CasoPrueba[Código CP],CasoPrueba[Código de REQ])</f>
        <v>INSPECCIÓN</v>
      </c>
    </row>
    <row r="215" spans="1:12" ht="30" hidden="1">
      <c r="A215" s="165" t="s">
        <v>582</v>
      </c>
      <c r="B215" s="34" t="s">
        <v>654</v>
      </c>
      <c r="C215" s="34" t="str">
        <f>VLOOKUP(Observaciones[Caso de Prueba],CasoPrueba[[#All],[Código CP]:[Prioridad]],7,TRUE)</f>
        <v>Alta</v>
      </c>
      <c r="D215" s="34" t="s">
        <v>29</v>
      </c>
      <c r="E215" s="34" t="s">
        <v>49</v>
      </c>
      <c r="F215" s="73">
        <v>40830</v>
      </c>
      <c r="G215" s="73">
        <v>40831</v>
      </c>
      <c r="H215" s="94" t="s">
        <v>132</v>
      </c>
      <c r="I215" s="34" t="s">
        <v>813</v>
      </c>
      <c r="J215" s="34" t="s">
        <v>869</v>
      </c>
      <c r="K215" s="34">
        <f>IF((Observaciones[[#This Row],[Fecha Levantamiento]]-Observaciones[[#This Row],[Fecha Detección]])&gt;=0,Observaciones[[#This Row],[Fecha Levantamiento]]-Observaciones[[#This Row],[Fecha Detección]]+1,0)</f>
        <v>2</v>
      </c>
      <c r="L215" s="34" t="str">
        <f>LOOKUP(Observaciones[[#This Row],[Caso de Prueba]],CasoPrueba[Código CP],CasoPrueba[Código de REQ])</f>
        <v>INSPECCIÓN</v>
      </c>
    </row>
    <row r="216" spans="1:12" ht="45" hidden="1">
      <c r="A216" s="165" t="s">
        <v>657</v>
      </c>
      <c r="B216" s="34" t="s">
        <v>654</v>
      </c>
      <c r="C216" s="34" t="str">
        <f>VLOOKUP(Observaciones[Caso de Prueba],CasoPrueba[[#All],[Código CP]:[Prioridad]],7,TRUE)</f>
        <v>Alta</v>
      </c>
      <c r="D216" s="34" t="s">
        <v>162</v>
      </c>
      <c r="E216" s="34" t="s">
        <v>49</v>
      </c>
      <c r="F216" s="73">
        <v>40830</v>
      </c>
      <c r="G216" s="73">
        <v>40831</v>
      </c>
      <c r="H216" s="94" t="s">
        <v>132</v>
      </c>
      <c r="I216" s="34" t="s">
        <v>814</v>
      </c>
      <c r="J216" s="34" t="s">
        <v>199</v>
      </c>
      <c r="K216" s="34">
        <f>IF((Observaciones[[#This Row],[Fecha Levantamiento]]-Observaciones[[#This Row],[Fecha Detección]])&gt;=0,Observaciones[[#This Row],[Fecha Levantamiento]]-Observaciones[[#This Row],[Fecha Detección]]+1,0)</f>
        <v>2</v>
      </c>
      <c r="L216" s="34" t="str">
        <f>LOOKUP(Observaciones[[#This Row],[Caso de Prueba]],CasoPrueba[Código CP],CasoPrueba[Código de REQ])</f>
        <v>INSPECCIÓN</v>
      </c>
    </row>
    <row r="217" spans="1:12" ht="30" hidden="1">
      <c r="A217" s="165" t="s">
        <v>658</v>
      </c>
      <c r="B217" s="34" t="s">
        <v>654</v>
      </c>
      <c r="C217" s="34" t="str">
        <f>VLOOKUP(Observaciones[Caso de Prueba],CasoPrueba[[#All],[Código CP]:[Prioridad]],7,TRUE)</f>
        <v>Alta</v>
      </c>
      <c r="D217" s="34" t="s">
        <v>162</v>
      </c>
      <c r="E217" s="34" t="s">
        <v>49</v>
      </c>
      <c r="F217" s="73">
        <v>40830</v>
      </c>
      <c r="G217" s="73">
        <v>40831</v>
      </c>
      <c r="H217" s="94" t="s">
        <v>132</v>
      </c>
      <c r="I217" s="34" t="s">
        <v>815</v>
      </c>
      <c r="J217" s="34" t="s">
        <v>196</v>
      </c>
      <c r="K217" s="34">
        <f>IF((Observaciones[[#This Row],[Fecha Levantamiento]]-Observaciones[[#This Row],[Fecha Detección]])&gt;=0,Observaciones[[#This Row],[Fecha Levantamiento]]-Observaciones[[#This Row],[Fecha Detección]]+1,0)</f>
        <v>2</v>
      </c>
      <c r="L217" s="34" t="str">
        <f>LOOKUP(Observaciones[[#This Row],[Caso de Prueba]],CasoPrueba[Código CP],CasoPrueba[Código de REQ])</f>
        <v>INSPECCIÓN</v>
      </c>
    </row>
    <row r="218" spans="1:12" ht="90" hidden="1">
      <c r="A218" s="165" t="s">
        <v>659</v>
      </c>
      <c r="B218" s="34" t="s">
        <v>487</v>
      </c>
      <c r="C218" s="34" t="str">
        <f>VLOOKUP(Observaciones[Caso de Prueba],CasoPrueba[[#All],[Código CP]:[Prioridad]],7,TRUE)</f>
        <v>Alta</v>
      </c>
      <c r="D218" s="34" t="s">
        <v>28</v>
      </c>
      <c r="E218" s="34" t="s">
        <v>49</v>
      </c>
      <c r="F218" s="73">
        <v>40835</v>
      </c>
      <c r="G218" s="73">
        <v>40843</v>
      </c>
      <c r="H218" s="94" t="s">
        <v>132</v>
      </c>
      <c r="I218" s="34" t="s">
        <v>870</v>
      </c>
      <c r="J218" s="34" t="s">
        <v>955</v>
      </c>
      <c r="K218" s="34">
        <f>IF((Observaciones[[#This Row],[Fecha Levantamiento]]-Observaciones[[#This Row],[Fecha Detección]])&gt;=0,Observaciones[[#This Row],[Fecha Levantamiento]]-Observaciones[[#This Row],[Fecha Detección]]+1,0)</f>
        <v>9</v>
      </c>
      <c r="L218" s="34" t="str">
        <f>LOOKUP(Observaciones[[#This Row],[Caso de Prueba]],CasoPrueba[Código CP],CasoPrueba[Código de REQ])</f>
        <v>INSPECCIÓN</v>
      </c>
    </row>
    <row r="219" spans="1:12" ht="66" hidden="1" customHeight="1">
      <c r="A219" s="165" t="s">
        <v>660</v>
      </c>
      <c r="B219" s="34" t="s">
        <v>488</v>
      </c>
      <c r="C219" s="34" t="str">
        <f>VLOOKUP(Observaciones[Caso de Prueba],CasoPrueba[[#All],[Código CP]:[Prioridad]],7,TRUE)</f>
        <v>Alta</v>
      </c>
      <c r="D219" s="34" t="s">
        <v>28</v>
      </c>
      <c r="E219" s="34" t="s">
        <v>49</v>
      </c>
      <c r="F219" s="73">
        <v>40835</v>
      </c>
      <c r="G219" s="73">
        <v>40843</v>
      </c>
      <c r="H219" s="94" t="s">
        <v>132</v>
      </c>
      <c r="I219" s="34" t="s">
        <v>597</v>
      </c>
      <c r="J219" s="34" t="s">
        <v>956</v>
      </c>
      <c r="K219" s="34">
        <f>IF((Observaciones[[#This Row],[Fecha Levantamiento]]-Observaciones[[#This Row],[Fecha Detección]])&gt;=0,Observaciones[[#This Row],[Fecha Levantamiento]]-Observaciones[[#This Row],[Fecha Detección]]+1,0)</f>
        <v>9</v>
      </c>
      <c r="L219" s="34" t="str">
        <f>LOOKUP(Observaciones[[#This Row],[Caso de Prueba]],CasoPrueba[Código CP],CasoPrueba[Código de REQ])</f>
        <v>INSPECCIÓN</v>
      </c>
    </row>
    <row r="220" spans="1:12" ht="45" hidden="1">
      <c r="A220" s="165" t="s">
        <v>661</v>
      </c>
      <c r="B220" s="34" t="s">
        <v>488</v>
      </c>
      <c r="C220" s="34" t="str">
        <f>VLOOKUP(Observaciones[Caso de Prueba],CasoPrueba[[#All],[Código CP]:[Prioridad]],7,TRUE)</f>
        <v>Alta</v>
      </c>
      <c r="D220" s="34" t="s">
        <v>28</v>
      </c>
      <c r="E220" s="34" t="s">
        <v>49</v>
      </c>
      <c r="F220" s="73">
        <v>40835</v>
      </c>
      <c r="G220" s="73">
        <v>40843</v>
      </c>
      <c r="H220" s="94" t="s">
        <v>132</v>
      </c>
      <c r="I220" s="34" t="s">
        <v>871</v>
      </c>
      <c r="J220" s="34" t="s">
        <v>955</v>
      </c>
      <c r="K220" s="34">
        <f>IF((Observaciones[[#This Row],[Fecha Levantamiento]]-Observaciones[[#This Row],[Fecha Detección]])&gt;=0,Observaciones[[#This Row],[Fecha Levantamiento]]-Observaciones[[#This Row],[Fecha Detección]]+1,0)</f>
        <v>9</v>
      </c>
      <c r="L220" s="34" t="str">
        <f>LOOKUP(Observaciones[[#This Row],[Caso de Prueba]],CasoPrueba[Código CP],CasoPrueba[Código de REQ])</f>
        <v>INSPECCIÓN</v>
      </c>
    </row>
    <row r="221" spans="1:12" ht="45" hidden="1">
      <c r="A221" s="165" t="s">
        <v>662</v>
      </c>
      <c r="B221" s="34" t="s">
        <v>489</v>
      </c>
      <c r="C221" s="34" t="str">
        <f>VLOOKUP(Observaciones[Caso de Prueba],CasoPrueba[[#All],[Código CP]:[Prioridad]],7,TRUE)</f>
        <v>Alta</v>
      </c>
      <c r="D221" s="34" t="s">
        <v>28</v>
      </c>
      <c r="E221" s="34" t="s">
        <v>49</v>
      </c>
      <c r="F221" s="73">
        <v>40835</v>
      </c>
      <c r="G221" s="73">
        <v>40843</v>
      </c>
      <c r="H221" s="94" t="s">
        <v>132</v>
      </c>
      <c r="I221" s="34" t="s">
        <v>597</v>
      </c>
      <c r="J221" s="34" t="s">
        <v>957</v>
      </c>
      <c r="K221" s="34">
        <f>IF((Observaciones[[#This Row],[Fecha Levantamiento]]-Observaciones[[#This Row],[Fecha Detección]])&gt;=0,Observaciones[[#This Row],[Fecha Levantamiento]]-Observaciones[[#This Row],[Fecha Detección]]+1,0)</f>
        <v>9</v>
      </c>
      <c r="L221" s="34" t="str">
        <f>LOOKUP(Observaciones[[#This Row],[Caso de Prueba]],CasoPrueba[Código CP],CasoPrueba[Código de REQ])</f>
        <v>INSPECCIÓN</v>
      </c>
    </row>
    <row r="222" spans="1:12" ht="45" hidden="1">
      <c r="A222" s="165" t="s">
        <v>663</v>
      </c>
      <c r="B222" s="34" t="s">
        <v>489</v>
      </c>
      <c r="C222" s="34" t="str">
        <f>VLOOKUP(Observaciones[Caso de Prueba],CasoPrueba[[#All],[Código CP]:[Prioridad]],7,TRUE)</f>
        <v>Alta</v>
      </c>
      <c r="D222" s="34" t="s">
        <v>28</v>
      </c>
      <c r="E222" s="34" t="s">
        <v>49</v>
      </c>
      <c r="F222" s="73">
        <v>40835</v>
      </c>
      <c r="G222" s="73">
        <v>40843</v>
      </c>
      <c r="H222" s="94" t="s">
        <v>132</v>
      </c>
      <c r="I222" s="34" t="s">
        <v>871</v>
      </c>
      <c r="J222" s="34" t="s">
        <v>955</v>
      </c>
      <c r="K222" s="34">
        <f>IF((Observaciones[[#This Row],[Fecha Levantamiento]]-Observaciones[[#This Row],[Fecha Detección]])&gt;=0,Observaciones[[#This Row],[Fecha Levantamiento]]-Observaciones[[#This Row],[Fecha Detección]]+1,0)</f>
        <v>9</v>
      </c>
      <c r="L222" s="34" t="str">
        <f>LOOKUP(Observaciones[[#This Row],[Caso de Prueba]],CasoPrueba[Código CP],CasoPrueba[Código de REQ])</f>
        <v>INSPECCIÓN</v>
      </c>
    </row>
    <row r="223" spans="1:12" ht="45" hidden="1">
      <c r="A223" s="165" t="s">
        <v>664</v>
      </c>
      <c r="B223" s="34" t="s">
        <v>614</v>
      </c>
      <c r="C223" s="34" t="str">
        <f>VLOOKUP(Observaciones[Caso de Prueba],CasoPrueba[[#All],[Código CP]:[Prioridad]],7,TRUE)</f>
        <v>Alta</v>
      </c>
      <c r="D223" s="34" t="s">
        <v>28</v>
      </c>
      <c r="E223" s="34" t="s">
        <v>49</v>
      </c>
      <c r="F223" s="73">
        <v>40835</v>
      </c>
      <c r="G223" s="73">
        <v>40843</v>
      </c>
      <c r="H223" s="94" t="s">
        <v>132</v>
      </c>
      <c r="I223" s="34" t="s">
        <v>871</v>
      </c>
      <c r="J223" s="34" t="s">
        <v>986</v>
      </c>
      <c r="K223" s="34">
        <f>IF((Observaciones[[#This Row],[Fecha Levantamiento]]-Observaciones[[#This Row],[Fecha Detección]])&gt;=0,Observaciones[[#This Row],[Fecha Levantamiento]]-Observaciones[[#This Row],[Fecha Detección]]+1,0)</f>
        <v>9</v>
      </c>
      <c r="L223" s="34" t="str">
        <f>LOOKUP(Observaciones[[#This Row],[Caso de Prueba]],CasoPrueba[Código CP],CasoPrueba[Código de REQ])</f>
        <v>INSPECCIÓN</v>
      </c>
    </row>
    <row r="224" spans="1:12" ht="45" hidden="1">
      <c r="A224" s="165" t="s">
        <v>665</v>
      </c>
      <c r="B224" s="34" t="s">
        <v>616</v>
      </c>
      <c r="C224" s="34" t="str">
        <f>VLOOKUP(Observaciones[Caso de Prueba],CasoPrueba[[#All],[Código CP]:[Prioridad]],7,TRUE)</f>
        <v>Alta</v>
      </c>
      <c r="D224" s="34" t="s">
        <v>28</v>
      </c>
      <c r="E224" s="34" t="s">
        <v>49</v>
      </c>
      <c r="F224" s="73">
        <v>40835</v>
      </c>
      <c r="G224" s="73">
        <v>40843</v>
      </c>
      <c r="H224" s="94" t="s">
        <v>132</v>
      </c>
      <c r="I224" s="34" t="s">
        <v>871</v>
      </c>
      <c r="J224" s="34" t="s">
        <v>986</v>
      </c>
      <c r="K224" s="34">
        <f>IF((Observaciones[[#This Row],[Fecha Levantamiento]]-Observaciones[[#This Row],[Fecha Detección]])&gt;=0,Observaciones[[#This Row],[Fecha Levantamiento]]-Observaciones[[#This Row],[Fecha Detección]]+1,0)</f>
        <v>9</v>
      </c>
      <c r="L224" s="34" t="str">
        <f>LOOKUP(Observaciones[[#This Row],[Caso de Prueba]],CasoPrueba[Código CP],CasoPrueba[Código de REQ])</f>
        <v>INSPECCIÓN</v>
      </c>
    </row>
    <row r="225" spans="1:12" ht="88.5" hidden="1" customHeight="1">
      <c r="A225" s="165" t="s">
        <v>666</v>
      </c>
      <c r="B225" s="34" t="s">
        <v>616</v>
      </c>
      <c r="C225" s="34" t="str">
        <f>VLOOKUP(Observaciones[Caso de Prueba],CasoPrueba[[#All],[Código CP]:[Prioridad]],7,TRUE)</f>
        <v>Alta</v>
      </c>
      <c r="D225" s="34" t="s">
        <v>28</v>
      </c>
      <c r="E225" s="34" t="s">
        <v>49</v>
      </c>
      <c r="F225" s="73">
        <v>40835</v>
      </c>
      <c r="G225" s="73">
        <v>40843</v>
      </c>
      <c r="H225" s="94" t="s">
        <v>132</v>
      </c>
      <c r="I225" s="34" t="s">
        <v>872</v>
      </c>
      <c r="J225" s="34" t="s">
        <v>1118</v>
      </c>
      <c r="K225" s="34">
        <f>IF((Observaciones[[#This Row],[Fecha Levantamiento]]-Observaciones[[#This Row],[Fecha Detección]])&gt;=0,Observaciones[[#This Row],[Fecha Levantamiento]]-Observaciones[[#This Row],[Fecha Detección]]+1,0)</f>
        <v>9</v>
      </c>
      <c r="L225" s="34" t="str">
        <f>LOOKUP(Observaciones[[#This Row],[Caso de Prueba]],CasoPrueba[Código CP],CasoPrueba[Código de REQ])</f>
        <v>INSPECCIÓN</v>
      </c>
    </row>
    <row r="226" spans="1:12" ht="90" hidden="1">
      <c r="A226" s="165" t="s">
        <v>667</v>
      </c>
      <c r="B226" s="34" t="s">
        <v>616</v>
      </c>
      <c r="C226" s="34" t="str">
        <f>VLOOKUP(Observaciones[Caso de Prueba],CasoPrueba[[#All],[Código CP]:[Prioridad]],7,TRUE)</f>
        <v>Alta</v>
      </c>
      <c r="D226" s="34" t="s">
        <v>29</v>
      </c>
      <c r="E226" s="34" t="s">
        <v>49</v>
      </c>
      <c r="F226" s="73">
        <v>40835</v>
      </c>
      <c r="G226" s="73">
        <v>40843</v>
      </c>
      <c r="H226" s="94" t="s">
        <v>132</v>
      </c>
      <c r="I226" s="34" t="s">
        <v>599</v>
      </c>
      <c r="J226" s="34" t="s">
        <v>1119</v>
      </c>
      <c r="K226" s="34">
        <f>IF((Observaciones[[#This Row],[Fecha Levantamiento]]-Observaciones[[#This Row],[Fecha Detección]])&gt;=0,Observaciones[[#This Row],[Fecha Levantamiento]]-Observaciones[[#This Row],[Fecha Detección]]+1,0)</f>
        <v>9</v>
      </c>
      <c r="L226" s="34" t="str">
        <f>LOOKUP(Observaciones[[#This Row],[Caso de Prueba]],CasoPrueba[Código CP],CasoPrueba[Código de REQ])</f>
        <v>INSPECCIÓN</v>
      </c>
    </row>
    <row r="227" spans="1:12" ht="45" hidden="1">
      <c r="A227" s="165" t="s">
        <v>668</v>
      </c>
      <c r="B227" s="34" t="s">
        <v>617</v>
      </c>
      <c r="C227" s="34" t="str">
        <f>VLOOKUP(Observaciones[Caso de Prueba],CasoPrueba[[#All],[Código CP]:[Prioridad]],7,TRUE)</f>
        <v>Alta</v>
      </c>
      <c r="D227" s="34" t="s">
        <v>28</v>
      </c>
      <c r="E227" s="34" t="s">
        <v>49</v>
      </c>
      <c r="F227" s="73">
        <v>40835</v>
      </c>
      <c r="G227" s="73">
        <v>40843</v>
      </c>
      <c r="H227" s="94" t="s">
        <v>132</v>
      </c>
      <c r="I227" s="34" t="s">
        <v>597</v>
      </c>
      <c r="J227" s="34" t="s">
        <v>964</v>
      </c>
      <c r="K227" s="34">
        <f>IF((Observaciones[[#This Row],[Fecha Levantamiento]]-Observaciones[[#This Row],[Fecha Detección]])&gt;=0,Observaciones[[#This Row],[Fecha Levantamiento]]-Observaciones[[#This Row],[Fecha Detección]]+1,0)</f>
        <v>9</v>
      </c>
      <c r="L227" s="34" t="str">
        <f>LOOKUP(Observaciones[[#This Row],[Caso de Prueba]],CasoPrueba[Código CP],CasoPrueba[Código de REQ])</f>
        <v>INSPECCIÓN</v>
      </c>
    </row>
    <row r="228" spans="1:12" ht="45" hidden="1">
      <c r="A228" s="165" t="s">
        <v>669</v>
      </c>
      <c r="B228" s="34" t="s">
        <v>618</v>
      </c>
      <c r="C228" s="34" t="str">
        <f>VLOOKUP(Observaciones[Caso de Prueba],CasoPrueba[[#All],[Código CP]:[Prioridad]],7,TRUE)</f>
        <v>Alta</v>
      </c>
      <c r="D228" s="34" t="s">
        <v>28</v>
      </c>
      <c r="E228" s="34" t="s">
        <v>49</v>
      </c>
      <c r="F228" s="73">
        <v>40835</v>
      </c>
      <c r="G228" s="73">
        <v>40843</v>
      </c>
      <c r="H228" s="94" t="s">
        <v>132</v>
      </c>
      <c r="I228" s="34" t="s">
        <v>597</v>
      </c>
      <c r="J228" s="34" t="s">
        <v>965</v>
      </c>
      <c r="K228" s="34">
        <f>IF((Observaciones[[#This Row],[Fecha Levantamiento]]-Observaciones[[#This Row],[Fecha Detección]])&gt;=0,Observaciones[[#This Row],[Fecha Levantamiento]]-Observaciones[[#This Row],[Fecha Detección]]+1,0)</f>
        <v>9</v>
      </c>
      <c r="L228" s="34" t="str">
        <f>LOOKUP(Observaciones[[#This Row],[Caso de Prueba]],CasoPrueba[Código CP],CasoPrueba[Código de REQ])</f>
        <v>INSPECCIÓN</v>
      </c>
    </row>
    <row r="229" spans="1:12" ht="45" hidden="1">
      <c r="A229" s="165" t="s">
        <v>670</v>
      </c>
      <c r="B229" s="34" t="s">
        <v>619</v>
      </c>
      <c r="C229" s="34" t="str">
        <f>VLOOKUP(Observaciones[Caso de Prueba],CasoPrueba[[#All],[Código CP]:[Prioridad]],7,TRUE)</f>
        <v>Alta</v>
      </c>
      <c r="D229" s="34" t="s">
        <v>28</v>
      </c>
      <c r="E229" s="34" t="s">
        <v>49</v>
      </c>
      <c r="F229" s="73">
        <v>40835</v>
      </c>
      <c r="G229" s="73">
        <v>40843</v>
      </c>
      <c r="H229" s="94" t="s">
        <v>132</v>
      </c>
      <c r="I229" s="34" t="s">
        <v>597</v>
      </c>
      <c r="J229" s="34" t="s">
        <v>963</v>
      </c>
      <c r="K229" s="34">
        <f>IF((Observaciones[[#This Row],[Fecha Levantamiento]]-Observaciones[[#This Row],[Fecha Detección]])&gt;=0,Observaciones[[#This Row],[Fecha Levantamiento]]-Observaciones[[#This Row],[Fecha Detección]]+1,0)</f>
        <v>9</v>
      </c>
      <c r="L229" s="34" t="str">
        <f>LOOKUP(Observaciones[[#This Row],[Caso de Prueba]],CasoPrueba[Código CP],CasoPrueba[Código de REQ])</f>
        <v>INSPECCIÓN</v>
      </c>
    </row>
    <row r="230" spans="1:12" ht="30" hidden="1">
      <c r="A230" s="165" t="s">
        <v>671</v>
      </c>
      <c r="B230" s="34" t="s">
        <v>619</v>
      </c>
      <c r="C230" s="34" t="str">
        <f>VLOOKUP(Observaciones[Caso de Prueba],CasoPrueba[[#All],[Código CP]:[Prioridad]],7,TRUE)</f>
        <v>Alta</v>
      </c>
      <c r="D230" s="34" t="s">
        <v>29</v>
      </c>
      <c r="E230" s="34" t="s">
        <v>49</v>
      </c>
      <c r="F230" s="73">
        <v>40835</v>
      </c>
      <c r="G230" s="73">
        <v>40843</v>
      </c>
      <c r="H230" s="94" t="s">
        <v>132</v>
      </c>
      <c r="I230" s="34" t="s">
        <v>873</v>
      </c>
      <c r="J230" s="34" t="s">
        <v>958</v>
      </c>
      <c r="K230" s="34">
        <f>IF((Observaciones[[#This Row],[Fecha Levantamiento]]-Observaciones[[#This Row],[Fecha Detección]])&gt;=0,Observaciones[[#This Row],[Fecha Levantamiento]]-Observaciones[[#This Row],[Fecha Detección]]+1,0)</f>
        <v>9</v>
      </c>
      <c r="L230" s="34" t="str">
        <f>LOOKUP(Observaciones[[#This Row],[Caso de Prueba]],CasoPrueba[Código CP],CasoPrueba[Código de REQ])</f>
        <v>INSPECCIÓN</v>
      </c>
    </row>
    <row r="231" spans="1:12" ht="60" hidden="1">
      <c r="A231" s="165" t="s">
        <v>672</v>
      </c>
      <c r="B231" s="34" t="s">
        <v>619</v>
      </c>
      <c r="C231" s="34" t="str">
        <f>VLOOKUP(Observaciones[Caso de Prueba],CasoPrueba[[#All],[Código CP]:[Prioridad]],7,TRUE)</f>
        <v>Alta</v>
      </c>
      <c r="D231" s="34" t="s">
        <v>29</v>
      </c>
      <c r="E231" s="34" t="s">
        <v>49</v>
      </c>
      <c r="F231" s="73">
        <v>40835</v>
      </c>
      <c r="G231" s="73">
        <v>40843</v>
      </c>
      <c r="H231" s="94" t="s">
        <v>132</v>
      </c>
      <c r="I231" s="34" t="s">
        <v>874</v>
      </c>
      <c r="J231" s="34" t="s">
        <v>959</v>
      </c>
      <c r="K231" s="34">
        <f>IF((Observaciones[[#This Row],[Fecha Levantamiento]]-Observaciones[[#This Row],[Fecha Detección]])&gt;=0,Observaciones[[#This Row],[Fecha Levantamiento]]-Observaciones[[#This Row],[Fecha Detección]]+1,0)</f>
        <v>9</v>
      </c>
      <c r="L231" s="34" t="str">
        <f>LOOKUP(Observaciones[[#This Row],[Caso de Prueba]],CasoPrueba[Código CP],CasoPrueba[Código de REQ])</f>
        <v>INSPECCIÓN</v>
      </c>
    </row>
    <row r="232" spans="1:12" ht="30" hidden="1">
      <c r="A232" s="165" t="s">
        <v>673</v>
      </c>
      <c r="B232" s="34" t="s">
        <v>619</v>
      </c>
      <c r="C232" s="34" t="str">
        <f>VLOOKUP(Observaciones[Caso de Prueba],CasoPrueba[[#All],[Código CP]:[Prioridad]],7,TRUE)</f>
        <v>Alta</v>
      </c>
      <c r="D232" s="34" t="s">
        <v>29</v>
      </c>
      <c r="E232" s="34" t="s">
        <v>49</v>
      </c>
      <c r="F232" s="73">
        <v>40835</v>
      </c>
      <c r="G232" s="73">
        <v>40843</v>
      </c>
      <c r="H232" s="94" t="s">
        <v>132</v>
      </c>
      <c r="I232" s="34" t="s">
        <v>875</v>
      </c>
      <c r="J232" s="34" t="s">
        <v>397</v>
      </c>
      <c r="K232" s="34">
        <f>IF((Observaciones[[#This Row],[Fecha Levantamiento]]-Observaciones[[#This Row],[Fecha Detección]])&gt;=0,Observaciones[[#This Row],[Fecha Levantamiento]]-Observaciones[[#This Row],[Fecha Detección]]+1,0)</f>
        <v>9</v>
      </c>
      <c r="L232" s="34" t="str">
        <f>LOOKUP(Observaciones[[#This Row],[Caso de Prueba]],CasoPrueba[Código CP],CasoPrueba[Código de REQ])</f>
        <v>INSPECCIÓN</v>
      </c>
    </row>
    <row r="233" spans="1:12" ht="30" hidden="1">
      <c r="A233" s="165" t="s">
        <v>674</v>
      </c>
      <c r="B233" s="34" t="s">
        <v>619</v>
      </c>
      <c r="C233" s="34" t="str">
        <f>VLOOKUP(Observaciones[Caso de Prueba],CasoPrueba[[#All],[Código CP]:[Prioridad]],7,TRUE)</f>
        <v>Alta</v>
      </c>
      <c r="D233" s="34" t="s">
        <v>29</v>
      </c>
      <c r="E233" s="34" t="s">
        <v>49</v>
      </c>
      <c r="F233" s="73">
        <v>40835</v>
      </c>
      <c r="G233" s="73">
        <v>40843</v>
      </c>
      <c r="H233" s="94" t="s">
        <v>132</v>
      </c>
      <c r="I233" s="34" t="s">
        <v>876</v>
      </c>
      <c r="J233" s="34" t="s">
        <v>960</v>
      </c>
      <c r="K233" s="34">
        <f>IF((Observaciones[[#This Row],[Fecha Levantamiento]]-Observaciones[[#This Row],[Fecha Detección]])&gt;=0,Observaciones[[#This Row],[Fecha Levantamiento]]-Observaciones[[#This Row],[Fecha Detección]]+1,0)</f>
        <v>9</v>
      </c>
      <c r="L233" s="34" t="str">
        <f>LOOKUP(Observaciones[[#This Row],[Caso de Prueba]],CasoPrueba[Código CP],CasoPrueba[Código de REQ])</f>
        <v>INSPECCIÓN</v>
      </c>
    </row>
    <row r="234" spans="1:12" ht="30.75" hidden="1" customHeight="1">
      <c r="A234" s="165" t="s">
        <v>675</v>
      </c>
      <c r="B234" s="34" t="s">
        <v>619</v>
      </c>
      <c r="C234" s="34" t="str">
        <f>VLOOKUP(Observaciones[Caso de Prueba],CasoPrueba[[#All],[Código CP]:[Prioridad]],7,TRUE)</f>
        <v>Alta</v>
      </c>
      <c r="D234" s="34" t="s">
        <v>29</v>
      </c>
      <c r="E234" s="34" t="s">
        <v>49</v>
      </c>
      <c r="F234" s="73">
        <v>40835</v>
      </c>
      <c r="G234" s="73">
        <v>40843</v>
      </c>
      <c r="H234" s="94" t="s">
        <v>132</v>
      </c>
      <c r="I234" s="34" t="s">
        <v>877</v>
      </c>
      <c r="J234" s="34" t="s">
        <v>961</v>
      </c>
      <c r="K234" s="34">
        <f>IF((Observaciones[[#This Row],[Fecha Levantamiento]]-Observaciones[[#This Row],[Fecha Detección]])&gt;=0,Observaciones[[#This Row],[Fecha Levantamiento]]-Observaciones[[#This Row],[Fecha Detección]]+1,0)</f>
        <v>9</v>
      </c>
      <c r="L234" s="34" t="str">
        <f>LOOKUP(Observaciones[[#This Row],[Caso de Prueba]],CasoPrueba[Código CP],CasoPrueba[Código de REQ])</f>
        <v>INSPECCIÓN</v>
      </c>
    </row>
    <row r="235" spans="1:12" ht="90" hidden="1">
      <c r="A235" s="165" t="s">
        <v>676</v>
      </c>
      <c r="B235" s="34" t="s">
        <v>619</v>
      </c>
      <c r="C235" s="34" t="str">
        <f>VLOOKUP(Observaciones[Caso de Prueba],CasoPrueba[[#All],[Código CP]:[Prioridad]],7,TRUE)</f>
        <v>Alta</v>
      </c>
      <c r="D235" s="34" t="s">
        <v>29</v>
      </c>
      <c r="E235" s="34" t="s">
        <v>49</v>
      </c>
      <c r="F235" s="73">
        <v>40835</v>
      </c>
      <c r="G235" s="73">
        <v>40843</v>
      </c>
      <c r="H235" s="94" t="s">
        <v>132</v>
      </c>
      <c r="I235" s="34" t="s">
        <v>878</v>
      </c>
      <c r="J235" s="34" t="s">
        <v>962</v>
      </c>
      <c r="K235" s="34">
        <f>IF((Observaciones[[#This Row],[Fecha Levantamiento]]-Observaciones[[#This Row],[Fecha Detección]])&gt;=0,Observaciones[[#This Row],[Fecha Levantamiento]]-Observaciones[[#This Row],[Fecha Detección]]+1,0)</f>
        <v>9</v>
      </c>
      <c r="L235" s="34" t="str">
        <f>LOOKUP(Observaciones[[#This Row],[Caso de Prueba]],CasoPrueba[Código CP],CasoPrueba[Código de REQ])</f>
        <v>INSPECCIÓN</v>
      </c>
    </row>
    <row r="236" spans="1:12" ht="45" hidden="1">
      <c r="A236" s="165" t="s">
        <v>677</v>
      </c>
      <c r="B236" s="34" t="s">
        <v>653</v>
      </c>
      <c r="C236" s="34" t="str">
        <f>VLOOKUP(Observaciones[Caso de Prueba],CasoPrueba[[#All],[Código CP]:[Prioridad]],7,TRUE)</f>
        <v>Alta</v>
      </c>
      <c r="D236" s="34" t="s">
        <v>28</v>
      </c>
      <c r="E236" s="34" t="s">
        <v>49</v>
      </c>
      <c r="F236" s="73">
        <v>40835</v>
      </c>
      <c r="G236" s="73">
        <v>40843</v>
      </c>
      <c r="H236" s="94" t="s">
        <v>132</v>
      </c>
      <c r="I236" s="34" t="s">
        <v>871</v>
      </c>
      <c r="J236" s="34" t="s">
        <v>986</v>
      </c>
      <c r="K236" s="34">
        <f>IF((Observaciones[[#This Row],[Fecha Levantamiento]]-Observaciones[[#This Row],[Fecha Detección]])&gt;=0,Observaciones[[#This Row],[Fecha Levantamiento]]-Observaciones[[#This Row],[Fecha Detección]]+1,0)</f>
        <v>9</v>
      </c>
      <c r="L236" s="34" t="str">
        <f>LOOKUP(Observaciones[[#This Row],[Caso de Prueba]],CasoPrueba[Código CP],CasoPrueba[Código de REQ])</f>
        <v>INSPECCIÓN</v>
      </c>
    </row>
    <row r="237" spans="1:12" ht="45" hidden="1">
      <c r="A237" s="165" t="s">
        <v>678</v>
      </c>
      <c r="B237" s="34" t="s">
        <v>654</v>
      </c>
      <c r="C237" s="34" t="str">
        <f>VLOOKUP(Observaciones[Caso de Prueba],CasoPrueba[[#All],[Código CP]:[Prioridad]],7,TRUE)</f>
        <v>Alta</v>
      </c>
      <c r="D237" s="34" t="s">
        <v>28</v>
      </c>
      <c r="E237" s="34" t="s">
        <v>49</v>
      </c>
      <c r="F237" s="73">
        <v>40835</v>
      </c>
      <c r="G237" s="73">
        <v>40843</v>
      </c>
      <c r="H237" s="94" t="s">
        <v>132</v>
      </c>
      <c r="I237" s="34" t="s">
        <v>597</v>
      </c>
      <c r="J237" s="34" t="s">
        <v>986</v>
      </c>
      <c r="K237" s="34">
        <f>IF((Observaciones[[#This Row],[Fecha Levantamiento]]-Observaciones[[#This Row],[Fecha Detección]])&gt;=0,Observaciones[[#This Row],[Fecha Levantamiento]]-Observaciones[[#This Row],[Fecha Detección]]+1,0)</f>
        <v>9</v>
      </c>
      <c r="L237" s="34" t="str">
        <f>LOOKUP(Observaciones[[#This Row],[Caso de Prueba]],CasoPrueba[Código CP],CasoPrueba[Código de REQ])</f>
        <v>INSPECCIÓN</v>
      </c>
    </row>
    <row r="238" spans="1:12" ht="45" hidden="1">
      <c r="A238" s="165" t="s">
        <v>679</v>
      </c>
      <c r="B238" s="34" t="s">
        <v>654</v>
      </c>
      <c r="C238" s="34" t="str">
        <f>VLOOKUP(Observaciones[Caso de Prueba],CasoPrueba[[#All],[Código CP]:[Prioridad]],7,TRUE)</f>
        <v>Alta</v>
      </c>
      <c r="D238" s="34" t="s">
        <v>28</v>
      </c>
      <c r="E238" s="34" t="s">
        <v>49</v>
      </c>
      <c r="F238" s="73">
        <v>40835</v>
      </c>
      <c r="G238" s="73">
        <v>40843</v>
      </c>
      <c r="H238" s="94" t="s">
        <v>132</v>
      </c>
      <c r="I238" s="34" t="s">
        <v>871</v>
      </c>
      <c r="J238" s="34" t="s">
        <v>986</v>
      </c>
      <c r="K238" s="34">
        <f>IF((Observaciones[[#This Row],[Fecha Levantamiento]]-Observaciones[[#This Row],[Fecha Detección]])&gt;=0,Observaciones[[#This Row],[Fecha Levantamiento]]-Observaciones[[#This Row],[Fecha Detección]]+1,0)</f>
        <v>9</v>
      </c>
      <c r="L238" s="34" t="str">
        <f>LOOKUP(Observaciones[[#This Row],[Caso de Prueba]],CasoPrueba[Código CP],CasoPrueba[Código de REQ])</f>
        <v>INSPECCIÓN</v>
      </c>
    </row>
    <row r="239" spans="1:12" ht="60" hidden="1">
      <c r="A239" s="165" t="s">
        <v>680</v>
      </c>
      <c r="B239" s="34" t="s">
        <v>887</v>
      </c>
      <c r="C239" s="34" t="str">
        <f>VLOOKUP(Observaciones[Caso de Prueba],CasoPrueba[[#All],[Código CP]:[Prioridad]],7,TRUE)</f>
        <v>Alta</v>
      </c>
      <c r="D239" s="34" t="s">
        <v>162</v>
      </c>
      <c r="E239" s="34" t="s">
        <v>49</v>
      </c>
      <c r="F239" s="73">
        <v>40838</v>
      </c>
      <c r="G239" s="73">
        <v>40843</v>
      </c>
      <c r="H239" s="94" t="s">
        <v>132</v>
      </c>
      <c r="I239" s="34" t="s">
        <v>907</v>
      </c>
      <c r="J239" s="34" t="s">
        <v>966</v>
      </c>
      <c r="K239" s="34">
        <f>IF((Observaciones[[#This Row],[Fecha Levantamiento]]-Observaciones[[#This Row],[Fecha Detección]])&gt;=0,Observaciones[[#This Row],[Fecha Levantamiento]]-Observaciones[[#This Row],[Fecha Detección]]+1,0)</f>
        <v>6</v>
      </c>
      <c r="L239" s="34" t="str">
        <f>LOOKUP(Observaciones[[#This Row],[Caso de Prueba]],CasoPrueba[Código CP],CasoPrueba[Código de REQ])</f>
        <v>INSPECCIÓN</v>
      </c>
    </row>
    <row r="240" spans="1:12" ht="46.5" hidden="1" customHeight="1">
      <c r="A240" s="165" t="s">
        <v>681</v>
      </c>
      <c r="B240" s="34" t="s">
        <v>887</v>
      </c>
      <c r="C240" s="34" t="str">
        <f>VLOOKUP(Observaciones[Caso de Prueba],CasoPrueba[[#All],[Código CP]:[Prioridad]],7,TRUE)</f>
        <v>Alta</v>
      </c>
      <c r="D240" s="34" t="s">
        <v>162</v>
      </c>
      <c r="E240" s="34" t="s">
        <v>49</v>
      </c>
      <c r="F240" s="73">
        <v>40838</v>
      </c>
      <c r="G240" s="73">
        <v>40843</v>
      </c>
      <c r="H240" s="94" t="s">
        <v>132</v>
      </c>
      <c r="I240" s="34" t="s">
        <v>908</v>
      </c>
      <c r="J240" s="34" t="s">
        <v>967</v>
      </c>
      <c r="K240" s="34">
        <f>IF((Observaciones[[#This Row],[Fecha Levantamiento]]-Observaciones[[#This Row],[Fecha Detección]])&gt;=0,Observaciones[[#This Row],[Fecha Levantamiento]]-Observaciones[[#This Row],[Fecha Detección]]+1,0)</f>
        <v>6</v>
      </c>
      <c r="L240" s="34" t="str">
        <f>LOOKUP(Observaciones[[#This Row],[Caso de Prueba]],CasoPrueba[Código CP],CasoPrueba[Código de REQ])</f>
        <v>INSPECCIÓN</v>
      </c>
    </row>
    <row r="241" spans="1:12" ht="45" hidden="1">
      <c r="A241" s="165" t="s">
        <v>682</v>
      </c>
      <c r="B241" s="34" t="s">
        <v>887</v>
      </c>
      <c r="C241" s="34" t="str">
        <f>VLOOKUP(Observaciones[Caso de Prueba],CasoPrueba[[#All],[Código CP]:[Prioridad]],7,TRUE)</f>
        <v>Alta</v>
      </c>
      <c r="D241" s="34" t="s">
        <v>162</v>
      </c>
      <c r="E241" s="34" t="s">
        <v>49</v>
      </c>
      <c r="F241" s="73">
        <v>40838</v>
      </c>
      <c r="G241" s="73">
        <v>40843</v>
      </c>
      <c r="H241" s="94" t="s">
        <v>132</v>
      </c>
      <c r="I241" s="34" t="s">
        <v>909</v>
      </c>
      <c r="J241" s="34" t="s">
        <v>968</v>
      </c>
      <c r="K241" s="34">
        <f>IF((Observaciones[[#This Row],[Fecha Levantamiento]]-Observaciones[[#This Row],[Fecha Detección]])&gt;=0,Observaciones[[#This Row],[Fecha Levantamiento]]-Observaciones[[#This Row],[Fecha Detección]]+1,0)</f>
        <v>6</v>
      </c>
      <c r="L241" s="34" t="str">
        <f>LOOKUP(Observaciones[[#This Row],[Caso de Prueba]],CasoPrueba[Código CP],CasoPrueba[Código de REQ])</f>
        <v>INSPECCIÓN</v>
      </c>
    </row>
    <row r="242" spans="1:12" ht="105" hidden="1">
      <c r="A242" s="165" t="s">
        <v>683</v>
      </c>
      <c r="B242" s="34" t="s">
        <v>887</v>
      </c>
      <c r="C242" s="34" t="str">
        <f>VLOOKUP(Observaciones[Caso de Prueba],CasoPrueba[[#All],[Código CP]:[Prioridad]],7,TRUE)</f>
        <v>Alta</v>
      </c>
      <c r="D242" s="34" t="s">
        <v>162</v>
      </c>
      <c r="E242" s="34" t="s">
        <v>49</v>
      </c>
      <c r="F242" s="73">
        <v>40838</v>
      </c>
      <c r="G242" s="73">
        <v>40843</v>
      </c>
      <c r="H242" s="94" t="s">
        <v>132</v>
      </c>
      <c r="I242" s="34" t="s">
        <v>917</v>
      </c>
      <c r="J242" s="34" t="s">
        <v>969</v>
      </c>
      <c r="K242" s="34">
        <f>IF((Observaciones[[#This Row],[Fecha Levantamiento]]-Observaciones[[#This Row],[Fecha Detección]])&gt;=0,Observaciones[[#This Row],[Fecha Levantamiento]]-Observaciones[[#This Row],[Fecha Detección]]+1,0)</f>
        <v>6</v>
      </c>
      <c r="L242" s="34" t="str">
        <f>LOOKUP(Observaciones[[#This Row],[Caso de Prueba]],CasoPrueba[Código CP],CasoPrueba[Código de REQ])</f>
        <v>INSPECCIÓN</v>
      </c>
    </row>
    <row r="243" spans="1:12" ht="45" hidden="1">
      <c r="A243" s="165" t="s">
        <v>684</v>
      </c>
      <c r="B243" s="34" t="s">
        <v>887</v>
      </c>
      <c r="C243" s="34" t="str">
        <f>VLOOKUP(Observaciones[Caso de Prueba],CasoPrueba[[#All],[Código CP]:[Prioridad]],7,TRUE)</f>
        <v>Alta</v>
      </c>
      <c r="D243" s="34" t="s">
        <v>28</v>
      </c>
      <c r="E243" s="34" t="s">
        <v>49</v>
      </c>
      <c r="F243" s="73">
        <v>40838</v>
      </c>
      <c r="G243" s="73">
        <v>40843</v>
      </c>
      <c r="H243" s="94" t="s">
        <v>132</v>
      </c>
      <c r="I243" s="34" t="s">
        <v>597</v>
      </c>
      <c r="J243" s="34" t="s">
        <v>970</v>
      </c>
      <c r="K243" s="34">
        <f>IF((Observaciones[[#This Row],[Fecha Levantamiento]]-Observaciones[[#This Row],[Fecha Detección]])&gt;=0,Observaciones[[#This Row],[Fecha Levantamiento]]-Observaciones[[#This Row],[Fecha Detección]]+1,0)</f>
        <v>6</v>
      </c>
      <c r="L243" s="34" t="str">
        <f>LOOKUP(Observaciones[[#This Row],[Caso de Prueba]],CasoPrueba[Código CP],CasoPrueba[Código de REQ])</f>
        <v>INSPECCIÓN</v>
      </c>
    </row>
    <row r="244" spans="1:12" ht="90" hidden="1">
      <c r="A244" s="165" t="s">
        <v>685</v>
      </c>
      <c r="B244" s="34" t="s">
        <v>887</v>
      </c>
      <c r="C244" s="34" t="str">
        <f>VLOOKUP(Observaciones[Caso de Prueba],CasoPrueba[[#All],[Código CP]:[Prioridad]],7,TRUE)</f>
        <v>Alta</v>
      </c>
      <c r="D244" s="34" t="s">
        <v>29</v>
      </c>
      <c r="E244" s="34" t="s">
        <v>49</v>
      </c>
      <c r="F244" s="73">
        <v>40838</v>
      </c>
      <c r="G244" s="73">
        <v>40843</v>
      </c>
      <c r="H244" s="94" t="s">
        <v>132</v>
      </c>
      <c r="I244" s="34" t="s">
        <v>599</v>
      </c>
      <c r="J244" s="34" t="s">
        <v>817</v>
      </c>
      <c r="K244" s="34">
        <f>IF((Observaciones[[#This Row],[Fecha Levantamiento]]-Observaciones[[#This Row],[Fecha Detección]])&gt;=0,Observaciones[[#This Row],[Fecha Levantamiento]]-Observaciones[[#This Row],[Fecha Detección]]+1,0)</f>
        <v>6</v>
      </c>
      <c r="L244" s="34" t="str">
        <f>LOOKUP(Observaciones[[#This Row],[Caso de Prueba]],CasoPrueba[Código CP],CasoPrueba[Código de REQ])</f>
        <v>INSPECCIÓN</v>
      </c>
    </row>
    <row r="245" spans="1:12" ht="60" hidden="1">
      <c r="A245" s="165" t="s">
        <v>686</v>
      </c>
      <c r="B245" s="34" t="s">
        <v>887</v>
      </c>
      <c r="C245" s="34" t="str">
        <f>VLOOKUP(Observaciones[Caso de Prueba],CasoPrueba[[#All],[Código CP]:[Prioridad]],7,TRUE)</f>
        <v>Alta</v>
      </c>
      <c r="D245" s="34" t="s">
        <v>162</v>
      </c>
      <c r="E245" s="34" t="s">
        <v>49</v>
      </c>
      <c r="F245" s="73">
        <v>40838</v>
      </c>
      <c r="G245" s="73">
        <v>40843</v>
      </c>
      <c r="H245" s="94" t="s">
        <v>132</v>
      </c>
      <c r="I245" s="34" t="s">
        <v>910</v>
      </c>
      <c r="J245" s="34" t="s">
        <v>971</v>
      </c>
      <c r="K245" s="34">
        <f>IF((Observaciones[[#This Row],[Fecha Levantamiento]]-Observaciones[[#This Row],[Fecha Detección]])&gt;=0,Observaciones[[#This Row],[Fecha Levantamiento]]-Observaciones[[#This Row],[Fecha Detección]]+1,0)</f>
        <v>6</v>
      </c>
      <c r="L245" s="34" t="str">
        <f>LOOKUP(Observaciones[[#This Row],[Caso de Prueba]],CasoPrueba[Código CP],CasoPrueba[Código de REQ])</f>
        <v>INSPECCIÓN</v>
      </c>
    </row>
    <row r="246" spans="1:12" ht="75" hidden="1">
      <c r="A246" s="165" t="s">
        <v>687</v>
      </c>
      <c r="B246" s="34" t="s">
        <v>887</v>
      </c>
      <c r="C246" s="34" t="str">
        <f>VLOOKUP(Observaciones[Caso de Prueba],CasoPrueba[[#All],[Código CP]:[Prioridad]],7,TRUE)</f>
        <v>Alta</v>
      </c>
      <c r="D246" s="34" t="s">
        <v>29</v>
      </c>
      <c r="E246" s="34" t="s">
        <v>49</v>
      </c>
      <c r="F246" s="73">
        <v>40838</v>
      </c>
      <c r="G246" s="73">
        <v>40843</v>
      </c>
      <c r="H246" s="94" t="s">
        <v>132</v>
      </c>
      <c r="I246" s="34" t="s">
        <v>911</v>
      </c>
      <c r="J246" s="34" t="s">
        <v>972</v>
      </c>
      <c r="K246" s="34">
        <f>IF((Observaciones[[#This Row],[Fecha Levantamiento]]-Observaciones[[#This Row],[Fecha Detección]])&gt;=0,Observaciones[[#This Row],[Fecha Levantamiento]]-Observaciones[[#This Row],[Fecha Detección]]+1,0)</f>
        <v>6</v>
      </c>
      <c r="L246" s="34" t="str">
        <f>LOOKUP(Observaciones[[#This Row],[Caso de Prueba]],CasoPrueba[Código CP],CasoPrueba[Código de REQ])</f>
        <v>INSPECCIÓN</v>
      </c>
    </row>
    <row r="247" spans="1:12" ht="45" hidden="1">
      <c r="A247" s="165" t="s">
        <v>688</v>
      </c>
      <c r="B247" s="34" t="s">
        <v>887</v>
      </c>
      <c r="C247" s="34" t="str">
        <f>VLOOKUP(Observaciones[Caso de Prueba],CasoPrueba[[#All],[Código CP]:[Prioridad]],7,TRUE)</f>
        <v>Alta</v>
      </c>
      <c r="D247" s="34" t="s">
        <v>162</v>
      </c>
      <c r="E247" s="34" t="s">
        <v>49</v>
      </c>
      <c r="F247" s="73">
        <v>40838</v>
      </c>
      <c r="G247" s="73">
        <v>40843</v>
      </c>
      <c r="H247" s="94" t="s">
        <v>132</v>
      </c>
      <c r="I247" s="34" t="s">
        <v>912</v>
      </c>
      <c r="J247" s="34" t="s">
        <v>968</v>
      </c>
      <c r="K247" s="34">
        <f>IF((Observaciones[[#This Row],[Fecha Levantamiento]]-Observaciones[[#This Row],[Fecha Detección]])&gt;=0,Observaciones[[#This Row],[Fecha Levantamiento]]-Observaciones[[#This Row],[Fecha Detección]]+1,0)</f>
        <v>6</v>
      </c>
      <c r="L247" s="34" t="str">
        <f>LOOKUP(Observaciones[[#This Row],[Caso de Prueba]],CasoPrueba[Código CP],CasoPrueba[Código de REQ])</f>
        <v>INSPECCIÓN</v>
      </c>
    </row>
    <row r="248" spans="1:12" ht="30" hidden="1">
      <c r="A248" s="165" t="s">
        <v>689</v>
      </c>
      <c r="B248" s="34" t="s">
        <v>887</v>
      </c>
      <c r="C248" s="34" t="str">
        <f>VLOOKUP(Observaciones[Caso de Prueba],CasoPrueba[[#All],[Código CP]:[Prioridad]],7,TRUE)</f>
        <v>Alta</v>
      </c>
      <c r="D248" s="34" t="s">
        <v>29</v>
      </c>
      <c r="E248" s="34" t="s">
        <v>49</v>
      </c>
      <c r="F248" s="73">
        <v>40838</v>
      </c>
      <c r="G248" s="73">
        <v>40843</v>
      </c>
      <c r="H248" s="94" t="s">
        <v>132</v>
      </c>
      <c r="I248" s="34" t="s">
        <v>913</v>
      </c>
      <c r="J248" s="34" t="s">
        <v>835</v>
      </c>
      <c r="K248" s="34">
        <f>IF((Observaciones[[#This Row],[Fecha Levantamiento]]-Observaciones[[#This Row],[Fecha Detección]])&gt;=0,Observaciones[[#This Row],[Fecha Levantamiento]]-Observaciones[[#This Row],[Fecha Detección]]+1,0)</f>
        <v>6</v>
      </c>
      <c r="L248" s="34" t="str">
        <f>LOOKUP(Observaciones[[#This Row],[Caso de Prueba]],CasoPrueba[Código CP],CasoPrueba[Código de REQ])</f>
        <v>INSPECCIÓN</v>
      </c>
    </row>
    <row r="249" spans="1:12" ht="75.75" hidden="1" customHeight="1">
      <c r="A249" s="165" t="s">
        <v>690</v>
      </c>
      <c r="B249" s="34" t="s">
        <v>887</v>
      </c>
      <c r="C249" s="34" t="str">
        <f>VLOOKUP(Observaciones[Caso de Prueba],CasoPrueba[[#All],[Código CP]:[Prioridad]],7,TRUE)</f>
        <v>Alta</v>
      </c>
      <c r="D249" s="34" t="s">
        <v>29</v>
      </c>
      <c r="E249" s="34" t="s">
        <v>49</v>
      </c>
      <c r="F249" s="73">
        <v>40838</v>
      </c>
      <c r="G249" s="73">
        <v>40843</v>
      </c>
      <c r="H249" s="94" t="s">
        <v>132</v>
      </c>
      <c r="I249" s="34" t="s">
        <v>1037</v>
      </c>
      <c r="J249" s="34" t="s">
        <v>973</v>
      </c>
      <c r="K249" s="34">
        <f>IF((Observaciones[[#This Row],[Fecha Levantamiento]]-Observaciones[[#This Row],[Fecha Detección]])&gt;=0,Observaciones[[#This Row],[Fecha Levantamiento]]-Observaciones[[#This Row],[Fecha Detección]]+1,0)</f>
        <v>6</v>
      </c>
      <c r="L249" s="34" t="str">
        <f>LOOKUP(Observaciones[[#This Row],[Caso de Prueba]],CasoPrueba[Código CP],CasoPrueba[Código de REQ])</f>
        <v>INSPECCIÓN</v>
      </c>
    </row>
    <row r="250" spans="1:12" ht="75" hidden="1">
      <c r="A250" s="165" t="s">
        <v>691</v>
      </c>
      <c r="B250" s="34" t="s">
        <v>887</v>
      </c>
      <c r="C250" s="34" t="str">
        <f>VLOOKUP(Observaciones[Caso de Prueba],CasoPrueba[[#All],[Código CP]:[Prioridad]],7,TRUE)</f>
        <v>Alta</v>
      </c>
      <c r="D250" s="34" t="s">
        <v>162</v>
      </c>
      <c r="E250" s="34" t="s">
        <v>49</v>
      </c>
      <c r="F250" s="73">
        <v>40838</v>
      </c>
      <c r="G250" s="73">
        <v>40843</v>
      </c>
      <c r="H250" s="94" t="s">
        <v>132</v>
      </c>
      <c r="I250" s="34" t="s">
        <v>914</v>
      </c>
      <c r="J250" s="34" t="s">
        <v>968</v>
      </c>
      <c r="K250" s="34">
        <f>IF((Observaciones[[#This Row],[Fecha Levantamiento]]-Observaciones[[#This Row],[Fecha Detección]])&gt;=0,Observaciones[[#This Row],[Fecha Levantamiento]]-Observaciones[[#This Row],[Fecha Detección]]+1,0)</f>
        <v>6</v>
      </c>
      <c r="L250" s="34" t="str">
        <f>LOOKUP(Observaciones[[#This Row],[Caso de Prueba]],CasoPrueba[Código CP],CasoPrueba[Código de REQ])</f>
        <v>INSPECCIÓN</v>
      </c>
    </row>
    <row r="251" spans="1:12" ht="30" hidden="1">
      <c r="A251" s="165" t="s">
        <v>692</v>
      </c>
      <c r="B251" s="34" t="s">
        <v>887</v>
      </c>
      <c r="C251" s="34" t="str">
        <f>VLOOKUP(Observaciones[Caso de Prueba],CasoPrueba[[#All],[Código CP]:[Prioridad]],7,TRUE)</f>
        <v>Alta</v>
      </c>
      <c r="D251" s="34" t="s">
        <v>162</v>
      </c>
      <c r="E251" s="34" t="s">
        <v>49</v>
      </c>
      <c r="F251" s="73">
        <v>40838</v>
      </c>
      <c r="G251" s="73">
        <v>40843</v>
      </c>
      <c r="H251" s="94" t="s">
        <v>132</v>
      </c>
      <c r="I251" s="34" t="s">
        <v>915</v>
      </c>
      <c r="J251" s="34" t="s">
        <v>968</v>
      </c>
      <c r="K251" s="34">
        <f>IF((Observaciones[[#This Row],[Fecha Levantamiento]]-Observaciones[[#This Row],[Fecha Detección]])&gt;=0,Observaciones[[#This Row],[Fecha Levantamiento]]-Observaciones[[#This Row],[Fecha Detección]]+1,0)</f>
        <v>6</v>
      </c>
      <c r="L251" s="34" t="str">
        <f>LOOKUP(Observaciones[[#This Row],[Caso de Prueba]],CasoPrueba[Código CP],CasoPrueba[Código de REQ])</f>
        <v>INSPECCIÓN</v>
      </c>
    </row>
    <row r="252" spans="1:12" ht="45" hidden="1">
      <c r="A252" s="165" t="s">
        <v>693</v>
      </c>
      <c r="B252" s="34" t="s">
        <v>887</v>
      </c>
      <c r="C252" s="34" t="str">
        <f>VLOOKUP(Observaciones[Caso de Prueba],CasoPrueba[[#All],[Código CP]:[Prioridad]],7,TRUE)</f>
        <v>Alta</v>
      </c>
      <c r="D252" s="34" t="s">
        <v>29</v>
      </c>
      <c r="E252" s="34" t="s">
        <v>49</v>
      </c>
      <c r="F252" s="73">
        <v>40838</v>
      </c>
      <c r="G252" s="73">
        <v>40843</v>
      </c>
      <c r="H252" s="94" t="s">
        <v>132</v>
      </c>
      <c r="I252" s="34" t="s">
        <v>916</v>
      </c>
      <c r="J252" s="34" t="s">
        <v>974</v>
      </c>
      <c r="K252" s="34">
        <f>IF((Observaciones[[#This Row],[Fecha Levantamiento]]-Observaciones[[#This Row],[Fecha Detección]])&gt;=0,Observaciones[[#This Row],[Fecha Levantamiento]]-Observaciones[[#This Row],[Fecha Detección]]+1,0)</f>
        <v>6</v>
      </c>
      <c r="L252" s="34" t="str">
        <f>LOOKUP(Observaciones[[#This Row],[Caso de Prueba]],CasoPrueba[Código CP],CasoPrueba[Código de REQ])</f>
        <v>INSPECCIÓN</v>
      </c>
    </row>
    <row r="253" spans="1:12" ht="45" hidden="1">
      <c r="A253" s="165" t="s">
        <v>694</v>
      </c>
      <c r="B253" s="34" t="s">
        <v>888</v>
      </c>
      <c r="C253" s="34" t="str">
        <f>VLOOKUP(Observaciones[Caso de Prueba],CasoPrueba[[#All],[Código CP]:[Prioridad]],7,TRUE)</f>
        <v>Alta</v>
      </c>
      <c r="D253" s="34" t="s">
        <v>28</v>
      </c>
      <c r="E253" s="34" t="s">
        <v>49</v>
      </c>
      <c r="F253" s="73">
        <v>40838</v>
      </c>
      <c r="G253" s="73">
        <v>40843</v>
      </c>
      <c r="H253" s="94" t="s">
        <v>132</v>
      </c>
      <c r="I253" s="34" t="s">
        <v>597</v>
      </c>
      <c r="J253" s="34" t="s">
        <v>975</v>
      </c>
      <c r="K253" s="34">
        <f>IF((Observaciones[[#This Row],[Fecha Levantamiento]]-Observaciones[[#This Row],[Fecha Detección]])&gt;=0,Observaciones[[#This Row],[Fecha Levantamiento]]-Observaciones[[#This Row],[Fecha Detección]]+1,0)</f>
        <v>6</v>
      </c>
      <c r="L253" s="34" t="str">
        <f>LOOKUP(Observaciones[[#This Row],[Caso de Prueba]],CasoPrueba[Código CP],CasoPrueba[Código de REQ])</f>
        <v>INSPECCIÓN</v>
      </c>
    </row>
    <row r="254" spans="1:12" ht="60" hidden="1">
      <c r="A254" s="165" t="s">
        <v>695</v>
      </c>
      <c r="B254" s="34" t="s">
        <v>888</v>
      </c>
      <c r="C254" s="34" t="str">
        <f>VLOOKUP(Observaciones[Caso de Prueba],CasoPrueba[[#All],[Código CP]:[Prioridad]],7,TRUE)</f>
        <v>Alta</v>
      </c>
      <c r="D254" s="34" t="s">
        <v>162</v>
      </c>
      <c r="E254" s="34" t="s">
        <v>49</v>
      </c>
      <c r="F254" s="73">
        <v>40838</v>
      </c>
      <c r="G254" s="73">
        <v>40843</v>
      </c>
      <c r="H254" s="94" t="s">
        <v>132</v>
      </c>
      <c r="I254" s="34" t="s">
        <v>918</v>
      </c>
      <c r="J254" s="34" t="s">
        <v>234</v>
      </c>
      <c r="K254" s="34">
        <f>IF((Observaciones[[#This Row],[Fecha Levantamiento]]-Observaciones[[#This Row],[Fecha Detección]])&gt;=0,Observaciones[[#This Row],[Fecha Levantamiento]]-Observaciones[[#This Row],[Fecha Detección]]+1,0)</f>
        <v>6</v>
      </c>
      <c r="L254" s="34" t="str">
        <f>LOOKUP(Observaciones[[#This Row],[Caso de Prueba]],CasoPrueba[Código CP],CasoPrueba[Código de REQ])</f>
        <v>INSPECCIÓN</v>
      </c>
    </row>
    <row r="255" spans="1:12" ht="30" hidden="1">
      <c r="A255" s="165" t="s">
        <v>696</v>
      </c>
      <c r="B255" s="34" t="s">
        <v>888</v>
      </c>
      <c r="C255" s="34" t="str">
        <f>VLOOKUP(Observaciones[Caso de Prueba],CasoPrueba[[#All],[Código CP]:[Prioridad]],7,TRUE)</f>
        <v>Alta</v>
      </c>
      <c r="D255" s="34" t="s">
        <v>162</v>
      </c>
      <c r="E255" s="34" t="s">
        <v>49</v>
      </c>
      <c r="F255" s="73">
        <v>40838</v>
      </c>
      <c r="G255" s="73">
        <v>40843</v>
      </c>
      <c r="H255" s="94" t="s">
        <v>132</v>
      </c>
      <c r="I255" s="34" t="s">
        <v>919</v>
      </c>
      <c r="J255" s="34" t="s">
        <v>976</v>
      </c>
      <c r="K255" s="34">
        <f>IF((Observaciones[[#This Row],[Fecha Levantamiento]]-Observaciones[[#This Row],[Fecha Detección]])&gt;=0,Observaciones[[#This Row],[Fecha Levantamiento]]-Observaciones[[#This Row],[Fecha Detección]]+1,0)</f>
        <v>6</v>
      </c>
      <c r="L255" s="34" t="str">
        <f>LOOKUP(Observaciones[[#This Row],[Caso de Prueba]],CasoPrueba[Código CP],CasoPrueba[Código de REQ])</f>
        <v>INSPECCIÓN</v>
      </c>
    </row>
    <row r="256" spans="1:12" ht="90" hidden="1">
      <c r="A256" s="165" t="s">
        <v>697</v>
      </c>
      <c r="B256" s="34" t="s">
        <v>888</v>
      </c>
      <c r="C256" s="34" t="str">
        <f>VLOOKUP(Observaciones[Caso de Prueba],CasoPrueba[[#All],[Código CP]:[Prioridad]],7,TRUE)</f>
        <v>Alta</v>
      </c>
      <c r="D256" s="34" t="s">
        <v>29</v>
      </c>
      <c r="E256" s="34" t="s">
        <v>49</v>
      </c>
      <c r="F256" s="73">
        <v>40838</v>
      </c>
      <c r="G256" s="73">
        <v>40843</v>
      </c>
      <c r="H256" s="94" t="s">
        <v>132</v>
      </c>
      <c r="I256" s="34" t="s">
        <v>599</v>
      </c>
      <c r="J256" s="34" t="s">
        <v>981</v>
      </c>
      <c r="K256" s="34">
        <f>IF((Observaciones[[#This Row],[Fecha Levantamiento]]-Observaciones[[#This Row],[Fecha Detección]])&gt;=0,Observaciones[[#This Row],[Fecha Levantamiento]]-Observaciones[[#This Row],[Fecha Detección]]+1,0)</f>
        <v>6</v>
      </c>
      <c r="L256" s="34" t="str">
        <f>LOOKUP(Observaciones[[#This Row],[Caso de Prueba]],CasoPrueba[Código CP],CasoPrueba[Código de REQ])</f>
        <v>INSPECCIÓN</v>
      </c>
    </row>
    <row r="257" spans="1:12" ht="45" hidden="1">
      <c r="A257" s="165" t="s">
        <v>698</v>
      </c>
      <c r="B257" s="34" t="s">
        <v>888</v>
      </c>
      <c r="C257" s="34" t="str">
        <f>VLOOKUP(Observaciones[Caso de Prueba],CasoPrueba[[#All],[Código CP]:[Prioridad]],7,TRUE)</f>
        <v>Alta</v>
      </c>
      <c r="D257" s="34" t="s">
        <v>28</v>
      </c>
      <c r="E257" s="34" t="s">
        <v>49</v>
      </c>
      <c r="F257" s="73">
        <v>40838</v>
      </c>
      <c r="G257" s="73">
        <v>40843</v>
      </c>
      <c r="H257" s="94" t="s">
        <v>132</v>
      </c>
      <c r="I257" s="34" t="s">
        <v>871</v>
      </c>
      <c r="J257" s="34" t="s">
        <v>977</v>
      </c>
      <c r="K257" s="34">
        <f>IF((Observaciones[[#This Row],[Fecha Levantamiento]]-Observaciones[[#This Row],[Fecha Detección]])&gt;=0,Observaciones[[#This Row],[Fecha Levantamiento]]-Observaciones[[#This Row],[Fecha Detección]]+1,0)</f>
        <v>6</v>
      </c>
      <c r="L257" s="34" t="str">
        <f>LOOKUP(Observaciones[[#This Row],[Caso de Prueba]],CasoPrueba[Código CP],CasoPrueba[Código de REQ])</f>
        <v>INSPECCIÓN</v>
      </c>
    </row>
    <row r="258" spans="1:12" ht="90.75" hidden="1" customHeight="1">
      <c r="A258" s="165" t="s">
        <v>699</v>
      </c>
      <c r="B258" s="34" t="s">
        <v>888</v>
      </c>
      <c r="C258" s="34" t="str">
        <f>VLOOKUP(Observaciones[Caso de Prueba],CasoPrueba[[#All],[Código CP]:[Prioridad]],7,TRUE)</f>
        <v>Alta</v>
      </c>
      <c r="D258" s="34" t="s">
        <v>28</v>
      </c>
      <c r="E258" s="34" t="s">
        <v>49</v>
      </c>
      <c r="F258" s="73">
        <v>40838</v>
      </c>
      <c r="G258" s="73">
        <v>40843</v>
      </c>
      <c r="H258" s="94" t="s">
        <v>132</v>
      </c>
      <c r="I258" s="34" t="s">
        <v>920</v>
      </c>
      <c r="J258" s="34" t="s">
        <v>982</v>
      </c>
      <c r="K258" s="34">
        <f>IF((Observaciones[[#This Row],[Fecha Levantamiento]]-Observaciones[[#This Row],[Fecha Detección]])&gt;=0,Observaciones[[#This Row],[Fecha Levantamiento]]-Observaciones[[#This Row],[Fecha Detección]]+1,0)</f>
        <v>6</v>
      </c>
      <c r="L258" s="34" t="str">
        <f>LOOKUP(Observaciones[[#This Row],[Caso de Prueba]],CasoPrueba[Código CP],CasoPrueba[Código de REQ])</f>
        <v>INSPECCIÓN</v>
      </c>
    </row>
    <row r="259" spans="1:12" ht="30" hidden="1">
      <c r="A259" s="165" t="s">
        <v>700</v>
      </c>
      <c r="B259" s="34" t="s">
        <v>888</v>
      </c>
      <c r="C259" s="34" t="str">
        <f>VLOOKUP(Observaciones[Caso de Prueba],CasoPrueba[[#All],[Código CP]:[Prioridad]],7,TRUE)</f>
        <v>Alta</v>
      </c>
      <c r="D259" s="34" t="s">
        <v>29</v>
      </c>
      <c r="E259" s="34" t="s">
        <v>49</v>
      </c>
      <c r="F259" s="73">
        <v>40838</v>
      </c>
      <c r="G259" s="73">
        <v>40843</v>
      </c>
      <c r="H259" s="94" t="s">
        <v>132</v>
      </c>
      <c r="I259" s="34" t="s">
        <v>921</v>
      </c>
      <c r="J259" s="34" t="s">
        <v>978</v>
      </c>
      <c r="K259" s="34">
        <f>IF((Observaciones[[#This Row],[Fecha Levantamiento]]-Observaciones[[#This Row],[Fecha Detección]])&gt;=0,Observaciones[[#This Row],[Fecha Levantamiento]]-Observaciones[[#This Row],[Fecha Detección]]+1,0)</f>
        <v>6</v>
      </c>
      <c r="L259" s="34" t="str">
        <f>LOOKUP(Observaciones[[#This Row],[Caso de Prueba]],CasoPrueba[Código CP],CasoPrueba[Código de REQ])</f>
        <v>INSPECCIÓN</v>
      </c>
    </row>
    <row r="260" spans="1:12" ht="45" hidden="1">
      <c r="A260" s="165" t="s">
        <v>701</v>
      </c>
      <c r="B260" s="34" t="s">
        <v>888</v>
      </c>
      <c r="C260" s="34" t="str">
        <f>VLOOKUP(Observaciones[Caso de Prueba],CasoPrueba[[#All],[Código CP]:[Prioridad]],7,TRUE)</f>
        <v>Alta</v>
      </c>
      <c r="D260" s="34" t="s">
        <v>29</v>
      </c>
      <c r="E260" s="34" t="s">
        <v>49</v>
      </c>
      <c r="F260" s="73">
        <v>40838</v>
      </c>
      <c r="G260" s="73">
        <v>40843</v>
      </c>
      <c r="H260" s="94" t="s">
        <v>132</v>
      </c>
      <c r="I260" s="34" t="s">
        <v>922</v>
      </c>
      <c r="J260" s="34" t="s">
        <v>823</v>
      </c>
      <c r="K260" s="34">
        <f>IF((Observaciones[[#This Row],[Fecha Levantamiento]]-Observaciones[[#This Row],[Fecha Detección]])&gt;=0,Observaciones[[#This Row],[Fecha Levantamiento]]-Observaciones[[#This Row],[Fecha Detección]]+1,0)</f>
        <v>6</v>
      </c>
      <c r="L260" s="34" t="str">
        <f>LOOKUP(Observaciones[[#This Row],[Caso de Prueba]],CasoPrueba[Código CP],CasoPrueba[Código de REQ])</f>
        <v>INSPECCIÓN</v>
      </c>
    </row>
    <row r="261" spans="1:12" ht="41.25" hidden="1" customHeight="1">
      <c r="A261" s="165" t="s">
        <v>702</v>
      </c>
      <c r="B261" s="34" t="s">
        <v>888</v>
      </c>
      <c r="C261" s="34" t="str">
        <f>VLOOKUP(Observaciones[Caso de Prueba],CasoPrueba[[#All],[Código CP]:[Prioridad]],7,TRUE)</f>
        <v>Alta</v>
      </c>
      <c r="D261" s="34" t="s">
        <v>162</v>
      </c>
      <c r="E261" s="34" t="s">
        <v>49</v>
      </c>
      <c r="F261" s="73">
        <v>40838</v>
      </c>
      <c r="G261" s="73">
        <v>40843</v>
      </c>
      <c r="H261" s="94" t="s">
        <v>132</v>
      </c>
      <c r="I261" s="34" t="s">
        <v>923</v>
      </c>
      <c r="J261" s="34" t="s">
        <v>823</v>
      </c>
      <c r="K261" s="34">
        <f>IF((Observaciones[[#This Row],[Fecha Levantamiento]]-Observaciones[[#This Row],[Fecha Detección]])&gt;=0,Observaciones[[#This Row],[Fecha Levantamiento]]-Observaciones[[#This Row],[Fecha Detección]]+1,0)</f>
        <v>6</v>
      </c>
      <c r="L261" s="34" t="str">
        <f>LOOKUP(Observaciones[[#This Row],[Caso de Prueba]],CasoPrueba[Código CP],CasoPrueba[Código de REQ])</f>
        <v>INSPECCIÓN</v>
      </c>
    </row>
    <row r="262" spans="1:12" ht="30" hidden="1">
      <c r="A262" s="165" t="s">
        <v>703</v>
      </c>
      <c r="B262" s="34" t="s">
        <v>888</v>
      </c>
      <c r="C262" s="34" t="str">
        <f>VLOOKUP(Observaciones[Caso de Prueba],CasoPrueba[[#All],[Código CP]:[Prioridad]],7,TRUE)</f>
        <v>Alta</v>
      </c>
      <c r="D262" s="34" t="s">
        <v>29</v>
      </c>
      <c r="E262" s="34" t="s">
        <v>49</v>
      </c>
      <c r="F262" s="73">
        <v>40838</v>
      </c>
      <c r="G262" s="73">
        <v>40843</v>
      </c>
      <c r="H262" s="94" t="s">
        <v>132</v>
      </c>
      <c r="I262" s="34" t="s">
        <v>925</v>
      </c>
      <c r="J262" s="34" t="s">
        <v>979</v>
      </c>
      <c r="K262" s="34">
        <f>IF((Observaciones[[#This Row],[Fecha Levantamiento]]-Observaciones[[#This Row],[Fecha Detección]])&gt;=0,Observaciones[[#This Row],[Fecha Levantamiento]]-Observaciones[[#This Row],[Fecha Detección]]+1,0)</f>
        <v>6</v>
      </c>
      <c r="L262" s="34" t="str">
        <f>LOOKUP(Observaciones[[#This Row],[Caso de Prueba]],CasoPrueba[Código CP],CasoPrueba[Código de REQ])</f>
        <v>INSPECCIÓN</v>
      </c>
    </row>
    <row r="263" spans="1:12" ht="30" hidden="1">
      <c r="A263" s="165" t="s">
        <v>704</v>
      </c>
      <c r="B263" s="34" t="s">
        <v>888</v>
      </c>
      <c r="C263" s="34" t="str">
        <f>VLOOKUP(Observaciones[Caso de Prueba],CasoPrueba[[#All],[Código CP]:[Prioridad]],7,TRUE)</f>
        <v>Alta</v>
      </c>
      <c r="D263" s="34" t="s">
        <v>29</v>
      </c>
      <c r="E263" s="34" t="s">
        <v>49</v>
      </c>
      <c r="F263" s="73">
        <v>40838</v>
      </c>
      <c r="G263" s="73">
        <v>40843</v>
      </c>
      <c r="H263" s="94" t="s">
        <v>132</v>
      </c>
      <c r="I263" s="34" t="s">
        <v>924</v>
      </c>
      <c r="J263" s="34" t="s">
        <v>980</v>
      </c>
      <c r="K263" s="34">
        <f>IF((Observaciones[[#This Row],[Fecha Levantamiento]]-Observaciones[[#This Row],[Fecha Detección]])&gt;=0,Observaciones[[#This Row],[Fecha Levantamiento]]-Observaciones[[#This Row],[Fecha Detección]]+1,0)</f>
        <v>6</v>
      </c>
      <c r="L263" s="34" t="str">
        <f>LOOKUP(Observaciones[[#This Row],[Caso de Prueba]],CasoPrueba[Código CP],CasoPrueba[Código de REQ])</f>
        <v>INSPECCIÓN</v>
      </c>
    </row>
    <row r="264" spans="1:12" ht="45" hidden="1">
      <c r="A264" s="165" t="s">
        <v>705</v>
      </c>
      <c r="B264" s="34" t="s">
        <v>889</v>
      </c>
      <c r="C264" s="34" t="str">
        <f>VLOOKUP(Observaciones[Caso de Prueba],CasoPrueba[[#All],[Código CP]:[Prioridad]],7,TRUE)</f>
        <v>Alta</v>
      </c>
      <c r="D264" s="34" t="s">
        <v>162</v>
      </c>
      <c r="E264" s="34" t="s">
        <v>49</v>
      </c>
      <c r="F264" s="73">
        <v>40838</v>
      </c>
      <c r="G264" s="73">
        <v>40843</v>
      </c>
      <c r="H264" s="94" t="s">
        <v>132</v>
      </c>
      <c r="I264" s="34" t="s">
        <v>926</v>
      </c>
      <c r="J264" s="34" t="s">
        <v>987</v>
      </c>
      <c r="K264" s="34">
        <f>IF((Observaciones[[#This Row],[Fecha Levantamiento]]-Observaciones[[#This Row],[Fecha Detección]])&gt;=0,Observaciones[[#This Row],[Fecha Levantamiento]]-Observaciones[[#This Row],[Fecha Detección]]+1,0)</f>
        <v>6</v>
      </c>
      <c r="L264" s="34" t="str">
        <f>LOOKUP(Observaciones[[#This Row],[Caso de Prueba]],CasoPrueba[Código CP],CasoPrueba[Código de REQ])</f>
        <v>INSPECCIÓN</v>
      </c>
    </row>
    <row r="265" spans="1:12" ht="45" hidden="1">
      <c r="A265" s="165" t="s">
        <v>706</v>
      </c>
      <c r="B265" s="34" t="s">
        <v>889</v>
      </c>
      <c r="C265" s="34" t="str">
        <f>VLOOKUP(Observaciones[Caso de Prueba],CasoPrueba[[#All],[Código CP]:[Prioridad]],7,TRUE)</f>
        <v>Alta</v>
      </c>
      <c r="D265" s="34" t="s">
        <v>162</v>
      </c>
      <c r="E265" s="34" t="s">
        <v>49</v>
      </c>
      <c r="F265" s="73">
        <v>40838</v>
      </c>
      <c r="G265" s="73">
        <v>40843</v>
      </c>
      <c r="H265" s="94" t="s">
        <v>132</v>
      </c>
      <c r="I265" s="34" t="s">
        <v>931</v>
      </c>
      <c r="J265" s="34" t="s">
        <v>199</v>
      </c>
      <c r="K265" s="34">
        <f>IF((Observaciones[[#This Row],[Fecha Levantamiento]]-Observaciones[[#This Row],[Fecha Detección]])&gt;=0,Observaciones[[#This Row],[Fecha Levantamiento]]-Observaciones[[#This Row],[Fecha Detección]]+1,0)</f>
        <v>6</v>
      </c>
      <c r="L265" s="34" t="str">
        <f>LOOKUP(Observaciones[[#This Row],[Caso de Prueba]],CasoPrueba[Código CP],CasoPrueba[Código de REQ])</f>
        <v>INSPECCIÓN</v>
      </c>
    </row>
    <row r="266" spans="1:12" ht="45" hidden="1">
      <c r="A266" s="165" t="s">
        <v>707</v>
      </c>
      <c r="B266" s="34" t="s">
        <v>889</v>
      </c>
      <c r="C266" s="34" t="str">
        <f>VLOOKUP(Observaciones[Caso de Prueba],CasoPrueba[[#All],[Código CP]:[Prioridad]],7,TRUE)</f>
        <v>Alta</v>
      </c>
      <c r="D266" s="34" t="s">
        <v>30</v>
      </c>
      <c r="E266" s="34" t="s">
        <v>49</v>
      </c>
      <c r="F266" s="73">
        <v>40838</v>
      </c>
      <c r="G266" s="73">
        <v>40843</v>
      </c>
      <c r="H266" s="94" t="s">
        <v>132</v>
      </c>
      <c r="I266" s="34" t="s">
        <v>932</v>
      </c>
      <c r="J266" s="34" t="s">
        <v>990</v>
      </c>
      <c r="K266" s="34">
        <f>IF((Observaciones[[#This Row],[Fecha Levantamiento]]-Observaciones[[#This Row],[Fecha Detección]])&gt;=0,Observaciones[[#This Row],[Fecha Levantamiento]]-Observaciones[[#This Row],[Fecha Detección]]+1,0)</f>
        <v>6</v>
      </c>
      <c r="L266" s="34" t="str">
        <f>LOOKUP(Observaciones[[#This Row],[Caso de Prueba]],CasoPrueba[Código CP],CasoPrueba[Código de REQ])</f>
        <v>INSPECCIÓN</v>
      </c>
    </row>
    <row r="267" spans="1:12" ht="45" hidden="1">
      <c r="A267" s="165" t="s">
        <v>708</v>
      </c>
      <c r="B267" s="34" t="s">
        <v>889</v>
      </c>
      <c r="C267" s="34" t="str">
        <f>VLOOKUP(Observaciones[Caso de Prueba],CasoPrueba[[#All],[Código CP]:[Prioridad]],7,TRUE)</f>
        <v>Alta</v>
      </c>
      <c r="D267" s="34" t="s">
        <v>162</v>
      </c>
      <c r="E267" s="34" t="s">
        <v>49</v>
      </c>
      <c r="F267" s="73">
        <v>40838</v>
      </c>
      <c r="G267" s="73">
        <v>40843</v>
      </c>
      <c r="H267" s="94" t="s">
        <v>132</v>
      </c>
      <c r="I267" s="34" t="s">
        <v>927</v>
      </c>
      <c r="J267" s="34" t="s">
        <v>988</v>
      </c>
      <c r="K267" s="34">
        <f>IF((Observaciones[[#This Row],[Fecha Levantamiento]]-Observaciones[[#This Row],[Fecha Detección]])&gt;=0,Observaciones[[#This Row],[Fecha Levantamiento]]-Observaciones[[#This Row],[Fecha Detección]]+1,0)</f>
        <v>6</v>
      </c>
      <c r="L267" s="34" t="str">
        <f>LOOKUP(Observaciones[[#This Row],[Caso de Prueba]],CasoPrueba[Código CP],CasoPrueba[Código de REQ])</f>
        <v>INSPECCIÓN</v>
      </c>
    </row>
    <row r="268" spans="1:12" ht="90" hidden="1">
      <c r="A268" s="165" t="s">
        <v>709</v>
      </c>
      <c r="B268" s="34" t="s">
        <v>889</v>
      </c>
      <c r="C268" s="34" t="str">
        <f>VLOOKUP(Observaciones[Caso de Prueba],CasoPrueba[[#All],[Código CP]:[Prioridad]],7,TRUE)</f>
        <v>Alta</v>
      </c>
      <c r="D268" s="34" t="s">
        <v>29</v>
      </c>
      <c r="E268" s="34" t="s">
        <v>49</v>
      </c>
      <c r="F268" s="73">
        <v>40838</v>
      </c>
      <c r="G268" s="73">
        <v>40843</v>
      </c>
      <c r="H268" s="94" t="s">
        <v>132</v>
      </c>
      <c r="I268" s="34" t="s">
        <v>599</v>
      </c>
      <c r="J268" s="34" t="s">
        <v>840</v>
      </c>
      <c r="K268" s="34">
        <f>IF((Observaciones[[#This Row],[Fecha Levantamiento]]-Observaciones[[#This Row],[Fecha Detección]])&gt;=0,Observaciones[[#This Row],[Fecha Levantamiento]]-Observaciones[[#This Row],[Fecha Detección]]+1,0)</f>
        <v>6</v>
      </c>
      <c r="L268" s="34" t="str">
        <f>LOOKUP(Observaciones[[#This Row],[Caso de Prueba]],CasoPrueba[Código CP],CasoPrueba[Código de REQ])</f>
        <v>INSPECCIÓN</v>
      </c>
    </row>
    <row r="269" spans="1:12" ht="45" hidden="1">
      <c r="A269" s="165" t="s">
        <v>710</v>
      </c>
      <c r="B269" s="34" t="s">
        <v>889</v>
      </c>
      <c r="C269" s="34" t="str">
        <f>VLOOKUP(Observaciones[Caso de Prueba],CasoPrueba[[#All],[Código CP]:[Prioridad]],7,TRUE)</f>
        <v>Alta</v>
      </c>
      <c r="D269" s="34" t="s">
        <v>28</v>
      </c>
      <c r="E269" s="34" t="s">
        <v>49</v>
      </c>
      <c r="F269" s="73">
        <v>40838</v>
      </c>
      <c r="G269" s="73">
        <v>40843</v>
      </c>
      <c r="H269" s="94" t="s">
        <v>132</v>
      </c>
      <c r="I269" s="34" t="s">
        <v>871</v>
      </c>
      <c r="J269" s="34" t="s">
        <v>986</v>
      </c>
      <c r="K269" s="34">
        <f>IF((Observaciones[[#This Row],[Fecha Levantamiento]]-Observaciones[[#This Row],[Fecha Detección]])&gt;=0,Observaciones[[#This Row],[Fecha Levantamiento]]-Observaciones[[#This Row],[Fecha Detección]]+1,0)</f>
        <v>6</v>
      </c>
      <c r="L269" s="34" t="str">
        <f>LOOKUP(Observaciones[[#This Row],[Caso de Prueba]],CasoPrueba[Código CP],CasoPrueba[Código de REQ])</f>
        <v>INSPECCIÓN</v>
      </c>
    </row>
    <row r="270" spans="1:12" ht="45" hidden="1">
      <c r="A270" s="165" t="s">
        <v>711</v>
      </c>
      <c r="B270" s="34" t="s">
        <v>889</v>
      </c>
      <c r="C270" s="34" t="str">
        <f>VLOOKUP(Observaciones[Caso de Prueba],CasoPrueba[[#All],[Código CP]:[Prioridad]],7,TRUE)</f>
        <v>Alta</v>
      </c>
      <c r="D270" s="34" t="s">
        <v>28</v>
      </c>
      <c r="E270" s="34" t="s">
        <v>49</v>
      </c>
      <c r="F270" s="73">
        <v>40838</v>
      </c>
      <c r="G270" s="73">
        <v>40843</v>
      </c>
      <c r="H270" s="94" t="s">
        <v>132</v>
      </c>
      <c r="I270" s="34" t="s">
        <v>928</v>
      </c>
      <c r="J270" s="34" t="s">
        <v>995</v>
      </c>
      <c r="K270" s="34">
        <f>IF((Observaciones[[#This Row],[Fecha Levantamiento]]-Observaciones[[#This Row],[Fecha Detección]])&gt;=0,Observaciones[[#This Row],[Fecha Levantamiento]]-Observaciones[[#This Row],[Fecha Detección]]+1,0)</f>
        <v>6</v>
      </c>
      <c r="L270" s="34" t="str">
        <f>LOOKUP(Observaciones[[#This Row],[Caso de Prueba]],CasoPrueba[Código CP],CasoPrueba[Código de REQ])</f>
        <v>INSPECCIÓN</v>
      </c>
    </row>
    <row r="271" spans="1:12" ht="30" hidden="1">
      <c r="A271" s="165" t="s">
        <v>712</v>
      </c>
      <c r="B271" s="34" t="s">
        <v>889</v>
      </c>
      <c r="C271" s="34" t="str">
        <f>VLOOKUP(Observaciones[Caso de Prueba],CasoPrueba[[#All],[Código CP]:[Prioridad]],7,TRUE)</f>
        <v>Alta</v>
      </c>
      <c r="D271" s="34" t="s">
        <v>29</v>
      </c>
      <c r="E271" s="34" t="s">
        <v>49</v>
      </c>
      <c r="F271" s="73">
        <v>40838</v>
      </c>
      <c r="G271" s="73">
        <v>40843</v>
      </c>
      <c r="H271" s="94" t="s">
        <v>132</v>
      </c>
      <c r="I271" s="34" t="s">
        <v>929</v>
      </c>
      <c r="J271" s="34" t="s">
        <v>992</v>
      </c>
      <c r="K271" s="34">
        <f>IF((Observaciones[[#This Row],[Fecha Levantamiento]]-Observaciones[[#This Row],[Fecha Detección]])&gt;=0,Observaciones[[#This Row],[Fecha Levantamiento]]-Observaciones[[#This Row],[Fecha Detección]]+1,0)</f>
        <v>6</v>
      </c>
      <c r="L271" s="34" t="str">
        <f>LOOKUP(Observaciones[[#This Row],[Caso de Prueba]],CasoPrueba[Código CP],CasoPrueba[Código de REQ])</f>
        <v>INSPECCIÓN</v>
      </c>
    </row>
    <row r="272" spans="1:12" ht="45" hidden="1">
      <c r="A272" s="165" t="s">
        <v>713</v>
      </c>
      <c r="B272" s="34" t="s">
        <v>889</v>
      </c>
      <c r="C272" s="34" t="str">
        <f>VLOOKUP(Observaciones[Caso de Prueba],CasoPrueba[[#All],[Código CP]:[Prioridad]],7,TRUE)</f>
        <v>Alta</v>
      </c>
      <c r="D272" s="34" t="s">
        <v>29</v>
      </c>
      <c r="E272" s="34" t="s">
        <v>49</v>
      </c>
      <c r="F272" s="73">
        <v>40838</v>
      </c>
      <c r="G272" s="73">
        <v>40843</v>
      </c>
      <c r="H272" s="94" t="s">
        <v>132</v>
      </c>
      <c r="I272" s="34" t="s">
        <v>930</v>
      </c>
      <c r="J272" s="34" t="s">
        <v>993</v>
      </c>
      <c r="K272" s="34">
        <f>IF((Observaciones[[#This Row],[Fecha Levantamiento]]-Observaciones[[#This Row],[Fecha Detección]])&gt;=0,Observaciones[[#This Row],[Fecha Levantamiento]]-Observaciones[[#This Row],[Fecha Detección]]+1,0)</f>
        <v>6</v>
      </c>
      <c r="L272" s="34" t="str">
        <f>LOOKUP(Observaciones[[#This Row],[Caso de Prueba]],CasoPrueba[Código CP],CasoPrueba[Código de REQ])</f>
        <v>INSPECCIÓN</v>
      </c>
    </row>
    <row r="273" spans="1:12" ht="30">
      <c r="A273" s="165" t="s">
        <v>714</v>
      </c>
      <c r="B273" s="34" t="s">
        <v>889</v>
      </c>
      <c r="C273" s="34" t="str">
        <f>VLOOKUP(Observaciones[Caso de Prueba],CasoPrueba[[#All],[Código CP]:[Prioridad]],7,TRUE)</f>
        <v>Alta</v>
      </c>
      <c r="D273" s="34" t="s">
        <v>30</v>
      </c>
      <c r="E273" s="34" t="s">
        <v>49</v>
      </c>
      <c r="F273" s="73">
        <v>40838</v>
      </c>
      <c r="G273" s="73">
        <v>40843</v>
      </c>
      <c r="H273" s="94" t="s">
        <v>132</v>
      </c>
      <c r="I273" s="34" t="s">
        <v>933</v>
      </c>
      <c r="J273" s="34" t="s">
        <v>991</v>
      </c>
      <c r="K273" s="34">
        <f>IF((Observaciones[[#This Row],[Fecha Levantamiento]]-Observaciones[[#This Row],[Fecha Detección]])&gt;=0,Observaciones[[#This Row],[Fecha Levantamiento]]-Observaciones[[#This Row],[Fecha Detección]]+1,0)</f>
        <v>6</v>
      </c>
      <c r="L273" s="34" t="str">
        <f>LOOKUP(Observaciones[[#This Row],[Caso de Prueba]],CasoPrueba[Código CP],CasoPrueba[Código de REQ])</f>
        <v>INSPECCIÓN</v>
      </c>
    </row>
    <row r="274" spans="1:12" ht="30" hidden="1">
      <c r="A274" s="165" t="s">
        <v>715</v>
      </c>
      <c r="B274" s="34" t="s">
        <v>889</v>
      </c>
      <c r="C274" s="34" t="str">
        <f>VLOOKUP(Observaciones[Caso de Prueba],CasoPrueba[[#All],[Código CP]:[Prioridad]],7,TRUE)</f>
        <v>Alta</v>
      </c>
      <c r="D274" s="34" t="s">
        <v>29</v>
      </c>
      <c r="E274" s="34" t="s">
        <v>49</v>
      </c>
      <c r="F274" s="73">
        <v>40838</v>
      </c>
      <c r="G274" s="73">
        <v>40843</v>
      </c>
      <c r="H274" s="94" t="s">
        <v>132</v>
      </c>
      <c r="I274" s="34" t="s">
        <v>934</v>
      </c>
      <c r="J274" s="34" t="s">
        <v>994</v>
      </c>
      <c r="K274" s="34">
        <f>IF((Observaciones[[#This Row],[Fecha Levantamiento]]-Observaciones[[#This Row],[Fecha Detección]])&gt;=0,Observaciones[[#This Row],[Fecha Levantamiento]]-Observaciones[[#This Row],[Fecha Detección]]+1,0)</f>
        <v>6</v>
      </c>
      <c r="L274" s="34" t="str">
        <f>LOOKUP(Observaciones[[#This Row],[Caso de Prueba]],CasoPrueba[Código CP],CasoPrueba[Código de REQ])</f>
        <v>INSPECCIÓN</v>
      </c>
    </row>
    <row r="275" spans="1:12" ht="30" hidden="1">
      <c r="A275" s="165" t="s">
        <v>716</v>
      </c>
      <c r="B275" s="34" t="s">
        <v>889</v>
      </c>
      <c r="C275" s="34" t="str">
        <f>VLOOKUP(Observaciones[Caso de Prueba],CasoPrueba[[#All],[Código CP]:[Prioridad]],7,TRUE)</f>
        <v>Alta</v>
      </c>
      <c r="D275" s="34" t="s">
        <v>30</v>
      </c>
      <c r="E275" s="34" t="s">
        <v>49</v>
      </c>
      <c r="F275" s="73">
        <v>40838</v>
      </c>
      <c r="G275" s="73">
        <v>40843</v>
      </c>
      <c r="H275" s="94" t="s">
        <v>132</v>
      </c>
      <c r="I275" s="34" t="s">
        <v>935</v>
      </c>
      <c r="J275" s="34" t="s">
        <v>991</v>
      </c>
      <c r="K275" s="34">
        <f>IF((Observaciones[[#This Row],[Fecha Levantamiento]]-Observaciones[[#This Row],[Fecha Detección]])&gt;=0,Observaciones[[#This Row],[Fecha Levantamiento]]-Observaciones[[#This Row],[Fecha Detección]]+1,0)</f>
        <v>6</v>
      </c>
      <c r="L275" s="34" t="str">
        <f>LOOKUP(Observaciones[[#This Row],[Caso de Prueba]],CasoPrueba[Código CP],CasoPrueba[Código de REQ])</f>
        <v>INSPECCIÓN</v>
      </c>
    </row>
    <row r="276" spans="1:12" ht="45" hidden="1">
      <c r="A276" s="165" t="s">
        <v>717</v>
      </c>
      <c r="B276" s="34" t="s">
        <v>889</v>
      </c>
      <c r="C276" s="34" t="str">
        <f>VLOOKUP(Observaciones[Caso de Prueba],CasoPrueba[[#All],[Código CP]:[Prioridad]],7,TRUE)</f>
        <v>Alta</v>
      </c>
      <c r="D276" s="34" t="s">
        <v>162</v>
      </c>
      <c r="E276" s="34" t="s">
        <v>49</v>
      </c>
      <c r="F276" s="73">
        <v>40838</v>
      </c>
      <c r="G276" s="73">
        <v>40843</v>
      </c>
      <c r="H276" s="94" t="s">
        <v>132</v>
      </c>
      <c r="I276" s="34" t="s">
        <v>936</v>
      </c>
      <c r="J276" s="34" t="s">
        <v>989</v>
      </c>
      <c r="K276" s="34">
        <f>IF((Observaciones[[#This Row],[Fecha Levantamiento]]-Observaciones[[#This Row],[Fecha Detección]])&gt;=0,Observaciones[[#This Row],[Fecha Levantamiento]]-Observaciones[[#This Row],[Fecha Detección]]+1,0)</f>
        <v>6</v>
      </c>
      <c r="L276" s="34" t="str">
        <f>LOOKUP(Observaciones[[#This Row],[Caso de Prueba]],CasoPrueba[Código CP],CasoPrueba[Código de REQ])</f>
        <v>INSPECCIÓN</v>
      </c>
    </row>
    <row r="277" spans="1:12" ht="45" hidden="1">
      <c r="A277" s="165" t="s">
        <v>718</v>
      </c>
      <c r="B277" s="34" t="s">
        <v>890</v>
      </c>
      <c r="C277" s="34" t="str">
        <f>VLOOKUP(Observaciones[Caso de Prueba],CasoPrueba[[#All],[Código CP]:[Prioridad]],7,TRUE)</f>
        <v>Alta</v>
      </c>
      <c r="D277" s="34" t="s">
        <v>28</v>
      </c>
      <c r="E277" s="34" t="s">
        <v>49</v>
      </c>
      <c r="F277" s="73">
        <v>40838</v>
      </c>
      <c r="G277" s="73">
        <v>40843</v>
      </c>
      <c r="H277" s="94" t="s">
        <v>132</v>
      </c>
      <c r="I277" s="34" t="s">
        <v>597</v>
      </c>
      <c r="J277" s="34" t="s">
        <v>986</v>
      </c>
      <c r="K277" s="34">
        <f>IF((Observaciones[[#This Row],[Fecha Levantamiento]]-Observaciones[[#This Row],[Fecha Detección]])&gt;=0,Observaciones[[#This Row],[Fecha Levantamiento]]-Observaciones[[#This Row],[Fecha Detección]]+1,0)</f>
        <v>6</v>
      </c>
      <c r="L277" s="34" t="str">
        <f>LOOKUP(Observaciones[[#This Row],[Caso de Prueba]],CasoPrueba[Código CP],CasoPrueba[Código de REQ])</f>
        <v>INSPECCIÓN</v>
      </c>
    </row>
    <row r="278" spans="1:12" ht="45" hidden="1">
      <c r="A278" s="165" t="s">
        <v>719</v>
      </c>
      <c r="B278" s="34" t="s">
        <v>890</v>
      </c>
      <c r="C278" s="34" t="str">
        <f>VLOOKUP(Observaciones[Caso de Prueba],CasoPrueba[[#All],[Código CP]:[Prioridad]],7,TRUE)</f>
        <v>Alta</v>
      </c>
      <c r="D278" s="34" t="s">
        <v>162</v>
      </c>
      <c r="E278" s="34" t="s">
        <v>49</v>
      </c>
      <c r="F278" s="73">
        <v>40838</v>
      </c>
      <c r="G278" s="73">
        <v>40843</v>
      </c>
      <c r="H278" s="94" t="s">
        <v>132</v>
      </c>
      <c r="I278" s="34" t="s">
        <v>926</v>
      </c>
      <c r="J278" s="34" t="s">
        <v>987</v>
      </c>
      <c r="K278" s="34">
        <f>IF((Observaciones[[#This Row],[Fecha Levantamiento]]-Observaciones[[#This Row],[Fecha Detección]])&gt;=0,Observaciones[[#This Row],[Fecha Levantamiento]]-Observaciones[[#This Row],[Fecha Detección]]+1,0)</f>
        <v>6</v>
      </c>
      <c r="L278" s="34" t="str">
        <f>LOOKUP(Observaciones[[#This Row],[Caso de Prueba]],CasoPrueba[Código CP],CasoPrueba[Código de REQ])</f>
        <v>INSPECCIÓN</v>
      </c>
    </row>
    <row r="279" spans="1:12" ht="90" hidden="1">
      <c r="A279" s="165" t="s">
        <v>720</v>
      </c>
      <c r="B279" s="34" t="s">
        <v>890</v>
      </c>
      <c r="C279" s="34" t="str">
        <f>VLOOKUP(Observaciones[Caso de Prueba],CasoPrueba[[#All],[Código CP]:[Prioridad]],7,TRUE)</f>
        <v>Alta</v>
      </c>
      <c r="D279" s="34" t="s">
        <v>29</v>
      </c>
      <c r="E279" s="34" t="s">
        <v>49</v>
      </c>
      <c r="F279" s="73">
        <v>40838</v>
      </c>
      <c r="G279" s="73">
        <v>40843</v>
      </c>
      <c r="H279" s="94" t="s">
        <v>132</v>
      </c>
      <c r="I279" s="34" t="s">
        <v>599</v>
      </c>
      <c r="J279" s="34" t="s">
        <v>996</v>
      </c>
      <c r="K279" s="34">
        <f>IF((Observaciones[[#This Row],[Fecha Levantamiento]]-Observaciones[[#This Row],[Fecha Detección]])&gt;=0,Observaciones[[#This Row],[Fecha Levantamiento]]-Observaciones[[#This Row],[Fecha Detección]]+1,0)</f>
        <v>6</v>
      </c>
      <c r="L279" s="34" t="str">
        <f>LOOKUP(Observaciones[[#This Row],[Caso de Prueba]],CasoPrueba[Código CP],CasoPrueba[Código de REQ])</f>
        <v>INSPECCIÓN</v>
      </c>
    </row>
    <row r="280" spans="1:12" ht="45" hidden="1">
      <c r="A280" s="165" t="s">
        <v>721</v>
      </c>
      <c r="B280" s="34" t="s">
        <v>890</v>
      </c>
      <c r="C280" s="34" t="str">
        <f>VLOOKUP(Observaciones[Caso de Prueba],CasoPrueba[[#All],[Código CP]:[Prioridad]],7,TRUE)</f>
        <v>Alta</v>
      </c>
      <c r="D280" s="34" t="s">
        <v>28</v>
      </c>
      <c r="E280" s="34" t="s">
        <v>49</v>
      </c>
      <c r="F280" s="73">
        <v>40838</v>
      </c>
      <c r="G280" s="73">
        <v>40843</v>
      </c>
      <c r="H280" s="94" t="s">
        <v>132</v>
      </c>
      <c r="I280" s="34" t="s">
        <v>871</v>
      </c>
      <c r="J280" s="34" t="s">
        <v>998</v>
      </c>
      <c r="K280" s="34">
        <f>IF((Observaciones[[#This Row],[Fecha Levantamiento]]-Observaciones[[#This Row],[Fecha Detección]])&gt;=0,Observaciones[[#This Row],[Fecha Levantamiento]]-Observaciones[[#This Row],[Fecha Detección]]+1,0)</f>
        <v>6</v>
      </c>
      <c r="L280" s="34" t="str">
        <f>LOOKUP(Observaciones[[#This Row],[Caso de Prueba]],CasoPrueba[Código CP],CasoPrueba[Código de REQ])</f>
        <v>INSPECCIÓN</v>
      </c>
    </row>
    <row r="281" spans="1:12" ht="30" hidden="1">
      <c r="A281" s="165" t="s">
        <v>722</v>
      </c>
      <c r="B281" s="34" t="s">
        <v>890</v>
      </c>
      <c r="C281" s="34" t="str">
        <f>VLOOKUP(Observaciones[Caso de Prueba],CasoPrueba[[#All],[Código CP]:[Prioridad]],7,TRUE)</f>
        <v>Alta</v>
      </c>
      <c r="D281" s="34" t="s">
        <v>162</v>
      </c>
      <c r="E281" s="34" t="s">
        <v>49</v>
      </c>
      <c r="F281" s="73">
        <v>40840</v>
      </c>
      <c r="G281" s="73">
        <v>40843</v>
      </c>
      <c r="H281" s="94" t="s">
        <v>132</v>
      </c>
      <c r="I281" s="34" t="s">
        <v>937</v>
      </c>
      <c r="J281" s="34" t="s">
        <v>283</v>
      </c>
      <c r="K281" s="34">
        <f>IF((Observaciones[[#This Row],[Fecha Levantamiento]]-Observaciones[[#This Row],[Fecha Detección]])&gt;=0,Observaciones[[#This Row],[Fecha Levantamiento]]-Observaciones[[#This Row],[Fecha Detección]]+1,0)</f>
        <v>4</v>
      </c>
      <c r="L281" s="34" t="str">
        <f>LOOKUP(Observaciones[[#This Row],[Caso de Prueba]],CasoPrueba[Código CP],CasoPrueba[Código de REQ])</f>
        <v>INSPECCIÓN</v>
      </c>
    </row>
    <row r="282" spans="1:12" ht="45" hidden="1">
      <c r="A282" s="165" t="s">
        <v>723</v>
      </c>
      <c r="B282" s="34" t="s">
        <v>890</v>
      </c>
      <c r="C282" s="34" t="str">
        <f>VLOOKUP(Observaciones[Caso de Prueba],CasoPrueba[[#All],[Código CP]:[Prioridad]],7,TRUE)</f>
        <v>Alta</v>
      </c>
      <c r="D282" s="34" t="s">
        <v>29</v>
      </c>
      <c r="E282" s="34" t="s">
        <v>49</v>
      </c>
      <c r="F282" s="73">
        <v>40840</v>
      </c>
      <c r="G282" s="73">
        <v>40843</v>
      </c>
      <c r="H282" s="94" t="s">
        <v>132</v>
      </c>
      <c r="I282" s="34" t="s">
        <v>938</v>
      </c>
      <c r="J282" s="34" t="s">
        <v>997</v>
      </c>
      <c r="K282" s="34">
        <f>IF((Observaciones[[#This Row],[Fecha Levantamiento]]-Observaciones[[#This Row],[Fecha Detección]])&gt;=0,Observaciones[[#This Row],[Fecha Levantamiento]]-Observaciones[[#This Row],[Fecha Detección]]+1,0)</f>
        <v>4</v>
      </c>
      <c r="L282" s="34" t="str">
        <f>LOOKUP(Observaciones[[#This Row],[Caso de Prueba]],CasoPrueba[Código CP],CasoPrueba[Código de REQ])</f>
        <v>INSPECCIÓN</v>
      </c>
    </row>
    <row r="283" spans="1:12" ht="45" hidden="1">
      <c r="A283" s="165" t="s">
        <v>724</v>
      </c>
      <c r="B283" s="34" t="s">
        <v>891</v>
      </c>
      <c r="C283" s="34" t="str">
        <f>VLOOKUP(Observaciones[Caso de Prueba],CasoPrueba[[#All],[Código CP]:[Prioridad]],7,TRUE)</f>
        <v>Alta</v>
      </c>
      <c r="D283" s="34" t="s">
        <v>28</v>
      </c>
      <c r="E283" s="34" t="s">
        <v>49</v>
      </c>
      <c r="F283" s="73">
        <v>40840</v>
      </c>
      <c r="G283" s="73">
        <v>40843</v>
      </c>
      <c r="H283" s="94" t="s">
        <v>132</v>
      </c>
      <c r="I283" s="34" t="s">
        <v>597</v>
      </c>
      <c r="J283" s="34" t="s">
        <v>1002</v>
      </c>
      <c r="K283" s="34">
        <f>IF((Observaciones[[#This Row],[Fecha Levantamiento]]-Observaciones[[#This Row],[Fecha Detección]])&gt;=0,Observaciones[[#This Row],[Fecha Levantamiento]]-Observaciones[[#This Row],[Fecha Detección]]+1,0)</f>
        <v>4</v>
      </c>
      <c r="L283" s="34" t="str">
        <f>LOOKUP(Observaciones[[#This Row],[Caso de Prueba]],CasoPrueba[Código CP],CasoPrueba[Código de REQ])</f>
        <v>INSPECCIÓN</v>
      </c>
    </row>
    <row r="284" spans="1:12" ht="45" hidden="1">
      <c r="A284" s="165" t="s">
        <v>725</v>
      </c>
      <c r="B284" s="34" t="s">
        <v>891</v>
      </c>
      <c r="C284" s="34" t="str">
        <f>VLOOKUP(Observaciones[Caso de Prueba],CasoPrueba[[#All],[Código CP]:[Prioridad]],7,TRUE)</f>
        <v>Alta</v>
      </c>
      <c r="D284" s="34" t="s">
        <v>162</v>
      </c>
      <c r="E284" s="34" t="s">
        <v>49</v>
      </c>
      <c r="F284" s="73">
        <v>40840</v>
      </c>
      <c r="G284" s="73">
        <v>40843</v>
      </c>
      <c r="H284" s="94" t="s">
        <v>132</v>
      </c>
      <c r="I284" s="34" t="s">
        <v>926</v>
      </c>
      <c r="J284" s="34" t="s">
        <v>987</v>
      </c>
      <c r="K284" s="34">
        <f>IF((Observaciones[[#This Row],[Fecha Levantamiento]]-Observaciones[[#This Row],[Fecha Detección]])&gt;=0,Observaciones[[#This Row],[Fecha Levantamiento]]-Observaciones[[#This Row],[Fecha Detección]]+1,0)</f>
        <v>4</v>
      </c>
      <c r="L284" s="34" t="str">
        <f>LOOKUP(Observaciones[[#This Row],[Caso de Prueba]],CasoPrueba[Código CP],CasoPrueba[Código de REQ])</f>
        <v>INSPECCIÓN</v>
      </c>
    </row>
    <row r="285" spans="1:12" ht="90" hidden="1">
      <c r="A285" s="165" t="s">
        <v>726</v>
      </c>
      <c r="B285" s="34" t="s">
        <v>891</v>
      </c>
      <c r="C285" s="34" t="str">
        <f>VLOOKUP(Observaciones[Caso de Prueba],CasoPrueba[[#All],[Código CP]:[Prioridad]],7,TRUE)</f>
        <v>Alta</v>
      </c>
      <c r="D285" s="34" t="s">
        <v>29</v>
      </c>
      <c r="E285" s="34" t="s">
        <v>49</v>
      </c>
      <c r="F285" s="73">
        <v>40840</v>
      </c>
      <c r="G285" s="73">
        <v>40843</v>
      </c>
      <c r="H285" s="94" t="s">
        <v>132</v>
      </c>
      <c r="I285" s="34" t="s">
        <v>599</v>
      </c>
      <c r="J285" s="34" t="s">
        <v>996</v>
      </c>
      <c r="K285" s="34">
        <f>IF((Observaciones[[#This Row],[Fecha Levantamiento]]-Observaciones[[#This Row],[Fecha Detección]])&gt;=0,Observaciones[[#This Row],[Fecha Levantamiento]]-Observaciones[[#This Row],[Fecha Detección]]+1,0)</f>
        <v>4</v>
      </c>
      <c r="L285" s="34" t="str">
        <f>LOOKUP(Observaciones[[#This Row],[Caso de Prueba]],CasoPrueba[Código CP],CasoPrueba[Código de REQ])</f>
        <v>INSPECCIÓN</v>
      </c>
    </row>
    <row r="286" spans="1:12" ht="45" hidden="1">
      <c r="A286" s="165" t="s">
        <v>727</v>
      </c>
      <c r="B286" s="34" t="s">
        <v>891</v>
      </c>
      <c r="C286" s="34" t="str">
        <f>VLOOKUP(Observaciones[Caso de Prueba],CasoPrueba[[#All],[Código CP]:[Prioridad]],7,TRUE)</f>
        <v>Alta</v>
      </c>
      <c r="D286" s="34" t="s">
        <v>28</v>
      </c>
      <c r="E286" s="34" t="s">
        <v>49</v>
      </c>
      <c r="F286" s="73">
        <v>40840</v>
      </c>
      <c r="G286" s="73">
        <v>40843</v>
      </c>
      <c r="H286" s="94" t="s">
        <v>132</v>
      </c>
      <c r="I286" s="34" t="s">
        <v>871</v>
      </c>
      <c r="J286" s="34" t="s">
        <v>1001</v>
      </c>
      <c r="K286" s="34">
        <f>IF((Observaciones[[#This Row],[Fecha Levantamiento]]-Observaciones[[#This Row],[Fecha Detección]])&gt;=0,Observaciones[[#This Row],[Fecha Levantamiento]]-Observaciones[[#This Row],[Fecha Detección]]+1,0)</f>
        <v>4</v>
      </c>
      <c r="L286" s="34" t="str">
        <f>LOOKUP(Observaciones[[#This Row],[Caso de Prueba]],CasoPrueba[Código CP],CasoPrueba[Código de REQ])</f>
        <v>INSPECCIÓN</v>
      </c>
    </row>
    <row r="287" spans="1:12" ht="30" hidden="1">
      <c r="A287" s="165" t="s">
        <v>728</v>
      </c>
      <c r="B287" s="34" t="s">
        <v>891</v>
      </c>
      <c r="C287" s="34" t="str">
        <f>VLOOKUP(Observaciones[Caso de Prueba],CasoPrueba[[#All],[Código CP]:[Prioridad]],7,TRUE)</f>
        <v>Alta</v>
      </c>
      <c r="D287" s="34" t="s">
        <v>162</v>
      </c>
      <c r="E287" s="34" t="s">
        <v>49</v>
      </c>
      <c r="F287" s="73">
        <v>40840</v>
      </c>
      <c r="G287" s="73">
        <v>40843</v>
      </c>
      <c r="H287" s="94" t="s">
        <v>132</v>
      </c>
      <c r="I287" s="34" t="s">
        <v>939</v>
      </c>
      <c r="J287" s="34" t="s">
        <v>234</v>
      </c>
      <c r="K287" s="34">
        <f>IF((Observaciones[[#This Row],[Fecha Levantamiento]]-Observaciones[[#This Row],[Fecha Detección]])&gt;=0,Observaciones[[#This Row],[Fecha Levantamiento]]-Observaciones[[#This Row],[Fecha Detección]]+1,0)</f>
        <v>4</v>
      </c>
      <c r="L287" s="34" t="str">
        <f>LOOKUP(Observaciones[[#This Row],[Caso de Prueba]],CasoPrueba[Código CP],CasoPrueba[Código de REQ])</f>
        <v>INSPECCIÓN</v>
      </c>
    </row>
    <row r="288" spans="1:12" ht="45" hidden="1">
      <c r="A288" s="165" t="s">
        <v>729</v>
      </c>
      <c r="B288" s="34" t="s">
        <v>891</v>
      </c>
      <c r="C288" s="34" t="str">
        <f>VLOOKUP(Observaciones[Caso de Prueba],CasoPrueba[[#All],[Código CP]:[Prioridad]],7,TRUE)</f>
        <v>Alta</v>
      </c>
      <c r="D288" s="34" t="s">
        <v>162</v>
      </c>
      <c r="E288" s="34" t="s">
        <v>49</v>
      </c>
      <c r="F288" s="73">
        <v>40840</v>
      </c>
      <c r="G288" s="73">
        <v>40843</v>
      </c>
      <c r="H288" s="94" t="s">
        <v>132</v>
      </c>
      <c r="I288" s="34" t="s">
        <v>940</v>
      </c>
      <c r="J288" s="34" t="s">
        <v>982</v>
      </c>
      <c r="K288" s="34">
        <f>IF((Observaciones[[#This Row],[Fecha Levantamiento]]-Observaciones[[#This Row],[Fecha Detección]])&gt;=0,Observaciones[[#This Row],[Fecha Levantamiento]]-Observaciones[[#This Row],[Fecha Detección]]+1,0)</f>
        <v>4</v>
      </c>
      <c r="L288" s="34" t="str">
        <f>LOOKUP(Observaciones[[#This Row],[Caso de Prueba]],CasoPrueba[Código CP],CasoPrueba[Código de REQ])</f>
        <v>INSPECCIÓN</v>
      </c>
    </row>
    <row r="289" spans="1:12" ht="30" hidden="1">
      <c r="A289" s="165" t="s">
        <v>730</v>
      </c>
      <c r="B289" s="34" t="s">
        <v>891</v>
      </c>
      <c r="C289" s="34" t="str">
        <f>VLOOKUP(Observaciones[Caso de Prueba],CasoPrueba[[#All],[Código CP]:[Prioridad]],7,TRUE)</f>
        <v>Alta</v>
      </c>
      <c r="D289" s="34" t="s">
        <v>162</v>
      </c>
      <c r="E289" s="34" t="s">
        <v>49</v>
      </c>
      <c r="F289" s="73">
        <v>40840</v>
      </c>
      <c r="G289" s="73">
        <v>40843</v>
      </c>
      <c r="H289" s="94" t="s">
        <v>132</v>
      </c>
      <c r="I289" s="34" t="s">
        <v>941</v>
      </c>
      <c r="J289" s="34" t="s">
        <v>999</v>
      </c>
      <c r="K289" s="34">
        <f>IF((Observaciones[[#This Row],[Fecha Levantamiento]]-Observaciones[[#This Row],[Fecha Detección]])&gt;=0,Observaciones[[#This Row],[Fecha Levantamiento]]-Observaciones[[#This Row],[Fecha Detección]]+1,0)</f>
        <v>4</v>
      </c>
      <c r="L289" s="34" t="str">
        <f>LOOKUP(Observaciones[[#This Row],[Caso de Prueba]],CasoPrueba[Código CP],CasoPrueba[Código de REQ])</f>
        <v>INSPECCIÓN</v>
      </c>
    </row>
    <row r="290" spans="1:12" ht="45" hidden="1">
      <c r="A290" s="165" t="s">
        <v>731</v>
      </c>
      <c r="B290" s="34" t="s">
        <v>891</v>
      </c>
      <c r="C290" s="34" t="str">
        <f>VLOOKUP(Observaciones[Caso de Prueba],CasoPrueba[[#All],[Código CP]:[Prioridad]],7,TRUE)</f>
        <v>Alta</v>
      </c>
      <c r="D290" s="34" t="s">
        <v>29</v>
      </c>
      <c r="E290" s="34" t="s">
        <v>49</v>
      </c>
      <c r="F290" s="73">
        <v>40840</v>
      </c>
      <c r="G290" s="73">
        <v>40843</v>
      </c>
      <c r="H290" s="94" t="s">
        <v>132</v>
      </c>
      <c r="I290" s="34" t="s">
        <v>942</v>
      </c>
      <c r="J290" s="34" t="s">
        <v>1000</v>
      </c>
      <c r="K290" s="34">
        <f>IF((Observaciones[[#This Row],[Fecha Levantamiento]]-Observaciones[[#This Row],[Fecha Detección]])&gt;=0,Observaciones[[#This Row],[Fecha Levantamiento]]-Observaciones[[#This Row],[Fecha Detección]]+1,0)</f>
        <v>4</v>
      </c>
      <c r="L290" s="34" t="str">
        <f>LOOKUP(Observaciones[[#This Row],[Caso de Prueba]],CasoPrueba[Código CP],CasoPrueba[Código de REQ])</f>
        <v>INSPECCIÓN</v>
      </c>
    </row>
    <row r="291" spans="1:12" ht="30" hidden="1">
      <c r="A291" s="165" t="s">
        <v>732</v>
      </c>
      <c r="B291" s="34" t="s">
        <v>892</v>
      </c>
      <c r="C291" s="34" t="str">
        <f>VLOOKUP(Observaciones[Caso de Prueba],CasoPrueba[[#All],[Código CP]:[Prioridad]],7,TRUE)</f>
        <v>Alta</v>
      </c>
      <c r="D291" s="34" t="s">
        <v>162</v>
      </c>
      <c r="E291" s="34" t="s">
        <v>49</v>
      </c>
      <c r="F291" s="73">
        <v>40840</v>
      </c>
      <c r="G291" s="73">
        <v>40843</v>
      </c>
      <c r="H291" s="94" t="s">
        <v>132</v>
      </c>
      <c r="I291" s="34" t="s">
        <v>943</v>
      </c>
      <c r="J291" s="34" t="s">
        <v>976</v>
      </c>
      <c r="K291" s="34">
        <f>IF((Observaciones[[#This Row],[Fecha Levantamiento]]-Observaciones[[#This Row],[Fecha Detección]])&gt;=0,Observaciones[[#This Row],[Fecha Levantamiento]]-Observaciones[[#This Row],[Fecha Detección]]+1,0)</f>
        <v>4</v>
      </c>
      <c r="L291" s="34" t="str">
        <f>LOOKUP(Observaciones[[#This Row],[Caso de Prueba]],CasoPrueba[Código CP],CasoPrueba[Código de REQ])</f>
        <v>INSPECCIÓN</v>
      </c>
    </row>
    <row r="292" spans="1:12" ht="30" hidden="1">
      <c r="A292" s="165" t="s">
        <v>733</v>
      </c>
      <c r="B292" s="34" t="s">
        <v>892</v>
      </c>
      <c r="C292" s="34" t="str">
        <f>VLOOKUP(Observaciones[Caso de Prueba],CasoPrueba[[#All],[Código CP]:[Prioridad]],7,TRUE)</f>
        <v>Alta</v>
      </c>
      <c r="D292" s="34" t="s">
        <v>162</v>
      </c>
      <c r="E292" s="34" t="s">
        <v>49</v>
      </c>
      <c r="F292" s="73">
        <v>40840</v>
      </c>
      <c r="G292" s="73">
        <v>40843</v>
      </c>
      <c r="H292" s="94" t="s">
        <v>132</v>
      </c>
      <c r="I292" s="34" t="s">
        <v>944</v>
      </c>
      <c r="J292" s="34" t="s">
        <v>976</v>
      </c>
      <c r="K292" s="34">
        <f>IF((Observaciones[[#This Row],[Fecha Levantamiento]]-Observaciones[[#This Row],[Fecha Detección]])&gt;=0,Observaciones[[#This Row],[Fecha Levantamiento]]-Observaciones[[#This Row],[Fecha Detección]]+1,0)</f>
        <v>4</v>
      </c>
      <c r="L292" s="34" t="str">
        <f>LOOKUP(Observaciones[[#This Row],[Caso de Prueba]],CasoPrueba[Código CP],CasoPrueba[Código de REQ])</f>
        <v>INSPECCIÓN</v>
      </c>
    </row>
    <row r="293" spans="1:12" ht="90" hidden="1">
      <c r="A293" s="165" t="s">
        <v>734</v>
      </c>
      <c r="B293" s="34" t="s">
        <v>892</v>
      </c>
      <c r="C293" s="34" t="str">
        <f>VLOOKUP(Observaciones[Caso de Prueba],CasoPrueba[[#All],[Código CP]:[Prioridad]],7,TRUE)</f>
        <v>Alta</v>
      </c>
      <c r="D293" s="34" t="s">
        <v>29</v>
      </c>
      <c r="E293" s="34" t="s">
        <v>49</v>
      </c>
      <c r="F293" s="73">
        <v>40840</v>
      </c>
      <c r="G293" s="73">
        <v>40843</v>
      </c>
      <c r="H293" s="94" t="s">
        <v>132</v>
      </c>
      <c r="I293" s="34" t="s">
        <v>599</v>
      </c>
      <c r="J293" s="34" t="s">
        <v>817</v>
      </c>
      <c r="K293" s="34">
        <f>IF((Observaciones[[#This Row],[Fecha Levantamiento]]-Observaciones[[#This Row],[Fecha Detección]])&gt;=0,Observaciones[[#This Row],[Fecha Levantamiento]]-Observaciones[[#This Row],[Fecha Detección]]+1,0)</f>
        <v>4</v>
      </c>
      <c r="L293" s="34" t="str">
        <f>LOOKUP(Observaciones[[#This Row],[Caso de Prueba]],CasoPrueba[Código CP],CasoPrueba[Código de REQ])</f>
        <v>INSPECCIÓN</v>
      </c>
    </row>
    <row r="294" spans="1:12" ht="45" hidden="1">
      <c r="A294" s="165" t="s">
        <v>735</v>
      </c>
      <c r="B294" s="34" t="s">
        <v>892</v>
      </c>
      <c r="C294" s="34" t="str">
        <f>VLOOKUP(Observaciones[Caso de Prueba],CasoPrueba[[#All],[Código CP]:[Prioridad]],7,TRUE)</f>
        <v>Alta</v>
      </c>
      <c r="D294" s="34" t="s">
        <v>28</v>
      </c>
      <c r="E294" s="34" t="s">
        <v>49</v>
      </c>
      <c r="F294" s="73">
        <v>40840</v>
      </c>
      <c r="G294" s="73">
        <v>40843</v>
      </c>
      <c r="H294" s="94" t="s">
        <v>132</v>
      </c>
      <c r="I294" s="34" t="s">
        <v>871</v>
      </c>
      <c r="J294" s="34" t="s">
        <v>977</v>
      </c>
      <c r="K294" s="34">
        <f>IF((Observaciones[[#This Row],[Fecha Levantamiento]]-Observaciones[[#This Row],[Fecha Detección]])&gt;=0,Observaciones[[#This Row],[Fecha Levantamiento]]-Observaciones[[#This Row],[Fecha Detección]]+1,0)</f>
        <v>4</v>
      </c>
      <c r="L294" s="34" t="str">
        <f>LOOKUP(Observaciones[[#This Row],[Caso de Prueba]],CasoPrueba[Código CP],CasoPrueba[Código de REQ])</f>
        <v>INSPECCIÓN</v>
      </c>
    </row>
    <row r="295" spans="1:12" ht="30" hidden="1">
      <c r="A295" s="165" t="s">
        <v>736</v>
      </c>
      <c r="B295" s="34" t="s">
        <v>892</v>
      </c>
      <c r="C295" s="34" t="str">
        <f>VLOOKUP(Observaciones[Caso de Prueba],CasoPrueba[[#All],[Código CP]:[Prioridad]],7,TRUE)</f>
        <v>Alta</v>
      </c>
      <c r="D295" s="34" t="s">
        <v>30</v>
      </c>
      <c r="E295" s="34" t="s">
        <v>49</v>
      </c>
      <c r="F295" s="73">
        <v>40840</v>
      </c>
      <c r="G295" s="73">
        <v>40843</v>
      </c>
      <c r="H295" s="94" t="s">
        <v>132</v>
      </c>
      <c r="I295" s="34" t="s">
        <v>945</v>
      </c>
      <c r="J295" s="34" t="s">
        <v>261</v>
      </c>
      <c r="K295" s="34">
        <f>IF((Observaciones[[#This Row],[Fecha Levantamiento]]-Observaciones[[#This Row],[Fecha Detección]])&gt;=0,Observaciones[[#This Row],[Fecha Levantamiento]]-Observaciones[[#This Row],[Fecha Detección]]+1,0)</f>
        <v>4</v>
      </c>
      <c r="L295" s="34" t="str">
        <f>LOOKUP(Observaciones[[#This Row],[Caso de Prueba]],CasoPrueba[Código CP],CasoPrueba[Código de REQ])</f>
        <v>INSPECCIÓN</v>
      </c>
    </row>
    <row r="296" spans="1:12" ht="45" hidden="1">
      <c r="A296" s="165" t="s">
        <v>737</v>
      </c>
      <c r="B296" s="34" t="s">
        <v>892</v>
      </c>
      <c r="C296" s="34" t="str">
        <f>VLOOKUP(Observaciones[Caso de Prueba],CasoPrueba[[#All],[Código CP]:[Prioridad]],7,TRUE)</f>
        <v>Alta</v>
      </c>
      <c r="D296" s="34" t="s">
        <v>28</v>
      </c>
      <c r="E296" s="34" t="s">
        <v>49</v>
      </c>
      <c r="F296" s="73">
        <v>40840</v>
      </c>
      <c r="G296" s="73">
        <v>40843</v>
      </c>
      <c r="H296" s="94" t="s">
        <v>132</v>
      </c>
      <c r="I296" s="34" t="s">
        <v>946</v>
      </c>
      <c r="J296" s="34" t="s">
        <v>983</v>
      </c>
      <c r="K296" s="34">
        <f>IF((Observaciones[[#This Row],[Fecha Levantamiento]]-Observaciones[[#This Row],[Fecha Detección]])&gt;=0,Observaciones[[#This Row],[Fecha Levantamiento]]-Observaciones[[#This Row],[Fecha Detección]]+1,0)</f>
        <v>4</v>
      </c>
      <c r="L296" s="34" t="str">
        <f>LOOKUP(Observaciones[[#This Row],[Caso de Prueba]],CasoPrueba[Código CP],CasoPrueba[Código de REQ])</f>
        <v>INSPECCIÓN</v>
      </c>
    </row>
    <row r="297" spans="1:12" ht="30" hidden="1">
      <c r="A297" s="165" t="s">
        <v>738</v>
      </c>
      <c r="B297" s="34" t="s">
        <v>892</v>
      </c>
      <c r="C297" s="34" t="str">
        <f>VLOOKUP(Observaciones[Caso de Prueba],CasoPrueba[[#All],[Código CP]:[Prioridad]],7,TRUE)</f>
        <v>Alta</v>
      </c>
      <c r="D297" s="34" t="s">
        <v>162</v>
      </c>
      <c r="E297" s="34" t="s">
        <v>49</v>
      </c>
      <c r="F297" s="73">
        <v>40840</v>
      </c>
      <c r="G297" s="73">
        <v>40843</v>
      </c>
      <c r="H297" s="94" t="s">
        <v>132</v>
      </c>
      <c r="I297" s="34" t="s">
        <v>947</v>
      </c>
      <c r="J297" s="34" t="s">
        <v>968</v>
      </c>
      <c r="K297" s="34">
        <f>IF((Observaciones[[#This Row],[Fecha Levantamiento]]-Observaciones[[#This Row],[Fecha Detección]])&gt;=0,Observaciones[[#This Row],[Fecha Levantamiento]]-Observaciones[[#This Row],[Fecha Detección]]+1,0)</f>
        <v>4</v>
      </c>
      <c r="L297" s="34" t="str">
        <f>LOOKUP(Observaciones[[#This Row],[Caso de Prueba]],CasoPrueba[Código CP],CasoPrueba[Código de REQ])</f>
        <v>INSPECCIÓN</v>
      </c>
    </row>
    <row r="298" spans="1:12" ht="30" hidden="1">
      <c r="A298" s="165" t="s">
        <v>739</v>
      </c>
      <c r="B298" s="34" t="s">
        <v>892</v>
      </c>
      <c r="C298" s="34" t="str">
        <f>VLOOKUP(Observaciones[Caso de Prueba],CasoPrueba[[#All],[Código CP]:[Prioridad]],7,TRUE)</f>
        <v>Alta</v>
      </c>
      <c r="D298" s="34" t="s">
        <v>162</v>
      </c>
      <c r="E298" s="34" t="s">
        <v>49</v>
      </c>
      <c r="F298" s="73">
        <v>40840</v>
      </c>
      <c r="G298" s="73">
        <v>40843</v>
      </c>
      <c r="H298" s="94" t="s">
        <v>132</v>
      </c>
      <c r="I298" s="34" t="s">
        <v>948</v>
      </c>
      <c r="J298" s="34" t="s">
        <v>968</v>
      </c>
      <c r="K298" s="34">
        <f>IF((Observaciones[[#This Row],[Fecha Levantamiento]]-Observaciones[[#This Row],[Fecha Detección]])&gt;=0,Observaciones[[#This Row],[Fecha Levantamiento]]-Observaciones[[#This Row],[Fecha Detección]]+1,0)</f>
        <v>4</v>
      </c>
      <c r="L298" s="34" t="str">
        <f>LOOKUP(Observaciones[[#This Row],[Caso de Prueba]],CasoPrueba[Código CP],CasoPrueba[Código de REQ])</f>
        <v>INSPECCIÓN</v>
      </c>
    </row>
    <row r="299" spans="1:12" ht="45" hidden="1">
      <c r="A299" s="165" t="s">
        <v>740</v>
      </c>
      <c r="B299" s="34" t="s">
        <v>893</v>
      </c>
      <c r="C299" s="34" t="str">
        <f>VLOOKUP(Observaciones[Caso de Prueba],CasoPrueba[[#All],[Código CP]:[Prioridad]],7,TRUE)</f>
        <v>Alta</v>
      </c>
      <c r="D299" s="34" t="s">
        <v>28</v>
      </c>
      <c r="E299" s="34" t="s">
        <v>49</v>
      </c>
      <c r="F299" s="73">
        <v>40838</v>
      </c>
      <c r="G299" s="73">
        <v>40843</v>
      </c>
      <c r="H299" s="94" t="s">
        <v>132</v>
      </c>
      <c r="I299" s="34" t="s">
        <v>597</v>
      </c>
      <c r="J299" s="34" t="s">
        <v>984</v>
      </c>
      <c r="K299" s="34">
        <f>IF((Observaciones[[#This Row],[Fecha Levantamiento]]-Observaciones[[#This Row],[Fecha Detección]])&gt;=0,Observaciones[[#This Row],[Fecha Levantamiento]]-Observaciones[[#This Row],[Fecha Detección]]+1,0)</f>
        <v>6</v>
      </c>
      <c r="L299" s="34" t="str">
        <f>LOOKUP(Observaciones[[#This Row],[Caso de Prueba]],CasoPrueba[Código CP],CasoPrueba[Código de REQ])</f>
        <v>INSPECCIÓN</v>
      </c>
    </row>
    <row r="300" spans="1:12" ht="60" hidden="1">
      <c r="A300" s="165" t="s">
        <v>741</v>
      </c>
      <c r="B300" s="34" t="s">
        <v>893</v>
      </c>
      <c r="C300" s="34" t="str">
        <f>VLOOKUP(Observaciones[Caso de Prueba],CasoPrueba[[#All],[Código CP]:[Prioridad]],7,TRUE)</f>
        <v>Alta</v>
      </c>
      <c r="D300" s="34" t="s">
        <v>30</v>
      </c>
      <c r="E300" s="34" t="s">
        <v>49</v>
      </c>
      <c r="F300" s="73">
        <v>40838</v>
      </c>
      <c r="G300" s="73">
        <v>40843</v>
      </c>
      <c r="H300" s="94" t="s">
        <v>132</v>
      </c>
      <c r="I300" s="34" t="s">
        <v>949</v>
      </c>
      <c r="J300" s="34" t="s">
        <v>969</v>
      </c>
      <c r="K300" s="34">
        <f>IF((Observaciones[[#This Row],[Fecha Levantamiento]]-Observaciones[[#This Row],[Fecha Detección]])&gt;=0,Observaciones[[#This Row],[Fecha Levantamiento]]-Observaciones[[#This Row],[Fecha Detección]]+1,0)</f>
        <v>6</v>
      </c>
      <c r="L300" s="34" t="str">
        <f>LOOKUP(Observaciones[[#This Row],[Caso de Prueba]],CasoPrueba[Código CP],CasoPrueba[Código de REQ])</f>
        <v>INSPECCIÓN</v>
      </c>
    </row>
    <row r="301" spans="1:12" ht="90" hidden="1">
      <c r="A301" s="165" t="s">
        <v>742</v>
      </c>
      <c r="B301" s="34" t="s">
        <v>893</v>
      </c>
      <c r="C301" s="34" t="str">
        <f>VLOOKUP(Observaciones[Caso de Prueba],CasoPrueba[[#All],[Código CP]:[Prioridad]],7,TRUE)</f>
        <v>Alta</v>
      </c>
      <c r="D301" s="34" t="s">
        <v>29</v>
      </c>
      <c r="E301" s="34" t="s">
        <v>49</v>
      </c>
      <c r="F301" s="73">
        <v>40840</v>
      </c>
      <c r="G301" s="73">
        <v>40843</v>
      </c>
      <c r="H301" s="94" t="s">
        <v>132</v>
      </c>
      <c r="I301" s="34" t="s">
        <v>599</v>
      </c>
      <c r="J301" s="34" t="s">
        <v>981</v>
      </c>
      <c r="K301" s="34">
        <f>IF((Observaciones[[#This Row],[Fecha Levantamiento]]-Observaciones[[#This Row],[Fecha Detección]])&gt;=0,Observaciones[[#This Row],[Fecha Levantamiento]]-Observaciones[[#This Row],[Fecha Detección]]+1,0)</f>
        <v>4</v>
      </c>
      <c r="L301" s="34" t="str">
        <f>LOOKUP(Observaciones[[#This Row],[Caso de Prueba]],CasoPrueba[Código CP],CasoPrueba[Código de REQ])</f>
        <v>INSPECCIÓN</v>
      </c>
    </row>
    <row r="302" spans="1:12" ht="45" hidden="1">
      <c r="A302" s="165" t="s">
        <v>743</v>
      </c>
      <c r="B302" s="34" t="s">
        <v>893</v>
      </c>
      <c r="C302" s="34" t="str">
        <f>VLOOKUP(Observaciones[Caso de Prueba],CasoPrueba[[#All],[Código CP]:[Prioridad]],7,TRUE)</f>
        <v>Alta</v>
      </c>
      <c r="D302" s="34" t="s">
        <v>28</v>
      </c>
      <c r="E302" s="34" t="s">
        <v>49</v>
      </c>
      <c r="F302" s="73">
        <v>40840</v>
      </c>
      <c r="G302" s="73">
        <v>40843</v>
      </c>
      <c r="H302" s="94" t="s">
        <v>132</v>
      </c>
      <c r="I302" s="34" t="s">
        <v>871</v>
      </c>
      <c r="J302" s="34" t="s">
        <v>977</v>
      </c>
      <c r="K302" s="34">
        <f>IF((Observaciones[[#This Row],[Fecha Levantamiento]]-Observaciones[[#This Row],[Fecha Detección]])&gt;=0,Observaciones[[#This Row],[Fecha Levantamiento]]-Observaciones[[#This Row],[Fecha Detección]]+1,0)</f>
        <v>4</v>
      </c>
      <c r="L302" s="34" t="str">
        <f>LOOKUP(Observaciones[[#This Row],[Caso de Prueba]],CasoPrueba[Código CP],CasoPrueba[Código de REQ])</f>
        <v>INSPECCIÓN</v>
      </c>
    </row>
    <row r="303" spans="1:12" hidden="1">
      <c r="A303" s="165" t="s">
        <v>744</v>
      </c>
      <c r="B303" s="34" t="s">
        <v>893</v>
      </c>
      <c r="C303" s="34" t="str">
        <f>VLOOKUP(Observaciones[Caso de Prueba],CasoPrueba[[#All],[Código CP]:[Prioridad]],7,TRUE)</f>
        <v>Alta</v>
      </c>
      <c r="D303" s="34" t="s">
        <v>30</v>
      </c>
      <c r="E303" s="34" t="s">
        <v>49</v>
      </c>
      <c r="F303" s="73">
        <v>40840</v>
      </c>
      <c r="G303" s="73">
        <v>40843</v>
      </c>
      <c r="H303" s="94" t="s">
        <v>132</v>
      </c>
      <c r="I303" s="34" t="s">
        <v>950</v>
      </c>
      <c r="J303" s="34" t="s">
        <v>985</v>
      </c>
      <c r="K303" s="34">
        <f>IF((Observaciones[[#This Row],[Fecha Levantamiento]]-Observaciones[[#This Row],[Fecha Detección]])&gt;=0,Observaciones[[#This Row],[Fecha Levantamiento]]-Observaciones[[#This Row],[Fecha Detección]]+1,0)</f>
        <v>4</v>
      </c>
      <c r="L303" s="34" t="str">
        <f>LOOKUP(Observaciones[[#This Row],[Caso de Prueba]],CasoPrueba[Código CP],CasoPrueba[Código de REQ])</f>
        <v>INSPECCIÓN</v>
      </c>
    </row>
    <row r="304" spans="1:12" ht="45" hidden="1">
      <c r="A304" s="165" t="s">
        <v>745</v>
      </c>
      <c r="B304" s="34" t="s">
        <v>893</v>
      </c>
      <c r="C304" s="34" t="str">
        <f>VLOOKUP(Observaciones[Caso de Prueba],CasoPrueba[[#All],[Código CP]:[Prioridad]],7,TRUE)</f>
        <v>Alta</v>
      </c>
      <c r="D304" s="34" t="s">
        <v>162</v>
      </c>
      <c r="E304" s="34" t="s">
        <v>49</v>
      </c>
      <c r="F304" s="73">
        <v>40840</v>
      </c>
      <c r="G304" s="73">
        <v>40843</v>
      </c>
      <c r="H304" s="94" t="s">
        <v>132</v>
      </c>
      <c r="I304" s="34" t="s">
        <v>951</v>
      </c>
      <c r="J304" s="34" t="s">
        <v>968</v>
      </c>
      <c r="K304" s="34">
        <f>IF((Observaciones[[#This Row],[Fecha Levantamiento]]-Observaciones[[#This Row],[Fecha Detección]])&gt;=0,Observaciones[[#This Row],[Fecha Levantamiento]]-Observaciones[[#This Row],[Fecha Detección]]+1,0)</f>
        <v>4</v>
      </c>
      <c r="L304" s="34" t="str">
        <f>LOOKUP(Observaciones[[#This Row],[Caso de Prueba]],CasoPrueba[Código CP],CasoPrueba[Código de REQ])</f>
        <v>INSPECCIÓN</v>
      </c>
    </row>
    <row r="305" spans="1:12" ht="30" hidden="1">
      <c r="A305" s="165" t="s">
        <v>746</v>
      </c>
      <c r="B305" s="163" t="s">
        <v>904</v>
      </c>
      <c r="C305" s="163" t="str">
        <f>VLOOKUP(Observaciones[Caso de Prueba],CasoPrueba[[#All],[Código CP]:[Prioridad]],7,TRUE)</f>
        <v>Alta</v>
      </c>
      <c r="D305" s="163" t="s">
        <v>162</v>
      </c>
      <c r="E305" s="34" t="s">
        <v>49</v>
      </c>
      <c r="F305" s="164">
        <v>40845</v>
      </c>
      <c r="G305" s="164">
        <v>40847</v>
      </c>
      <c r="H305" s="94" t="s">
        <v>132</v>
      </c>
      <c r="I305" s="163" t="s">
        <v>1003</v>
      </c>
      <c r="J305" s="163" t="s">
        <v>1042</v>
      </c>
      <c r="K305" s="163">
        <f>IF((Observaciones[[#This Row],[Fecha Levantamiento]]-Observaciones[[#This Row],[Fecha Detección]])&gt;=0,Observaciones[[#This Row],[Fecha Levantamiento]]-Observaciones[[#This Row],[Fecha Detección]]+1,0)</f>
        <v>3</v>
      </c>
      <c r="L305" s="163" t="str">
        <f>LOOKUP(Observaciones[[#This Row],[Caso de Prueba]],CasoPrueba[Código CP],CasoPrueba[Código de REQ])</f>
        <v>INSPECCIÓN</v>
      </c>
    </row>
    <row r="306" spans="1:12" ht="45" hidden="1">
      <c r="A306" s="165" t="s">
        <v>747</v>
      </c>
      <c r="B306" s="163" t="s">
        <v>904</v>
      </c>
      <c r="C306" s="163" t="str">
        <f>VLOOKUP(Observaciones[Caso de Prueba],CasoPrueba[[#All],[Código CP]:[Prioridad]],7,TRUE)</f>
        <v>Alta</v>
      </c>
      <c r="D306" s="34" t="s">
        <v>28</v>
      </c>
      <c r="E306" s="34" t="s">
        <v>49</v>
      </c>
      <c r="F306" s="164">
        <v>40845</v>
      </c>
      <c r="G306" s="164">
        <v>40847</v>
      </c>
      <c r="H306" s="94" t="s">
        <v>132</v>
      </c>
      <c r="I306" s="34" t="s">
        <v>871</v>
      </c>
      <c r="J306" s="163" t="s">
        <v>986</v>
      </c>
      <c r="K306" s="163">
        <f>IF((Observaciones[[#This Row],[Fecha Levantamiento]]-Observaciones[[#This Row],[Fecha Detección]])&gt;=0,Observaciones[[#This Row],[Fecha Levantamiento]]-Observaciones[[#This Row],[Fecha Detección]]+1,0)</f>
        <v>3</v>
      </c>
      <c r="L306" s="163" t="str">
        <f>LOOKUP(Observaciones[[#This Row],[Caso de Prueba]],CasoPrueba[Código CP],CasoPrueba[Código de REQ])</f>
        <v>INSPECCIÓN</v>
      </c>
    </row>
    <row r="307" spans="1:12" ht="45" hidden="1">
      <c r="A307" s="165" t="s">
        <v>748</v>
      </c>
      <c r="B307" s="163" t="s">
        <v>904</v>
      </c>
      <c r="C307" s="163" t="str">
        <f>VLOOKUP(Observaciones[Caso de Prueba],CasoPrueba[[#All],[Código CP]:[Prioridad]],7,TRUE)</f>
        <v>Alta</v>
      </c>
      <c r="D307" s="163" t="s">
        <v>29</v>
      </c>
      <c r="E307" s="34" t="s">
        <v>49</v>
      </c>
      <c r="F307" s="164">
        <v>40845</v>
      </c>
      <c r="G307" s="164">
        <v>40847</v>
      </c>
      <c r="H307" s="94" t="s">
        <v>132</v>
      </c>
      <c r="I307" s="163" t="s">
        <v>1004</v>
      </c>
      <c r="J307" s="163" t="s">
        <v>1043</v>
      </c>
      <c r="K307" s="163">
        <f>IF((Observaciones[[#This Row],[Fecha Levantamiento]]-Observaciones[[#This Row],[Fecha Detección]])&gt;=0,Observaciones[[#This Row],[Fecha Levantamiento]]-Observaciones[[#This Row],[Fecha Detección]]+1,0)</f>
        <v>3</v>
      </c>
      <c r="L307" s="163" t="str">
        <f>LOOKUP(Observaciones[[#This Row],[Caso de Prueba]],CasoPrueba[Código CP],CasoPrueba[Código de REQ])</f>
        <v>INSPECCIÓN</v>
      </c>
    </row>
    <row r="308" spans="1:12" ht="30" hidden="1">
      <c r="A308" s="165" t="s">
        <v>749</v>
      </c>
      <c r="B308" s="163" t="s">
        <v>904</v>
      </c>
      <c r="C308" s="163" t="str">
        <f>VLOOKUP(Observaciones[Caso de Prueba],CasoPrueba[[#All],[Código CP]:[Prioridad]],7,TRUE)</f>
        <v>Alta</v>
      </c>
      <c r="D308" s="163" t="s">
        <v>162</v>
      </c>
      <c r="E308" s="34" t="s">
        <v>49</v>
      </c>
      <c r="F308" s="164">
        <v>40845</v>
      </c>
      <c r="G308" s="164">
        <v>40847</v>
      </c>
      <c r="H308" s="94" t="s">
        <v>132</v>
      </c>
      <c r="I308" s="163" t="s">
        <v>1005</v>
      </c>
      <c r="J308" s="163" t="s">
        <v>1044</v>
      </c>
      <c r="K308" s="163">
        <f>IF((Observaciones[[#This Row],[Fecha Levantamiento]]-Observaciones[[#This Row],[Fecha Detección]])&gt;=0,Observaciones[[#This Row],[Fecha Levantamiento]]-Observaciones[[#This Row],[Fecha Detección]]+1,0)</f>
        <v>3</v>
      </c>
      <c r="L308" s="163" t="str">
        <f>LOOKUP(Observaciones[[#This Row],[Caso de Prueba]],CasoPrueba[Código CP],CasoPrueba[Código de REQ])</f>
        <v>INSPECCIÓN</v>
      </c>
    </row>
    <row r="309" spans="1:12" ht="60" hidden="1">
      <c r="A309" s="165" t="s">
        <v>750</v>
      </c>
      <c r="B309" s="163" t="s">
        <v>904</v>
      </c>
      <c r="C309" s="163" t="str">
        <f>VLOOKUP(Observaciones[Caso de Prueba],CasoPrueba[[#All],[Código CP]:[Prioridad]],7,TRUE)</f>
        <v>Alta</v>
      </c>
      <c r="D309" s="163" t="s">
        <v>30</v>
      </c>
      <c r="E309" s="34" t="s">
        <v>49</v>
      </c>
      <c r="F309" s="164">
        <v>40845</v>
      </c>
      <c r="G309" s="164">
        <v>40847</v>
      </c>
      <c r="H309" s="94" t="s">
        <v>132</v>
      </c>
      <c r="I309" s="163" t="s">
        <v>1006</v>
      </c>
      <c r="J309" s="163" t="s">
        <v>1045</v>
      </c>
      <c r="K309" s="163">
        <f>IF((Observaciones[[#This Row],[Fecha Levantamiento]]-Observaciones[[#This Row],[Fecha Detección]])&gt;=0,Observaciones[[#This Row],[Fecha Levantamiento]]-Observaciones[[#This Row],[Fecha Detección]]+1,0)</f>
        <v>3</v>
      </c>
      <c r="L309" s="163" t="str">
        <f>LOOKUP(Observaciones[[#This Row],[Caso de Prueba]],CasoPrueba[Código CP],CasoPrueba[Código de REQ])</f>
        <v>INSPECCIÓN</v>
      </c>
    </row>
    <row r="310" spans="1:12" ht="30" hidden="1">
      <c r="A310" s="165" t="s">
        <v>751</v>
      </c>
      <c r="B310" s="163" t="s">
        <v>904</v>
      </c>
      <c r="C310" s="163" t="str">
        <f>VLOOKUP(Observaciones[Caso de Prueba],CasoPrueba[[#All],[Código CP]:[Prioridad]],7,TRUE)</f>
        <v>Alta</v>
      </c>
      <c r="D310" s="163" t="s">
        <v>162</v>
      </c>
      <c r="E310" s="34" t="s">
        <v>49</v>
      </c>
      <c r="F310" s="164">
        <v>40845</v>
      </c>
      <c r="G310" s="164">
        <v>40847</v>
      </c>
      <c r="H310" s="94" t="s">
        <v>132</v>
      </c>
      <c r="I310" s="163" t="s">
        <v>1007</v>
      </c>
      <c r="J310" s="163" t="s">
        <v>823</v>
      </c>
      <c r="K310" s="163">
        <f>IF((Observaciones[[#This Row],[Fecha Levantamiento]]-Observaciones[[#This Row],[Fecha Detección]])&gt;=0,Observaciones[[#This Row],[Fecha Levantamiento]]-Observaciones[[#This Row],[Fecha Detección]]+1,0)</f>
        <v>3</v>
      </c>
      <c r="L310" s="163" t="str">
        <f>LOOKUP(Observaciones[[#This Row],[Caso de Prueba]],CasoPrueba[Código CP],CasoPrueba[Código de REQ])</f>
        <v>INSPECCIÓN</v>
      </c>
    </row>
    <row r="311" spans="1:12" ht="45" hidden="1">
      <c r="A311" s="165" t="s">
        <v>752</v>
      </c>
      <c r="B311" s="163" t="s">
        <v>904</v>
      </c>
      <c r="C311" s="163" t="str">
        <f>VLOOKUP(Observaciones[Caso de Prueba],CasoPrueba[[#All],[Código CP]:[Prioridad]],7,TRUE)</f>
        <v>Alta</v>
      </c>
      <c r="D311" s="163" t="s">
        <v>29</v>
      </c>
      <c r="E311" s="34" t="s">
        <v>49</v>
      </c>
      <c r="F311" s="164">
        <v>40845</v>
      </c>
      <c r="G311" s="164">
        <v>40847</v>
      </c>
      <c r="H311" s="94" t="s">
        <v>132</v>
      </c>
      <c r="I311" s="163" t="s">
        <v>1008</v>
      </c>
      <c r="J311" s="163" t="s">
        <v>1046</v>
      </c>
      <c r="K311" s="163">
        <f>IF((Observaciones[[#This Row],[Fecha Levantamiento]]-Observaciones[[#This Row],[Fecha Detección]])&gt;=0,Observaciones[[#This Row],[Fecha Levantamiento]]-Observaciones[[#This Row],[Fecha Detección]]+1,0)</f>
        <v>3</v>
      </c>
      <c r="L311" s="163" t="str">
        <f>LOOKUP(Observaciones[[#This Row],[Caso de Prueba]],CasoPrueba[Código CP],CasoPrueba[Código de REQ])</f>
        <v>INSPECCIÓN</v>
      </c>
    </row>
    <row r="312" spans="1:12" ht="30.75" hidden="1" customHeight="1">
      <c r="A312" s="165" t="s">
        <v>753</v>
      </c>
      <c r="B312" s="163" t="s">
        <v>904</v>
      </c>
      <c r="C312" s="163" t="str">
        <f>VLOOKUP(Observaciones[Caso de Prueba],CasoPrueba[[#All],[Código CP]:[Prioridad]],7,TRUE)</f>
        <v>Alta</v>
      </c>
      <c r="D312" s="163" t="s">
        <v>162</v>
      </c>
      <c r="E312" s="34" t="s">
        <v>49</v>
      </c>
      <c r="F312" s="164">
        <v>40845</v>
      </c>
      <c r="G312" s="164">
        <v>40847</v>
      </c>
      <c r="H312" s="94" t="s">
        <v>132</v>
      </c>
      <c r="I312" s="163" t="s">
        <v>1009</v>
      </c>
      <c r="J312" s="163" t="s">
        <v>1047</v>
      </c>
      <c r="K312" s="163">
        <f>IF((Observaciones[[#This Row],[Fecha Levantamiento]]-Observaciones[[#This Row],[Fecha Detección]])&gt;=0,Observaciones[[#This Row],[Fecha Levantamiento]]-Observaciones[[#This Row],[Fecha Detección]]+1,0)</f>
        <v>3</v>
      </c>
      <c r="L312" s="163" t="str">
        <f>LOOKUP(Observaciones[[#This Row],[Caso de Prueba]],CasoPrueba[Código CP],CasoPrueba[Código de REQ])</f>
        <v>INSPECCIÓN</v>
      </c>
    </row>
    <row r="313" spans="1:12" ht="45" hidden="1">
      <c r="A313" s="165" t="s">
        <v>754</v>
      </c>
      <c r="B313" s="163" t="s">
        <v>904</v>
      </c>
      <c r="C313" s="163" t="str">
        <f>VLOOKUP(Observaciones[Caso de Prueba],CasoPrueba[[#All],[Código CP]:[Prioridad]],7,TRUE)</f>
        <v>Alta</v>
      </c>
      <c r="D313" s="163" t="s">
        <v>162</v>
      </c>
      <c r="E313" s="34" t="s">
        <v>49</v>
      </c>
      <c r="F313" s="164">
        <v>40845</v>
      </c>
      <c r="G313" s="164">
        <v>40847</v>
      </c>
      <c r="H313" s="94" t="s">
        <v>132</v>
      </c>
      <c r="I313" s="163" t="s">
        <v>1010</v>
      </c>
      <c r="J313" s="163" t="s">
        <v>823</v>
      </c>
      <c r="K313" s="163">
        <f>IF((Observaciones[[#This Row],[Fecha Levantamiento]]-Observaciones[[#This Row],[Fecha Detección]])&gt;=0,Observaciones[[#This Row],[Fecha Levantamiento]]-Observaciones[[#This Row],[Fecha Detección]]+1,0)</f>
        <v>3</v>
      </c>
      <c r="L313" s="163" t="str">
        <f>LOOKUP(Observaciones[[#This Row],[Caso de Prueba]],CasoPrueba[Código CP],CasoPrueba[Código de REQ])</f>
        <v>INSPECCIÓN</v>
      </c>
    </row>
    <row r="314" spans="1:12" ht="30" hidden="1">
      <c r="A314" s="165" t="s">
        <v>755</v>
      </c>
      <c r="B314" s="163" t="s">
        <v>904</v>
      </c>
      <c r="C314" s="34" t="str">
        <f>VLOOKUP(Observaciones[Caso de Prueba],CasoPrueba[[#All],[Código CP]:[Prioridad]],7,TRUE)</f>
        <v>Alta</v>
      </c>
      <c r="D314" s="34" t="s">
        <v>30</v>
      </c>
      <c r="E314" s="34" t="s">
        <v>49</v>
      </c>
      <c r="F314" s="164">
        <v>40845</v>
      </c>
      <c r="G314" s="164">
        <v>40847</v>
      </c>
      <c r="H314" s="94" t="s">
        <v>132</v>
      </c>
      <c r="I314" s="34" t="s">
        <v>1011</v>
      </c>
      <c r="J314" s="34" t="s">
        <v>835</v>
      </c>
      <c r="K314" s="34">
        <f>IF((Observaciones[[#This Row],[Fecha Levantamiento]]-Observaciones[[#This Row],[Fecha Detección]])&gt;=0,Observaciones[[#This Row],[Fecha Levantamiento]]-Observaciones[[#This Row],[Fecha Detección]]+1,0)</f>
        <v>3</v>
      </c>
      <c r="L314" s="34" t="str">
        <f>LOOKUP(Observaciones[[#This Row],[Caso de Prueba]],CasoPrueba[Código CP],CasoPrueba[Código de REQ])</f>
        <v>INSPECCIÓN</v>
      </c>
    </row>
    <row r="315" spans="1:12" ht="45" hidden="1">
      <c r="A315" s="165" t="s">
        <v>756</v>
      </c>
      <c r="B315" s="163" t="s">
        <v>905</v>
      </c>
      <c r="C315" s="34" t="str">
        <f>VLOOKUP(Observaciones[Caso de Prueba],CasoPrueba[[#All],[Código CP]:[Prioridad]],7,TRUE)</f>
        <v>Alta</v>
      </c>
      <c r="D315" s="34" t="s">
        <v>28</v>
      </c>
      <c r="E315" s="34" t="s">
        <v>49</v>
      </c>
      <c r="F315" s="164">
        <v>40845</v>
      </c>
      <c r="G315" s="164">
        <v>40847</v>
      </c>
      <c r="H315" s="94" t="s">
        <v>132</v>
      </c>
      <c r="I315" s="34" t="s">
        <v>597</v>
      </c>
      <c r="J315" s="34" t="s">
        <v>1048</v>
      </c>
      <c r="K315" s="34">
        <f>IF((Observaciones[[#This Row],[Fecha Levantamiento]]-Observaciones[[#This Row],[Fecha Detección]])&gt;=0,Observaciones[[#This Row],[Fecha Levantamiento]]-Observaciones[[#This Row],[Fecha Detección]]+1,0)</f>
        <v>3</v>
      </c>
      <c r="L315" s="34" t="str">
        <f>LOOKUP(Observaciones[[#This Row],[Caso de Prueba]],CasoPrueba[Código CP],CasoPrueba[Código de REQ])</f>
        <v>INSPECCIÓN</v>
      </c>
    </row>
    <row r="316" spans="1:12" ht="30" hidden="1">
      <c r="A316" s="165" t="s">
        <v>757</v>
      </c>
      <c r="B316" s="163" t="s">
        <v>905</v>
      </c>
      <c r="C316" s="34" t="str">
        <f>VLOOKUP(Observaciones[Caso de Prueba],CasoPrueba[[#All],[Código CP]:[Prioridad]],7,TRUE)</f>
        <v>Alta</v>
      </c>
      <c r="D316" s="163" t="s">
        <v>162</v>
      </c>
      <c r="E316" s="34" t="s">
        <v>49</v>
      </c>
      <c r="F316" s="164">
        <v>40845</v>
      </c>
      <c r="G316" s="164">
        <v>40847</v>
      </c>
      <c r="H316" s="94" t="s">
        <v>132</v>
      </c>
      <c r="I316" s="34" t="s">
        <v>1012</v>
      </c>
      <c r="J316" s="34" t="s">
        <v>1049</v>
      </c>
      <c r="K316" s="34">
        <f>IF((Observaciones[[#This Row],[Fecha Levantamiento]]-Observaciones[[#This Row],[Fecha Detección]])&gt;=0,Observaciones[[#This Row],[Fecha Levantamiento]]-Observaciones[[#This Row],[Fecha Detección]]+1,0)</f>
        <v>3</v>
      </c>
      <c r="L316" s="34" t="str">
        <f>LOOKUP(Observaciones[[#This Row],[Caso de Prueba]],CasoPrueba[Código CP],CasoPrueba[Código de REQ])</f>
        <v>INSPECCIÓN</v>
      </c>
    </row>
    <row r="317" spans="1:12" ht="45" hidden="1">
      <c r="A317" s="165" t="s">
        <v>758</v>
      </c>
      <c r="B317" s="163" t="s">
        <v>905</v>
      </c>
      <c r="C317" s="34" t="str">
        <f>VLOOKUP(Observaciones[Caso de Prueba],CasoPrueba[[#All],[Código CP]:[Prioridad]],7,TRUE)</f>
        <v>Alta</v>
      </c>
      <c r="D317" s="34" t="s">
        <v>28</v>
      </c>
      <c r="E317" s="34" t="s">
        <v>49</v>
      </c>
      <c r="F317" s="164">
        <v>40845</v>
      </c>
      <c r="G317" s="164">
        <v>40847</v>
      </c>
      <c r="H317" s="94" t="s">
        <v>132</v>
      </c>
      <c r="I317" s="34" t="s">
        <v>1015</v>
      </c>
      <c r="J317" s="34" t="s">
        <v>1050</v>
      </c>
      <c r="K317" s="34">
        <f>IF((Observaciones[[#This Row],[Fecha Levantamiento]]-Observaciones[[#This Row],[Fecha Detección]])&gt;=0,Observaciones[[#This Row],[Fecha Levantamiento]]-Observaciones[[#This Row],[Fecha Detección]]+1,0)</f>
        <v>3</v>
      </c>
      <c r="L317" s="34" t="str">
        <f>LOOKUP(Observaciones[[#This Row],[Caso de Prueba]],CasoPrueba[Código CP],CasoPrueba[Código de REQ])</f>
        <v>INSPECCIÓN</v>
      </c>
    </row>
    <row r="318" spans="1:12" ht="75" hidden="1">
      <c r="A318" s="165" t="s">
        <v>759</v>
      </c>
      <c r="B318" s="163" t="s">
        <v>905</v>
      </c>
      <c r="C318" s="34" t="str">
        <f>VLOOKUP(Observaciones[Caso de Prueba],CasoPrueba[[#All],[Código CP]:[Prioridad]],7,TRUE)</f>
        <v>Alta</v>
      </c>
      <c r="D318" s="34" t="s">
        <v>29</v>
      </c>
      <c r="E318" s="34" t="s">
        <v>49</v>
      </c>
      <c r="F318" s="164">
        <v>40845</v>
      </c>
      <c r="G318" s="164">
        <v>40847</v>
      </c>
      <c r="H318" s="94" t="s">
        <v>132</v>
      </c>
      <c r="I318" s="34" t="s">
        <v>1019</v>
      </c>
      <c r="J318" s="34" t="s">
        <v>981</v>
      </c>
      <c r="K318" s="34">
        <f>IF((Observaciones[[#This Row],[Fecha Levantamiento]]-Observaciones[[#This Row],[Fecha Detección]])&gt;=0,Observaciones[[#This Row],[Fecha Levantamiento]]-Observaciones[[#This Row],[Fecha Detección]]+1,0)</f>
        <v>3</v>
      </c>
      <c r="L318" s="34" t="str">
        <f>LOOKUP(Observaciones[[#This Row],[Caso de Prueba]],CasoPrueba[Código CP],CasoPrueba[Código de REQ])</f>
        <v>INSPECCIÓN</v>
      </c>
    </row>
    <row r="319" spans="1:12" ht="60" hidden="1">
      <c r="A319" s="165" t="s">
        <v>760</v>
      </c>
      <c r="B319" s="163" t="s">
        <v>905</v>
      </c>
      <c r="C319" s="34" t="str">
        <f>VLOOKUP(Observaciones[Caso de Prueba],CasoPrueba[[#All],[Código CP]:[Prioridad]],7,TRUE)</f>
        <v>Alta</v>
      </c>
      <c r="D319" s="34" t="s">
        <v>28</v>
      </c>
      <c r="E319" s="34" t="s">
        <v>49</v>
      </c>
      <c r="F319" s="164">
        <v>40845</v>
      </c>
      <c r="G319" s="164">
        <v>40847</v>
      </c>
      <c r="H319" s="94" t="s">
        <v>132</v>
      </c>
      <c r="I319" s="34" t="s">
        <v>1013</v>
      </c>
      <c r="J319" s="34" t="s">
        <v>1051</v>
      </c>
      <c r="K319" s="34">
        <f>IF((Observaciones[[#This Row],[Fecha Levantamiento]]-Observaciones[[#This Row],[Fecha Detección]])&gt;=0,Observaciones[[#This Row],[Fecha Levantamiento]]-Observaciones[[#This Row],[Fecha Detección]]+1,0)</f>
        <v>3</v>
      </c>
      <c r="L319" s="34" t="str">
        <f>LOOKUP(Observaciones[[#This Row],[Caso de Prueba]],CasoPrueba[Código CP],CasoPrueba[Código de REQ])</f>
        <v>INSPECCIÓN</v>
      </c>
    </row>
    <row r="320" spans="1:12" ht="30" hidden="1">
      <c r="A320" s="165" t="s">
        <v>761</v>
      </c>
      <c r="B320" s="163" t="s">
        <v>905</v>
      </c>
      <c r="C320" s="34" t="str">
        <f>VLOOKUP(Observaciones[Caso de Prueba],CasoPrueba[[#All],[Código CP]:[Prioridad]],7,TRUE)</f>
        <v>Alta</v>
      </c>
      <c r="D320" s="34" t="s">
        <v>30</v>
      </c>
      <c r="E320" s="34" t="s">
        <v>49</v>
      </c>
      <c r="F320" s="164">
        <v>40845</v>
      </c>
      <c r="G320" s="164">
        <v>40847</v>
      </c>
      <c r="H320" s="94" t="s">
        <v>132</v>
      </c>
      <c r="I320" s="34" t="s">
        <v>1014</v>
      </c>
      <c r="J320" s="34" t="s">
        <v>1052</v>
      </c>
      <c r="K320" s="34">
        <f>IF((Observaciones[[#This Row],[Fecha Levantamiento]]-Observaciones[[#This Row],[Fecha Detección]])&gt;=0,Observaciones[[#This Row],[Fecha Levantamiento]]-Observaciones[[#This Row],[Fecha Detección]]+1,0)</f>
        <v>3</v>
      </c>
      <c r="L320" s="34" t="str">
        <f>LOOKUP(Observaciones[[#This Row],[Caso de Prueba]],CasoPrueba[Código CP],CasoPrueba[Código de REQ])</f>
        <v>INSPECCIÓN</v>
      </c>
    </row>
    <row r="321" spans="1:12" ht="30" hidden="1">
      <c r="A321" s="165" t="s">
        <v>762</v>
      </c>
      <c r="B321" s="163" t="s">
        <v>905</v>
      </c>
      <c r="C321" s="34" t="str">
        <f>VLOOKUP(Observaciones[Caso de Prueba],CasoPrueba[[#All],[Código CP]:[Prioridad]],7,TRUE)</f>
        <v>Alta</v>
      </c>
      <c r="D321" s="34" t="s">
        <v>162</v>
      </c>
      <c r="E321" s="34" t="s">
        <v>49</v>
      </c>
      <c r="F321" s="164">
        <v>40845</v>
      </c>
      <c r="G321" s="164">
        <v>40847</v>
      </c>
      <c r="H321" s="94" t="s">
        <v>132</v>
      </c>
      <c r="I321" s="34" t="s">
        <v>1059</v>
      </c>
      <c r="J321" s="34" t="s">
        <v>1053</v>
      </c>
      <c r="K321" s="34">
        <f>IF((Observaciones[[#This Row],[Fecha Levantamiento]]-Observaciones[[#This Row],[Fecha Detección]])&gt;=0,Observaciones[[#This Row],[Fecha Levantamiento]]-Observaciones[[#This Row],[Fecha Detección]]+1,0)</f>
        <v>3</v>
      </c>
      <c r="L321" s="34" t="str">
        <f>LOOKUP(Observaciones[[#This Row],[Caso de Prueba]],CasoPrueba[Código CP],CasoPrueba[Código de REQ])</f>
        <v>INSPECCIÓN</v>
      </c>
    </row>
    <row r="322" spans="1:12" ht="75" hidden="1">
      <c r="A322" s="165" t="s">
        <v>763</v>
      </c>
      <c r="B322" s="163" t="s">
        <v>905</v>
      </c>
      <c r="C322" s="34" t="str">
        <f>VLOOKUP(Observaciones[Caso de Prueba],CasoPrueba[[#All],[Código CP]:[Prioridad]],7,TRUE)</f>
        <v>Alta</v>
      </c>
      <c r="D322" s="34" t="s">
        <v>29</v>
      </c>
      <c r="E322" s="34" t="s">
        <v>49</v>
      </c>
      <c r="F322" s="164">
        <v>40845</v>
      </c>
      <c r="G322" s="164">
        <v>40847</v>
      </c>
      <c r="H322" s="94" t="s">
        <v>132</v>
      </c>
      <c r="I322" s="34" t="s">
        <v>1016</v>
      </c>
      <c r="J322" s="34" t="s">
        <v>1054</v>
      </c>
      <c r="K322" s="34">
        <f>IF((Observaciones[[#This Row],[Fecha Levantamiento]]-Observaciones[[#This Row],[Fecha Detección]])&gt;=0,Observaciones[[#This Row],[Fecha Levantamiento]]-Observaciones[[#This Row],[Fecha Detección]]+1,0)</f>
        <v>3</v>
      </c>
      <c r="L322" s="34" t="str">
        <f>LOOKUP(Observaciones[[#This Row],[Caso de Prueba]],CasoPrueba[Código CP],CasoPrueba[Código de REQ])</f>
        <v>INSPECCIÓN</v>
      </c>
    </row>
    <row r="323" spans="1:12" ht="30" hidden="1">
      <c r="A323" s="165" t="s">
        <v>764</v>
      </c>
      <c r="B323" s="163" t="s">
        <v>905</v>
      </c>
      <c r="C323" s="34" t="str">
        <f>VLOOKUP(Observaciones[Caso de Prueba],CasoPrueba[[#All],[Código CP]:[Prioridad]],7,TRUE)</f>
        <v>Alta</v>
      </c>
      <c r="D323" s="34" t="s">
        <v>162</v>
      </c>
      <c r="E323" s="34" t="s">
        <v>49</v>
      </c>
      <c r="F323" s="164">
        <v>40845</v>
      </c>
      <c r="G323" s="164">
        <v>40847</v>
      </c>
      <c r="H323" s="94" t="s">
        <v>132</v>
      </c>
      <c r="I323" s="34" t="s">
        <v>1017</v>
      </c>
      <c r="J323" s="34" t="s">
        <v>1055</v>
      </c>
      <c r="K323" s="34">
        <f>IF((Observaciones[[#This Row],[Fecha Levantamiento]]-Observaciones[[#This Row],[Fecha Detección]])&gt;=0,Observaciones[[#This Row],[Fecha Levantamiento]]-Observaciones[[#This Row],[Fecha Detección]]+1,0)</f>
        <v>3</v>
      </c>
      <c r="L323" s="34" t="str">
        <f>LOOKUP(Observaciones[[#This Row],[Caso de Prueba]],CasoPrueba[Código CP],CasoPrueba[Código de REQ])</f>
        <v>INSPECCIÓN</v>
      </c>
    </row>
    <row r="324" spans="1:12" ht="45" hidden="1">
      <c r="A324" s="165" t="s">
        <v>765</v>
      </c>
      <c r="B324" s="163" t="s">
        <v>906</v>
      </c>
      <c r="C324" s="34" t="str">
        <f>VLOOKUP(Observaciones[Caso de Prueba],CasoPrueba[[#All],[Código CP]:[Prioridad]],7,TRUE)</f>
        <v>Alta</v>
      </c>
      <c r="D324" s="34" t="s">
        <v>28</v>
      </c>
      <c r="E324" s="34" t="s">
        <v>49</v>
      </c>
      <c r="F324" s="164">
        <v>40845</v>
      </c>
      <c r="G324" s="164">
        <v>40847</v>
      </c>
      <c r="H324" s="94" t="s">
        <v>132</v>
      </c>
      <c r="I324" s="34" t="s">
        <v>597</v>
      </c>
      <c r="J324" s="34" t="s">
        <v>1056</v>
      </c>
      <c r="K324" s="34">
        <f>IF((Observaciones[[#This Row],[Fecha Levantamiento]]-Observaciones[[#This Row],[Fecha Detección]])&gt;=0,Observaciones[[#This Row],[Fecha Levantamiento]]-Observaciones[[#This Row],[Fecha Detección]]+1,0)</f>
        <v>3</v>
      </c>
      <c r="L324" s="34" t="str">
        <f>LOOKUP(Observaciones[[#This Row],[Caso de Prueba]],CasoPrueba[Código CP],CasoPrueba[Código de REQ])</f>
        <v>INSPECCIÓN</v>
      </c>
    </row>
    <row r="325" spans="1:12" ht="30" hidden="1">
      <c r="A325" s="165" t="s">
        <v>766</v>
      </c>
      <c r="B325" s="163" t="s">
        <v>906</v>
      </c>
      <c r="C325" s="34" t="str">
        <f>VLOOKUP(Observaciones[Caso de Prueba],CasoPrueba[[#All],[Código CP]:[Prioridad]],7,TRUE)</f>
        <v>Alta</v>
      </c>
      <c r="D325" s="163" t="s">
        <v>162</v>
      </c>
      <c r="E325" s="34" t="s">
        <v>49</v>
      </c>
      <c r="F325" s="164">
        <v>40845</v>
      </c>
      <c r="G325" s="164">
        <v>40847</v>
      </c>
      <c r="H325" s="94" t="s">
        <v>132</v>
      </c>
      <c r="I325" s="34" t="s">
        <v>1012</v>
      </c>
      <c r="J325" s="34" t="s">
        <v>1049</v>
      </c>
      <c r="K325" s="34">
        <f>IF((Observaciones[[#This Row],[Fecha Levantamiento]]-Observaciones[[#This Row],[Fecha Detección]])&gt;=0,Observaciones[[#This Row],[Fecha Levantamiento]]-Observaciones[[#This Row],[Fecha Detección]]+1,0)</f>
        <v>3</v>
      </c>
      <c r="L325" s="34" t="str">
        <f>LOOKUP(Observaciones[[#This Row],[Caso de Prueba]],CasoPrueba[Código CP],CasoPrueba[Código de REQ])</f>
        <v>INSPECCIÓN</v>
      </c>
    </row>
    <row r="326" spans="1:12" ht="60" hidden="1">
      <c r="A326" s="165" t="s">
        <v>767</v>
      </c>
      <c r="B326" s="163" t="s">
        <v>906</v>
      </c>
      <c r="C326" s="34" t="str">
        <f>VLOOKUP(Observaciones[Caso de Prueba],CasoPrueba[[#All],[Código CP]:[Prioridad]],7,TRUE)</f>
        <v>Alta</v>
      </c>
      <c r="D326" s="34" t="s">
        <v>28</v>
      </c>
      <c r="E326" s="34" t="s">
        <v>49</v>
      </c>
      <c r="F326" s="164">
        <v>40845</v>
      </c>
      <c r="G326" s="164">
        <v>40847</v>
      </c>
      <c r="H326" s="94" t="s">
        <v>132</v>
      </c>
      <c r="I326" s="34" t="s">
        <v>1018</v>
      </c>
      <c r="J326" s="34" t="s">
        <v>977</v>
      </c>
      <c r="K326" s="34">
        <f>IF((Observaciones[[#This Row],[Fecha Levantamiento]]-Observaciones[[#This Row],[Fecha Detección]])&gt;=0,Observaciones[[#This Row],[Fecha Levantamiento]]-Observaciones[[#This Row],[Fecha Detección]]+1,0)</f>
        <v>3</v>
      </c>
      <c r="L326" s="34" t="str">
        <f>LOOKUP(Observaciones[[#This Row],[Caso de Prueba]],CasoPrueba[Código CP],CasoPrueba[Código de REQ])</f>
        <v>INSPECCIÓN</v>
      </c>
    </row>
    <row r="327" spans="1:12" ht="30" hidden="1">
      <c r="A327" s="165" t="s">
        <v>768</v>
      </c>
      <c r="B327" s="163" t="s">
        <v>906</v>
      </c>
      <c r="C327" s="34" t="str">
        <f>VLOOKUP(Observaciones[Caso de Prueba],CasoPrueba[[#All],[Código CP]:[Prioridad]],7,TRUE)</f>
        <v>Alta</v>
      </c>
      <c r="D327" s="34" t="s">
        <v>162</v>
      </c>
      <c r="E327" s="34" t="s">
        <v>49</v>
      </c>
      <c r="F327" s="164">
        <v>40845</v>
      </c>
      <c r="G327" s="164">
        <v>40847</v>
      </c>
      <c r="H327" s="94" t="s">
        <v>132</v>
      </c>
      <c r="I327" s="34" t="s">
        <v>1020</v>
      </c>
      <c r="J327" s="34" t="s">
        <v>1057</v>
      </c>
      <c r="K327" s="34">
        <f>IF((Observaciones[[#This Row],[Fecha Levantamiento]]-Observaciones[[#This Row],[Fecha Detección]])&gt;=0,Observaciones[[#This Row],[Fecha Levantamiento]]-Observaciones[[#This Row],[Fecha Detección]]+1,0)</f>
        <v>3</v>
      </c>
      <c r="L327" s="34" t="str">
        <f>LOOKUP(Observaciones[[#This Row],[Caso de Prueba]],CasoPrueba[Código CP],CasoPrueba[Código de REQ])</f>
        <v>INSPECCIÓN</v>
      </c>
    </row>
    <row r="328" spans="1:12" ht="30" hidden="1">
      <c r="A328" s="165" t="s">
        <v>769</v>
      </c>
      <c r="B328" s="163" t="s">
        <v>906</v>
      </c>
      <c r="C328" s="34" t="str">
        <f>VLOOKUP(Observaciones[Caso de Prueba],CasoPrueba[[#All],[Código CP]:[Prioridad]],7,TRUE)</f>
        <v>Alta</v>
      </c>
      <c r="D328" s="34" t="s">
        <v>29</v>
      </c>
      <c r="E328" s="34" t="s">
        <v>49</v>
      </c>
      <c r="F328" s="164">
        <v>40845</v>
      </c>
      <c r="G328" s="164">
        <v>40847</v>
      </c>
      <c r="H328" s="94" t="s">
        <v>132</v>
      </c>
      <c r="I328" s="34" t="s">
        <v>1021</v>
      </c>
      <c r="J328" s="34" t="s">
        <v>1058</v>
      </c>
      <c r="K328" s="34">
        <f>IF((Observaciones[[#This Row],[Fecha Levantamiento]]-Observaciones[[#This Row],[Fecha Detección]])&gt;=0,Observaciones[[#This Row],[Fecha Levantamiento]]-Observaciones[[#This Row],[Fecha Detección]]+1,0)</f>
        <v>3</v>
      </c>
      <c r="L328" s="34" t="str">
        <f>LOOKUP(Observaciones[[#This Row],[Caso de Prueba]],CasoPrueba[Código CP],CasoPrueba[Código de REQ])</f>
        <v>INSPECCIÓN</v>
      </c>
    </row>
    <row r="329" spans="1:12" ht="30" hidden="1">
      <c r="A329" s="165" t="s">
        <v>770</v>
      </c>
      <c r="B329" s="163" t="s">
        <v>489</v>
      </c>
      <c r="C329" s="34" t="str">
        <f>VLOOKUP(Observaciones[Caso de Prueba],CasoPrueba[[#All],[Código CP]:[Prioridad]],7,TRUE)</f>
        <v>Alta</v>
      </c>
      <c r="D329" s="34" t="s">
        <v>30</v>
      </c>
      <c r="E329" s="34" t="s">
        <v>49</v>
      </c>
      <c r="F329" s="164">
        <v>40847</v>
      </c>
      <c r="G329" s="73">
        <v>40848</v>
      </c>
      <c r="H329" s="94" t="s">
        <v>132</v>
      </c>
      <c r="I329" s="34" t="s">
        <v>1014</v>
      </c>
      <c r="J329" s="34" t="s">
        <v>1032</v>
      </c>
      <c r="K329" s="34">
        <f>IF((Observaciones[[#This Row],[Fecha Levantamiento]]-Observaciones[[#This Row],[Fecha Detección]])&gt;=0,Observaciones[[#This Row],[Fecha Levantamiento]]-Observaciones[[#This Row],[Fecha Detección]]+1,0)</f>
        <v>2</v>
      </c>
      <c r="L329" s="34" t="str">
        <f>LOOKUP(Observaciones[[#This Row],[Caso de Prueba]],CasoPrueba[Código CP],CasoPrueba[Código de REQ])</f>
        <v>INSPECCIÓN</v>
      </c>
    </row>
    <row r="330" spans="1:12" ht="30" hidden="1">
      <c r="A330" s="165" t="s">
        <v>771</v>
      </c>
      <c r="B330" s="163" t="s">
        <v>489</v>
      </c>
      <c r="C330" s="34" t="str">
        <f>VLOOKUP(Observaciones[Caso de Prueba],CasoPrueba[[#All],[Código CP]:[Prioridad]],7,TRUE)</f>
        <v>Alta</v>
      </c>
      <c r="D330" s="34" t="s">
        <v>162</v>
      </c>
      <c r="E330" s="34" t="s">
        <v>49</v>
      </c>
      <c r="F330" s="164">
        <v>40847</v>
      </c>
      <c r="G330" s="73">
        <v>40848</v>
      </c>
      <c r="H330" s="94" t="s">
        <v>132</v>
      </c>
      <c r="I330" s="34" t="s">
        <v>1025</v>
      </c>
      <c r="J330" s="34" t="s">
        <v>199</v>
      </c>
      <c r="K330" s="34">
        <f>IF((Observaciones[[#This Row],[Fecha Levantamiento]]-Observaciones[[#This Row],[Fecha Detección]])&gt;=0,Observaciones[[#This Row],[Fecha Levantamiento]]-Observaciones[[#This Row],[Fecha Detección]]+1,0)</f>
        <v>2</v>
      </c>
      <c r="L330" s="34" t="str">
        <f>LOOKUP(Observaciones[[#This Row],[Caso de Prueba]],CasoPrueba[Código CP],CasoPrueba[Código de REQ])</f>
        <v>INSPECCIÓN</v>
      </c>
    </row>
    <row r="331" spans="1:12" ht="45" hidden="1">
      <c r="A331" s="163" t="s">
        <v>772</v>
      </c>
      <c r="B331" s="163" t="s">
        <v>614</v>
      </c>
      <c r="C331" s="34" t="str">
        <f>VLOOKUP(Observaciones[Caso de Prueba],CasoPrueba[[#All],[Código CP]:[Prioridad]],7,TRUE)</f>
        <v>Alta</v>
      </c>
      <c r="D331" s="34" t="s">
        <v>30</v>
      </c>
      <c r="E331" s="34" t="s">
        <v>49</v>
      </c>
      <c r="F331" s="164">
        <v>40847</v>
      </c>
      <c r="G331" s="73">
        <v>40848</v>
      </c>
      <c r="H331" s="94" t="s">
        <v>132</v>
      </c>
      <c r="I331" s="34" t="s">
        <v>1026</v>
      </c>
      <c r="J331" s="34" t="s">
        <v>818</v>
      </c>
      <c r="K331" s="34">
        <f>IF((Observaciones[[#This Row],[Fecha Levantamiento]]-Observaciones[[#This Row],[Fecha Detección]])&gt;=0,Observaciones[[#This Row],[Fecha Levantamiento]]-Observaciones[[#This Row],[Fecha Detección]]+1,0)</f>
        <v>2</v>
      </c>
      <c r="L331" s="34" t="str">
        <f>LOOKUP(Observaciones[[#This Row],[Caso de Prueba]],CasoPrueba[Código CP],CasoPrueba[Código de REQ])</f>
        <v>INSPECCIÓN</v>
      </c>
    </row>
    <row r="332" spans="1:12" ht="60" hidden="1">
      <c r="A332" s="165" t="s">
        <v>773</v>
      </c>
      <c r="B332" s="34" t="s">
        <v>619</v>
      </c>
      <c r="C332" s="34" t="str">
        <f>VLOOKUP(Observaciones[Caso de Prueba],CasoPrueba[[#All],[Código CP]:[Prioridad]],7,TRUE)</f>
        <v>Alta</v>
      </c>
      <c r="D332" s="34" t="s">
        <v>30</v>
      </c>
      <c r="E332" s="34" t="s">
        <v>49</v>
      </c>
      <c r="F332" s="164">
        <v>40847</v>
      </c>
      <c r="G332" s="73">
        <v>40848</v>
      </c>
      <c r="H332" s="94" t="s">
        <v>132</v>
      </c>
      <c r="I332" s="34" t="s">
        <v>1027</v>
      </c>
      <c r="J332" s="34" t="s">
        <v>1033</v>
      </c>
      <c r="K332" s="34">
        <f>IF((Observaciones[[#This Row],[Fecha Levantamiento]]-Observaciones[[#This Row],[Fecha Detección]])&gt;=0,Observaciones[[#This Row],[Fecha Levantamiento]]-Observaciones[[#This Row],[Fecha Detección]]+1,0)</f>
        <v>2</v>
      </c>
      <c r="L332" s="34" t="str">
        <f>LOOKUP(Observaciones[[#This Row],[Caso de Prueba]],CasoPrueba[Código CP],CasoPrueba[Código de REQ])</f>
        <v>INSPECCIÓN</v>
      </c>
    </row>
    <row r="333" spans="1:12" ht="30" hidden="1">
      <c r="A333" s="165" t="s">
        <v>774</v>
      </c>
      <c r="B333" s="34" t="s">
        <v>619</v>
      </c>
      <c r="C333" s="34" t="str">
        <f>VLOOKUP(Observaciones[Caso de Prueba],CasoPrueba[[#All],[Código CP]:[Prioridad]],7,TRUE)</f>
        <v>Alta</v>
      </c>
      <c r="D333" s="34" t="s">
        <v>162</v>
      </c>
      <c r="E333" s="34" t="s">
        <v>49</v>
      </c>
      <c r="F333" s="164">
        <v>40847</v>
      </c>
      <c r="G333" s="73">
        <v>40848</v>
      </c>
      <c r="H333" s="94" t="s">
        <v>132</v>
      </c>
      <c r="I333" s="34" t="s">
        <v>1028</v>
      </c>
      <c r="J333" s="34" t="s">
        <v>1034</v>
      </c>
      <c r="K333" s="34">
        <f>IF((Observaciones[[#This Row],[Fecha Levantamiento]]-Observaciones[[#This Row],[Fecha Detección]])&gt;=0,Observaciones[[#This Row],[Fecha Levantamiento]]-Observaciones[[#This Row],[Fecha Detección]]+1,0)</f>
        <v>2</v>
      </c>
      <c r="L333" s="34" t="str">
        <f>LOOKUP(Observaciones[[#This Row],[Caso de Prueba]],CasoPrueba[Código CP],CasoPrueba[Código de REQ])</f>
        <v>INSPECCIÓN</v>
      </c>
    </row>
    <row r="334" spans="1:12" ht="60" hidden="1">
      <c r="A334" s="165" t="s">
        <v>775</v>
      </c>
      <c r="B334" s="34" t="s">
        <v>653</v>
      </c>
      <c r="C334" s="34" t="str">
        <f>VLOOKUP(Observaciones[Caso de Prueba],CasoPrueba[[#All],[Código CP]:[Prioridad]],7,TRUE)</f>
        <v>Alta</v>
      </c>
      <c r="D334" s="34" t="s">
        <v>29</v>
      </c>
      <c r="E334" s="34" t="s">
        <v>49</v>
      </c>
      <c r="F334" s="164">
        <v>40847</v>
      </c>
      <c r="G334" s="73">
        <v>40848</v>
      </c>
      <c r="H334" s="94" t="s">
        <v>132</v>
      </c>
      <c r="I334" s="34" t="s">
        <v>1029</v>
      </c>
      <c r="J334" s="34" t="s">
        <v>266</v>
      </c>
      <c r="K334" s="34">
        <f>IF((Observaciones[[#This Row],[Fecha Levantamiento]]-Observaciones[[#This Row],[Fecha Detección]])&gt;=0,Observaciones[[#This Row],[Fecha Levantamiento]]-Observaciones[[#This Row],[Fecha Detección]]+1,0)</f>
        <v>2</v>
      </c>
      <c r="L334" s="34" t="str">
        <f>LOOKUP(Observaciones[[#This Row],[Caso de Prueba]],CasoPrueba[Código CP],CasoPrueba[Código de REQ])</f>
        <v>INSPECCIÓN</v>
      </c>
    </row>
    <row r="335" spans="1:12" ht="30" hidden="1">
      <c r="A335" s="165" t="s">
        <v>776</v>
      </c>
      <c r="B335" s="34" t="s">
        <v>653</v>
      </c>
      <c r="C335" s="34" t="str">
        <f>VLOOKUP(Observaciones[Caso de Prueba],CasoPrueba[[#All],[Código CP]:[Prioridad]],7,TRUE)</f>
        <v>Alta</v>
      </c>
      <c r="D335" s="34" t="s">
        <v>29</v>
      </c>
      <c r="E335" s="34" t="s">
        <v>49</v>
      </c>
      <c r="F335" s="164">
        <v>40847</v>
      </c>
      <c r="G335" s="73">
        <v>40848</v>
      </c>
      <c r="H335" s="94" t="s">
        <v>132</v>
      </c>
      <c r="I335" s="34" t="s">
        <v>1030</v>
      </c>
      <c r="J335" s="34" t="s">
        <v>266</v>
      </c>
      <c r="K335" s="34">
        <f>IF((Observaciones[[#This Row],[Fecha Levantamiento]]-Observaciones[[#This Row],[Fecha Detección]])&gt;=0,Observaciones[[#This Row],[Fecha Levantamiento]]-Observaciones[[#This Row],[Fecha Detección]]+1,0)</f>
        <v>2</v>
      </c>
      <c r="L335" s="34" t="str">
        <f>LOOKUP(Observaciones[[#This Row],[Caso de Prueba]],CasoPrueba[Código CP],CasoPrueba[Código de REQ])</f>
        <v>INSPECCIÓN</v>
      </c>
    </row>
    <row r="336" spans="1:12" ht="30" hidden="1">
      <c r="A336" s="165" t="s">
        <v>777</v>
      </c>
      <c r="B336" s="34" t="s">
        <v>887</v>
      </c>
      <c r="C336" s="34" t="str">
        <f>VLOOKUP(Observaciones[Caso de Prueba],CasoPrueba[[#All],[Código CP]:[Prioridad]],7,TRUE)</f>
        <v>Alta</v>
      </c>
      <c r="D336" s="34" t="s">
        <v>162</v>
      </c>
      <c r="E336" s="34" t="s">
        <v>47</v>
      </c>
      <c r="F336" s="73">
        <v>40848</v>
      </c>
      <c r="H336" s="94" t="s">
        <v>132</v>
      </c>
      <c r="I336" s="34" t="s">
        <v>1035</v>
      </c>
      <c r="J336" s="34" t="s">
        <v>851</v>
      </c>
      <c r="K336" s="34">
        <f>IF((Observaciones[[#This Row],[Fecha Levantamiento]]-Observaciones[[#This Row],[Fecha Detección]])&gt;=0,Observaciones[[#This Row],[Fecha Levantamiento]]-Observaciones[[#This Row],[Fecha Detección]]+1,0)</f>
        <v>0</v>
      </c>
      <c r="L336" s="34" t="str">
        <f>LOOKUP(Observaciones[[#This Row],[Caso de Prueba]],CasoPrueba[Código CP],CasoPrueba[Código de REQ])</f>
        <v>INSPECCIÓN</v>
      </c>
    </row>
    <row r="337" spans="1:12" ht="30" hidden="1">
      <c r="A337" s="165" t="s">
        <v>778</v>
      </c>
      <c r="B337" s="34" t="s">
        <v>887</v>
      </c>
      <c r="C337" s="34" t="str">
        <f>VLOOKUP(Observaciones[Caso de Prueba],CasoPrueba[[#All],[Código CP]:[Prioridad]],7,TRUE)</f>
        <v>Alta</v>
      </c>
      <c r="D337" s="34" t="s">
        <v>30</v>
      </c>
      <c r="E337" s="34" t="s">
        <v>47</v>
      </c>
      <c r="F337" s="73">
        <v>40848</v>
      </c>
      <c r="H337" s="94" t="s">
        <v>132</v>
      </c>
      <c r="I337" s="34" t="s">
        <v>1036</v>
      </c>
      <c r="J337" s="34" t="s">
        <v>1115</v>
      </c>
      <c r="K337" s="34">
        <f>IF((Observaciones[[#This Row],[Fecha Levantamiento]]-Observaciones[[#This Row],[Fecha Detección]])&gt;=0,Observaciones[[#This Row],[Fecha Levantamiento]]-Observaciones[[#This Row],[Fecha Detección]]+1,0)</f>
        <v>0</v>
      </c>
      <c r="L337" s="34" t="str">
        <f>LOOKUP(Observaciones[[#This Row],[Caso de Prueba]],CasoPrueba[Código CP],CasoPrueba[Código de REQ])</f>
        <v>INSPECCIÓN</v>
      </c>
    </row>
    <row r="338" spans="1:12" ht="30" hidden="1">
      <c r="A338" s="165" t="s">
        <v>779</v>
      </c>
      <c r="B338" s="34" t="s">
        <v>888</v>
      </c>
      <c r="C338" s="34" t="str">
        <f>VLOOKUP(Observaciones[Caso de Prueba],CasoPrueba[[#All],[Código CP]:[Prioridad]],7,TRUE)</f>
        <v>Alta</v>
      </c>
      <c r="D338" s="34" t="s">
        <v>30</v>
      </c>
      <c r="E338" s="34" t="s">
        <v>47</v>
      </c>
      <c r="F338" s="73">
        <v>40848</v>
      </c>
      <c r="H338" s="94" t="s">
        <v>132</v>
      </c>
      <c r="I338" s="34" t="s">
        <v>1014</v>
      </c>
      <c r="J338" s="34" t="s">
        <v>1116</v>
      </c>
      <c r="K338" s="34">
        <f>IF((Observaciones[[#This Row],[Fecha Levantamiento]]-Observaciones[[#This Row],[Fecha Detección]])&gt;=0,Observaciones[[#This Row],[Fecha Levantamiento]]-Observaciones[[#This Row],[Fecha Detección]]+1,0)</f>
        <v>0</v>
      </c>
      <c r="L338" s="34" t="str">
        <f>LOOKUP(Observaciones[[#This Row],[Caso de Prueba]],CasoPrueba[Código CP],CasoPrueba[Código de REQ])</f>
        <v>INSPECCIÓN</v>
      </c>
    </row>
    <row r="339" spans="1:12" ht="105">
      <c r="A339" s="163" t="s">
        <v>780</v>
      </c>
      <c r="B339" s="34" t="s">
        <v>889</v>
      </c>
      <c r="C339" s="34" t="str">
        <f>VLOOKUP(Observaciones[Caso de Prueba],CasoPrueba[[#All],[Código CP]:[Prioridad]],7,TRUE)</f>
        <v>Alta</v>
      </c>
      <c r="D339" s="34" t="s">
        <v>30</v>
      </c>
      <c r="E339" s="34" t="s">
        <v>47</v>
      </c>
      <c r="F339" s="73">
        <v>40848</v>
      </c>
      <c r="H339" s="94" t="s">
        <v>132</v>
      </c>
      <c r="I339" s="34" t="s">
        <v>1063</v>
      </c>
      <c r="J339" s="34" t="s">
        <v>1127</v>
      </c>
      <c r="K339" s="34">
        <f>IF((Observaciones[[#This Row],[Fecha Levantamiento]]-Observaciones[[#This Row],[Fecha Detección]])&gt;=0,Observaciones[[#This Row],[Fecha Levantamiento]]-Observaciones[[#This Row],[Fecha Detección]]+1,0)</f>
        <v>0</v>
      </c>
      <c r="L339" s="34" t="str">
        <f>LOOKUP(Observaciones[[#This Row],[Caso de Prueba]],CasoPrueba[Código CP],CasoPrueba[Código de REQ])</f>
        <v>INSPECCIÓN</v>
      </c>
    </row>
    <row r="340" spans="1:12" ht="30" hidden="1">
      <c r="A340" s="165" t="s">
        <v>781</v>
      </c>
      <c r="B340" s="34" t="s">
        <v>891</v>
      </c>
      <c r="C340" s="34" t="str">
        <f>VLOOKUP(Observaciones[Caso de Prueba],CasoPrueba[[#All],[Código CP]:[Prioridad]],7,TRUE)</f>
        <v>Alta</v>
      </c>
      <c r="D340" s="34" t="s">
        <v>162</v>
      </c>
      <c r="E340" s="34" t="s">
        <v>47</v>
      </c>
      <c r="F340" s="73">
        <v>40848</v>
      </c>
      <c r="H340" s="94" t="s">
        <v>132</v>
      </c>
      <c r="I340" s="34" t="s">
        <v>1038</v>
      </c>
      <c r="J340" s="34" t="s">
        <v>1126</v>
      </c>
      <c r="K340" s="34">
        <f>IF((Observaciones[[#This Row],[Fecha Levantamiento]]-Observaciones[[#This Row],[Fecha Detección]])&gt;=0,Observaciones[[#This Row],[Fecha Levantamiento]]-Observaciones[[#This Row],[Fecha Detección]]+1,0)</f>
        <v>0</v>
      </c>
      <c r="L340" s="34" t="str">
        <f>LOOKUP(Observaciones[[#This Row],[Caso de Prueba]],CasoPrueba[Código CP],CasoPrueba[Código de REQ])</f>
        <v>INSPECCIÓN</v>
      </c>
    </row>
    <row r="341" spans="1:12" ht="45" hidden="1">
      <c r="A341" s="165" t="s">
        <v>782</v>
      </c>
      <c r="B341" s="163" t="s">
        <v>614</v>
      </c>
      <c r="C341" s="34" t="str">
        <f>VLOOKUP(Observaciones[Caso de Prueba],CasoPrueba[[#All],[Código CP]:[Prioridad]],7,TRUE)</f>
        <v>Alta</v>
      </c>
      <c r="D341" s="34" t="s">
        <v>30</v>
      </c>
      <c r="E341" s="34" t="s">
        <v>47</v>
      </c>
      <c r="F341" s="73">
        <v>40848</v>
      </c>
      <c r="H341" s="94" t="s">
        <v>132</v>
      </c>
      <c r="I341" s="34" t="s">
        <v>1060</v>
      </c>
      <c r="J341" s="34" t="s">
        <v>858</v>
      </c>
      <c r="K341" s="34">
        <f>IF((Observaciones[[#This Row],[Fecha Levantamiento]]-Observaciones[[#This Row],[Fecha Detección]])&gt;=0,Observaciones[[#This Row],[Fecha Levantamiento]]-Observaciones[[#This Row],[Fecha Detección]]+1,0)</f>
        <v>0</v>
      </c>
      <c r="L341" s="34" t="str">
        <f>LOOKUP(Observaciones[[#This Row],[Caso de Prueba]],CasoPrueba[Código CP],CasoPrueba[Código de REQ])</f>
        <v>INSPECCIÓN</v>
      </c>
    </row>
    <row r="342" spans="1:12" ht="30" hidden="1">
      <c r="A342" s="165" t="s">
        <v>783</v>
      </c>
      <c r="B342" s="34" t="s">
        <v>619</v>
      </c>
      <c r="C342" s="34" t="str">
        <f>VLOOKUP(Observaciones[Caso de Prueba],CasoPrueba[[#All],[Código CP]:[Prioridad]],7,TRUE)</f>
        <v>Alta</v>
      </c>
      <c r="D342" s="34" t="s">
        <v>162</v>
      </c>
      <c r="E342" s="34" t="s">
        <v>47</v>
      </c>
      <c r="F342" s="73">
        <v>40848</v>
      </c>
      <c r="H342" s="94" t="s">
        <v>132</v>
      </c>
      <c r="I342" s="34" t="s">
        <v>1061</v>
      </c>
      <c r="J342" s="34" t="s">
        <v>1044</v>
      </c>
      <c r="K342" s="34">
        <f>IF((Observaciones[[#This Row],[Fecha Levantamiento]]-Observaciones[[#This Row],[Fecha Detección]])&gt;=0,Observaciones[[#This Row],[Fecha Levantamiento]]-Observaciones[[#This Row],[Fecha Detección]]+1,0)</f>
        <v>0</v>
      </c>
      <c r="L342" s="34" t="str">
        <f>LOOKUP(Observaciones[[#This Row],[Caso de Prueba]],CasoPrueba[Código CP],CasoPrueba[Código de REQ])</f>
        <v>INSPECCIÓN</v>
      </c>
    </row>
    <row r="343" spans="1:12" ht="30" hidden="1">
      <c r="A343" s="165" t="s">
        <v>784</v>
      </c>
      <c r="B343" s="34" t="s">
        <v>653</v>
      </c>
      <c r="C343" s="34" t="str">
        <f>VLOOKUP(Observaciones[Caso de Prueba],CasoPrueba[[#All],[Código CP]:[Prioridad]],7,TRUE)</f>
        <v>Alta</v>
      </c>
      <c r="D343" s="34" t="s">
        <v>162</v>
      </c>
      <c r="E343" s="34" t="s">
        <v>47</v>
      </c>
      <c r="F343" s="73">
        <v>40848</v>
      </c>
      <c r="H343" s="94" t="s">
        <v>132</v>
      </c>
      <c r="I343" s="34" t="s">
        <v>1062</v>
      </c>
      <c r="J343" s="34" t="s">
        <v>1117</v>
      </c>
      <c r="K343" s="34">
        <f>IF((Observaciones[[#This Row],[Fecha Levantamiento]]-Observaciones[[#This Row],[Fecha Detección]])&gt;=0,Observaciones[[#This Row],[Fecha Levantamiento]]-Observaciones[[#This Row],[Fecha Detección]]+1,0)</f>
        <v>0</v>
      </c>
      <c r="L343" s="34" t="str">
        <f>LOOKUP(Observaciones[[#This Row],[Caso de Prueba]],CasoPrueba[Código CP],CasoPrueba[Código de REQ])</f>
        <v>INSPECCIÓN</v>
      </c>
    </row>
    <row r="344" spans="1:12" ht="45" hidden="1">
      <c r="A344" s="165" t="s">
        <v>785</v>
      </c>
      <c r="B344" s="34" t="s">
        <v>88</v>
      </c>
      <c r="C344" s="34" t="str">
        <f>VLOOKUP(Observaciones[Caso de Prueba],CasoPrueba[[#All],[Código CP]:[Prioridad]],7,TRUE)</f>
        <v>Alta</v>
      </c>
      <c r="D344" s="34" t="s">
        <v>28</v>
      </c>
      <c r="E344" s="34" t="s">
        <v>47</v>
      </c>
      <c r="F344" s="73">
        <v>40848</v>
      </c>
      <c r="H344" s="94" t="s">
        <v>132</v>
      </c>
      <c r="I344" s="34" t="s">
        <v>871</v>
      </c>
      <c r="J344" s="34" t="s">
        <v>977</v>
      </c>
      <c r="K344" s="34">
        <f>IF((Observaciones[[#This Row],[Fecha Levantamiento]]-Observaciones[[#This Row],[Fecha Detección]])&gt;=0,Observaciones[[#This Row],[Fecha Levantamiento]]-Observaciones[[#This Row],[Fecha Detección]]+1,0)</f>
        <v>0</v>
      </c>
      <c r="L344" s="34" t="str">
        <f>LOOKUP(Observaciones[[#This Row],[Caso de Prueba]],CasoPrueba[Código CP],CasoPrueba[Código de REQ])</f>
        <v>INSPECCIÓN</v>
      </c>
    </row>
    <row r="345" spans="1:12" ht="45" hidden="1">
      <c r="A345" s="165" t="s">
        <v>786</v>
      </c>
      <c r="B345" s="34" t="s">
        <v>151</v>
      </c>
      <c r="C345" s="34" t="str">
        <f>VLOOKUP(Observaciones[Caso de Prueba],CasoPrueba[[#All],[Código CP]:[Prioridad]],7,TRUE)</f>
        <v>Alta</v>
      </c>
      <c r="D345" s="34" t="s">
        <v>28</v>
      </c>
      <c r="E345" s="34" t="s">
        <v>47</v>
      </c>
      <c r="F345" s="73">
        <v>40848</v>
      </c>
      <c r="H345" s="94" t="s">
        <v>132</v>
      </c>
      <c r="I345" s="34" t="s">
        <v>597</v>
      </c>
      <c r="J345" s="34" t="s">
        <v>1108</v>
      </c>
      <c r="K345" s="34">
        <f>IF((Observaciones[[#This Row],[Fecha Levantamiento]]-Observaciones[[#This Row],[Fecha Detección]])&gt;=0,Observaciones[[#This Row],[Fecha Levantamiento]]-Observaciones[[#This Row],[Fecha Detección]]+1,0)</f>
        <v>0</v>
      </c>
      <c r="L345" s="34" t="str">
        <f>LOOKUP(Observaciones[[#This Row],[Caso de Prueba]],CasoPrueba[Código CP],CasoPrueba[Código de REQ])</f>
        <v>INSPECCIÓN</v>
      </c>
    </row>
    <row r="346" spans="1:12" ht="45" hidden="1">
      <c r="A346" s="165" t="s">
        <v>787</v>
      </c>
      <c r="B346" s="34" t="s">
        <v>152</v>
      </c>
      <c r="C346" s="34" t="str">
        <f>VLOOKUP(Observaciones[Caso de Prueba],CasoPrueba[[#All],[Código CP]:[Prioridad]],7,TRUE)</f>
        <v>Alta</v>
      </c>
      <c r="D346" s="34" t="s">
        <v>28</v>
      </c>
      <c r="E346" s="34" t="s">
        <v>47</v>
      </c>
      <c r="F346" s="73">
        <v>40848</v>
      </c>
      <c r="H346" s="94" t="s">
        <v>132</v>
      </c>
      <c r="I346" s="34" t="s">
        <v>871</v>
      </c>
      <c r="J346" s="34" t="s">
        <v>955</v>
      </c>
      <c r="K346" s="34">
        <f>IF((Observaciones[[#This Row],[Fecha Levantamiento]]-Observaciones[[#This Row],[Fecha Detección]])&gt;=0,Observaciones[[#This Row],[Fecha Levantamiento]]-Observaciones[[#This Row],[Fecha Detección]]+1,0)</f>
        <v>0</v>
      </c>
      <c r="L346" s="34" t="str">
        <f>LOOKUP(Observaciones[[#This Row],[Caso de Prueba]],CasoPrueba[Código CP],CasoPrueba[Código de REQ])</f>
        <v>INSPECCIÓN</v>
      </c>
    </row>
    <row r="347" spans="1:12" ht="75" hidden="1">
      <c r="A347" s="165" t="s">
        <v>788</v>
      </c>
      <c r="B347" s="34" t="s">
        <v>152</v>
      </c>
      <c r="C347" s="34" t="str">
        <f>VLOOKUP(Observaciones[Caso de Prueba],CasoPrueba[[#All],[Código CP]:[Prioridad]],7,TRUE)</f>
        <v>Alta</v>
      </c>
      <c r="D347" s="34" t="s">
        <v>28</v>
      </c>
      <c r="E347" s="34" t="s">
        <v>47</v>
      </c>
      <c r="F347" s="73">
        <v>40848</v>
      </c>
      <c r="H347" s="94" t="s">
        <v>132</v>
      </c>
      <c r="I347" s="34" t="s">
        <v>1068</v>
      </c>
      <c r="J347" s="34" t="s">
        <v>817</v>
      </c>
      <c r="K347" s="34">
        <f>IF((Observaciones[[#This Row],[Fecha Levantamiento]]-Observaciones[[#This Row],[Fecha Detección]])&gt;=0,Observaciones[[#This Row],[Fecha Levantamiento]]-Observaciones[[#This Row],[Fecha Detección]]+1,0)</f>
        <v>0</v>
      </c>
      <c r="L347" s="34" t="str">
        <f>LOOKUP(Observaciones[[#This Row],[Caso de Prueba]],CasoPrueba[Código CP],CasoPrueba[Código de REQ])</f>
        <v>INSPECCIÓN</v>
      </c>
    </row>
    <row r="348" spans="1:12" hidden="1">
      <c r="A348" s="165" t="s">
        <v>789</v>
      </c>
      <c r="B348" s="34" t="s">
        <v>152</v>
      </c>
      <c r="C348" s="34" t="str">
        <f>VLOOKUP(Observaciones[Caso de Prueba],CasoPrueba[[#All],[Código CP]:[Prioridad]],7,TRUE)</f>
        <v>Alta</v>
      </c>
      <c r="D348" s="34" t="s">
        <v>28</v>
      </c>
      <c r="E348" s="34" t="s">
        <v>47</v>
      </c>
      <c r="F348" s="73">
        <v>40848</v>
      </c>
      <c r="H348" s="94" t="s">
        <v>132</v>
      </c>
      <c r="I348" s="34" t="s">
        <v>645</v>
      </c>
      <c r="J348" s="34" t="s">
        <v>1106</v>
      </c>
      <c r="K348" s="34">
        <f>IF((Observaciones[[#This Row],[Fecha Levantamiento]]-Observaciones[[#This Row],[Fecha Detección]])&gt;=0,Observaciones[[#This Row],[Fecha Levantamiento]]-Observaciones[[#This Row],[Fecha Detección]]+1,0)</f>
        <v>0</v>
      </c>
      <c r="L348" s="34" t="str">
        <f>LOOKUP(Observaciones[[#This Row],[Caso de Prueba]],CasoPrueba[Código CP],CasoPrueba[Código de REQ])</f>
        <v>INSPECCIÓN</v>
      </c>
    </row>
    <row r="349" spans="1:12" ht="45" hidden="1">
      <c r="A349" s="165" t="s">
        <v>790</v>
      </c>
      <c r="B349" s="34" t="s">
        <v>153</v>
      </c>
      <c r="C349" s="34" t="str">
        <f>VLOOKUP(Observaciones[Caso de Prueba],CasoPrueba[[#All],[Código CP]:[Prioridad]],7,TRUE)</f>
        <v>Alta</v>
      </c>
      <c r="D349" s="34" t="s">
        <v>28</v>
      </c>
      <c r="E349" s="34" t="s">
        <v>47</v>
      </c>
      <c r="F349" s="73">
        <v>40848</v>
      </c>
      <c r="H349" s="94" t="s">
        <v>132</v>
      </c>
      <c r="I349" s="34" t="s">
        <v>597</v>
      </c>
      <c r="J349" s="34" t="s">
        <v>1107</v>
      </c>
      <c r="K349" s="34">
        <f>IF((Observaciones[[#This Row],[Fecha Levantamiento]]-Observaciones[[#This Row],[Fecha Detección]])&gt;=0,Observaciones[[#This Row],[Fecha Levantamiento]]-Observaciones[[#This Row],[Fecha Detección]]+1,0)</f>
        <v>0</v>
      </c>
      <c r="L349" s="34" t="str">
        <f>LOOKUP(Observaciones[[#This Row],[Caso de Prueba]],CasoPrueba[Código CP],CasoPrueba[Código de REQ])</f>
        <v>INSPECCIÓN</v>
      </c>
    </row>
    <row r="350" spans="1:12" ht="45" hidden="1">
      <c r="A350" s="165" t="s">
        <v>791</v>
      </c>
      <c r="B350" s="34" t="s">
        <v>153</v>
      </c>
      <c r="C350" s="34" t="str">
        <f>VLOOKUP(Observaciones[Caso de Prueba],CasoPrueba[[#All],[Código CP]:[Prioridad]],7,TRUE)</f>
        <v>Alta</v>
      </c>
      <c r="D350" s="34" t="s">
        <v>30</v>
      </c>
      <c r="E350" s="34" t="s">
        <v>47</v>
      </c>
      <c r="F350" s="73">
        <v>40848</v>
      </c>
      <c r="H350" s="94" t="s">
        <v>132</v>
      </c>
      <c r="I350" s="34" t="s">
        <v>1069</v>
      </c>
      <c r="J350" s="34" t="s">
        <v>955</v>
      </c>
      <c r="K350" s="34">
        <f>IF((Observaciones[[#This Row],[Fecha Levantamiento]]-Observaciones[[#This Row],[Fecha Detección]])&gt;=0,Observaciones[[#This Row],[Fecha Levantamiento]]-Observaciones[[#This Row],[Fecha Detección]]+1,0)</f>
        <v>0</v>
      </c>
      <c r="L350" s="34" t="str">
        <f>LOOKUP(Observaciones[[#This Row],[Caso de Prueba]],CasoPrueba[Código CP],CasoPrueba[Código de REQ])</f>
        <v>INSPECCIÓN</v>
      </c>
    </row>
    <row r="351" spans="1:12" ht="45" hidden="1">
      <c r="A351" s="165" t="s">
        <v>792</v>
      </c>
      <c r="B351" s="34" t="s">
        <v>154</v>
      </c>
      <c r="C351" s="34" t="str">
        <f>VLOOKUP(Observaciones[Caso de Prueba],CasoPrueba[[#All],[Código CP]:[Prioridad]],7,TRUE)</f>
        <v>Alta</v>
      </c>
      <c r="D351" s="34" t="s">
        <v>28</v>
      </c>
      <c r="E351" s="34" t="s">
        <v>47</v>
      </c>
      <c r="F351" s="73">
        <v>40848</v>
      </c>
      <c r="H351" s="94" t="s">
        <v>132</v>
      </c>
      <c r="I351" s="34" t="s">
        <v>597</v>
      </c>
      <c r="J351" s="34" t="s">
        <v>1109</v>
      </c>
      <c r="K351" s="34">
        <f>IF((Observaciones[[#This Row],[Fecha Levantamiento]]-Observaciones[[#This Row],[Fecha Detección]])&gt;=0,Observaciones[[#This Row],[Fecha Levantamiento]]-Observaciones[[#This Row],[Fecha Detección]]+1,0)</f>
        <v>0</v>
      </c>
      <c r="L351" s="34" t="str">
        <f>LOOKUP(Observaciones[[#This Row],[Caso de Prueba]],CasoPrueba[Código CP],CasoPrueba[Código de REQ])</f>
        <v>INSPECCIÓN</v>
      </c>
    </row>
    <row r="352" spans="1:12" ht="45" hidden="1">
      <c r="A352" s="165" t="s">
        <v>793</v>
      </c>
      <c r="B352" s="34" t="s">
        <v>155</v>
      </c>
      <c r="C352" s="34" t="str">
        <f>VLOOKUP(Observaciones[Caso de Prueba],CasoPrueba[[#All],[Código CP]:[Prioridad]],7,TRUE)</f>
        <v>Alta</v>
      </c>
      <c r="D352" s="34" t="s">
        <v>28</v>
      </c>
      <c r="E352" s="34" t="s">
        <v>47</v>
      </c>
      <c r="F352" s="73">
        <v>40848</v>
      </c>
      <c r="H352" s="94" t="s">
        <v>132</v>
      </c>
      <c r="I352" s="34" t="s">
        <v>597</v>
      </c>
      <c r="J352" s="34" t="s">
        <v>1110</v>
      </c>
      <c r="K352" s="34">
        <f>IF((Observaciones[[#This Row],[Fecha Levantamiento]]-Observaciones[[#This Row],[Fecha Detección]])&gt;=0,Observaciones[[#This Row],[Fecha Levantamiento]]-Observaciones[[#This Row],[Fecha Detección]]+1,0)</f>
        <v>0</v>
      </c>
      <c r="L352" s="34" t="str">
        <f>LOOKUP(Observaciones[[#This Row],[Caso de Prueba]],CasoPrueba[Código CP],CasoPrueba[Código de REQ])</f>
        <v>INSPECCIÓN</v>
      </c>
    </row>
    <row r="353" spans="1:12" ht="45" hidden="1">
      <c r="A353" s="165" t="s">
        <v>794</v>
      </c>
      <c r="B353" s="34" t="s">
        <v>155</v>
      </c>
      <c r="C353" s="34" t="str">
        <f>VLOOKUP(Observaciones[Caso de Prueba],CasoPrueba[[#All],[Código CP]:[Prioridad]],7,TRUE)</f>
        <v>Alta</v>
      </c>
      <c r="D353" s="34" t="s">
        <v>28</v>
      </c>
      <c r="E353" s="34" t="s">
        <v>47</v>
      </c>
      <c r="F353" s="73">
        <v>40848</v>
      </c>
      <c r="H353" s="94" t="s">
        <v>132</v>
      </c>
      <c r="I353" s="34" t="s">
        <v>1085</v>
      </c>
      <c r="J353" s="34" t="s">
        <v>857</v>
      </c>
      <c r="K353" s="34">
        <f>IF((Observaciones[[#This Row],[Fecha Levantamiento]]-Observaciones[[#This Row],[Fecha Detección]])&gt;=0,Observaciones[[#This Row],[Fecha Levantamiento]]-Observaciones[[#This Row],[Fecha Detección]]+1,0)</f>
        <v>0</v>
      </c>
      <c r="L353" s="34" t="str">
        <f>LOOKUP(Observaciones[[#This Row],[Caso de Prueba]],CasoPrueba[Código CP],CasoPrueba[Código de REQ])</f>
        <v>INSPECCIÓN</v>
      </c>
    </row>
    <row r="354" spans="1:12" ht="75" hidden="1">
      <c r="A354" s="165" t="s">
        <v>795</v>
      </c>
      <c r="B354" s="34" t="s">
        <v>155</v>
      </c>
      <c r="C354" s="34" t="str">
        <f>VLOOKUP(Observaciones[Caso de Prueba],CasoPrueba[[#All],[Código CP]:[Prioridad]],7,TRUE)</f>
        <v>Alta</v>
      </c>
      <c r="D354" s="34" t="s">
        <v>28</v>
      </c>
      <c r="E354" s="34" t="s">
        <v>47</v>
      </c>
      <c r="F354" s="73">
        <v>40848</v>
      </c>
      <c r="H354" s="94" t="s">
        <v>132</v>
      </c>
      <c r="I354" s="34" t="s">
        <v>1081</v>
      </c>
      <c r="J354" s="34" t="s">
        <v>857</v>
      </c>
      <c r="K354" s="34">
        <f>IF((Observaciones[[#This Row],[Fecha Levantamiento]]-Observaciones[[#This Row],[Fecha Detección]])&gt;=0,Observaciones[[#This Row],[Fecha Levantamiento]]-Observaciones[[#This Row],[Fecha Detección]]+1,0)</f>
        <v>0</v>
      </c>
      <c r="L354" s="34" t="str">
        <f>LOOKUP(Observaciones[[#This Row],[Caso de Prueba]],CasoPrueba[Código CP],CasoPrueba[Código de REQ])</f>
        <v>INSPECCIÓN</v>
      </c>
    </row>
    <row r="355" spans="1:12" ht="45" hidden="1">
      <c r="A355" s="165" t="s">
        <v>796</v>
      </c>
      <c r="B355" s="34" t="s">
        <v>156</v>
      </c>
      <c r="C355" s="34" t="str">
        <f>VLOOKUP(Observaciones[Caso de Prueba],CasoPrueba[[#All],[Código CP]:[Prioridad]],7,TRUE)</f>
        <v>Alta</v>
      </c>
      <c r="D355" s="34" t="s">
        <v>28</v>
      </c>
      <c r="E355" s="34" t="s">
        <v>47</v>
      </c>
      <c r="F355" s="73">
        <v>40848</v>
      </c>
      <c r="H355" s="94" t="s">
        <v>132</v>
      </c>
      <c r="I355" s="34" t="s">
        <v>597</v>
      </c>
      <c r="J355" s="34" t="s">
        <v>1111</v>
      </c>
      <c r="K355" s="34">
        <f>IF((Observaciones[[#This Row],[Fecha Levantamiento]]-Observaciones[[#This Row],[Fecha Detección]])&gt;=0,Observaciones[[#This Row],[Fecha Levantamiento]]-Observaciones[[#This Row],[Fecha Detección]]+1,0)</f>
        <v>0</v>
      </c>
      <c r="L355" s="34" t="str">
        <f>LOOKUP(Observaciones[[#This Row],[Caso de Prueba]],CasoPrueba[Código CP],CasoPrueba[Código de REQ])</f>
        <v>INSPECCIÓN</v>
      </c>
    </row>
    <row r="356" spans="1:12" ht="45" hidden="1">
      <c r="A356" s="165" t="s">
        <v>797</v>
      </c>
      <c r="B356" s="34" t="s">
        <v>157</v>
      </c>
      <c r="C356" s="34" t="str">
        <f>VLOOKUP(Observaciones[Caso de Prueba],CasoPrueba[[#All],[Código CP]:[Prioridad]],7,TRUE)</f>
        <v>Alta</v>
      </c>
      <c r="D356" s="34" t="s">
        <v>28</v>
      </c>
      <c r="E356" s="34" t="s">
        <v>47</v>
      </c>
      <c r="F356" s="73">
        <v>40848</v>
      </c>
      <c r="H356" s="94" t="s">
        <v>132</v>
      </c>
      <c r="I356" s="34" t="s">
        <v>597</v>
      </c>
      <c r="J356" s="34" t="s">
        <v>1112</v>
      </c>
      <c r="K356" s="34">
        <f>IF((Observaciones[[#This Row],[Fecha Levantamiento]]-Observaciones[[#This Row],[Fecha Detección]])&gt;=0,Observaciones[[#This Row],[Fecha Levantamiento]]-Observaciones[[#This Row],[Fecha Detección]]+1,0)</f>
        <v>0</v>
      </c>
      <c r="L356" s="34" t="str">
        <f>LOOKUP(Observaciones[[#This Row],[Caso de Prueba]],CasoPrueba[Código CP],CasoPrueba[Código de REQ])</f>
        <v>INSPECCIÓN</v>
      </c>
    </row>
    <row r="357" spans="1:12" ht="45" hidden="1">
      <c r="A357" s="165" t="s">
        <v>798</v>
      </c>
      <c r="B357" s="34" t="s">
        <v>158</v>
      </c>
      <c r="C357" s="34" t="str">
        <f>VLOOKUP(Observaciones[Caso de Prueba],CasoPrueba[[#All],[Código CP]:[Prioridad]],7,TRUE)</f>
        <v>Alta</v>
      </c>
      <c r="D357" s="34" t="s">
        <v>28</v>
      </c>
      <c r="E357" s="34" t="s">
        <v>47</v>
      </c>
      <c r="F357" s="73">
        <v>40848</v>
      </c>
      <c r="H357" s="94" t="s">
        <v>132</v>
      </c>
      <c r="I357" s="34" t="s">
        <v>597</v>
      </c>
      <c r="J357" s="34" t="s">
        <v>1113</v>
      </c>
      <c r="K357" s="34">
        <f>IF((Observaciones[[#This Row],[Fecha Levantamiento]]-Observaciones[[#This Row],[Fecha Detección]])&gt;=0,Observaciones[[#This Row],[Fecha Levantamiento]]-Observaciones[[#This Row],[Fecha Detección]]+1,0)</f>
        <v>0</v>
      </c>
      <c r="L357" s="34" t="str">
        <f>LOOKUP(Observaciones[[#This Row],[Caso de Prueba]],CasoPrueba[Código CP],CasoPrueba[Código de REQ])</f>
        <v>INSPECCIÓN</v>
      </c>
    </row>
    <row r="358" spans="1:12" ht="45" hidden="1">
      <c r="A358" s="165" t="s">
        <v>799</v>
      </c>
      <c r="B358" s="34" t="s">
        <v>171</v>
      </c>
      <c r="C358" s="34" t="str">
        <f>VLOOKUP(Observaciones[Caso de Prueba],CasoPrueba[[#All],[Código CP]:[Prioridad]],7,TRUE)</f>
        <v>Alta</v>
      </c>
      <c r="D358" s="34" t="s">
        <v>28</v>
      </c>
      <c r="E358" s="34" t="s">
        <v>47</v>
      </c>
      <c r="F358" s="73">
        <v>40848</v>
      </c>
      <c r="H358" s="94" t="s">
        <v>132</v>
      </c>
      <c r="I358" s="34" t="s">
        <v>597</v>
      </c>
      <c r="J358" s="34" t="s">
        <v>1114</v>
      </c>
      <c r="K358" s="34">
        <f>IF((Observaciones[[#This Row],[Fecha Levantamiento]]-Observaciones[[#This Row],[Fecha Detección]])&gt;=0,Observaciones[[#This Row],[Fecha Levantamiento]]-Observaciones[[#This Row],[Fecha Detección]]+1,0)</f>
        <v>0</v>
      </c>
      <c r="L358" s="34" t="str">
        <f>LOOKUP(Observaciones[[#This Row],[Caso de Prueba]],CasoPrueba[Código CP],CasoPrueba[Código de REQ])</f>
        <v>INSPECCIÓN</v>
      </c>
    </row>
    <row r="359" spans="1:12" ht="45" hidden="1">
      <c r="A359" s="165" t="s">
        <v>800</v>
      </c>
      <c r="B359" s="34" t="s">
        <v>172</v>
      </c>
      <c r="C359" s="34" t="str">
        <f>VLOOKUP(Observaciones[Caso de Prueba],CasoPrueba[[#All],[Código CP]:[Prioridad]],7,TRUE)</f>
        <v>Alta</v>
      </c>
      <c r="D359" s="34" t="s">
        <v>28</v>
      </c>
      <c r="E359" s="34" t="s">
        <v>47</v>
      </c>
      <c r="F359" s="73">
        <v>40848</v>
      </c>
      <c r="H359" s="94" t="s">
        <v>132</v>
      </c>
      <c r="I359" s="34" t="s">
        <v>871</v>
      </c>
      <c r="J359" s="34" t="s">
        <v>1001</v>
      </c>
      <c r="K359" s="34">
        <f>IF((Observaciones[[#This Row],[Fecha Levantamiento]]-Observaciones[[#This Row],[Fecha Detección]])&gt;=0,Observaciones[[#This Row],[Fecha Levantamiento]]-Observaciones[[#This Row],[Fecha Detección]]+1,0)</f>
        <v>0</v>
      </c>
      <c r="L359" s="34" t="str">
        <f>LOOKUP(Observaciones[[#This Row],[Caso de Prueba]],CasoPrueba[Código CP],CasoPrueba[Código de REQ])</f>
        <v>INSPECCIÓN</v>
      </c>
    </row>
    <row r="360" spans="1:12" ht="45" hidden="1">
      <c r="A360" s="165" t="s">
        <v>801</v>
      </c>
      <c r="B360" s="34" t="s">
        <v>173</v>
      </c>
      <c r="C360" s="34" t="str">
        <f>VLOOKUP(Observaciones[Caso de Prueba],CasoPrueba[[#All],[Código CP]:[Prioridad]],7,TRUE)</f>
        <v>Alta</v>
      </c>
      <c r="D360" s="34" t="s">
        <v>28</v>
      </c>
      <c r="E360" s="34" t="s">
        <v>47</v>
      </c>
      <c r="F360" s="73">
        <v>40848</v>
      </c>
      <c r="H360" s="94" t="s">
        <v>132</v>
      </c>
      <c r="I360" s="34" t="s">
        <v>597</v>
      </c>
      <c r="J360" s="34" t="s">
        <v>1001</v>
      </c>
      <c r="K360" s="34">
        <f>IF((Observaciones[[#This Row],[Fecha Levantamiento]]-Observaciones[[#This Row],[Fecha Detección]])&gt;=0,Observaciones[[#This Row],[Fecha Levantamiento]]-Observaciones[[#This Row],[Fecha Detección]]+1,0)</f>
        <v>0</v>
      </c>
      <c r="L360" s="34" t="str">
        <f>LOOKUP(Observaciones[[#This Row],[Caso de Prueba]],CasoPrueba[Código CP],CasoPrueba[Código de REQ])</f>
        <v>INSPECCIÓN</v>
      </c>
    </row>
    <row r="361" spans="1:12" ht="60" hidden="1">
      <c r="A361" s="165" t="s">
        <v>802</v>
      </c>
      <c r="B361" s="34" t="s">
        <v>173</v>
      </c>
      <c r="C361" s="34" t="str">
        <f>VLOOKUP(Observaciones[Caso de Prueba],CasoPrueba[[#All],[Código CP]:[Prioridad]],7,TRUE)</f>
        <v>Alta</v>
      </c>
      <c r="D361" s="34" t="s">
        <v>28</v>
      </c>
      <c r="E361" s="34" t="s">
        <v>47</v>
      </c>
      <c r="F361" s="73">
        <v>40848</v>
      </c>
      <c r="H361" s="94" t="s">
        <v>132</v>
      </c>
      <c r="I361" s="34" t="s">
        <v>1082</v>
      </c>
      <c r="J361" s="34" t="s">
        <v>1001</v>
      </c>
      <c r="K361" s="34">
        <f>IF((Observaciones[[#This Row],[Fecha Levantamiento]]-Observaciones[[#This Row],[Fecha Detección]])&gt;=0,Observaciones[[#This Row],[Fecha Levantamiento]]-Observaciones[[#This Row],[Fecha Detección]]+1,0)</f>
        <v>0</v>
      </c>
      <c r="L361" s="34" t="str">
        <f>LOOKUP(Observaciones[[#This Row],[Caso de Prueba]],CasoPrueba[Código CP],CasoPrueba[Código de REQ])</f>
        <v>INSPECCIÓN</v>
      </c>
    </row>
    <row r="362" spans="1:12" ht="45" hidden="1">
      <c r="A362" s="165" t="s">
        <v>1070</v>
      </c>
      <c r="B362" s="34" t="s">
        <v>174</v>
      </c>
      <c r="C362" s="34" t="str">
        <f>VLOOKUP(Observaciones[Caso de Prueba],CasoPrueba[[#All],[Código CP]:[Prioridad]],7,TRUE)</f>
        <v>Alta</v>
      </c>
      <c r="D362" s="34" t="s">
        <v>28</v>
      </c>
      <c r="E362" s="34" t="s">
        <v>47</v>
      </c>
      <c r="F362" s="73">
        <v>40848</v>
      </c>
      <c r="H362" s="94" t="s">
        <v>132</v>
      </c>
      <c r="I362" s="34" t="s">
        <v>597</v>
      </c>
      <c r="J362" s="34" t="s">
        <v>1001</v>
      </c>
      <c r="K362" s="163">
        <f>IF((Observaciones[[#This Row],[Fecha Levantamiento]]-Observaciones[[#This Row],[Fecha Detección]])&gt;=0,Observaciones[[#This Row],[Fecha Levantamiento]]-Observaciones[[#This Row],[Fecha Detección]]+1,0)</f>
        <v>0</v>
      </c>
      <c r="L362" s="163" t="str">
        <f>LOOKUP(Observaciones[[#This Row],[Caso de Prueba]],CasoPrueba[Código CP],CasoPrueba[Código de REQ])</f>
        <v>INSPECCIÓN</v>
      </c>
    </row>
    <row r="363" spans="1:12" ht="30" hidden="1">
      <c r="A363" s="165" t="s">
        <v>1071</v>
      </c>
      <c r="B363" s="34" t="s">
        <v>174</v>
      </c>
      <c r="C363" s="34" t="str">
        <f>VLOOKUP(Observaciones[Caso de Prueba],CasoPrueba[[#All],[Código CP]:[Prioridad]],7,TRUE)</f>
        <v>Alta</v>
      </c>
      <c r="D363" s="34" t="s">
        <v>28</v>
      </c>
      <c r="E363" s="34" t="s">
        <v>47</v>
      </c>
      <c r="F363" s="73">
        <v>40848</v>
      </c>
      <c r="H363" s="94" t="s">
        <v>132</v>
      </c>
      <c r="I363" s="34" t="s">
        <v>1083</v>
      </c>
      <c r="J363" s="34" t="s">
        <v>1120</v>
      </c>
      <c r="K363" s="163">
        <f>IF((Observaciones[[#This Row],[Fecha Levantamiento]]-Observaciones[[#This Row],[Fecha Detección]])&gt;=0,Observaciones[[#This Row],[Fecha Levantamiento]]-Observaciones[[#This Row],[Fecha Detección]]+1,0)</f>
        <v>0</v>
      </c>
      <c r="L363" s="163" t="str">
        <f>LOOKUP(Observaciones[[#This Row],[Caso de Prueba]],CasoPrueba[Código CP],CasoPrueba[Código de REQ])</f>
        <v>INSPECCIÓN</v>
      </c>
    </row>
    <row r="364" spans="1:12" ht="45" hidden="1">
      <c r="A364" s="165" t="s">
        <v>1072</v>
      </c>
      <c r="B364" s="34" t="s">
        <v>174</v>
      </c>
      <c r="C364" s="34" t="str">
        <f>VLOOKUP(Observaciones[Caso de Prueba],CasoPrueba[[#All],[Código CP]:[Prioridad]],7,TRUE)</f>
        <v>Alta</v>
      </c>
      <c r="D364" s="34" t="s">
        <v>28</v>
      </c>
      <c r="E364" s="34" t="s">
        <v>47</v>
      </c>
      <c r="F364" s="73">
        <v>40848</v>
      </c>
      <c r="H364" s="94" t="s">
        <v>132</v>
      </c>
      <c r="I364" s="34" t="s">
        <v>1084</v>
      </c>
      <c r="J364" s="34" t="s">
        <v>1121</v>
      </c>
      <c r="K364" s="34">
        <f>IF((Observaciones[[#This Row],[Fecha Levantamiento]]-Observaciones[[#This Row],[Fecha Detección]])&gt;=0,Observaciones[[#This Row],[Fecha Levantamiento]]-Observaciones[[#This Row],[Fecha Detección]]+1,0)</f>
        <v>0</v>
      </c>
      <c r="L364" s="34" t="str">
        <f>LOOKUP(Observaciones[[#This Row],[Caso de Prueba]],CasoPrueba[Código CP],CasoPrueba[Código de REQ])</f>
        <v>INSPECCIÓN</v>
      </c>
    </row>
    <row r="365" spans="1:12" ht="45" hidden="1">
      <c r="A365" s="165" t="s">
        <v>1073</v>
      </c>
      <c r="B365" s="34" t="s">
        <v>175</v>
      </c>
      <c r="C365" s="34" t="str">
        <f>VLOOKUP(Observaciones[Caso de Prueba],CasoPrueba[[#All],[Código CP]:[Prioridad]],7,TRUE)</f>
        <v>Alta</v>
      </c>
      <c r="D365" s="34" t="s">
        <v>28</v>
      </c>
      <c r="E365" s="34" t="s">
        <v>47</v>
      </c>
      <c r="F365" s="73">
        <v>40848</v>
      </c>
      <c r="H365" s="94" t="s">
        <v>132</v>
      </c>
      <c r="I365" s="34" t="s">
        <v>597</v>
      </c>
      <c r="J365" s="34" t="s">
        <v>1122</v>
      </c>
      <c r="K365" s="34">
        <f>IF((Observaciones[[#This Row],[Fecha Levantamiento]]-Observaciones[[#This Row],[Fecha Detección]])&gt;=0,Observaciones[[#This Row],[Fecha Levantamiento]]-Observaciones[[#This Row],[Fecha Detección]]+1,0)</f>
        <v>0</v>
      </c>
      <c r="L365" s="34" t="str">
        <f>LOOKUP(Observaciones[[#This Row],[Caso de Prueba]],CasoPrueba[Código CP],CasoPrueba[Código de REQ])</f>
        <v>INSPECCIÓN</v>
      </c>
    </row>
    <row r="366" spans="1:12" hidden="1">
      <c r="A366" s="165" t="s">
        <v>1074</v>
      </c>
      <c r="B366" s="34" t="s">
        <v>175</v>
      </c>
      <c r="C366" s="34" t="str">
        <f>VLOOKUP(Observaciones[Caso de Prueba],CasoPrueba[[#All],[Código CP]:[Prioridad]],7,TRUE)</f>
        <v>Alta</v>
      </c>
      <c r="D366" s="34" t="s">
        <v>28</v>
      </c>
      <c r="E366" s="34" t="s">
        <v>47</v>
      </c>
      <c r="F366" s="73">
        <v>40848</v>
      </c>
      <c r="H366" s="94" t="s">
        <v>132</v>
      </c>
      <c r="I366" s="34" t="s">
        <v>1086</v>
      </c>
      <c r="J366" s="34" t="s">
        <v>1123</v>
      </c>
      <c r="K366" s="34">
        <f>IF((Observaciones[[#This Row],[Fecha Levantamiento]]-Observaciones[[#This Row],[Fecha Detección]])&gt;=0,Observaciones[[#This Row],[Fecha Levantamiento]]-Observaciones[[#This Row],[Fecha Detección]]+1,0)</f>
        <v>0</v>
      </c>
      <c r="L366" s="34" t="str">
        <f>LOOKUP(Observaciones[[#This Row],[Caso de Prueba]],CasoPrueba[Código CP],CasoPrueba[Código de REQ])</f>
        <v>INSPECCIÓN</v>
      </c>
    </row>
    <row r="367" spans="1:12" ht="45" hidden="1">
      <c r="A367" s="165" t="s">
        <v>1075</v>
      </c>
      <c r="B367" s="34" t="s">
        <v>175</v>
      </c>
      <c r="C367" s="34" t="str">
        <f>VLOOKUP(Observaciones[Caso de Prueba],CasoPrueba[[#All],[Código CP]:[Prioridad]],7,TRUE)</f>
        <v>Alta</v>
      </c>
      <c r="D367" s="34" t="s">
        <v>28</v>
      </c>
      <c r="E367" s="34" t="s">
        <v>47</v>
      </c>
      <c r="F367" s="73">
        <v>40848</v>
      </c>
      <c r="H367" s="94" t="s">
        <v>132</v>
      </c>
      <c r="I367" s="34" t="s">
        <v>1087</v>
      </c>
      <c r="J367" s="34" t="s">
        <v>1121</v>
      </c>
      <c r="K367" s="34">
        <f>IF((Observaciones[[#This Row],[Fecha Levantamiento]]-Observaciones[[#This Row],[Fecha Detección]])&gt;=0,Observaciones[[#This Row],[Fecha Levantamiento]]-Observaciones[[#This Row],[Fecha Detección]]+1,0)</f>
        <v>0</v>
      </c>
      <c r="L367" s="34" t="str">
        <f>LOOKUP(Observaciones[[#This Row],[Caso de Prueba]],CasoPrueba[Código CP],CasoPrueba[Código de REQ])</f>
        <v>INSPECCIÓN</v>
      </c>
    </row>
    <row r="368" spans="1:12" ht="105" hidden="1">
      <c r="A368" s="165" t="s">
        <v>1076</v>
      </c>
      <c r="B368" s="34" t="s">
        <v>175</v>
      </c>
      <c r="C368" s="34" t="str">
        <f>VLOOKUP(Observaciones[Caso de Prueba],CasoPrueba[[#All],[Código CP]:[Prioridad]],7,TRUE)</f>
        <v>Alta</v>
      </c>
      <c r="D368" s="34" t="s">
        <v>28</v>
      </c>
      <c r="E368" s="34" t="s">
        <v>47</v>
      </c>
      <c r="F368" s="73">
        <v>40848</v>
      </c>
      <c r="H368" s="94" t="s">
        <v>132</v>
      </c>
      <c r="I368" s="34" t="s">
        <v>1088</v>
      </c>
      <c r="J368" s="34" t="s">
        <v>1124</v>
      </c>
      <c r="K368" s="34">
        <f>IF((Observaciones[[#This Row],[Fecha Levantamiento]]-Observaciones[[#This Row],[Fecha Detección]])&gt;=0,Observaciones[[#This Row],[Fecha Levantamiento]]-Observaciones[[#This Row],[Fecha Detección]]+1,0)</f>
        <v>0</v>
      </c>
      <c r="L368" s="34" t="str">
        <f>LOOKUP(Observaciones[[#This Row],[Caso de Prueba]],CasoPrueba[Código CP],CasoPrueba[Código de REQ])</f>
        <v>INSPECCIÓN</v>
      </c>
    </row>
    <row r="369" spans="1:12" ht="45" hidden="1">
      <c r="A369" s="165" t="s">
        <v>1077</v>
      </c>
      <c r="B369" s="34" t="s">
        <v>176</v>
      </c>
      <c r="C369" s="34" t="str">
        <f>VLOOKUP(Observaciones[Caso de Prueba],CasoPrueba[[#All],[Código CP]:[Prioridad]],7,TRUE)</f>
        <v>Alta</v>
      </c>
      <c r="D369" s="34" t="s">
        <v>28</v>
      </c>
      <c r="E369" s="34" t="s">
        <v>47</v>
      </c>
      <c r="F369" s="73">
        <v>40848</v>
      </c>
      <c r="H369" s="94" t="s">
        <v>132</v>
      </c>
      <c r="I369" s="34" t="s">
        <v>597</v>
      </c>
      <c r="J369" s="34" t="s">
        <v>1122</v>
      </c>
      <c r="K369" s="34">
        <f>IF((Observaciones[[#This Row],[Fecha Levantamiento]]-Observaciones[[#This Row],[Fecha Detección]])&gt;=0,Observaciones[[#This Row],[Fecha Levantamiento]]-Observaciones[[#This Row],[Fecha Detección]]+1,0)</f>
        <v>0</v>
      </c>
      <c r="L369" s="34" t="str">
        <f>LOOKUP(Observaciones[[#This Row],[Caso de Prueba]],CasoPrueba[Código CP],CasoPrueba[Código de REQ])</f>
        <v>INSPECCIÓN</v>
      </c>
    </row>
    <row r="370" spans="1:12" hidden="1">
      <c r="A370" s="165" t="s">
        <v>1078</v>
      </c>
      <c r="B370" s="34" t="s">
        <v>176</v>
      </c>
      <c r="C370" s="34" t="str">
        <f>VLOOKUP(Observaciones[Caso de Prueba],CasoPrueba[[#All],[Código CP]:[Prioridad]],7,TRUE)</f>
        <v>Alta</v>
      </c>
      <c r="D370" s="34" t="s">
        <v>28</v>
      </c>
      <c r="E370" s="34" t="s">
        <v>47</v>
      </c>
      <c r="F370" s="73">
        <v>40848</v>
      </c>
      <c r="H370" s="94" t="s">
        <v>132</v>
      </c>
      <c r="I370" s="34" t="s">
        <v>1086</v>
      </c>
      <c r="J370" s="34" t="s">
        <v>1123</v>
      </c>
      <c r="K370" s="34">
        <f>IF((Observaciones[[#This Row],[Fecha Levantamiento]]-Observaciones[[#This Row],[Fecha Detección]])&gt;=0,Observaciones[[#This Row],[Fecha Levantamiento]]-Observaciones[[#This Row],[Fecha Detección]]+1,0)</f>
        <v>0</v>
      </c>
      <c r="L370" s="34" t="str">
        <f>LOOKUP(Observaciones[[#This Row],[Caso de Prueba]],CasoPrueba[Código CP],CasoPrueba[Código de REQ])</f>
        <v>INSPECCIÓN</v>
      </c>
    </row>
    <row r="371" spans="1:12" ht="45" hidden="1">
      <c r="A371" s="165" t="s">
        <v>1079</v>
      </c>
      <c r="B371" s="34" t="s">
        <v>176</v>
      </c>
      <c r="C371" s="34" t="str">
        <f>VLOOKUP(Observaciones[Caso de Prueba],CasoPrueba[[#All],[Código CP]:[Prioridad]],7,TRUE)</f>
        <v>Alta</v>
      </c>
      <c r="D371" s="34" t="s">
        <v>28</v>
      </c>
      <c r="E371" s="34" t="s">
        <v>47</v>
      </c>
      <c r="F371" s="73">
        <v>40848</v>
      </c>
      <c r="H371" s="94" t="s">
        <v>132</v>
      </c>
      <c r="I371" s="34" t="s">
        <v>1089</v>
      </c>
      <c r="J371" s="34" t="s">
        <v>1125</v>
      </c>
      <c r="K371" s="34">
        <f>IF((Observaciones[[#This Row],[Fecha Levantamiento]]-Observaciones[[#This Row],[Fecha Detección]])&gt;=0,Observaciones[[#This Row],[Fecha Levantamiento]]-Observaciones[[#This Row],[Fecha Detección]]+1,0)</f>
        <v>0</v>
      </c>
      <c r="L371" s="34" t="str">
        <f>LOOKUP(Observaciones[[#This Row],[Caso de Prueba]],CasoPrueba[Código CP],CasoPrueba[Código de REQ])</f>
        <v>INSPECCIÓN</v>
      </c>
    </row>
    <row r="372" spans="1:12" hidden="1">
      <c r="A372" s="165" t="s">
        <v>1080</v>
      </c>
      <c r="C372" s="34" t="e">
        <f>VLOOKUP(Observaciones[Caso de Prueba],CasoPrueba[[#All],[Código CP]:[Prioridad]],7,TRUE)</f>
        <v>#N/A</v>
      </c>
      <c r="K372" s="34">
        <f>IF((Observaciones[[#This Row],[Fecha Levantamiento]]-Observaciones[[#This Row],[Fecha Detección]])&gt;=0,Observaciones[[#This Row],[Fecha Levantamiento]]-Observaciones[[#This Row],[Fecha Detección]]+1,0)</f>
        <v>1</v>
      </c>
      <c r="L372" s="34" t="e">
        <f>LOOKUP(Observaciones[[#This Row],[Caso de Prueba]],CasoPrueba[Código CP],CasoPrueba[Código de REQ])</f>
        <v>#N/A</v>
      </c>
    </row>
  </sheetData>
  <mergeCells count="1">
    <mergeCell ref="A1:K1"/>
  </mergeCells>
  <dataValidations count="1">
    <dataValidation type="list" allowBlank="1" showInputMessage="1" showErrorMessage="1" sqref="H3:H372">
      <formula1>$N$1:$N$2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actualizarObservaciones">
                <anchor moveWithCells="1">
                  <from>
                    <xdr:col>0</xdr:col>
                    <xdr:colOff>47625</xdr:colOff>
                    <xdr:row>0</xdr:row>
                    <xdr:rowOff>104775</xdr:rowOff>
                  </from>
                  <to>
                    <xdr:col>5</xdr:col>
                    <xdr:colOff>9525</xdr:colOff>
                    <xdr:row>0</xdr:row>
                    <xdr:rowOff>342900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Resumen!$P$22:$P$24</xm:f>
          </x14:formula1>
          <xm:sqref>E284 E280:E282 E278 E269:E276 E257:E267 E3:E238 E286:E292 E294:E298 E302:E304</xm:sqref>
        </x14:dataValidation>
        <x14:dataValidation type="list" allowBlank="1" showInputMessage="1" showErrorMessage="1">
          <x14:formula1>
            <xm:f>Resumen!$P$11:$P$14</xm:f>
          </x14:formula1>
          <xm:sqref>D150:D185 D280:D281 D269 D257:D258 D3:D148 D190:D191 D193:D215 D218:D238 D286 D294 D302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XFD3"/>
  <sheetViews>
    <sheetView zoomScale="90" zoomScaleNormal="90" workbookViewId="0">
      <selection activeCell="H11" sqref="H11"/>
    </sheetView>
  </sheetViews>
  <sheetFormatPr baseColWidth="10" defaultColWidth="0" defaultRowHeight="15"/>
  <cols>
    <col min="1" max="4" width="13.28515625" style="31" customWidth="1"/>
    <col min="5" max="5" width="18.28515625" style="31" customWidth="1"/>
    <col min="6" max="7" width="13.28515625" style="32" customWidth="1"/>
    <col min="8" max="9" width="38.140625" style="31" customWidth="1"/>
    <col min="10" max="10" width="13.28515625" style="31" customWidth="1"/>
    <col min="11" max="11" width="11.42578125" style="31" customWidth="1"/>
    <col min="12" max="16384" width="0" style="31" hidden="1"/>
  </cols>
  <sheetData>
    <row r="1" spans="1:13 16384:16384" customFormat="1" ht="31.5">
      <c r="A1" s="202" t="s">
        <v>103</v>
      </c>
      <c r="B1" s="202"/>
      <c r="C1" s="202"/>
      <c r="D1" s="202"/>
      <c r="E1" s="202"/>
      <c r="F1" s="202"/>
      <c r="G1" s="202"/>
      <c r="H1" s="202"/>
      <c r="I1" s="202"/>
      <c r="J1" s="202"/>
      <c r="K1" s="36"/>
      <c r="L1" s="36"/>
      <c r="M1" t="s">
        <v>146</v>
      </c>
      <c r="XFD1" s="31"/>
    </row>
    <row r="2" spans="1:13 16384:16384" ht="39.75" customHeight="1">
      <c r="A2" s="157" t="s">
        <v>98</v>
      </c>
      <c r="B2" s="157" t="s">
        <v>90</v>
      </c>
      <c r="C2" s="157" t="s">
        <v>78</v>
      </c>
      <c r="D2" s="157" t="s">
        <v>91</v>
      </c>
      <c r="E2" s="157" t="s">
        <v>129</v>
      </c>
      <c r="F2" s="158" t="s">
        <v>99</v>
      </c>
      <c r="G2" s="158" t="s">
        <v>100</v>
      </c>
      <c r="H2" s="157" t="s">
        <v>101</v>
      </c>
      <c r="I2" s="157" t="s">
        <v>102</v>
      </c>
      <c r="J2" s="157" t="s">
        <v>95</v>
      </c>
      <c r="M2" s="31" t="s">
        <v>147</v>
      </c>
    </row>
    <row r="3" spans="1:13 16384:16384" ht="41.25" customHeight="1">
      <c r="A3" s="31" t="s">
        <v>126</v>
      </c>
      <c r="B3" s="31" t="s">
        <v>464</v>
      </c>
      <c r="C3" s="34" t="str">
        <f>VLOOKUP(Consultas[[#This Row],[Caso de Prueba]],CasoPrueba[[#All],[Código CP]:[Prioridad]],7,TRUE)</f>
        <v>Alta</v>
      </c>
      <c r="D3" s="31" t="s">
        <v>49</v>
      </c>
      <c r="E3" s="31" t="s">
        <v>147</v>
      </c>
      <c r="F3" s="32">
        <v>40800</v>
      </c>
      <c r="H3" s="31" t="s">
        <v>463</v>
      </c>
      <c r="J3" s="34">
        <f>IF((Consultas[[#This Row],[Fecha Respuesta]]-Consultas[[#This Row],[Fecha Solicitud]])&gt;=0,(Consultas[[#This Row],[Fecha Respuesta]]-Consultas[[#This Row],[Fecha Solicitud]])+1,0)</f>
        <v>0</v>
      </c>
      <c r="M3" s="31" t="s">
        <v>148</v>
      </c>
    </row>
  </sheetData>
  <mergeCells count="1">
    <mergeCell ref="A1:J1"/>
  </mergeCells>
  <dataValidations count="1">
    <dataValidation type="list" allowBlank="1" showInputMessage="1" showErrorMessage="1" sqref="E3">
      <formula1>$M$1:$M$3</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Resumen!$P$22:$P$24</xm:f>
          </x14:formula1>
          <xm:sqref>D3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P13"/>
  <sheetViews>
    <sheetView zoomScale="85" zoomScaleNormal="85" workbookViewId="0">
      <selection activeCell="H16" sqref="H16"/>
    </sheetView>
  </sheetViews>
  <sheetFormatPr baseColWidth="10" defaultColWidth="0" defaultRowHeight="15"/>
  <cols>
    <col min="1" max="1" width="4.42578125" customWidth="1"/>
    <col min="2" max="4" width="11.42578125" customWidth="1"/>
    <col min="5" max="5" width="11.85546875" bestFit="1" customWidth="1"/>
    <col min="6" max="8" width="11.42578125" customWidth="1"/>
    <col min="9" max="9" width="14.140625" customWidth="1"/>
    <col min="10" max="10" width="8.85546875" customWidth="1"/>
    <col min="11" max="16" width="11.42578125" customWidth="1"/>
    <col min="17" max="16384" width="11.42578125" hidden="1"/>
  </cols>
  <sheetData>
    <row r="1" spans="2:15" ht="27" customHeight="1"/>
    <row r="2" spans="2:15">
      <c r="B2" s="203" t="s">
        <v>111</v>
      </c>
      <c r="C2" s="203"/>
      <c r="D2" s="203"/>
      <c r="E2" s="203"/>
      <c r="F2" s="203"/>
      <c r="G2" s="203"/>
      <c r="H2" s="203"/>
      <c r="I2" s="203"/>
      <c r="J2" s="203"/>
      <c r="L2" s="203" t="s">
        <v>112</v>
      </c>
      <c r="M2" s="203"/>
      <c r="N2" s="203"/>
      <c r="O2" s="203"/>
    </row>
    <row r="3" spans="2:15" ht="26.25" thickBot="1">
      <c r="B3" s="159" t="s">
        <v>113</v>
      </c>
      <c r="C3" s="161" t="s">
        <v>105</v>
      </c>
      <c r="D3" s="161" t="s">
        <v>106</v>
      </c>
      <c r="E3" s="161" t="s">
        <v>21</v>
      </c>
      <c r="F3" s="161" t="s">
        <v>22</v>
      </c>
      <c r="G3" s="161" t="s">
        <v>23</v>
      </c>
      <c r="H3" s="162" t="s">
        <v>24</v>
      </c>
      <c r="I3" s="162" t="s">
        <v>107</v>
      </c>
      <c r="J3" s="162" t="s">
        <v>110</v>
      </c>
      <c r="L3" s="159" t="s">
        <v>113</v>
      </c>
      <c r="M3" s="160" t="s">
        <v>108</v>
      </c>
      <c r="N3" s="161" t="s">
        <v>109</v>
      </c>
      <c r="O3" s="162" t="s">
        <v>110</v>
      </c>
    </row>
    <row r="4" spans="2:15">
      <c r="B4" s="37">
        <v>40791</v>
      </c>
      <c r="C4" s="39">
        <v>0</v>
      </c>
      <c r="D4" s="39">
        <v>10</v>
      </c>
      <c r="E4" s="39">
        <v>0</v>
      </c>
      <c r="F4" s="39">
        <v>0</v>
      </c>
      <c r="G4" s="39">
        <v>0</v>
      </c>
      <c r="H4" s="39">
        <v>0</v>
      </c>
      <c r="I4" s="39">
        <v>0</v>
      </c>
      <c r="J4" s="41">
        <f>SUM(HistóricoEjecuciones[[#This Row],[Aciertos]:[En Proceso]])</f>
        <v>10</v>
      </c>
      <c r="L4" s="37">
        <v>40791</v>
      </c>
      <c r="M4" s="39">
        <v>55</v>
      </c>
      <c r="N4" s="39">
        <v>0</v>
      </c>
      <c r="O4" s="38">
        <f>SUM(HistoricoIncidencias[[#This Row],[Abiertas]:[Cerradas]])</f>
        <v>55</v>
      </c>
    </row>
    <row r="5" spans="2:15">
      <c r="B5" s="69">
        <v>40796</v>
      </c>
      <c r="C5" s="40">
        <v>0</v>
      </c>
      <c r="D5" s="40">
        <v>15</v>
      </c>
      <c r="E5" s="40">
        <v>0</v>
      </c>
      <c r="F5" s="40">
        <v>0</v>
      </c>
      <c r="G5" s="40">
        <v>0</v>
      </c>
      <c r="H5" s="40">
        <v>0</v>
      </c>
      <c r="I5" s="40">
        <v>0</v>
      </c>
      <c r="J5" s="42">
        <f>SUM(HistóricoEjecuciones[[#This Row],[Aciertos]:[En Proceso]])</f>
        <v>15</v>
      </c>
      <c r="L5" s="69">
        <v>40796</v>
      </c>
      <c r="M5" s="40">
        <v>101</v>
      </c>
      <c r="N5" s="40">
        <v>0</v>
      </c>
      <c r="O5" s="70">
        <f>SUM(HistoricoIncidencias[[#This Row],[Abiertas]:[Cerradas]])</f>
        <v>101</v>
      </c>
    </row>
    <row r="6" spans="2:15">
      <c r="B6" s="69">
        <v>40800</v>
      </c>
      <c r="C6" s="40">
        <v>5</v>
      </c>
      <c r="D6" s="40">
        <v>10</v>
      </c>
      <c r="E6" s="40">
        <v>0</v>
      </c>
      <c r="F6" s="40">
        <v>0</v>
      </c>
      <c r="G6" s="40">
        <v>0</v>
      </c>
      <c r="H6" s="40">
        <v>0</v>
      </c>
      <c r="I6" s="40">
        <v>0</v>
      </c>
      <c r="J6" s="42">
        <f>SUM(HistóricoEjecuciones[[#This Row],[Aciertos]:[En Proceso]])</f>
        <v>15</v>
      </c>
      <c r="L6" s="69">
        <v>40800</v>
      </c>
      <c r="M6" s="40">
        <v>19</v>
      </c>
      <c r="N6" s="40">
        <v>101</v>
      </c>
      <c r="O6" s="70">
        <f>SUM(HistoricoIncidencias[[#This Row],[Abiertas]:[Cerradas]])</f>
        <v>120</v>
      </c>
    </row>
    <row r="7" spans="2:15">
      <c r="B7" s="69">
        <v>40802</v>
      </c>
      <c r="C7" s="40">
        <v>14</v>
      </c>
      <c r="D7" s="40">
        <v>1</v>
      </c>
      <c r="E7" s="40">
        <v>0</v>
      </c>
      <c r="F7" s="40">
        <v>0</v>
      </c>
      <c r="G7" s="40">
        <v>0</v>
      </c>
      <c r="H7" s="40">
        <v>0</v>
      </c>
      <c r="I7" s="40">
        <v>0</v>
      </c>
      <c r="J7" s="42">
        <f>SUM(HistóricoEjecuciones[[#This Row],[Aciertos]:[En Proceso]])</f>
        <v>15</v>
      </c>
      <c r="L7" s="69">
        <v>40802</v>
      </c>
      <c r="M7" s="40">
        <v>3</v>
      </c>
      <c r="N7" s="40">
        <v>120</v>
      </c>
      <c r="O7" s="70">
        <f>SUM(HistoricoIncidencias[[#This Row],[Abiertas]:[Cerradas]])</f>
        <v>123</v>
      </c>
    </row>
    <row r="8" spans="2:15">
      <c r="B8" s="69">
        <v>40830</v>
      </c>
      <c r="C8" s="40">
        <v>15</v>
      </c>
      <c r="D8" s="40">
        <v>10</v>
      </c>
      <c r="E8" s="40">
        <v>0</v>
      </c>
      <c r="F8" s="40">
        <v>0</v>
      </c>
      <c r="G8" s="40">
        <v>0</v>
      </c>
      <c r="H8" s="40">
        <v>0</v>
      </c>
      <c r="I8" s="40">
        <v>0</v>
      </c>
      <c r="J8" s="42">
        <f>SUM(HistóricoEjecuciones[[#This Row],[Aciertos]:[En Proceso]])</f>
        <v>25</v>
      </c>
      <c r="L8" s="69">
        <v>40830</v>
      </c>
      <c r="M8" s="40">
        <v>92</v>
      </c>
      <c r="N8" s="40">
        <v>123</v>
      </c>
      <c r="O8" s="70">
        <f>SUM(HistoricoIncidencias[[#This Row],[Abiertas]:[Cerradas]])</f>
        <v>215</v>
      </c>
    </row>
    <row r="9" spans="2:15">
      <c r="B9" s="69">
        <v>40835</v>
      </c>
      <c r="C9" s="40">
        <v>15</v>
      </c>
      <c r="D9" s="40">
        <v>10</v>
      </c>
      <c r="E9" s="40">
        <v>0</v>
      </c>
      <c r="F9" s="40">
        <v>0</v>
      </c>
      <c r="G9" s="40">
        <v>0</v>
      </c>
      <c r="H9" s="40">
        <v>0</v>
      </c>
      <c r="I9" s="40">
        <v>0</v>
      </c>
      <c r="J9" s="42">
        <f>SUM(HistóricoEjecuciones[[#This Row],[Aciertos]:[En Proceso]])</f>
        <v>25</v>
      </c>
      <c r="L9" s="69">
        <v>40835</v>
      </c>
      <c r="M9" s="40">
        <v>21</v>
      </c>
      <c r="N9" s="40">
        <v>215</v>
      </c>
      <c r="O9" s="70">
        <f>SUM(HistoricoIncidencias[[#This Row],[Abiertas]:[Cerradas]])</f>
        <v>236</v>
      </c>
    </row>
    <row r="10" spans="2:15">
      <c r="B10" s="69">
        <v>40838</v>
      </c>
      <c r="C10" s="40">
        <v>15</v>
      </c>
      <c r="D10" s="40">
        <v>20</v>
      </c>
      <c r="E10" s="40">
        <v>0</v>
      </c>
      <c r="F10" s="40">
        <v>0</v>
      </c>
      <c r="G10" s="40">
        <v>0</v>
      </c>
      <c r="H10" s="40">
        <v>0</v>
      </c>
      <c r="I10" s="40">
        <v>0</v>
      </c>
      <c r="J10" s="42">
        <f>SUM(HistóricoEjecuciones[[#This Row],[Aciertos]:[En Proceso]])</f>
        <v>35</v>
      </c>
      <c r="L10" s="69">
        <v>40838</v>
      </c>
      <c r="M10" s="40">
        <v>63</v>
      </c>
      <c r="N10" s="40">
        <v>215</v>
      </c>
      <c r="O10" s="70">
        <f>SUM(HistoricoIncidencias[[#This Row],[Abiertas]:[Cerradas]])</f>
        <v>278</v>
      </c>
    </row>
    <row r="11" spans="2:15">
      <c r="B11" s="69">
        <v>40840</v>
      </c>
      <c r="C11" s="40">
        <v>16</v>
      </c>
      <c r="D11" s="40">
        <v>19</v>
      </c>
      <c r="E11" s="40">
        <v>0</v>
      </c>
      <c r="F11" s="40">
        <v>0</v>
      </c>
      <c r="G11" s="40">
        <v>0</v>
      </c>
      <c r="H11" s="40">
        <v>0</v>
      </c>
      <c r="I11" s="40">
        <v>0</v>
      </c>
      <c r="J11" s="42">
        <f>SUM(HistóricoEjecuciones[[#This Row],[Aciertos]:[En Proceso]])</f>
        <v>35</v>
      </c>
      <c r="L11" s="69">
        <v>40840</v>
      </c>
      <c r="M11" s="40">
        <v>87</v>
      </c>
      <c r="N11" s="40">
        <v>215</v>
      </c>
      <c r="O11" s="70">
        <f>SUM(HistoricoIncidencias[[#This Row],[Abiertas]:[Cerradas]])</f>
        <v>302</v>
      </c>
    </row>
    <row r="12" spans="2:15">
      <c r="B12" s="69">
        <v>40845</v>
      </c>
      <c r="C12" s="40">
        <v>15</v>
      </c>
      <c r="D12" s="40">
        <v>20</v>
      </c>
      <c r="E12" s="40">
        <v>0</v>
      </c>
      <c r="F12" s="40">
        <v>0</v>
      </c>
      <c r="G12" s="40">
        <v>0</v>
      </c>
      <c r="H12" s="40">
        <v>0</v>
      </c>
      <c r="I12" s="40">
        <v>0</v>
      </c>
      <c r="J12" s="42">
        <f>SUM(HistóricoEjecuciones[[#This Row],[Aciertos]:[En Proceso]])</f>
        <v>35</v>
      </c>
      <c r="L12" s="69">
        <v>40845</v>
      </c>
      <c r="M12" s="40">
        <v>111</v>
      </c>
      <c r="N12" s="40">
        <v>215</v>
      </c>
      <c r="O12" s="70">
        <f>SUM(HistoricoIncidencias[[#This Row],[Abiertas]:[Cerradas]])</f>
        <v>326</v>
      </c>
    </row>
    <row r="13" spans="2:15">
      <c r="B13" s="69">
        <v>40848</v>
      </c>
      <c r="C13" s="40">
        <v>13</v>
      </c>
      <c r="D13" s="40">
        <v>22</v>
      </c>
      <c r="E13" s="40">
        <v>0</v>
      </c>
      <c r="F13" s="40">
        <v>1</v>
      </c>
      <c r="G13" s="40">
        <v>0</v>
      </c>
      <c r="H13" s="40">
        <v>0</v>
      </c>
      <c r="I13" s="40">
        <v>0</v>
      </c>
      <c r="J13" s="42">
        <f>SUM(HistóricoEjecuciones[[#This Row],[Aciertos]:[En Proceso]])</f>
        <v>36</v>
      </c>
      <c r="L13" s="69">
        <v>40848</v>
      </c>
      <c r="M13" s="40">
        <v>36</v>
      </c>
      <c r="N13" s="40">
        <v>333</v>
      </c>
      <c r="O13" s="70">
        <f>SUM(HistoricoIncidencias[[#This Row],[Abiertas]:[Cerradas]])</f>
        <v>369</v>
      </c>
    </row>
  </sheetData>
  <mergeCells count="2">
    <mergeCell ref="B2:J2"/>
    <mergeCell ref="L2:O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insertarNuevoHistorico">
                <anchor moveWithCells="1">
                  <from>
                    <xdr:col>1</xdr:col>
                    <xdr:colOff>0</xdr:colOff>
                    <xdr:row>0</xdr:row>
                    <xdr:rowOff>38100</xdr:rowOff>
                  </from>
                  <to>
                    <xdr:col>15</xdr:col>
                    <xdr:colOff>0</xdr:colOff>
                    <xdr:row>0</xdr:row>
                    <xdr:rowOff>276225</xdr:rowOff>
                  </to>
                </anchor>
              </controlPr>
            </control>
          </mc:Choice>
        </mc:AlternateContent>
      </controls>
    </mc:Choice>
  </mc:AlternateContent>
  <tableParts count="2">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General</vt:lpstr>
      <vt:lpstr>Resumen</vt:lpstr>
      <vt:lpstr>CuadrosResumen</vt:lpstr>
      <vt:lpstr>Iteracion</vt:lpstr>
      <vt:lpstr>Observaciones</vt:lpstr>
      <vt:lpstr>Consultas</vt:lpstr>
      <vt:lpstr>HistoricoAvance</vt:lpstr>
    </vt:vector>
  </TitlesOfParts>
  <Company>Delaware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oecastillom</dc:creator>
  <cp:lastModifiedBy>Susan</cp:lastModifiedBy>
  <dcterms:created xsi:type="dcterms:W3CDTF">2011-02-09T13:28:15Z</dcterms:created>
  <dcterms:modified xsi:type="dcterms:W3CDTF">2011-11-03T04:48:18Z</dcterms:modified>
</cp:coreProperties>
</file>