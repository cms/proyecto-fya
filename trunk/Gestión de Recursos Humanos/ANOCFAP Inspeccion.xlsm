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35" windowWidth="15480" windowHeight="8460" tabRatio="783" activeTab="4"/>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calcPr calcId="144525"/>
  <pivotCaches>
    <pivotCache cacheId="0" r:id="rId8"/>
    <pivotCache cacheId="1" r:id="rId9"/>
    <pivotCache cacheId="2" r:id="rId10"/>
    <pivotCache cacheId="3" r:id="rId11"/>
    <pivotCache cacheId="4" r:id="rId12"/>
    <pivotCache cacheId="5" r:id="rId13"/>
  </pivotCaches>
</workbook>
</file>

<file path=xl/calcChain.xml><?xml version="1.0" encoding="utf-8"?>
<calcChain xmlns="http://schemas.openxmlformats.org/spreadsheetml/2006/main">
  <c r="F14" i="3" l="1"/>
  <c r="F15" i="3"/>
  <c r="F16" i="3"/>
  <c r="F17" i="3"/>
  <c r="F18" i="3"/>
  <c r="F19" i="3"/>
  <c r="F5" i="3"/>
  <c r="F6" i="3"/>
  <c r="F7" i="3"/>
  <c r="F8" i="3"/>
  <c r="F9" i="3"/>
  <c r="F10" i="3"/>
  <c r="F11" i="3"/>
  <c r="F12" i="3"/>
  <c r="F13" i="3"/>
  <c r="Q6" i="3" l="1"/>
  <c r="Q7" i="3"/>
  <c r="Q8" i="3"/>
  <c r="Q9" i="3"/>
  <c r="Q10" i="3"/>
  <c r="Q11" i="3"/>
  <c r="Q12" i="3"/>
  <c r="Q13" i="3"/>
  <c r="Q14" i="3"/>
  <c r="Q15" i="3"/>
  <c r="Q16" i="3"/>
  <c r="Q17" i="3"/>
  <c r="Q18" i="3"/>
  <c r="Q19" i="3"/>
  <c r="C50" i="4" l="1"/>
  <c r="C59" i="4"/>
  <c r="L58" i="4"/>
  <c r="L59" i="4"/>
  <c r="C54" i="4"/>
  <c r="C48" i="4"/>
  <c r="C39" i="4"/>
  <c r="L4" i="4"/>
  <c r="L5" i="4"/>
  <c r="L6" i="4"/>
  <c r="L7" i="4"/>
  <c r="L8" i="4"/>
  <c r="L9" i="4"/>
  <c r="L10" i="4"/>
  <c r="L11" i="4"/>
  <c r="L12" i="4"/>
  <c r="L13" i="4"/>
  <c r="L14" i="4"/>
  <c r="L15" i="4"/>
  <c r="L16" i="4"/>
  <c r="L17" i="4"/>
  <c r="L18" i="4"/>
  <c r="L19" i="4"/>
  <c r="K19" i="4"/>
  <c r="K4" i="4"/>
  <c r="K5" i="4"/>
  <c r="K6" i="4"/>
  <c r="K7" i="4"/>
  <c r="K8" i="4"/>
  <c r="K9" i="4"/>
  <c r="K10" i="4"/>
  <c r="K11" i="4"/>
  <c r="K12" i="4"/>
  <c r="K13" i="4"/>
  <c r="K14" i="4"/>
  <c r="K16" i="4"/>
  <c r="K17" i="4"/>
  <c r="K18" i="4"/>
  <c r="K34" i="4"/>
  <c r="C3" i="4"/>
  <c r="C4" i="4"/>
  <c r="C5" i="4"/>
  <c r="C6" i="4"/>
  <c r="C7" i="4"/>
  <c r="C8" i="4"/>
  <c r="C9" i="4"/>
  <c r="C10" i="4"/>
  <c r="C11" i="4"/>
  <c r="C12" i="4"/>
  <c r="C13" i="4"/>
  <c r="C14" i="4"/>
  <c r="C15" i="4"/>
  <c r="C16" i="4"/>
  <c r="C17" i="4"/>
  <c r="C18" i="4"/>
  <c r="C19" i="4"/>
  <c r="C21" i="4"/>
  <c r="C20" i="4"/>
  <c r="C22" i="4"/>
  <c r="C23" i="4"/>
  <c r="C24" i="4"/>
  <c r="C25" i="4"/>
  <c r="C26" i="4"/>
  <c r="C27" i="4"/>
  <c r="C28" i="4"/>
  <c r="C29" i="4"/>
  <c r="C30" i="4"/>
  <c r="C31" i="4"/>
  <c r="C32" i="4"/>
  <c r="C33" i="4"/>
  <c r="C34" i="4"/>
  <c r="C35" i="4"/>
  <c r="C36" i="4"/>
  <c r="C37" i="4"/>
  <c r="C38" i="4"/>
  <c r="C40" i="4"/>
  <c r="C41" i="4"/>
  <c r="C42" i="4"/>
  <c r="C43" i="4"/>
  <c r="C44" i="4"/>
  <c r="C45" i="4"/>
  <c r="C46" i="4"/>
  <c r="C47" i="4"/>
  <c r="C49" i="4"/>
  <c r="C51" i="4"/>
  <c r="C52" i="4"/>
  <c r="C53" i="4"/>
  <c r="C55" i="4"/>
  <c r="C56" i="4"/>
  <c r="C57" i="4"/>
  <c r="C58" i="4"/>
  <c r="K20" i="4"/>
  <c r="K21" i="4"/>
  <c r="K22" i="4"/>
  <c r="K27" i="4"/>
  <c r="K29" i="4"/>
  <c r="K30" i="4"/>
  <c r="K31" i="4"/>
  <c r="K32" i="4"/>
  <c r="K33" i="4"/>
  <c r="K35" i="4"/>
  <c r="K36" i="4"/>
  <c r="K37" i="4"/>
  <c r="K50" i="4"/>
  <c r="K51" i="4"/>
  <c r="K52"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3" i="4"/>
  <c r="L14" i="3"/>
  <c r="L15" i="3"/>
  <c r="L16" i="3"/>
  <c r="L17" i="3"/>
  <c r="L18" i="3"/>
  <c r="L19" i="3"/>
  <c r="M14" i="3"/>
  <c r="M15" i="3"/>
  <c r="M16" i="3"/>
  <c r="M17" i="3"/>
  <c r="M18" i="3"/>
  <c r="M19" i="3"/>
  <c r="C10" i="2" l="1"/>
  <c r="J6" i="6"/>
  <c r="C3" i="5"/>
  <c r="J3" i="5"/>
  <c r="O5" i="6" l="1"/>
  <c r="O6" i="6"/>
  <c r="J5" i="6"/>
  <c r="Q5" i="3"/>
  <c r="L5" i="3"/>
  <c r="M5" i="3"/>
  <c r="K33" i="2"/>
  <c r="C30" i="2"/>
  <c r="E30" i="2"/>
  <c r="C31" i="2"/>
  <c r="E31" i="2"/>
  <c r="C32" i="2"/>
  <c r="E32" i="2"/>
  <c r="C33" i="2"/>
  <c r="E33" i="2"/>
  <c r="I33" i="2"/>
  <c r="K30" i="2" l="1"/>
  <c r="J30" i="2"/>
  <c r="I30" i="2"/>
  <c r="J33" i="2"/>
  <c r="E34" i="2"/>
  <c r="C34" i="2"/>
  <c r="J32" i="2" l="1"/>
  <c r="I32" i="2"/>
  <c r="K32" i="2"/>
  <c r="I13" i="2" l="1"/>
  <c r="J4" i="6"/>
  <c r="O4" i="6"/>
  <c r="K13" i="2"/>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F13" i="2"/>
  <c r="E13" i="2"/>
  <c r="C14" i="2"/>
  <c r="C13" i="2"/>
  <c r="C12" i="2"/>
  <c r="C11" i="2" s="1"/>
  <c r="G2" i="3"/>
  <c r="G89" i="7"/>
  <c r="E2" i="3"/>
  <c r="G2" i="2"/>
  <c r="D2" i="2"/>
  <c r="D30" i="2" l="1"/>
  <c r="D31" i="2"/>
  <c r="F33" i="2"/>
  <c r="F32" i="2"/>
  <c r="D32" i="2"/>
  <c r="F30" i="2"/>
  <c r="D33" i="2"/>
  <c r="F31" i="2"/>
  <c r="D6" i="2"/>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F34" i="2" l="1"/>
  <c r="D34" i="2"/>
  <c r="D4" i="2"/>
  <c r="L21" i="2"/>
  <c r="G4" i="2"/>
  <c r="J21" i="2"/>
  <c r="F21" i="2"/>
  <c r="N21" i="2"/>
  <c r="H21" i="2"/>
  <c r="D21" i="2"/>
</calcChain>
</file>

<file path=xl/sharedStrings.xml><?xml version="1.0" encoding="utf-8"?>
<sst xmlns="http://schemas.openxmlformats.org/spreadsheetml/2006/main" count="740" uniqueCount="311">
  <si>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</si>
  <si>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</si>
  <si>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</si>
  <si>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</si>
  <si>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</si>
  <si>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</si>
  <si>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</si>
  <si>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</si>
  <si>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</si>
  <si>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</si>
  <si>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</si>
  <si>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</si>
  <si>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</si>
  <si>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</si>
  <si>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</si>
  <si>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</si>
  <si>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</si>
  <si>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</si>
  <si>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</si>
  <si>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</si>
  <si>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</si>
  <si>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</si>
  <si>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</si>
  <si>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</si>
  <si>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</si>
  <si>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</si>
  <si>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</si>
  <si>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</si>
  <si>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</si>
  <si>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</si>
  <si>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</si>
  <si>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</si>
  <si>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</si>
  <si>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</si>
  <si>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</si>
  <si>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</si>
  <si>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</si>
  <si>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</si>
  <si>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</si>
  <si>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</si>
  <si>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</si>
  <si>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</si>
  <si>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</si>
  <si>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</si>
  <si>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</si>
  <si>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</si>
  <si>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</si>
  <si>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</si>
  <si>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</si>
  <si>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</si>
  <si>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</si>
  <si>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</si>
  <si>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</si>
  <si>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</si>
  <si>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</si>
  <si>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</si>
  <si>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</si>
  <si>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</si>
  <si>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</si>
  <si>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</si>
  <si>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</si>
  <si>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</si>
  <si>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</si>
  <si>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</si>
  <si>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</si>
  <si>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</si>
  <si>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</si>
  <si>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</si>
  <si>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</si>
  <si>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</si>
  <si>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</si>
  <si>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</si>
  <si>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</si>
  <si>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</si>
  <si>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</si>
  <si>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</si>
  <si>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</si>
  <si>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</si>
  <si>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</si>
  <si>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</si>
  <si>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</si>
  <si>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</si>
  <si>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</si>
  <si>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</si>
  <si>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</si>
  <si>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</si>
  <si>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</si>
  <si>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</si>
  <si>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</si>
  <si>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</si>
  <si>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</si>
  <si>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</si>
  <si>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</si>
  <si>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</si>
  <si>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</si>
  <si>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</si>
  <si>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</si>
  <si>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</si>
  <si>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</si>
  <si>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</si>
  <si>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</si>
  <si>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</si>
  <si>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</si>
  <si>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</si>
  <si>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</si>
  <si>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</si>
  <si>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</si>
  <si>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</si>
  <si>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</si>
  <si>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</si>
  <si>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</si>
  <si>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</si>
  <si>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</si>
  <si>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</si>
  <si>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</si>
  <si>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</si>
  <si>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</si>
  <si>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</si>
  <si>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</si>
  <si>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</si>
  <si>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</si>
  <si>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</si>
  <si>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</si>
  <si>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</si>
  <si>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</si>
  <si>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</si>
  <si>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</si>
  <si>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</si>
  <si>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</si>
  <si>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</si>
  <si>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</si>
  <si>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</si>
  <si>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</si>
  <si>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</si>
  <si>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</si>
  <si>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</si>
  <si>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</si>
  <si>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</si>
  <si>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</si>
  <si>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</si>
  <si>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</si>
  <si>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</si>
  <si>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</si>
  <si>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</si>
  <si>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</si>
  <si>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</si>
  <si>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</si>
  <si>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</si>
  <si>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</si>
  <si>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INSPECCIÓN</t>
  </si>
  <si>
    <t>VALIDACIÓN OK</t>
  </si>
  <si>
    <t>OBS002</t>
  </si>
  <si>
    <t>OBS003</t>
  </si>
  <si>
    <t>OBS004</t>
  </si>
  <si>
    <t>OBS005</t>
  </si>
  <si>
    <t>OBS006</t>
  </si>
  <si>
    <t>OBS007</t>
  </si>
  <si>
    <t>OBS008</t>
  </si>
  <si>
    <t>OBS009</t>
  </si>
  <si>
    <t>-</t>
  </si>
  <si>
    <t>Responsable V&amp;V</t>
  </si>
  <si>
    <t>INSPECCIÓN DE DOCUMENTO</t>
  </si>
  <si>
    <t>MacroProceso - Gestión de Recursos Humanos</t>
  </si>
  <si>
    <t>Nicolay García</t>
  </si>
  <si>
    <t xml:space="preserve">PRY-SSIAEDUCT-03 </t>
  </si>
  <si>
    <t>Arquitectura de Negocios de la Oficina Central de Fe y Alegría Perú – ANOCFAP</t>
  </si>
  <si>
    <t>José Ramos Ramírez</t>
  </si>
  <si>
    <t>OBS001</t>
  </si>
  <si>
    <t>En actores del proceso se menciona un departamento pero no se indica cuál.</t>
  </si>
  <si>
    <t>En el procedimiento en el punto 5 hay un "es" innecesario.</t>
  </si>
  <si>
    <t>En el procedimiento en el punto 10 hay un error ortográfico: "institución".</t>
  </si>
  <si>
    <t>Página 5 innecesaria</t>
  </si>
  <si>
    <t xml:space="preserve">En el punto 2 de la caracterización el Anuncio Publicado ni el Aviso difundido deberían ser datos de entrada.
</t>
  </si>
  <si>
    <t>En el punto 5 de la caracterización la descripción no corresponde.</t>
  </si>
  <si>
    <t>Los Gateways no tienen nombre ni estan caracterizados.</t>
  </si>
  <si>
    <t>En el diagrama no se detalla el nombre del "Jefe de Departamento"  ni "Empleado del Departamento" del punto 9, 10 y 13</t>
  </si>
  <si>
    <t>En el punto 6, 7, 8, 9, 10, 12, 13 y 14 de la caracterización la entrada y la salida no puede ser un actor o acción, siempre es un artefacto.</t>
  </si>
  <si>
    <t>El conector hacia la actividad 14 no es el correcto, se debe usar un flujo de secuencia ya que no es una actividad externa. Esta actividad debe tener un conector hacia el fin.</t>
  </si>
  <si>
    <t>CP002</t>
  </si>
  <si>
    <t>CP003</t>
  </si>
  <si>
    <t>CP004</t>
  </si>
  <si>
    <t>CP005</t>
  </si>
  <si>
    <t>CP006</t>
  </si>
  <si>
    <t>CP007</t>
  </si>
  <si>
    <t>CP008</t>
  </si>
  <si>
    <t>CP009</t>
  </si>
  <si>
    <t>CP010</t>
  </si>
  <si>
    <t>CP011</t>
  </si>
  <si>
    <t>CP012</t>
  </si>
  <si>
    <t>CP013</t>
  </si>
  <si>
    <t>CP014</t>
  </si>
  <si>
    <t>CP015</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</si>
  <si>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</si>
  <si>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</si>
  <si>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</si>
  <si>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</si>
  <si>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</si>
  <si>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</si>
  <si>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</si>
  <si>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</si>
  <si>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</si>
  <si>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</si>
  <si>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</si>
  <si>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</si>
  <si>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</si>
  <si>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</si>
  <si>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BAJA</t>
  </si>
  <si>
    <t>DESESTIMADA</t>
  </si>
  <si>
    <t>MEDIA</t>
  </si>
  <si>
    <t>OBS010</t>
  </si>
  <si>
    <t>OBS011</t>
  </si>
  <si>
    <t>OBS012</t>
  </si>
  <si>
    <t>OBS013</t>
  </si>
  <si>
    <t>OBS014</t>
  </si>
  <si>
    <t>En el propósito se mencionan los objetivos OSE pero no se menciona donde se encuentra la totalidad de los OSE</t>
  </si>
  <si>
    <t>OBS015</t>
  </si>
  <si>
    <t>OBS016</t>
  </si>
  <si>
    <t>OBS017</t>
  </si>
  <si>
    <t>OBS018</t>
  </si>
  <si>
    <t>OBS019</t>
  </si>
  <si>
    <t>OBS020</t>
  </si>
  <si>
    <t>OBS021</t>
  </si>
  <si>
    <t>OBS022</t>
  </si>
  <si>
    <t>OBS023</t>
  </si>
  <si>
    <t>OBS024</t>
  </si>
  <si>
    <t>OBS025</t>
  </si>
  <si>
    <t>OBS026</t>
  </si>
  <si>
    <t>OBS027</t>
  </si>
  <si>
    <t>OBS028</t>
  </si>
  <si>
    <t>OBS029</t>
  </si>
  <si>
    <t>OBS030</t>
  </si>
  <si>
    <t>OBS031</t>
  </si>
  <si>
    <t>OBS032</t>
  </si>
  <si>
    <t>OBS033</t>
  </si>
  <si>
    <t>OBS034</t>
  </si>
  <si>
    <t>OBS035</t>
  </si>
  <si>
    <t>OBS036</t>
  </si>
  <si>
    <t>OBS037</t>
  </si>
  <si>
    <t>OBS038</t>
  </si>
  <si>
    <t>OBS039</t>
  </si>
  <si>
    <t>OBS040</t>
  </si>
  <si>
    <t>OBS041</t>
  </si>
  <si>
    <t>OBS042</t>
  </si>
  <si>
    <t>OBS043</t>
  </si>
  <si>
    <t>OBS044</t>
  </si>
  <si>
    <t>OBS045</t>
  </si>
  <si>
    <t>OBS046</t>
  </si>
  <si>
    <t>OBS047</t>
  </si>
  <si>
    <t>OBS048</t>
  </si>
  <si>
    <t>OBS049</t>
  </si>
  <si>
    <t>OBS050</t>
  </si>
  <si>
    <t>OBS051</t>
  </si>
  <si>
    <t>OBS052</t>
  </si>
  <si>
    <t>OBS053</t>
  </si>
  <si>
    <t>OBS054</t>
  </si>
  <si>
    <t>OBS055</t>
  </si>
  <si>
    <t>En el procedimiento, el punto 5 falta indicar la acción tomada por el jefe de área.</t>
  </si>
  <si>
    <t>En el procedimiento, el punto 6 hay un error ortográfico al final: "Administrador".</t>
  </si>
  <si>
    <t>En el punto 4 de la caracterización se debe tener 2 salidas.</t>
  </si>
  <si>
    <t>En el punto 9 de la caracterización hay un error gramatical en la descripción.</t>
  </si>
  <si>
    <t>ALTA</t>
  </si>
  <si>
    <t>El diagrama es ANSI y no BPMN</t>
  </si>
  <si>
    <t>En el punto 1, 2, 6, 7, 11, 12 y 13 de la caracterización la entrada y la salida no puede ser un actor, siempre es un artefacto.</t>
  </si>
  <si>
    <t>En el punto 1, 2, 5, 6, 7, 8, 9 y 15 de la caracterización la entrada y la salida no puede ser un actor o una acción, siempre es un artefacto.</t>
  </si>
  <si>
    <t>En el propósito se mencionan los objetivos OSE pero no se menciona donde se encuentra la totalidad de los OSE.</t>
  </si>
  <si>
    <t>En el punto 4 de la caracterización hay un error gramatical antes de "Administrador".</t>
  </si>
  <si>
    <t>El título que aparece en la cabecera del cuadro no es el del proceso.</t>
  </si>
  <si>
    <t>El Empleado no puede decidir si es un despido. El inicio no debe empezar en el empleado</t>
  </si>
  <si>
    <t>En el punto 2, 3, 5, 7, 8, 10, 13, 14, 16, 17 y 19 de la caracterización la entrada y la salida no puede ser un actor o una acción, siempre es un artefacto.</t>
  </si>
  <si>
    <t>La actividad 3 tiene un nombre que no concuerda con el proceso.</t>
  </si>
  <si>
    <t>Luego de la actividad 12 no queda claro que sucedería con el empleado en caso de que se desapruebe la renuncia del mismo.</t>
  </si>
  <si>
    <t>Error de tipeo en la salida del punto 15 de la caracterización en "certificados".</t>
  </si>
  <si>
    <t>La actividad 9 tiene un nombre que no concuerda con el proceso.</t>
  </si>
  <si>
    <t>El nombre de la actividad 19 no puede ser una pregunta.</t>
  </si>
  <si>
    <t>En caso de despido, nunca se le comunica al empleado.</t>
  </si>
  <si>
    <t>En el punto 2, 3, 4, 5, 8, 9 y 10 de la caracterización la entrada y la salida no puede ser un actor o una acción, siempre es un artefacto.</t>
  </si>
  <si>
    <t>Normalmente solo debe existir un inicio y un fin.</t>
  </si>
  <si>
    <t>Las anotaciones van en el documento del EBM bajo las reglas de Negocio.</t>
  </si>
  <si>
    <t>Para que se efectúe la actividad 3 tiene que existir una condición de tener gastos sin justificantes. Debería haber un gateway previo.</t>
  </si>
  <si>
    <t>En el punto 1, 4 y 5 de la caracterización la entrada y la salida no puede ser una acción, siempre es un artefacto.</t>
  </si>
  <si>
    <t>En la caracterización no se ha caracterizado el fin.</t>
  </si>
  <si>
    <t>En la caracterización no se ha caracterizado el inicio ni el fin.</t>
  </si>
  <si>
    <t>En la caracterización no se ha caracterizado el inicio, el fin, los gateway ni los eventos.</t>
  </si>
  <si>
    <t>En la caracterización no se ha caracterizado el inicio ni los fines.</t>
  </si>
  <si>
    <t>En la caracterización no se ha caracterizado el inicio, uno de los fines ni los eventos.</t>
  </si>
  <si>
    <t>En la caracterización no se ha caracterizado los gateways ni el fin.</t>
  </si>
  <si>
    <t>En el punto 1, 2, 3 y 4 de la caracterización la entrada y la salida no puede ser un actor siempre es un artefacto.</t>
  </si>
  <si>
    <t>En el punto 1 y 9 de la caracterización la entrada y la salida no puede ser un actor o acción, siempre es un artefacto.</t>
  </si>
  <si>
    <t>En la descripción del punto 6 de la caracterización se debe corregir el termino "de vuelta", no es correcto.</t>
  </si>
  <si>
    <t>OBS056</t>
  </si>
  <si>
    <t>OBS057</t>
  </si>
  <si>
    <t>En el diagrama hay un error de tipeo en el Lane del "Director General".</t>
  </si>
  <si>
    <t xml:space="preserve">[OBS001]En el propósito se mencionan los objetivos OSE pero no se menciona donde se encuentra la totalidad de los OSE_x000D_
[OBS002]En actores del proceso se menciona un departamento pero no se indica cuál._x000D_
[OBS003]En el procedimiento en el punto 5 hay un "es" innecesario._x000D_
[OBS004]En el procedimiento en el punto 10 hay un error ortográfico: "institución"._x000D_
[OBS005]Página 5 innecesaria_x000D_
[OBS006]En la caracterización no se ha caracterizado el inicio, el fin, los gateway ni los eventos._x000D_
[OBS007]En el punto 2 de la caracterización el Anuncio Publicado ni el Aviso difundido deberían ser datos de entrada.
_x000D_
[OBS008]En el punto 5 de la caracterización la descripción no corresponde._x000D_
[OBS009]En el punto 6, 7, 8, 9, 10, 12, 13 y 14 de la caracterización la entrada y la salida no puede ser un actor o acción, siempre es un artefacto._x000D_
[OBS010]En el diagrama no se detalla el nombre del "Jefe de Departamento"  ni "Empleado del Departamento" del punto 9, 10 y 13_x000D_
[OBS011]Los Gateways no tienen nombre ni estan caracterizados._x000D_
[OBS012]El conector hacia la actividad 14 no es el correcto, se debe usar un flujo de secuencia ya que no es una actividad externa. Esta actividad debe tener un conector hacia el fin._x000D_
</t>
  </si>
  <si>
    <t xml:space="preserve">[OBS013]En el propósito se mencionan los objetivos OSE pero no se menciona donde se encuentra la totalidad de los OSE_x000D_
[OBS014]En el procedimiento, el punto 5 falta indicar la acción tomada por el jefe de área._x000D_
[OBS015]En el procedimiento, el punto 6 hay un error ortográfico al final: "Administrador"._x000D_
[OBS016]En la caracterización no se ha caracterizado el inicio ni los fines._x000D_
[OBS017]En el punto 1, 2, 6, 7, 11, 12 y 13 de la caracterización la entrada y la salida no puede ser un actor, siempre es un artefacto._x000D_
[OBS018]En el punto 4 de la caracterización se debe tener 2 salidas._x000D_
[OBS019]En el punto 9 de la caracterización hay un error gramatical en la descripción._x000D_
[OBS020]El diagrama es ANSI y no BPMN_x000D_
</t>
  </si>
  <si>
    <t xml:space="preserve">[OBS021]En el propósito se mencionan los objetivos OSE pero no se menciona donde se encuentra la totalidad de los OSE._x000D_
[OBS022]En la caracterización no se ha caracterizado el inicio, uno de los fines ni los eventos._x000D_
[OBS023]En el punto 1, 2, 5, 6, 7, 8, 9 y 15 de la caracterización la entrada y la salida no puede ser un actor o una acción, siempre es un artefacto._x000D_
[OBS024]En el punto 4 de la caracterización hay un error gramatical antes de "Administrador"._x000D_
</t>
  </si>
  <si>
    <t xml:space="preserve">[OBS025]El título que aparece en la cabecera del cuadro no es el del proceso._x000D_
[OBS026]En el propósito se mencionan los objetivos OSE pero no se menciona donde se encuentra la totalidad de los OSE._x000D_
[OBS027]En la caracterización no se ha caracterizado el inicio, el fin, los gateway ni los eventos._x000D_
[OBS028]El Empleado no puede decidir si es un despido. El inicio no debe empezar en el empleado_x000D_
[OBS029]En el punto 2, 3, 5, 7, 8, 10, 13, 14, 16, 17 y 19 de la caracterización la entrada y la salida no puede ser un actor o una acción, siempre es un artefacto._x000D_
[OBS030]La actividad 3 tiene un nombre que no concuerda con el proceso._x000D_
[OBS031]La actividad 9 tiene un nombre que no concuerda con el proceso._x000D_
[OBS032]Luego de la actividad 12 no queda claro que sucedería con el empleado en caso de que se desapruebe la renuncia del mismo._x000D_
[OBS033]Error de tipeo en la salida del punto 15 de la caracterización en "certificados"._x000D_
[OBS034]El nombre de la actividad 19 no puede ser una pregunta._x000D_
[OBS035]En caso de despido, nunca se le comunica al empleado._x000D_
</t>
  </si>
  <si>
    <t xml:space="preserve">[OBS036]En el propósito se mencionan los objetivos OSE pero no se menciona donde se encuentra la totalidad de los OSE._x000D_
[OBS037]En la caracterización no se ha caracterizado el inicio ni el fin._x000D_
[OBS038]En el punto 2, 3, 4, 5, 8, 9 y 10 de la caracterización la entrada y la salida no puede ser un actor o una acción, siempre es un artefacto._x000D_
</t>
  </si>
  <si>
    <t xml:space="preserve">[OBS039]En el propósito se mencionan los objetivos OSE pero no se menciona donde se encuentra la totalidad de los OSE._x000D_
[OBS040]En la caracterización no se ha caracterizado el inicio ni el fin._x000D_
</t>
  </si>
  <si>
    <t xml:space="preserve">[OBS041]En el propósito se mencionan los objetivos OSE pero no se menciona donde se encuentra la totalidad de los OSE._x000D_
[OBS042]Normalmente solo debe existir un inicio y un fin._x000D_
[OBS043]En el punto 1, 4 y 5 de la caracterización la entrada y la salida no puede ser una acción, siempre es un artefacto._x000D_
[OBS044]Las anotaciones van en el documento del EBM bajo las reglas de Negocio._x000D_
[OBS045]Para que se efectúe la actividad 3 tiene que existir una condición de tener gastos sin justificantes. Debería haber un gateway previo._x000D_
[OBS046]En la caracterización no se ha caracterizado el fin._x000D_
</t>
  </si>
  <si>
    <t xml:space="preserve">[OBS047]En el propósito se mencionan los objetivos OSE pero no se menciona donde se encuentra la totalidad de los OSE._x000D_
[OBS048]En el diagrama hay un error de tipeo en el Lane del "Director General"._x000D_
[OBS049]En la caracterización no se ha caracterizado los gateways ni el fin._x000D_
[OBS050]En el punto 1, 2, 3 y 4 de la caracterización la entrada y la salida no puede ser un actor siempre es un artefacto._x000D_
</t>
  </si>
  <si>
    <t xml:space="preserve">[OBS051]En el propósito se mencionan los objetivos OSE pero no se menciona donde se encuentra la totalidad de los OSE._x000D_
[OBS052]Las anotaciones van en el documento del EBM bajo las reglas de Negocio._x000D_
[OBS053]En el punto 1 y 9 de la caracterización la entrada y la salida no puede ser un actor o acción, siempre es un artefacto._x000D_
[OBS054]En la descripción del punto 6 de la caracterización se debe corregir el termino "de vuelta", no es correcto._x000D_
[OBS055]En la caracterización no se ha caracterizado el fin._x000D_
</t>
  </si>
  <si>
    <t xml:space="preserve">[OBS056]En el propósito se mencionan los objetivos OSE pero no se menciona donde se encuentra la totalidad de los OSE._x000D_
[OBS057]En la caracterización no se ha caracterizado el fin._x000D_
</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</si>
  <si>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</si>
  <si>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Se entregaron los objetivos, tanto general como específicos, como referencia para la inspección.</t>
  </si>
  <si>
    <t>Se modificó la redacción de la descripción de la actividad.</t>
  </si>
  <si>
    <t>Se caracterizaron tanto el inicio como el fin del proceso.</t>
  </si>
  <si>
    <t>Se modificaron las entradas y salidas de las actividades mencionadas.</t>
  </si>
  <si>
    <t>Se modificó el proceso de tal manera que sólo tuviera un fin.</t>
  </si>
  <si>
    <t>Se hace referencia a las Reglas de Negocio.</t>
  </si>
  <si>
    <t>Se incluyó un gateway de decisión.</t>
  </si>
  <si>
    <t>Se caracterizó el fin del proceso.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</si>
</sst>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4">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11"/>
      <color rgb="FF000000"/>
      <name val="Calibri"/>
      <family val="2"/>
    </font>
    <font>
      <b/>
      <sz val="11"/>
      <color rgb="FF000000"/>
      <name val="Calibri"/>
      <family val="2"/>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9">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22"/>
      </left>
      <right style="thin">
        <color indexed="22"/>
      </right>
      <top style="thin">
        <color indexed="22"/>
      </top>
      <bottom/>
      <diagonal/>
    </border>
    <border>
      <left style="thin">
        <color indexed="22"/>
      </left>
      <right style="thin">
        <color indexed="22"/>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style="thin">
        <color indexed="22"/>
      </top>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4">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0" fontId="0" fillId="0" borderId="31" xfId="0" applyBorder="1" applyProtection="1">
      <protection locked="0"/>
    </xf>
    <xf numFmtId="0" fontId="0" fillId="0" borderId="32" xfId="0" applyBorder="1" applyProtection="1">
      <protection locked="0"/>
    </xf>
    <xf numFmtId="1" fontId="0" fillId="0" borderId="31" xfId="0" applyNumberFormat="1" applyBorder="1" applyProtection="1">
      <protection locked="0"/>
    </xf>
    <xf numFmtId="2" fontId="2" fillId="24" borderId="33" xfId="0" applyNumberFormat="1" applyFont="1" applyFill="1" applyBorder="1"/>
    <xf numFmtId="0" fontId="2" fillId="24" borderId="35"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6" xfId="0" applyNumberFormat="1" applyBorder="1" applyProtection="1">
      <protection locked="0"/>
    </xf>
    <xf numFmtId="14" fontId="0" fillId="0" borderId="37" xfId="0" applyNumberFormat="1" applyBorder="1" applyProtection="1">
      <protection locked="0"/>
    </xf>
    <xf numFmtId="0" fontId="0" fillId="0" borderId="31" xfId="0" applyBorder="1"/>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5" fillId="2" borderId="6" xfId="0" applyFont="1" applyFill="1" applyBorder="1" applyAlignment="1">
      <alignment horizontal="center" vertical="center"/>
    </xf>
    <xf numFmtId="0" fontId="36" fillId="2" borderId="8" xfId="0" applyFont="1" applyFill="1" applyBorder="1" applyAlignment="1">
      <alignment horizontal="center" vertical="center"/>
    </xf>
    <xf numFmtId="0" fontId="36" fillId="0" borderId="10" xfId="0" applyFont="1" applyBorder="1" applyAlignment="1">
      <alignment horizontal="center" vertical="center"/>
    </xf>
    <xf numFmtId="0" fontId="37" fillId="0" borderId="6" xfId="0" applyFont="1" applyBorder="1" applyAlignment="1">
      <alignment horizontal="center" vertical="center"/>
    </xf>
    <xf numFmtId="0" fontId="37"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39" fillId="0" borderId="0" xfId="0"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39" fillId="26" borderId="0" xfId="0" applyFont="1" applyFill="1" applyAlignment="1">
      <alignment vertical="center" wrapText="1"/>
    </xf>
    <xf numFmtId="0" fontId="37" fillId="3" borderId="8" xfId="0" applyFont="1" applyFill="1" applyBorder="1" applyAlignment="1">
      <alignment horizontal="center" vertical="center"/>
    </xf>
    <xf numFmtId="0" fontId="37" fillId="4" borderId="8" xfId="0" applyFont="1" applyFill="1" applyBorder="1" applyAlignment="1">
      <alignment horizontal="center" vertical="center"/>
    </xf>
    <xf numFmtId="0" fontId="37" fillId="5" borderId="8" xfId="0" applyFont="1" applyFill="1" applyBorder="1" applyAlignment="1">
      <alignment horizontal="center" vertical="center"/>
    </xf>
    <xf numFmtId="0" fontId="37" fillId="9" borderId="8" xfId="0" applyFont="1" applyFill="1" applyBorder="1" applyAlignment="1">
      <alignment horizontal="center" vertical="center"/>
    </xf>
    <xf numFmtId="0" fontId="37" fillId="10" borderId="8" xfId="0" applyFont="1" applyFill="1" applyBorder="1" applyAlignment="1">
      <alignment horizontal="center" vertical="center"/>
    </xf>
    <xf numFmtId="0" fontId="37"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2"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5" fillId="26" borderId="0" xfId="0" applyFont="1" applyFill="1" applyBorder="1" applyAlignment="1">
      <alignment horizontal="center" vertical="center" wrapText="1"/>
    </xf>
    <xf numFmtId="0" fontId="47" fillId="26" borderId="0" xfId="0" applyFont="1" applyFill="1" applyBorder="1" applyAlignment="1">
      <alignment vertical="center" wrapText="1"/>
    </xf>
    <xf numFmtId="0" fontId="43" fillId="26" borderId="0" xfId="0" applyFont="1" applyFill="1" applyBorder="1"/>
    <xf numFmtId="0" fontId="41" fillId="26" borderId="0" xfId="0" applyFont="1" applyFill="1" applyBorder="1" applyAlignment="1">
      <alignment vertical="center"/>
    </xf>
    <xf numFmtId="0" fontId="45" fillId="32" borderId="0"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4"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6" fillId="26" borderId="0" xfId="1" applyFont="1" applyFill="1" applyBorder="1" applyAlignment="1" applyProtection="1">
      <alignment horizontal="center" vertical="center" wrapText="1"/>
    </xf>
    <xf numFmtId="0" fontId="46" fillId="26" borderId="0" xfId="0" applyFont="1" applyFill="1" applyBorder="1" applyAlignment="1">
      <alignment horizontal="center" vertical="center" wrapText="1"/>
    </xf>
    <xf numFmtId="0" fontId="46" fillId="26" borderId="0" xfId="0" applyFont="1" applyFill="1" applyBorder="1" applyAlignment="1">
      <alignment vertical="center" wrapText="1"/>
    </xf>
    <xf numFmtId="0" fontId="46"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48" fillId="34" borderId="4" xfId="0" applyFont="1" applyFill="1" applyBorder="1" applyAlignment="1">
      <alignment horizontal="left" vertical="center"/>
    </xf>
    <xf numFmtId="0" fontId="49" fillId="26" borderId="0" xfId="0" applyFont="1" applyFill="1" applyAlignment="1">
      <alignment horizontal="right" vertical="center"/>
    </xf>
    <xf numFmtId="0" fontId="50" fillId="26" borderId="0" xfId="0" applyFont="1" applyFill="1" applyAlignment="1">
      <alignment vertical="center"/>
    </xf>
    <xf numFmtId="10" fontId="51" fillId="0" borderId="4" xfId="1" applyNumberFormat="1" applyFont="1" applyFill="1" applyBorder="1" applyAlignment="1" applyProtection="1">
      <alignment horizontal="right" vertical="center"/>
    </xf>
    <xf numFmtId="9" fontId="51" fillId="0" borderId="0" xfId="1" applyFont="1" applyFill="1" applyBorder="1" applyAlignment="1" applyProtection="1">
      <alignment horizontal="right" vertical="center"/>
    </xf>
    <xf numFmtId="0" fontId="51"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8" fillId="37" borderId="15" xfId="4" applyFont="1" applyFill="1" applyBorder="1" applyAlignment="1">
      <alignment horizontal="center" vertical="center" wrapText="1"/>
    </xf>
    <xf numFmtId="0" fontId="38" fillId="37" borderId="16" xfId="4" applyFont="1" applyFill="1" applyBorder="1" applyAlignment="1">
      <alignment horizontal="center" vertical="center" wrapText="1"/>
    </xf>
    <xf numFmtId="0" fontId="38" fillId="37" borderId="16" xfId="4" applyFont="1" applyFill="1" applyBorder="1" applyAlignment="1" applyProtection="1">
      <alignment horizontal="center" vertical="center" wrapText="1"/>
    </xf>
    <xf numFmtId="0" fontId="38" fillId="33" borderId="16" xfId="4" applyFont="1" applyFill="1" applyBorder="1" applyAlignment="1">
      <alignment horizontal="center" vertical="center" wrapText="1"/>
    </xf>
    <xf numFmtId="0" fontId="38" fillId="33" borderId="15" xfId="4" applyFont="1" applyFill="1" applyBorder="1" applyAlignment="1">
      <alignment horizontal="center" vertical="center" wrapText="1"/>
    </xf>
    <xf numFmtId="14" fontId="38" fillId="37" borderId="16" xfId="4" applyNumberFormat="1" applyFont="1" applyFill="1" applyBorder="1" applyAlignment="1">
      <alignment horizontal="center" vertical="center" wrapText="1"/>
    </xf>
    <xf numFmtId="164" fontId="38" fillId="37" borderId="16" xfId="4" applyNumberFormat="1" applyFont="1" applyFill="1" applyBorder="1" applyAlignment="1">
      <alignment horizontal="center" vertical="center" wrapText="1"/>
    </xf>
    <xf numFmtId="0" fontId="49" fillId="26" borderId="0" xfId="0" applyFont="1" applyFill="1" applyAlignment="1">
      <alignment horizontal="right" vertical="center" wrapText="1"/>
    </xf>
    <xf numFmtId="0" fontId="49" fillId="38" borderId="4" xfId="0" applyFont="1" applyFill="1" applyBorder="1" applyAlignment="1">
      <alignment horizontal="left" vertical="center" wrapText="1"/>
    </xf>
    <xf numFmtId="0" fontId="49"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1" fontId="0" fillId="0" borderId="28" xfId="0" applyNumberFormat="1" applyBorder="1" applyProtection="1">
      <protection locked="0"/>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40" fillId="0" borderId="0" xfId="0" applyFont="1" applyAlignment="1">
      <alignment horizontal="left" vertical="center" wrapText="1"/>
    </xf>
    <xf numFmtId="0" fontId="0" fillId="0" borderId="0" xfId="0" applyAlignment="1">
      <alignment horizontal="left" vertical="center"/>
    </xf>
    <xf numFmtId="0" fontId="40" fillId="0" borderId="0" xfId="0" applyNumberFormat="1" applyFont="1" applyAlignment="1" applyProtection="1">
      <alignment horizontal="left" vertical="center" wrapText="1"/>
    </xf>
    <xf numFmtId="0" fontId="40" fillId="0" borderId="0" xfId="0" applyNumberFormat="1" applyFont="1" applyAlignment="1">
      <alignment horizontal="left" vertical="center" wrapText="1"/>
    </xf>
    <xf numFmtId="14" fontId="40" fillId="0" borderId="0" xfId="0" applyNumberFormat="1" applyFont="1" applyAlignment="1">
      <alignment horizontal="left" vertical="center" wrapText="1"/>
    </xf>
    <xf numFmtId="0" fontId="40" fillId="26" borderId="0" xfId="0" applyFont="1" applyFill="1" applyAlignment="1">
      <alignment horizontal="left" vertical="center" wrapText="1"/>
    </xf>
    <xf numFmtId="0" fontId="0" fillId="0" borderId="0" xfId="0" applyAlignment="1">
      <alignment horizontal="left"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8"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8"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3" xfId="0" applyFont="1" applyFill="1" applyBorder="1" applyAlignment="1">
      <alignment horizontal="left"/>
    </xf>
    <xf numFmtId="0" fontId="2" fillId="24" borderId="34" xfId="0" applyFont="1" applyFill="1" applyBorder="1" applyAlignment="1">
      <alignment horizontal="left"/>
    </xf>
    <xf numFmtId="0" fontId="2" fillId="24" borderId="35" xfId="0" applyFont="1" applyFill="1" applyBorder="1" applyAlignment="1">
      <alignment horizontal="left"/>
    </xf>
    <xf numFmtId="0" fontId="49" fillId="38" borderId="12" xfId="0" applyFont="1" applyFill="1" applyBorder="1" applyAlignment="1">
      <alignment horizontal="left" vertical="center" wrapText="1"/>
    </xf>
    <xf numFmtId="0" fontId="49" fillId="38" borderId="13" xfId="0" applyFont="1" applyFill="1" applyBorder="1" applyAlignment="1">
      <alignment horizontal="left" vertical="center" wrapText="1"/>
    </xf>
    <xf numFmtId="0" fontId="49"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2">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bottom style="thin">
          <color theme="9" tint="0.39997558519241921"/>
        </bottom>
      </border>
    </dxf>
    <dxf>
      <border outline="0">
        <top style="thin">
          <color theme="9" tint="0.39997558519241921"/>
        </top>
      </border>
    </dxf>
    <dxf>
      <alignment vertical="center" textRotation="0" wrapText="1" justifyLastLine="0" shrinkToFit="0" readingOrder="0"/>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numFmt numFmtId="0" formatCode="General"/>
      <border diagonalUp="0" diagonalDown="0" outline="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outline="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style="thin">
          <color indexed="22"/>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font>
        <strike val="0"/>
        <outline val="0"/>
        <shadow val="0"/>
        <u val="none"/>
        <vertAlign val="baseline"/>
        <sz val="8"/>
        <color theme="1"/>
        <name val="Calibri"/>
        <scheme val="minor"/>
      </font>
      <numFmt numFmtId="0" formatCode="General"/>
      <alignment horizontal="left"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left" vertical="center" textRotation="0" wrapText="1" indent="0" justifyLastLine="0" shrinkToFit="0" readingOrder="0"/>
    </dxf>
    <dxf>
      <font>
        <strike val="0"/>
        <outline val="0"/>
        <shadow val="0"/>
        <u val="none"/>
        <vertAlign val="baseline"/>
        <sz val="8"/>
        <color theme="1"/>
        <name val="Calibri"/>
        <scheme val="minor"/>
      </font>
      <alignment horizontal="left" vertical="center" textRotation="0" wrapText="1" indent="0" justifyLastLine="0" shrinkToFit="0" readingOrder="0"/>
    </dxf>
    <dxf>
      <font>
        <strike val="0"/>
        <outline val="0"/>
        <shadow val="0"/>
        <u val="none"/>
        <vertAlign val="baseline"/>
        <sz val="8"/>
        <color theme="1"/>
        <name val="Calibri"/>
        <scheme val="minor"/>
      </font>
      <alignment horizontal="left"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left"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left" vertical="center" textRotation="0" wrapText="1" indent="0" justifyLastLine="0" shrinkToFit="0" readingOrder="0"/>
    </dxf>
    <dxf>
      <font>
        <strike val="0"/>
        <outline val="0"/>
        <shadow val="0"/>
        <u val="none"/>
        <vertAlign val="baseline"/>
        <sz val="8"/>
        <color theme="1"/>
        <name val="Calibri"/>
        <scheme val="minor"/>
      </font>
      <alignment horizontal="left" vertical="center" textRotation="0" wrapText="1" indent="0" justifyLastLine="0" shrinkToFit="0" readingOrder="0"/>
    </dxf>
    <dxf>
      <font>
        <strike val="0"/>
        <outline val="0"/>
        <shadow val="0"/>
        <u val="none"/>
        <vertAlign val="baseline"/>
        <sz val="8"/>
        <color theme="1"/>
        <name val="Calibri"/>
        <scheme val="minor"/>
      </font>
      <alignment horizontal="left"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left" vertical="center" textRotation="0" wrapText="1" indent="0" justifyLastLine="0" shrinkToFit="0" readingOrder="0"/>
    </dxf>
    <dxf>
      <font>
        <strike val="0"/>
        <outline val="0"/>
        <shadow val="0"/>
        <u val="none"/>
        <vertAlign val="baseline"/>
        <sz val="8"/>
        <color theme="1"/>
        <name val="Calibri"/>
        <scheme val="minor"/>
      </font>
      <alignment horizontal="left"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left"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left" vertical="center" textRotation="0" wrapText="1" indent="0" justifyLastLine="0" shrinkToFit="0" readingOrder="0"/>
      <protection locked="1" hidden="0"/>
    </dxf>
    <dxf>
      <font>
        <strike val="0"/>
        <outline val="0"/>
        <shadow val="0"/>
        <u val="none"/>
        <vertAlign val="baseline"/>
        <sz val="8"/>
        <color theme="1"/>
        <name val="Calibri"/>
        <scheme val="minor"/>
      </font>
      <alignment horizontal="left" vertical="center" textRotation="0" wrapText="1" indent="0" justifyLastLine="0" shrinkToFit="0" readingOrder="0"/>
    </dxf>
    <dxf>
      <alignment horizontal="left" vertical="center" textRotation="0" indent="0" justifyLastLine="0" shrinkToFit="0" readingOrder="0"/>
    </dxf>
    <dxf>
      <font>
        <strike val="0"/>
        <outline val="0"/>
        <shadow val="0"/>
        <u val="none"/>
        <vertAlign val="baseline"/>
        <sz val="8"/>
        <color theme="1"/>
        <name val="Calibri"/>
        <scheme val="minor"/>
      </font>
      <alignment horizontal="left" vertical="center" textRotation="0" wrapText="1" indent="0" justifyLastLine="0" shrinkToFit="0" readingOrder="0"/>
    </dxf>
    <dxf>
      <font>
        <strike val="0"/>
        <outline val="0"/>
        <shadow val="0"/>
        <u val="none"/>
        <vertAlign val="baseline"/>
        <sz val="8"/>
        <color theme="1"/>
        <name val="Calibri"/>
        <scheme val="minor"/>
      </font>
      <alignment horizontal="left" vertical="center" textRotation="0" wrapText="1" indent="0" justifyLastLine="0" shrinkToFit="0" readingOrder="0"/>
    </dxf>
    <dxf>
      <font>
        <strike val="0"/>
        <outline val="0"/>
        <shadow val="0"/>
        <u val="none"/>
        <vertAlign val="baseline"/>
        <sz val="8"/>
        <color theme="1"/>
        <name val="Calibri"/>
        <scheme val="minor"/>
      </font>
      <alignment horizontal="left"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left" vertical="center" textRotation="0" wrapText="1" indent="0" justifyLastLine="0" shrinkToFit="0" readingOrder="0"/>
      <border diagonalUp="0" diagonalDown="0" outline="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pivotCacheDefinition" Target="pivotCache/pivotCacheDefinition6.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5.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layout/>
      <c:overlay val="0"/>
    </c:title>
    <c:autoTitleDeleted val="0"/>
    <c:plotArea>
      <c:layout>
        <c:manualLayout>
          <c:layoutTarget val="inner"/>
          <c:xMode val="edge"/>
          <c:yMode val="edge"/>
          <c:x val="0.21306389798620556"/>
          <c:y val="0.20151813899974841"/>
          <c:w val="0.50142494135134741"/>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c:v>
                </c:pt>
                <c:pt idx="1">
                  <c:v>0.66666666666666663</c:v>
                </c:pt>
                <c:pt idx="2">
                  <c:v>0</c:v>
                </c:pt>
                <c:pt idx="3">
                  <c:v>0</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layout/>
      <c:overlay val="0"/>
      <c:txPr>
        <a:bodyPr/>
        <a:lstStyle/>
        <a:p>
          <a:pPr>
            <a:defRPr lang="es-ES"/>
          </a:pPr>
          <a:endParaRPr lang="es-PE"/>
        </a:p>
      </c:txPr>
    </c:legend>
    <c:plotVisOnly val="1"/>
    <c:dispBlanksAs val="zero"/>
    <c:showDLblsOverMax val="0"/>
  </c:chart>
  <c:printSettings>
    <c:headerFooter/>
    <c:pageMargins b="0.75000000000000799" l="0.70000000000000062" r="0.70000000000000062" t="0.75000000000000799"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layout/>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layout/>
      <c:overlay val="0"/>
      <c:txPr>
        <a:bodyPr/>
        <a:lstStyle/>
        <a:p>
          <a:pPr rtl="0">
            <a:defRPr lang="es-ES"/>
          </a:pPr>
          <a:endParaRPr lang="es-PE"/>
        </a:p>
      </c:txPr>
    </c:legend>
    <c:plotVisOnly val="1"/>
    <c:dispBlanksAs val="zero"/>
    <c:showDLblsOverMax val="0"/>
  </c:chart>
  <c:printSettings>
    <c:headerFooter/>
    <c:pageMargins b="0.75000000000000799" l="0.70000000000000062" r="0.70000000000000062" t="0.75000000000000799"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HistoricoAvance!$B$4:$B$6</c:f>
              <c:numCache>
                <c:formatCode>dd/mm/yyyy</c:formatCode>
                <c:ptCount val="3"/>
                <c:pt idx="0">
                  <c:v>40791</c:v>
                </c:pt>
              </c:numCache>
            </c:numRef>
          </c:cat>
          <c:val>
            <c:numRef>
              <c:f>HistoricoAvance!$C$4:$C$6</c:f>
              <c:numCache>
                <c:formatCode>0</c:formatCode>
                <c:ptCount val="3"/>
                <c:pt idx="0">
                  <c:v>0</c:v>
                </c:pt>
              </c:numCache>
            </c:numRef>
          </c:val>
          <c:smooth val="0"/>
        </c:ser>
        <c:ser>
          <c:idx val="1"/>
          <c:order val="1"/>
          <c:tx>
            <c:strRef>
              <c:f>HistoricoAvance!$D$3</c:f>
              <c:strCache>
                <c:ptCount val="1"/>
                <c:pt idx="0">
                  <c:v>Fallos</c:v>
                </c:pt>
              </c:strCache>
            </c:strRef>
          </c:tx>
          <c:spPr>
            <a:ln w="50800"/>
          </c:spPr>
          <c:cat>
            <c:numRef>
              <c:f>HistoricoAvance!$B$4:$B$6</c:f>
              <c:numCache>
                <c:formatCode>dd/mm/yyyy</c:formatCode>
                <c:ptCount val="3"/>
                <c:pt idx="0">
                  <c:v>40791</c:v>
                </c:pt>
              </c:numCache>
            </c:numRef>
          </c:cat>
          <c:val>
            <c:numRef>
              <c:f>HistoricoAvance!$D$4:$D$6</c:f>
              <c:numCache>
                <c:formatCode>0</c:formatCode>
                <c:ptCount val="3"/>
                <c:pt idx="0">
                  <c:v>10</c:v>
                </c:pt>
              </c:numCache>
            </c:numRef>
          </c:val>
          <c:smooth val="0"/>
        </c:ser>
        <c:ser>
          <c:idx val="2"/>
          <c:order val="2"/>
          <c:tx>
            <c:strRef>
              <c:f>HistoricoAvance!$E$3</c:f>
              <c:strCache>
                <c:ptCount val="1"/>
                <c:pt idx="0">
                  <c:v>Bloqueado</c:v>
                </c:pt>
              </c:strCache>
            </c:strRef>
          </c:tx>
          <c:cat>
            <c:numRef>
              <c:f>HistoricoAvance!$B$4:$B$6</c:f>
              <c:numCache>
                <c:formatCode>dd/mm/yyyy</c:formatCode>
                <c:ptCount val="3"/>
                <c:pt idx="0">
                  <c:v>40791</c:v>
                </c:pt>
              </c:numCache>
            </c:numRef>
          </c:cat>
          <c:val>
            <c:numRef>
              <c:f>HistoricoAvance!$E$4:$E$6</c:f>
              <c:numCache>
                <c:formatCode>0</c:formatCode>
                <c:ptCount val="3"/>
                <c:pt idx="0">
                  <c:v>0</c:v>
                </c:pt>
              </c:numCache>
            </c:numRef>
          </c:val>
          <c:smooth val="0"/>
        </c:ser>
        <c:ser>
          <c:idx val="3"/>
          <c:order val="3"/>
          <c:tx>
            <c:strRef>
              <c:f>HistoricoAvance!$F$3</c:f>
              <c:strCache>
                <c:ptCount val="1"/>
                <c:pt idx="0">
                  <c:v>Pendiente</c:v>
                </c:pt>
              </c:strCache>
            </c:strRef>
          </c:tx>
          <c:cat>
            <c:numRef>
              <c:f>HistoricoAvance!$B$4:$B$6</c:f>
              <c:numCache>
                <c:formatCode>dd/mm/yyyy</c:formatCode>
                <c:ptCount val="3"/>
                <c:pt idx="0">
                  <c:v>40791</c:v>
                </c:pt>
              </c:numCache>
            </c:numRef>
          </c:cat>
          <c:val>
            <c:numRef>
              <c:f>HistoricoAvance!$F$4:$F$6</c:f>
              <c:numCache>
                <c:formatCode>0</c:formatCode>
                <c:ptCount val="3"/>
                <c:pt idx="0">
                  <c:v>0</c:v>
                </c:pt>
              </c:numCache>
            </c:numRef>
          </c:val>
          <c:smooth val="0"/>
        </c:ser>
        <c:ser>
          <c:idx val="4"/>
          <c:order val="4"/>
          <c:tx>
            <c:strRef>
              <c:f>HistoricoAvance!$G$3</c:f>
              <c:strCache>
                <c:ptCount val="1"/>
                <c:pt idx="0">
                  <c:v>No Aplica</c:v>
                </c:pt>
              </c:strCache>
            </c:strRef>
          </c:tx>
          <c:cat>
            <c:numRef>
              <c:f>HistoricoAvance!$B$4:$B$6</c:f>
              <c:numCache>
                <c:formatCode>dd/mm/yyyy</c:formatCode>
                <c:ptCount val="3"/>
                <c:pt idx="0">
                  <c:v>40791</c:v>
                </c:pt>
              </c:numCache>
            </c:numRef>
          </c:cat>
          <c:val>
            <c:numRef>
              <c:f>HistoricoAvance!$G$4:$G$6</c:f>
              <c:numCache>
                <c:formatCode>0</c:formatCode>
                <c:ptCount val="3"/>
                <c:pt idx="0">
                  <c:v>0</c:v>
                </c:pt>
              </c:numCache>
            </c:numRef>
          </c:val>
          <c:smooth val="0"/>
        </c:ser>
        <c:ser>
          <c:idx val="5"/>
          <c:order val="5"/>
          <c:tx>
            <c:strRef>
              <c:f>HistoricoAvance!$H$3</c:f>
              <c:strCache>
                <c:ptCount val="1"/>
                <c:pt idx="0">
                  <c:v>En Proceso</c:v>
                </c:pt>
              </c:strCache>
            </c:strRef>
          </c:tx>
          <c:cat>
            <c:numRef>
              <c:f>HistoricoAvance!$B$4:$B$6</c:f>
              <c:numCache>
                <c:formatCode>dd/mm/yyyy</c:formatCode>
                <c:ptCount val="3"/>
                <c:pt idx="0">
                  <c:v>40791</c:v>
                </c:pt>
              </c:numCache>
            </c:numRef>
          </c:cat>
          <c:val>
            <c:numRef>
              <c:f>HistoricoAvance!$H$4:$H$6</c:f>
              <c:numCache>
                <c:formatCode>0</c:formatCode>
                <c:ptCount val="3"/>
                <c:pt idx="0">
                  <c:v>0</c:v>
                </c:pt>
              </c:numCache>
            </c:numRef>
          </c:val>
          <c:smooth val="0"/>
        </c:ser>
        <c:ser>
          <c:idx val="6"/>
          <c:order val="6"/>
          <c:tx>
            <c:strRef>
              <c:f>HistoricoAvance!$I$3</c:f>
              <c:strCache>
                <c:ptCount val="1"/>
                <c:pt idx="0">
                  <c:v>Reejecuciones</c:v>
                </c:pt>
              </c:strCache>
            </c:strRef>
          </c:tx>
          <c:cat>
            <c:numRef>
              <c:f>HistoricoAvance!$B$4:$B$6</c:f>
              <c:numCache>
                <c:formatCode>dd/mm/yyyy</c:formatCode>
                <c:ptCount val="3"/>
                <c:pt idx="0">
                  <c:v>40791</c:v>
                </c:pt>
              </c:numCache>
            </c:numRef>
          </c:cat>
          <c:val>
            <c:numRef>
              <c:f>HistoricoAvance!$I$4:$I$6</c:f>
              <c:numCache>
                <c:formatCode>0</c:formatCode>
                <c:ptCount val="3"/>
                <c:pt idx="0">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HistoricoAvance!$B$4:$B$6</c:f>
              <c:numCache>
                <c:formatCode>dd/mm/yyyy</c:formatCode>
                <c:ptCount val="3"/>
                <c:pt idx="0">
                  <c:v>40791</c:v>
                </c:pt>
              </c:numCache>
            </c:numRef>
          </c:cat>
          <c:val>
            <c:numRef>
              <c:f>HistoricoAvance!$J$4:$J$6</c:f>
              <c:numCache>
                <c:formatCode>General</c:formatCode>
                <c:ptCount val="3"/>
                <c:pt idx="0">
                  <c:v>10</c:v>
                </c:pt>
                <c:pt idx="1">
                  <c:v>0</c:v>
                </c:pt>
                <c:pt idx="2">
                  <c:v>0</c:v>
                </c:pt>
              </c:numCache>
            </c:numRef>
          </c:val>
          <c:smooth val="0"/>
        </c:ser>
        <c:dLbls>
          <c:showLegendKey val="0"/>
          <c:showVal val="0"/>
          <c:showCatName val="0"/>
          <c:showSerName val="0"/>
          <c:showPercent val="0"/>
          <c:showBubbleSize val="0"/>
        </c:dLbls>
        <c:marker val="1"/>
        <c:smooth val="0"/>
        <c:axId val="137022464"/>
        <c:axId val="137032448"/>
      </c:lineChart>
      <c:dateAx>
        <c:axId val="137022464"/>
        <c:scaling>
          <c:orientation val="minMax"/>
        </c:scaling>
        <c:delete val="0"/>
        <c:axPos val="b"/>
        <c:numFmt formatCode="dd/mm/yyyy" sourceLinked="1"/>
        <c:majorTickMark val="out"/>
        <c:minorTickMark val="none"/>
        <c:tickLblPos val="nextTo"/>
        <c:txPr>
          <a:bodyPr/>
          <a:lstStyle/>
          <a:p>
            <a:pPr>
              <a:defRPr lang="es-ES"/>
            </a:pPr>
            <a:endParaRPr lang="es-PE"/>
          </a:p>
        </c:txPr>
        <c:crossAx val="137032448"/>
        <c:crosses val="autoZero"/>
        <c:auto val="1"/>
        <c:lblOffset val="100"/>
        <c:baseTimeUnit val="days"/>
      </c:dateAx>
      <c:valAx>
        <c:axId val="137032448"/>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37022464"/>
        <c:crosses val="autoZero"/>
        <c:crossBetween val="between"/>
      </c:valAx>
    </c:plotArea>
    <c:legend>
      <c:legendPos val="r"/>
      <c:layout/>
      <c:overlay val="0"/>
      <c:txPr>
        <a:bodyPr/>
        <a:lstStyle/>
        <a:p>
          <a:pPr>
            <a:defRPr lang="es-ES"/>
          </a:pPr>
          <a:endParaRPr lang="es-PE"/>
        </a:p>
      </c:txPr>
    </c:legend>
    <c:plotVisOnly val="1"/>
    <c:dispBlanksAs val="gap"/>
    <c:showDLblsOverMax val="0"/>
  </c:chart>
  <c:printSettings>
    <c:headerFooter/>
    <c:pageMargins b="0.75000000000000799" l="0.70000000000000062" r="0.70000000000000062" t="0.75000000000000799"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HistoricoAvance!$L$4:$L$6</c:f>
              <c:numCache>
                <c:formatCode>dd/mm/yyyy</c:formatCode>
                <c:ptCount val="3"/>
                <c:pt idx="0">
                  <c:v>40791</c:v>
                </c:pt>
              </c:numCache>
            </c:numRef>
          </c:cat>
          <c:val>
            <c:numRef>
              <c:f>HistoricoAvance!$M$4:$M$6</c:f>
              <c:numCache>
                <c:formatCode>0</c:formatCode>
                <c:ptCount val="3"/>
                <c:pt idx="0">
                  <c:v>0</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HistoricoAvance!$L$4:$L$6</c:f>
              <c:numCache>
                <c:formatCode>dd/mm/yyyy</c:formatCode>
                <c:ptCount val="3"/>
                <c:pt idx="0">
                  <c:v>40791</c:v>
                </c:pt>
              </c:numCache>
            </c:numRef>
          </c:cat>
          <c:val>
            <c:numRef>
              <c:f>HistoricoAvance!$N$4:$N$6</c:f>
              <c:numCache>
                <c:formatCode>0</c:formatCode>
                <c:ptCount val="3"/>
                <c:pt idx="0">
                  <c:v>0</c:v>
                </c:pt>
              </c:numCache>
            </c:numRef>
          </c:val>
          <c:smooth val="0"/>
        </c:ser>
        <c:ser>
          <c:idx val="2"/>
          <c:order val="2"/>
          <c:tx>
            <c:strRef>
              <c:f>HistoricoAvance!$O$3</c:f>
              <c:strCache>
                <c:ptCount val="1"/>
                <c:pt idx="0">
                  <c:v>Totales</c:v>
                </c:pt>
              </c:strCache>
            </c:strRef>
          </c:tx>
          <c:cat>
            <c:numRef>
              <c:f>HistoricoAvance!$L$4:$L$6</c:f>
              <c:numCache>
                <c:formatCode>dd/mm/yyyy</c:formatCode>
                <c:ptCount val="3"/>
                <c:pt idx="0">
                  <c:v>40791</c:v>
                </c:pt>
              </c:numCache>
            </c:numRef>
          </c:cat>
          <c:val>
            <c:numRef>
              <c:f>HistoricoAvance!$O$4:$O$6</c:f>
              <c:numCache>
                <c:formatCode>General</c:formatCode>
                <c:ptCount val="3"/>
                <c:pt idx="0">
                  <c:v>0</c:v>
                </c:pt>
                <c:pt idx="1">
                  <c:v>0</c:v>
                </c:pt>
                <c:pt idx="2">
                  <c:v>0</c:v>
                </c:pt>
              </c:numCache>
            </c:numRef>
          </c:val>
          <c:smooth val="0"/>
        </c:ser>
        <c:dLbls>
          <c:showLegendKey val="0"/>
          <c:showVal val="0"/>
          <c:showCatName val="0"/>
          <c:showSerName val="0"/>
          <c:showPercent val="0"/>
          <c:showBubbleSize val="0"/>
        </c:dLbls>
        <c:marker val="1"/>
        <c:smooth val="0"/>
        <c:axId val="137067904"/>
        <c:axId val="137069696"/>
      </c:lineChart>
      <c:dateAx>
        <c:axId val="137067904"/>
        <c:scaling>
          <c:orientation val="minMax"/>
        </c:scaling>
        <c:delete val="0"/>
        <c:axPos val="b"/>
        <c:numFmt formatCode="dd/mm/yyyy" sourceLinked="1"/>
        <c:majorTickMark val="out"/>
        <c:minorTickMark val="none"/>
        <c:tickLblPos val="nextTo"/>
        <c:txPr>
          <a:bodyPr/>
          <a:lstStyle/>
          <a:p>
            <a:pPr>
              <a:defRPr lang="es-ES"/>
            </a:pPr>
            <a:endParaRPr lang="es-PE"/>
          </a:p>
        </c:txPr>
        <c:crossAx val="137069696"/>
        <c:crosses val="autoZero"/>
        <c:auto val="1"/>
        <c:lblOffset val="100"/>
        <c:baseTimeUnit val="days"/>
      </c:dateAx>
      <c:valAx>
        <c:axId val="137069696"/>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37067904"/>
        <c:crosses val="autoZero"/>
        <c:crossBetween val="between"/>
      </c:valAx>
    </c:plotArea>
    <c:legend>
      <c:legendPos val="r"/>
      <c:layout/>
      <c:overlay val="0"/>
      <c:txPr>
        <a:bodyPr/>
        <a:lstStyle/>
        <a:p>
          <a:pPr>
            <a:defRPr lang="es-ES"/>
          </a:pPr>
          <a:endParaRPr lang="es-PE"/>
        </a:p>
      </c:txPr>
    </c:legend>
    <c:plotVisOnly val="1"/>
    <c:dispBlanksAs val="gap"/>
    <c:showDLblsOverMax val="0"/>
  </c:chart>
  <c:printSettings>
    <c:headerFooter/>
    <c:pageMargins b="0.75000000000000822" l="0.70000000000000062" r="0.70000000000000062" t="0.7500000000000082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Inspeccion.xlsm]CuadrosResumen!Tabla dinámica1</c:name>
    <c:fmtId val="0"/>
  </c:pivotSource>
  <c:chart>
    <c:title>
      <c:tx>
        <c:rich>
          <a:bodyPr/>
          <a:lstStyle/>
          <a:p>
            <a:pPr>
              <a:defRPr lang="es-ES"/>
            </a:pPr>
            <a:r>
              <a:rPr lang="en-US"/>
              <a:t>Distribución</a:t>
            </a:r>
            <a:r>
              <a:rPr lang="en-US" baseline="0"/>
              <a:t> por Severidad</a:t>
            </a:r>
            <a:endParaRPr lang="en-US"/>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137094656"/>
        <c:axId val="137096192"/>
      </c:barChart>
      <c:catAx>
        <c:axId val="137094656"/>
        <c:scaling>
          <c:orientation val="minMax"/>
        </c:scaling>
        <c:delete val="0"/>
        <c:axPos val="b"/>
        <c:majorTickMark val="out"/>
        <c:minorTickMark val="none"/>
        <c:tickLblPos val="nextTo"/>
        <c:txPr>
          <a:bodyPr/>
          <a:lstStyle/>
          <a:p>
            <a:pPr>
              <a:defRPr lang="es-ES"/>
            </a:pPr>
            <a:endParaRPr lang="es-PE"/>
          </a:p>
        </c:txPr>
        <c:crossAx val="137096192"/>
        <c:crosses val="autoZero"/>
        <c:auto val="1"/>
        <c:lblAlgn val="ctr"/>
        <c:lblOffset val="100"/>
        <c:noMultiLvlLbl val="0"/>
      </c:catAx>
      <c:valAx>
        <c:axId val="13709619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7094656"/>
        <c:crosses val="autoZero"/>
        <c:crossBetween val="between"/>
      </c:valAx>
    </c:plotArea>
    <c:plotVisOnly val="1"/>
    <c:dispBlanksAs val="gap"/>
    <c:showDLblsOverMax val="0"/>
  </c:chart>
  <c:printSettings>
    <c:headerFooter/>
    <c:pageMargins b="0.75000000000000788" l="0.70000000000000062" r="0.70000000000000062" t="0.75000000000000788"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Inspeccion.xlsm]CuadrosResumen!Tabla dinámica2</c:name>
    <c:fmtId val="0"/>
  </c:pivotSource>
  <c:chart>
    <c:title>
      <c:tx>
        <c:rich>
          <a:bodyPr/>
          <a:lstStyle/>
          <a:p>
            <a:pPr>
              <a:defRPr lang="es-ES"/>
            </a:pPr>
            <a:r>
              <a:rPr lang="en-U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139546624"/>
        <c:axId val="139548160"/>
      </c:barChart>
      <c:catAx>
        <c:axId val="139546624"/>
        <c:scaling>
          <c:orientation val="minMax"/>
        </c:scaling>
        <c:delete val="0"/>
        <c:axPos val="b"/>
        <c:majorTickMark val="out"/>
        <c:minorTickMark val="none"/>
        <c:tickLblPos val="nextTo"/>
        <c:txPr>
          <a:bodyPr/>
          <a:lstStyle/>
          <a:p>
            <a:pPr>
              <a:defRPr lang="es-ES"/>
            </a:pPr>
            <a:endParaRPr lang="es-PE"/>
          </a:p>
        </c:txPr>
        <c:crossAx val="139548160"/>
        <c:crosses val="autoZero"/>
        <c:auto val="1"/>
        <c:lblAlgn val="ctr"/>
        <c:lblOffset val="100"/>
        <c:noMultiLvlLbl val="0"/>
      </c:catAx>
      <c:valAx>
        <c:axId val="139548160"/>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9546624"/>
        <c:crosses val="autoZero"/>
        <c:crossBetween val="between"/>
      </c:valAx>
    </c:plotArea>
    <c:plotVisOnly val="1"/>
    <c:dispBlanksAs val="gap"/>
    <c:showDLblsOverMax val="0"/>
  </c:chart>
  <c:printSettings>
    <c:headerFooter/>
    <c:pageMargins b="0.75000000000000788" l="0.70000000000000062" r="0.70000000000000062" t="0.75000000000000788"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Inspeccion.xlsm]CuadrosResumen!Tabla dinámica3</c:name>
    <c:fmtId val="0"/>
  </c:pivotSource>
  <c:chart>
    <c:title>
      <c:overlay val="0"/>
      <c:txPr>
        <a:bodyPr/>
        <a:lstStyle/>
        <a:p>
          <a:pPr>
            <a:defRPr lang="es-ES"/>
          </a:pPr>
          <a:endParaRPr lang="es-PE"/>
        </a:p>
      </c:txPr>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140973952"/>
        <c:axId val="140975488"/>
      </c:barChart>
      <c:catAx>
        <c:axId val="140973952"/>
        <c:scaling>
          <c:orientation val="minMax"/>
        </c:scaling>
        <c:delete val="0"/>
        <c:axPos val="b"/>
        <c:majorTickMark val="out"/>
        <c:minorTickMark val="none"/>
        <c:tickLblPos val="nextTo"/>
        <c:txPr>
          <a:bodyPr/>
          <a:lstStyle/>
          <a:p>
            <a:pPr>
              <a:defRPr lang="es-ES"/>
            </a:pPr>
            <a:endParaRPr lang="es-PE"/>
          </a:p>
        </c:txPr>
        <c:crossAx val="140975488"/>
        <c:crosses val="autoZero"/>
        <c:auto val="1"/>
        <c:lblAlgn val="ctr"/>
        <c:lblOffset val="100"/>
        <c:noMultiLvlLbl val="0"/>
      </c:catAx>
      <c:valAx>
        <c:axId val="140975488"/>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0973952"/>
        <c:crosses val="autoZero"/>
        <c:crossBetween val="between"/>
      </c:valAx>
    </c:plotArea>
    <c:plotVisOnly val="1"/>
    <c:dispBlanksAs val="gap"/>
    <c:showDLblsOverMax val="0"/>
  </c:chart>
  <c:printSettings>
    <c:headerFooter/>
    <c:pageMargins b="0.75000000000000788" l="0.70000000000000062" r="0.70000000000000062" t="0.75000000000000788"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Inspeccion.xlsm]CuadrosResumen!Tabla dinámica5</c:name>
    <c:fmtId val="0"/>
  </c:pivotSource>
  <c:chart>
    <c:title>
      <c:tx>
        <c:rich>
          <a:bodyPr/>
          <a:lstStyle/>
          <a:p>
            <a:pPr>
              <a:defRPr lang="es-ES"/>
            </a:pPr>
            <a:r>
              <a:rPr lang="en-US"/>
              <a:t>Distribución por Responsable</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140982144"/>
        <c:axId val="140983680"/>
      </c:barChart>
      <c:catAx>
        <c:axId val="140982144"/>
        <c:scaling>
          <c:orientation val="minMax"/>
        </c:scaling>
        <c:delete val="0"/>
        <c:axPos val="b"/>
        <c:majorTickMark val="out"/>
        <c:minorTickMark val="none"/>
        <c:tickLblPos val="nextTo"/>
        <c:txPr>
          <a:bodyPr/>
          <a:lstStyle/>
          <a:p>
            <a:pPr>
              <a:defRPr lang="es-ES"/>
            </a:pPr>
            <a:endParaRPr lang="es-PE"/>
          </a:p>
        </c:txPr>
        <c:crossAx val="140983680"/>
        <c:crosses val="autoZero"/>
        <c:auto val="1"/>
        <c:lblAlgn val="ctr"/>
        <c:lblOffset val="100"/>
        <c:noMultiLvlLbl val="0"/>
      </c:catAx>
      <c:valAx>
        <c:axId val="140983680"/>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0982144"/>
        <c:crosses val="autoZero"/>
        <c:crossBetween val="between"/>
      </c:valAx>
    </c:plotArea>
    <c:plotVisOnly val="1"/>
    <c:dispBlanksAs val="gap"/>
    <c:showDLblsOverMax val="0"/>
  </c:chart>
  <c:printSettings>
    <c:headerFooter/>
    <c:pageMargins b="0.75000000000000777" l="0.70000000000000062" r="0.70000000000000062" t="0.75000000000000777"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Inspeccion.xlsm]CuadrosResumen!Tabla dinámica6</c:name>
    <c:fmtId val="0"/>
  </c:pivotSource>
  <c:chart>
    <c:title>
      <c:tx>
        <c:rich>
          <a:bodyPr/>
          <a:lstStyle/>
          <a:p>
            <a:pPr>
              <a:defRPr lang="es-ES"/>
            </a:pPr>
            <a:r>
              <a:rPr lang="es-E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141168640"/>
        <c:axId val="141170176"/>
      </c:barChart>
      <c:catAx>
        <c:axId val="141168640"/>
        <c:scaling>
          <c:orientation val="minMax"/>
        </c:scaling>
        <c:delete val="0"/>
        <c:axPos val="b"/>
        <c:majorTickMark val="out"/>
        <c:minorTickMark val="none"/>
        <c:tickLblPos val="nextTo"/>
        <c:txPr>
          <a:bodyPr/>
          <a:lstStyle/>
          <a:p>
            <a:pPr>
              <a:defRPr lang="es-ES"/>
            </a:pPr>
            <a:endParaRPr lang="es-PE"/>
          </a:p>
        </c:txPr>
        <c:crossAx val="141170176"/>
        <c:crosses val="autoZero"/>
        <c:auto val="1"/>
        <c:lblAlgn val="ctr"/>
        <c:lblOffset val="100"/>
        <c:noMultiLvlLbl val="0"/>
      </c:catAx>
      <c:valAx>
        <c:axId val="14117017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1168640"/>
        <c:crosses val="autoZero"/>
        <c:crossBetween val="between"/>
      </c:valAx>
    </c:plotArea>
    <c:plotVisOnly val="1"/>
    <c:dispBlanksAs val="gap"/>
    <c:showDLblsOverMax val="0"/>
  </c:chart>
  <c:printSettings>
    <c:headerFooter/>
    <c:pageMargins b="0.75000000000000777" l="0.70000000000000062" r="0.70000000000000062" t="0.75000000000000777"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Inspeccion.xlsm]CuadrosResumen!Tabla dinámica7</c:name>
    <c:fmtId val="0"/>
  </c:pivotSource>
  <c:chart>
    <c:title>
      <c:tx>
        <c:rich>
          <a:bodyPr/>
          <a:lstStyle/>
          <a:p>
            <a:pPr>
              <a:defRPr lang="es-ES"/>
            </a:pPr>
            <a:r>
              <a:rPr lang="en-US"/>
              <a:t>Distribución</a:t>
            </a:r>
            <a:r>
              <a:rPr lang="en-US" baseline="0"/>
              <a:t> por Estado</a:t>
            </a:r>
          </a:p>
        </c:rich>
      </c:tx>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141211520"/>
        <c:axId val="141213056"/>
      </c:barChart>
      <c:catAx>
        <c:axId val="141211520"/>
        <c:scaling>
          <c:orientation val="minMax"/>
        </c:scaling>
        <c:delete val="0"/>
        <c:axPos val="b"/>
        <c:majorTickMark val="out"/>
        <c:minorTickMark val="none"/>
        <c:tickLblPos val="nextTo"/>
        <c:txPr>
          <a:bodyPr/>
          <a:lstStyle/>
          <a:p>
            <a:pPr>
              <a:defRPr lang="es-ES"/>
            </a:pPr>
            <a:endParaRPr lang="es-PE"/>
          </a:p>
        </c:txPr>
        <c:crossAx val="141213056"/>
        <c:crosses val="autoZero"/>
        <c:auto val="1"/>
        <c:lblAlgn val="ctr"/>
        <c:lblOffset val="100"/>
        <c:noMultiLvlLbl val="0"/>
      </c:catAx>
      <c:valAx>
        <c:axId val="14121305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1211520"/>
        <c:crosses val="autoZero"/>
        <c:crossBetween val="between"/>
      </c:valAx>
    </c:plotArea>
    <c:plotVisOnly val="1"/>
    <c:dispBlanksAs val="gap"/>
    <c:showDLblsOverMax val="0"/>
  </c:chart>
  <c:printSettings>
    <c:headerFooter/>
    <c:pageMargins b="0.75000000000000777" l="0.70000000000000062" r="0.70000000000000062" t="0.75000000000000777"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4</xdr:col>
          <xdr:colOff>670672</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7"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6"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3"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19" totalsRowShown="0" headerRowDxfId="68" dataDxfId="66" headerRowBorderDxfId="67" tableBorderDxfId="65">
  <autoFilter ref="A4:Q19"/>
  <tableColumns count="17">
    <tableColumn id="1" name="Código de REQ" dataDxfId="64"/>
    <tableColumn id="2" name="Código CP" dataDxfId="63"/>
    <tableColumn id="3" name="Funcionalidad" dataDxfId="62"/>
    <tableColumn id="4" name="Descripción Caso de Prueba" dataDxfId="61"/>
    <tableColumn id="5" name="Resultado Esperado" dataDxfId="60"/>
    <tableColumn id="6" name="Resultado Real" dataDxfId="59">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58"/>
    <tableColumn id="8" name="Prioridad" dataDxfId="57"/>
    <tableColumn id="9" name="Severidad" dataDxfId="56"/>
    <tableColumn id="10" name="Estado Incidencia" dataDxfId="55"/>
    <tableColumn id="11" name="Reejecución" dataDxfId="54"/>
    <tableColumn id="12" name="Fecha Planificada" dataDxfId="53">
      <calculatedColumnFormula>General!$A$10</calculatedColumnFormula>
    </tableColumn>
    <tableColumn id="13" name="Fecha Real" dataDxfId="52">
      <calculatedColumnFormula>General!$A$10</calculatedColumnFormula>
    </tableColumn>
    <tableColumn id="14" name="Duración Caso de Prueba (horas / hombre)" dataDxfId="51"/>
    <tableColumn id="16" name="Pre-requisitos para la ejecución de la prueba" dataDxfId="50"/>
    <tableColumn id="17" name="Observaciones Pruebas Testing" dataDxfId="49"/>
    <tableColumn id="18" name="Revisión" dataDxfId="48">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L59" totalsRowShown="0" headerRowDxfId="15" dataDxfId="14" headerRowBorderDxfId="12" tableBorderDxfId="13">
  <autoFilter ref="A2:L59"/>
  <tableColumns count="12">
    <tableColumn id="1" name="Cod. Obs." dataDxfId="11"/>
    <tableColumn id="2" name="Caso de Prueba" dataDxfId="10"/>
    <tableColumn id="3" name="Prioridad" dataDxfId="9">
      <calculatedColumnFormula>VLOOKUP(Observaciones[Caso de Prueba],CasoPrueba[[#All],[Código CP]:[Prioridad]],7,TRUE)</calculatedColumnFormula>
    </tableColumn>
    <tableColumn id="4" name="Severidad" dataDxfId="8"/>
    <tableColumn id="5" name="Estado" dataDxfId="7"/>
    <tableColumn id="6" name="Fecha Detección" dataDxfId="6"/>
    <tableColumn id="7" name="Fecha Levantamiento" dataDxfId="5"/>
    <tableColumn id="8" name="Responsable" dataDxfId="4"/>
    <tableColumn id="9" name="Descripción" dataDxfId="3"/>
    <tableColumn id="10" name="Solución" dataDxfId="2"/>
    <tableColumn id="11" name="Tiempo de Solución (Dias)" dataDxfId="1">
      <calculatedColumnFormula>IF((Observaciones[[#This Row],[Fecha Levantamiento]]-Observaciones[[#This Row],[Fecha Detección]])&gt;=0,Observaciones[[#This Row],[Fecha Levantamiento]]-Observaciones[[#This Row],[Fecha Detección]]+1,0)</calculatedColumnFormula>
    </tableColumn>
    <tableColumn id="13" name="Cod. Req." dataDxfId="0">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47" dataDxfId="46">
  <autoFilter ref="A2:J3"/>
  <tableColumns count="10">
    <tableColumn id="1" name="Cod. Cons." dataDxfId="45"/>
    <tableColumn id="2" name="Caso de Prueba" dataDxfId="44"/>
    <tableColumn id="3" name="Prioridad" dataDxfId="43">
      <calculatedColumnFormula>VLOOKUP(Consultas[[#This Row],[Caso de Prueba]],CasoPrueba[[#All],[Código CP]:[Prioridad]],7,TRUE)</calculatedColumnFormula>
    </tableColumn>
    <tableColumn id="4" name="Estado" dataDxfId="42"/>
    <tableColumn id="10" name="Responsable" dataDxfId="41"/>
    <tableColumn id="5" name="Fecha Solicitud" dataDxfId="40"/>
    <tableColumn id="6" name="Fecha Respuesta" dataDxfId="39"/>
    <tableColumn id="7" name="Descripción de la Consulta" dataDxfId="38"/>
    <tableColumn id="8" name="Respuesta del Responsable" dataDxfId="37"/>
    <tableColumn id="9" name="Tiempo de Solución" dataDxfId="36">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HistóricoEjecuciones" displayName="HistóricoEjecuciones" ref="B3:J6" totalsRowShown="0" headerRowDxfId="35" dataDxfId="33" headerRowBorderDxfId="34" tableBorderDxfId="32">
  <sortState ref="B11:G12">
    <sortCondition ref="C6:C8"/>
  </sortState>
  <tableColumns count="9">
    <tableColumn id="1" name="Fecha" dataDxfId="31"/>
    <tableColumn id="2" name="Aciertos" dataDxfId="30"/>
    <tableColumn id="3" name="Fallos" dataDxfId="29"/>
    <tableColumn id="4" name="Bloqueado" dataDxfId="28"/>
    <tableColumn id="7" name="Pendiente" dataDxfId="27"/>
    <tableColumn id="5" name="No Aplica" dataDxfId="26"/>
    <tableColumn id="8" name="En Proceso" dataDxfId="25"/>
    <tableColumn id="9" name="Reejecuciones" dataDxfId="24"/>
    <tableColumn id="6" name="Totales" dataDxfId="23">
      <calculatedColumnFormula>SUM(HistóricoEjecuciones[[#This Row],[Aciertos]:[En Proceso]])</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HistoricoIncidencias" displayName="HistoricoIncidencias" ref="L3:O6" totalsRowShown="0" headerRowDxfId="22" headerRowBorderDxfId="21" tableBorderDxfId="20">
  <tableColumns count="4">
    <tableColumn id="1" name="Fecha" dataDxfId="19"/>
    <tableColumn id="2" name="Abiertas" dataDxfId="18"/>
    <tableColumn id="4" name="Cerradas" dataDxfId="17"/>
    <tableColumn id="5" name="Totales" dataDxfId="16">
      <calculatedColumnFormula>SUM(HistoricoIncidencias[[#This Row],[Abiertas]:[Cerradas]])</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7" sqref="B7"/>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3" t="s">
        <v>0</v>
      </c>
      <c r="B1" s="174"/>
      <c r="C1" s="174"/>
      <c r="D1" s="174"/>
      <c r="XFB1" s="4" t="s">
        <v>135</v>
      </c>
    </row>
    <row r="2" spans="1:4 16382:16382" ht="19.5" customHeight="1">
      <c r="A2" s="175" t="s">
        <v>1</v>
      </c>
      <c r="B2" s="175"/>
      <c r="C2" s="175"/>
      <c r="D2" s="175"/>
      <c r="XFB2" s="4" t="s">
        <v>136</v>
      </c>
    </row>
    <row r="3" spans="1:4 16382:16382" ht="19.5" customHeight="1">
      <c r="A3" s="109" t="s">
        <v>139</v>
      </c>
      <c r="B3" s="112" t="s">
        <v>164</v>
      </c>
      <c r="C3" s="109" t="s">
        <v>2</v>
      </c>
      <c r="D3" s="113" t="s">
        <v>138</v>
      </c>
      <c r="XFB3" s="4" t="s">
        <v>137</v>
      </c>
    </row>
    <row r="4" spans="1:4 16382:16382" ht="19.5" customHeight="1">
      <c r="A4" s="110" t="s">
        <v>140</v>
      </c>
      <c r="B4" s="176" t="s">
        <v>165</v>
      </c>
      <c r="C4" s="176"/>
      <c r="D4" s="176"/>
      <c r="XFB4" s="4" t="s">
        <v>138</v>
      </c>
    </row>
    <row r="5" spans="1:4 16382:16382" ht="120" customHeight="1">
      <c r="A5" s="109" t="s">
        <v>3</v>
      </c>
      <c r="B5" s="177" t="s">
        <v>302</v>
      </c>
      <c r="C5" s="178"/>
      <c r="D5" s="179"/>
    </row>
    <row r="6" spans="1:4 16382:16382" ht="19.5" customHeight="1">
      <c r="A6" s="109" t="s">
        <v>148</v>
      </c>
      <c r="B6" s="114" t="s">
        <v>166</v>
      </c>
      <c r="C6" s="109" t="s">
        <v>4</v>
      </c>
      <c r="D6" s="1" t="s">
        <v>166</v>
      </c>
    </row>
    <row r="7" spans="1:4 16382:16382" ht="19.5" customHeight="1">
      <c r="A7" s="109" t="s">
        <v>160</v>
      </c>
      <c r="B7" s="112" t="s">
        <v>163</v>
      </c>
      <c r="C7" s="109" t="s">
        <v>141</v>
      </c>
      <c r="D7" s="2" t="s">
        <v>166</v>
      </c>
    </row>
    <row r="8" spans="1:4 16382:16382" ht="19.5" customHeight="1">
      <c r="A8" s="180" t="s">
        <v>5</v>
      </c>
      <c r="B8" s="180"/>
      <c r="C8" s="180" t="s">
        <v>6</v>
      </c>
      <c r="D8" s="180"/>
    </row>
    <row r="9" spans="1:4 16382:16382" ht="19.5" customHeight="1">
      <c r="A9" s="111" t="s">
        <v>7</v>
      </c>
      <c r="B9" s="111" t="s">
        <v>8</v>
      </c>
      <c r="C9" s="111" t="s">
        <v>7</v>
      </c>
      <c r="D9" s="111" t="s">
        <v>8</v>
      </c>
    </row>
    <row r="10" spans="1:4 16382:16382" ht="19.5" customHeight="1">
      <c r="A10" s="115" t="s">
        <v>159</v>
      </c>
      <c r="B10" s="3" t="s">
        <v>159</v>
      </c>
      <c r="C10" s="3" t="s">
        <v>159</v>
      </c>
      <c r="D10" s="3" t="s">
        <v>159</v>
      </c>
    </row>
    <row r="11" spans="1:4 16382:16382" hidden="1"/>
  </sheetData>
  <mergeCells count="6">
    <mergeCell ref="A1:D1"/>
    <mergeCell ref="A2:D2"/>
    <mergeCell ref="B4:D4"/>
    <mergeCell ref="B5:D5"/>
    <mergeCell ref="A8:B8"/>
    <mergeCell ref="C8:D8"/>
  </mergeCells>
  <dataValidations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124" zoomScaleNormal="124" workbookViewId="0">
      <pane ySplit="7" topLeftCell="A8" activePane="bottomLeft" state="frozen"/>
      <selection pane="bottomLeft" activeCell="D6" sqref="D6"/>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9"/>
      <c r="B1" s="79"/>
      <c r="C1" s="79"/>
      <c r="F1" s="79"/>
      <c r="P1" s="79"/>
      <c r="Q1" s="79"/>
      <c r="R1" s="79"/>
    </row>
    <row r="2" spans="1:18">
      <c r="A2" s="79"/>
      <c r="B2" s="79"/>
      <c r="C2" s="133" t="s">
        <v>9</v>
      </c>
      <c r="D2" s="132" t="str">
        <f>General!$B$3</f>
        <v xml:space="preserve">PRY-SSIAEDUCT-03 </v>
      </c>
      <c r="E2" s="79"/>
      <c r="F2" s="133" t="s">
        <v>10</v>
      </c>
      <c r="G2" s="182" t="str">
        <f>General!$B$4</f>
        <v>Arquitectura de Negocios de la Oficina Central de Fe y Alegría Perú – ANOCFAP</v>
      </c>
      <c r="H2" s="182"/>
      <c r="I2" s="182"/>
      <c r="J2" s="182"/>
      <c r="K2" s="182"/>
      <c r="L2" s="182"/>
      <c r="M2" s="182"/>
      <c r="N2" s="182"/>
      <c r="O2" s="182"/>
      <c r="P2" s="79"/>
      <c r="Q2" s="79"/>
      <c r="R2" s="79"/>
    </row>
    <row r="3" spans="1:18" ht="6" customHeight="1">
      <c r="A3" s="79"/>
      <c r="B3" s="79"/>
      <c r="C3" s="134"/>
      <c r="E3" s="79"/>
      <c r="F3" s="134"/>
      <c r="G3" s="79"/>
      <c r="H3" s="79"/>
      <c r="I3" s="79"/>
      <c r="J3" s="79"/>
      <c r="K3" s="79"/>
      <c r="L3" s="79"/>
      <c r="M3" s="79"/>
      <c r="N3" s="79"/>
      <c r="O3" s="79"/>
      <c r="P3" s="79"/>
      <c r="Q3" s="79"/>
      <c r="R3" s="79"/>
    </row>
    <row r="4" spans="1:18" ht="18.75">
      <c r="A4" s="79"/>
      <c r="B4" s="79"/>
      <c r="C4" s="133" t="s">
        <v>11</v>
      </c>
      <c r="D4" s="135">
        <f>$E$14+$I$14</f>
        <v>0</v>
      </c>
      <c r="E4" s="134"/>
      <c r="F4" s="133" t="s">
        <v>12</v>
      </c>
      <c r="G4" s="183" t="str">
        <f>IF(SUM($C$30:$C$31)&gt;0,P37,IF((SUM($C$30:$C$31)=0)*(SUM($C$32:$C$33)),$P$36,IF($C$34=0,$P$35,$P$35)))</f>
        <v>SATISFACTORIO</v>
      </c>
      <c r="H4" s="183"/>
      <c r="I4" s="183"/>
      <c r="J4" s="183"/>
      <c r="K4" s="183"/>
      <c r="L4" s="183"/>
      <c r="M4" s="183"/>
      <c r="N4" s="183"/>
      <c r="O4" s="183"/>
      <c r="P4" s="79"/>
      <c r="Q4" s="79"/>
      <c r="R4" s="79"/>
    </row>
    <row r="5" spans="1:18" ht="6" customHeight="1">
      <c r="A5" s="79"/>
      <c r="B5" s="79"/>
      <c r="C5" s="133"/>
      <c r="D5" s="136"/>
      <c r="E5" s="133"/>
      <c r="F5" s="137"/>
      <c r="G5" s="84"/>
      <c r="H5" s="84"/>
      <c r="I5" s="84"/>
      <c r="J5" s="84"/>
      <c r="K5" s="84"/>
      <c r="L5" s="84"/>
      <c r="M5" s="84"/>
      <c r="N5" s="84"/>
      <c r="O5" s="84"/>
      <c r="P5" s="79"/>
      <c r="Q5" s="79"/>
      <c r="R5" s="79"/>
    </row>
    <row r="6" spans="1:18" ht="18.75">
      <c r="A6" s="79"/>
      <c r="B6" s="79"/>
      <c r="C6" s="133" t="s">
        <v>13</v>
      </c>
      <c r="D6" s="135">
        <f>$C$11/$C$10</f>
        <v>1</v>
      </c>
      <c r="E6" s="134"/>
      <c r="F6" s="134"/>
      <c r="G6" s="79"/>
      <c r="H6" s="79"/>
      <c r="I6" s="79"/>
      <c r="J6" s="79"/>
      <c r="K6" s="79"/>
      <c r="L6" s="79"/>
      <c r="M6" s="79"/>
      <c r="N6" s="79"/>
      <c r="O6" s="79"/>
      <c r="P6" s="79"/>
      <c r="Q6" s="79"/>
      <c r="R6" s="79"/>
    </row>
    <row r="7" spans="1:18" ht="4.5" customHeight="1">
      <c r="A7" s="79"/>
      <c r="B7" s="79"/>
      <c r="C7" s="79"/>
      <c r="E7" s="79"/>
      <c r="F7" s="79"/>
      <c r="G7" s="79"/>
      <c r="H7" s="79"/>
      <c r="I7" s="79"/>
      <c r="J7" s="79"/>
      <c r="K7" s="79"/>
      <c r="L7" s="79"/>
      <c r="M7" s="79"/>
      <c r="N7" s="79"/>
      <c r="O7" s="79"/>
      <c r="P7" s="79"/>
      <c r="Q7" s="79"/>
      <c r="R7" s="79"/>
    </row>
    <row r="8" spans="1:18" ht="23.25">
      <c r="A8" s="80" t="s">
        <v>14</v>
      </c>
      <c r="B8" s="79"/>
      <c r="C8" s="79"/>
      <c r="D8" s="79"/>
      <c r="E8" s="79"/>
      <c r="F8" s="79"/>
      <c r="G8" s="79"/>
      <c r="H8" s="79"/>
      <c r="I8" s="79"/>
      <c r="J8" s="79"/>
      <c r="K8" s="79"/>
      <c r="L8" s="79"/>
      <c r="M8" s="79"/>
      <c r="N8" s="79"/>
      <c r="O8" s="79"/>
      <c r="P8" s="79"/>
      <c r="Q8" s="79"/>
      <c r="R8" s="79"/>
    </row>
    <row r="9" spans="1:18" ht="4.5" customHeight="1" thickBot="1">
      <c r="A9" s="79"/>
      <c r="B9" s="79"/>
      <c r="C9" s="79"/>
      <c r="D9" s="79"/>
      <c r="E9" s="79"/>
      <c r="F9" s="79"/>
      <c r="G9" s="79"/>
      <c r="H9" s="79"/>
      <c r="I9" s="79"/>
      <c r="J9" s="79"/>
      <c r="K9" s="79"/>
      <c r="L9" s="79"/>
      <c r="M9" s="79"/>
      <c r="N9" s="79"/>
      <c r="O9" s="79"/>
      <c r="P9" s="79"/>
      <c r="Q9" s="79"/>
      <c r="R9" s="79"/>
    </row>
    <row r="10" spans="1:18" ht="15.75" thickBot="1">
      <c r="A10" s="79"/>
      <c r="B10" s="131" t="s">
        <v>15</v>
      </c>
      <c r="C10" s="9">
        <f>ROWS(CasoPrueba[])</f>
        <v>15</v>
      </c>
      <c r="D10" s="79"/>
      <c r="E10" s="79"/>
      <c r="F10" s="79"/>
      <c r="G10" s="79"/>
      <c r="H10" s="79"/>
      <c r="I10" s="79"/>
      <c r="J10" s="79"/>
      <c r="K10" s="79"/>
      <c r="L10" s="79"/>
      <c r="M10" s="79"/>
      <c r="N10" s="79"/>
      <c r="O10" s="79"/>
      <c r="P10" s="87" t="s">
        <v>32</v>
      </c>
      <c r="Q10" s="11" t="s">
        <v>3</v>
      </c>
      <c r="R10" s="79"/>
    </row>
    <row r="11" spans="1:18" ht="15.75" thickBot="1">
      <c r="A11" s="79"/>
      <c r="B11" s="131" t="s">
        <v>16</v>
      </c>
      <c r="C11" s="9">
        <f>$C$10-$C$12</f>
        <v>15</v>
      </c>
      <c r="D11" s="79"/>
      <c r="E11" s="79"/>
      <c r="F11" s="79"/>
      <c r="G11" s="79"/>
      <c r="H11" s="79"/>
      <c r="I11" s="79"/>
      <c r="J11" s="79"/>
      <c r="K11" s="79"/>
      <c r="L11" s="79"/>
      <c r="M11" s="79"/>
      <c r="N11" s="79"/>
      <c r="O11" s="79"/>
      <c r="P11" s="88" t="s">
        <v>33</v>
      </c>
      <c r="Q11" s="12" t="s">
        <v>34</v>
      </c>
      <c r="R11" s="79"/>
    </row>
    <row r="12" spans="1:18" ht="30.75" thickBot="1">
      <c r="A12" s="79"/>
      <c r="B12" s="131" t="s">
        <v>18</v>
      </c>
      <c r="C12" s="9">
        <f>COUNTIF(CasoPrueba[[#All],[Estado Testing]],$P$27)</f>
        <v>0</v>
      </c>
      <c r="D12" s="79"/>
      <c r="E12" s="92" t="s">
        <v>19</v>
      </c>
      <c r="F12" s="93" t="s">
        <v>20</v>
      </c>
      <c r="G12" s="141" t="s">
        <v>21</v>
      </c>
      <c r="H12" s="142" t="s">
        <v>22</v>
      </c>
      <c r="I12" s="138" t="s">
        <v>23</v>
      </c>
      <c r="J12" s="139" t="s">
        <v>24</v>
      </c>
      <c r="K12" s="140" t="s">
        <v>130</v>
      </c>
      <c r="L12" s="81"/>
      <c r="M12" s="79"/>
      <c r="N12" s="79"/>
      <c r="O12" s="79"/>
      <c r="P12" s="89" t="s">
        <v>35</v>
      </c>
      <c r="Q12" s="13" t="s">
        <v>36</v>
      </c>
      <c r="R12" s="79"/>
    </row>
    <row r="13" spans="1:18" ht="30.75" thickBot="1">
      <c r="A13" s="79"/>
      <c r="B13" s="131" t="s">
        <v>113</v>
      </c>
      <c r="C13" s="9">
        <f>COUNTIF(CasoPrueba[[#All],[Estado Testing]],$P$29)</f>
        <v>10</v>
      </c>
      <c r="D13" s="79"/>
      <c r="E13" s="5">
        <f>COUNTIF(CasoPrueba[[#All],[Estado Testing]],$P$28)</f>
        <v>0</v>
      </c>
      <c r="F13" s="5">
        <f>COUNTIF(CasoPrueba[[#All],[Estado Testing]],$P$29)</f>
        <v>10</v>
      </c>
      <c r="G13" s="5">
        <f>COUNTIF(CasoPrueba[[#All],[Estado Testing]],$P$30)</f>
        <v>0</v>
      </c>
      <c r="H13" s="5">
        <f>COUNTIF(CasoPrueba[[#All],[Estado Testing]],$P$27)</f>
        <v>0</v>
      </c>
      <c r="I13" s="5">
        <f>COUNTIF(CasoPrueba[[#All],[Estado Testing]],$P$31)</f>
        <v>0</v>
      </c>
      <c r="J13" s="5">
        <f>COUNTIF(CasoPrueba[[#All],[Estado Testing]],$P$32)</f>
        <v>0</v>
      </c>
      <c r="K13" s="5">
        <f>SUM(CasoPrueba[[#All],[Reejecución]])</f>
        <v>0</v>
      </c>
      <c r="L13" s="82"/>
      <c r="M13" s="79"/>
      <c r="N13" s="79"/>
      <c r="O13" s="79"/>
      <c r="P13" s="90" t="s">
        <v>37</v>
      </c>
      <c r="Q13" s="14" t="s">
        <v>38</v>
      </c>
      <c r="R13" s="79"/>
    </row>
    <row r="14" spans="1:18" ht="15.75" thickBot="1">
      <c r="A14" s="79"/>
      <c r="B14" s="131" t="s">
        <v>17</v>
      </c>
      <c r="C14" s="9">
        <f>COUNTIF(CasoPrueba[[#All],[Estado Testing]],$P$30)</f>
        <v>0</v>
      </c>
      <c r="D14" s="79"/>
      <c r="E14" s="15">
        <f t="shared" ref="E14:J14" si="0">E13/$C$10</f>
        <v>0</v>
      </c>
      <c r="F14" s="15">
        <f t="shared" si="0"/>
        <v>0.66666666666666663</v>
      </c>
      <c r="G14" s="15">
        <f t="shared" si="0"/>
        <v>0</v>
      </c>
      <c r="H14" s="15">
        <f t="shared" si="0"/>
        <v>0</v>
      </c>
      <c r="I14" s="15">
        <f t="shared" si="0"/>
        <v>0</v>
      </c>
      <c r="J14" s="15">
        <f t="shared" si="0"/>
        <v>0</v>
      </c>
      <c r="K14" s="15">
        <f>K13/C10</f>
        <v>0</v>
      </c>
      <c r="L14" s="83"/>
      <c r="M14" s="79"/>
      <c r="N14" s="79"/>
      <c r="O14" s="79"/>
      <c r="P14" s="91" t="s">
        <v>39</v>
      </c>
      <c r="Q14" s="16" t="s">
        <v>40</v>
      </c>
      <c r="R14" s="79"/>
    </row>
    <row r="15" spans="1:18" ht="9" customHeight="1">
      <c r="A15" s="79"/>
      <c r="B15" s="79"/>
      <c r="C15" s="79"/>
      <c r="D15" s="79"/>
      <c r="E15" s="79"/>
      <c r="F15" s="79"/>
      <c r="G15" s="79"/>
      <c r="H15" s="79"/>
      <c r="I15" s="79"/>
      <c r="J15" s="79"/>
      <c r="K15" s="79"/>
      <c r="L15" s="79"/>
      <c r="M15" s="79"/>
      <c r="N15" s="79"/>
      <c r="O15" s="79"/>
      <c r="P15" s="79"/>
      <c r="Q15" s="79"/>
      <c r="R15" s="79"/>
    </row>
    <row r="16" spans="1:18" ht="15.75" hidden="1" thickBot="1">
      <c r="A16" s="79"/>
      <c r="B16" s="184" t="s">
        <v>25</v>
      </c>
      <c r="C16" s="185" t="s">
        <v>19</v>
      </c>
      <c r="D16" s="185"/>
      <c r="E16" s="186" t="s">
        <v>20</v>
      </c>
      <c r="F16" s="186"/>
      <c r="G16" s="187" t="s">
        <v>21</v>
      </c>
      <c r="H16" s="187"/>
      <c r="I16" s="188" t="s">
        <v>22</v>
      </c>
      <c r="J16" s="189"/>
      <c r="K16" s="192" t="s">
        <v>23</v>
      </c>
      <c r="L16" s="193"/>
      <c r="M16" s="190" t="s">
        <v>24</v>
      </c>
      <c r="N16" s="191"/>
      <c r="O16" s="79"/>
      <c r="P16" s="10" t="s">
        <v>41</v>
      </c>
      <c r="Q16" s="11" t="s">
        <v>42</v>
      </c>
      <c r="R16" s="79"/>
    </row>
    <row r="17" spans="1:18" ht="15.75" hidden="1" thickBot="1">
      <c r="A17" s="79"/>
      <c r="B17" s="184"/>
      <c r="C17" s="56" t="s">
        <v>26</v>
      </c>
      <c r="D17" s="56" t="s">
        <v>27</v>
      </c>
      <c r="E17" s="57" t="s">
        <v>26</v>
      </c>
      <c r="F17" s="57" t="s">
        <v>27</v>
      </c>
      <c r="G17" s="58" t="s">
        <v>26</v>
      </c>
      <c r="H17" s="58" t="s">
        <v>27</v>
      </c>
      <c r="I17" s="59" t="s">
        <v>26</v>
      </c>
      <c r="J17" s="59" t="s">
        <v>27</v>
      </c>
      <c r="K17" s="60" t="s">
        <v>26</v>
      </c>
      <c r="L17" s="60" t="s">
        <v>27</v>
      </c>
      <c r="M17" s="61" t="s">
        <v>26</v>
      </c>
      <c r="N17" s="61" t="s">
        <v>27</v>
      </c>
      <c r="O17" s="79"/>
      <c r="P17" s="17" t="s">
        <v>28</v>
      </c>
      <c r="Q17" s="18" t="s">
        <v>43</v>
      </c>
      <c r="R17" s="79"/>
    </row>
    <row r="18" spans="1:18" ht="15.75" hidden="1" thickBot="1">
      <c r="A18" s="79"/>
      <c r="B18" s="43" t="s">
        <v>28</v>
      </c>
      <c r="C18" s="44">
        <f>COUNTIFS(CasoPrueba[[#All],[Estado Testing]],$P$28,CasoPrueba[[#All],[Prioridad]],$P$17)</f>
        <v>0</v>
      </c>
      <c r="D18" s="45">
        <f>C18/$C$10</f>
        <v>0</v>
      </c>
      <c r="E18" s="46">
        <f>COUNTIFS(CasoPrueba[[#All],[Estado Testing]],$P$29,CasoPrueba[[#All],[Prioridad]],$P$17)</f>
        <v>10</v>
      </c>
      <c r="F18" s="47">
        <f>E18/$C$10</f>
        <v>0.66666666666666663</v>
      </c>
      <c r="G18" s="48">
        <f>COUNTIFS(CasoPrueba[[#All],[Estado Testing]],$P$30,CasoPrueba[[#All],[Prioridad]],$P$17)</f>
        <v>0</v>
      </c>
      <c r="H18" s="49">
        <f>G18/$C$10</f>
        <v>0</v>
      </c>
      <c r="I18" s="50">
        <f>COUNTIFS(CasoPrueba[[#All],[Estado Testing]],$P$27,CasoPrueba[[#All],[Prioridad]],$P$17)</f>
        <v>0</v>
      </c>
      <c r="J18" s="51">
        <f>I18/$C$10</f>
        <v>0</v>
      </c>
      <c r="K18" s="52">
        <f>COUNTIFS(CasoPrueba[[#All],[Estado Testing]],$P$31,CasoPrueba[[#All],[Prioridad]],$P$17)</f>
        <v>0</v>
      </c>
      <c r="L18" s="54">
        <f>K18/$C$10</f>
        <v>0</v>
      </c>
      <c r="M18" s="55">
        <f>COUNTIFS(CasoPrueba[[#All],[Estado Testing]],$P$29,CasoPrueba[[#All],[Prioridad]],$P$17)</f>
        <v>10</v>
      </c>
      <c r="N18" s="53">
        <f>M18/$C$10</f>
        <v>0.66666666666666663</v>
      </c>
      <c r="O18" s="79"/>
      <c r="P18" s="19" t="s">
        <v>29</v>
      </c>
      <c r="Q18" s="20" t="s">
        <v>44</v>
      </c>
      <c r="R18" s="79"/>
    </row>
    <row r="19" spans="1:18" ht="15.75" hidden="1" thickBot="1">
      <c r="A19" s="79"/>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9"/>
      <c r="P19" s="21" t="s">
        <v>30</v>
      </c>
      <c r="Q19" s="20" t="s">
        <v>45</v>
      </c>
      <c r="R19" s="79"/>
    </row>
    <row r="20" spans="1:18" ht="15.75" hidden="1" thickBot="1">
      <c r="A20" s="79"/>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9"/>
      <c r="P20" s="79"/>
      <c r="Q20" s="79"/>
      <c r="R20" s="79"/>
    </row>
    <row r="21" spans="1:18" ht="15.75" hidden="1" thickBot="1">
      <c r="A21" s="79"/>
      <c r="B21" s="62" t="s">
        <v>31</v>
      </c>
      <c r="C21" s="62">
        <f>SUM(C18:C20)</f>
        <v>0</v>
      </c>
      <c r="D21" s="63">
        <f t="shared" ref="D21:N21" si="2">SUM(D18:D20)</f>
        <v>0</v>
      </c>
      <c r="E21" s="62">
        <f t="shared" si="2"/>
        <v>10</v>
      </c>
      <c r="F21" s="63">
        <f t="shared" si="2"/>
        <v>0.66666666666666663</v>
      </c>
      <c r="G21" s="62">
        <f t="shared" si="2"/>
        <v>0</v>
      </c>
      <c r="H21" s="63">
        <f t="shared" si="2"/>
        <v>0</v>
      </c>
      <c r="I21" s="62">
        <f t="shared" si="2"/>
        <v>0</v>
      </c>
      <c r="J21" s="63">
        <f t="shared" si="2"/>
        <v>0</v>
      </c>
      <c r="K21" s="62">
        <f>SUM(K18:K20)</f>
        <v>0</v>
      </c>
      <c r="L21" s="63">
        <f>SUM(L18:L20)</f>
        <v>0</v>
      </c>
      <c r="M21" s="62">
        <f t="shared" si="2"/>
        <v>10</v>
      </c>
      <c r="N21" s="63">
        <f t="shared" si="2"/>
        <v>0.66666666666666663</v>
      </c>
      <c r="O21" s="79"/>
      <c r="P21" s="10" t="s">
        <v>46</v>
      </c>
      <c r="Q21" s="11" t="s">
        <v>3</v>
      </c>
      <c r="R21" s="79"/>
    </row>
    <row r="22" spans="1:18" ht="15.75" hidden="1" thickBot="1">
      <c r="A22" s="79"/>
      <c r="B22" s="79"/>
      <c r="C22" s="79"/>
      <c r="D22" s="79"/>
      <c r="E22" s="79"/>
      <c r="F22" s="79"/>
      <c r="G22" s="79"/>
      <c r="H22" s="79"/>
      <c r="I22" s="79"/>
      <c r="J22" s="79"/>
      <c r="K22" s="79"/>
      <c r="L22" s="79"/>
      <c r="M22" s="79"/>
      <c r="N22" s="79"/>
      <c r="O22" s="79"/>
      <c r="P22" s="17" t="s">
        <v>47</v>
      </c>
      <c r="Q22" s="24" t="s">
        <v>51</v>
      </c>
      <c r="R22" s="79"/>
    </row>
    <row r="23" spans="1:18" ht="30.75" hidden="1" thickBot="1">
      <c r="A23" s="79"/>
      <c r="B23" s="79"/>
      <c r="C23" s="79"/>
      <c r="D23" s="79"/>
      <c r="E23" s="79"/>
      <c r="F23" s="79"/>
      <c r="G23" s="79"/>
      <c r="H23" s="79"/>
      <c r="I23" s="79"/>
      <c r="J23" s="79"/>
      <c r="K23" s="79"/>
      <c r="L23" s="79"/>
      <c r="M23" s="79"/>
      <c r="N23" s="79"/>
      <c r="O23" s="79"/>
      <c r="P23" s="22" t="s">
        <v>48</v>
      </c>
      <c r="Q23" s="25" t="s">
        <v>50</v>
      </c>
      <c r="R23" s="79"/>
    </row>
    <row r="24" spans="1:18" ht="15.75" hidden="1" thickBot="1">
      <c r="A24" s="79"/>
      <c r="B24" s="79"/>
      <c r="C24" s="79"/>
      <c r="D24" s="79"/>
      <c r="E24" s="79"/>
      <c r="F24" s="79"/>
      <c r="G24" s="79"/>
      <c r="H24" s="79"/>
      <c r="I24" s="79"/>
      <c r="J24" s="79"/>
      <c r="K24" s="79"/>
      <c r="L24" s="79"/>
      <c r="M24" s="79"/>
      <c r="N24" s="79"/>
      <c r="O24" s="79"/>
      <c r="P24" s="23" t="s">
        <v>49</v>
      </c>
      <c r="Q24" s="25" t="s">
        <v>52</v>
      </c>
      <c r="R24" s="79"/>
    </row>
    <row r="25" spans="1:18" ht="9" hidden="1" customHeight="1" thickBot="1">
      <c r="A25" s="79"/>
      <c r="B25" s="79"/>
      <c r="C25" s="79"/>
      <c r="D25" s="79"/>
      <c r="E25" s="79"/>
      <c r="F25" s="79"/>
      <c r="G25" s="79"/>
      <c r="H25" s="79"/>
      <c r="I25" s="79"/>
      <c r="J25" s="79"/>
      <c r="K25" s="79"/>
      <c r="L25" s="79"/>
      <c r="M25" s="79"/>
      <c r="N25" s="79"/>
      <c r="O25" s="79"/>
      <c r="P25" s="79"/>
      <c r="Q25" s="79"/>
      <c r="R25" s="79"/>
    </row>
    <row r="26" spans="1:18" ht="24" hidden="1" thickBot="1">
      <c r="A26" s="118" t="s">
        <v>68</v>
      </c>
      <c r="B26" s="119"/>
      <c r="C26" s="119"/>
      <c r="D26" s="119"/>
      <c r="E26" s="119"/>
      <c r="F26" s="119"/>
      <c r="G26" s="119"/>
      <c r="H26" s="119"/>
      <c r="I26" s="119"/>
      <c r="J26" s="119"/>
      <c r="K26" s="119"/>
      <c r="L26" s="119"/>
      <c r="M26" s="79"/>
      <c r="N26" s="79"/>
      <c r="O26" s="79"/>
      <c r="P26" s="6" t="s">
        <v>53</v>
      </c>
      <c r="Q26" s="7" t="s">
        <v>54</v>
      </c>
      <c r="R26" s="79"/>
    </row>
    <row r="27" spans="1:18" ht="18" hidden="1" customHeight="1" thickBot="1">
      <c r="A27" s="119"/>
      <c r="B27" s="119"/>
      <c r="C27" s="119"/>
      <c r="D27" s="119"/>
      <c r="E27" s="119"/>
      <c r="F27" s="119"/>
      <c r="G27" s="119"/>
      <c r="H27" s="119"/>
      <c r="I27" s="119"/>
      <c r="J27" s="119"/>
      <c r="K27" s="119"/>
      <c r="L27" s="119"/>
      <c r="M27" s="79"/>
      <c r="N27" s="79"/>
      <c r="O27" s="79"/>
      <c r="P27" s="108" t="s">
        <v>22</v>
      </c>
      <c r="Q27" s="8" t="s">
        <v>66</v>
      </c>
      <c r="R27" s="79"/>
    </row>
    <row r="28" spans="1:18" ht="30.75" hidden="1" customHeight="1" thickBot="1">
      <c r="A28" s="119"/>
      <c r="B28" s="181" t="s">
        <v>69</v>
      </c>
      <c r="C28" s="181" t="s">
        <v>70</v>
      </c>
      <c r="D28" s="181"/>
      <c r="E28" s="181" t="s">
        <v>71</v>
      </c>
      <c r="F28" s="181"/>
      <c r="G28" s="119"/>
      <c r="H28" s="119"/>
      <c r="I28" s="119"/>
      <c r="J28" s="119"/>
      <c r="K28" s="119"/>
      <c r="L28" s="119"/>
      <c r="M28" s="79"/>
      <c r="N28" s="79"/>
      <c r="O28" s="79"/>
      <c r="P28" s="103" t="s">
        <v>19</v>
      </c>
      <c r="Q28" s="14" t="s">
        <v>55</v>
      </c>
      <c r="R28" s="79"/>
    </row>
    <row r="29" spans="1:18" ht="15.75" hidden="1" thickBot="1">
      <c r="A29" s="119"/>
      <c r="B29" s="181"/>
      <c r="C29" s="120" t="s">
        <v>26</v>
      </c>
      <c r="D29" s="120" t="s">
        <v>27</v>
      </c>
      <c r="E29" s="120" t="s">
        <v>26</v>
      </c>
      <c r="F29" s="120" t="s">
        <v>27</v>
      </c>
      <c r="G29" s="119"/>
      <c r="H29" s="121" t="s">
        <v>41</v>
      </c>
      <c r="I29" s="121" t="s">
        <v>28</v>
      </c>
      <c r="J29" s="121" t="s">
        <v>29</v>
      </c>
      <c r="K29" s="121" t="s">
        <v>30</v>
      </c>
      <c r="L29" s="116"/>
      <c r="M29" s="85"/>
      <c r="N29" s="79"/>
      <c r="O29" s="79"/>
      <c r="P29" s="104" t="s">
        <v>20</v>
      </c>
      <c r="Q29" s="14" t="s">
        <v>56</v>
      </c>
      <c r="R29" s="79"/>
    </row>
    <row r="30" spans="1:18" ht="33" hidden="1" customHeight="1" thickBot="1">
      <c r="A30" s="119"/>
      <c r="B30" s="122" t="s">
        <v>33</v>
      </c>
      <c r="C30" s="123">
        <f>COUNTIFS(Observaciones[[#All],[Estado]],Resumen!$P$22,Observaciones[[#All],[Severidad]],Resumen!$P$11)+COUNTIFS(Observaciones[[#All],[Estado]],$P$23,Observaciones[[#All],[Severidad]],Resumen!$P$11)</f>
        <v>0</v>
      </c>
      <c r="D30" s="124">
        <f>C30/$C$10</f>
        <v>0</v>
      </c>
      <c r="E30" s="125">
        <f>COUNTIFS(Observaciones[[#All],[Estado]],Resumen!$P$24,Observaciones[[#All],[Severidad]],Resumen!$P$11)</f>
        <v>0</v>
      </c>
      <c r="F30" s="124">
        <f>E30/$C$10</f>
        <v>0</v>
      </c>
      <c r="G30" s="119"/>
      <c r="H30" s="122" t="s">
        <v>33</v>
      </c>
      <c r="I30" s="126">
        <f>COUNTIFS(Observaciones[[#All],[Severidad]],Resumen!$P$11,Observaciones[[#All],[Prioridad]],Resumen!$P$17)</f>
        <v>0</v>
      </c>
      <c r="J30" s="126">
        <f>COUNTIFS(Observaciones[[#All],[Severidad]],Resumen!$P$11,Observaciones[[#All],[Prioridad]],Resumen!$P$18)</f>
        <v>0</v>
      </c>
      <c r="K30" s="126">
        <f>COUNTIFS(Observaciones[[#All],[Severidad]],Resumen!$P$11,Observaciones[[#All],[Prioridad]],Resumen!$P$19)</f>
        <v>0</v>
      </c>
      <c r="L30" s="117"/>
      <c r="M30" s="86"/>
      <c r="N30" s="79"/>
      <c r="O30" s="79"/>
      <c r="P30" s="105" t="s">
        <v>21</v>
      </c>
      <c r="Q30" s="14" t="s">
        <v>57</v>
      </c>
      <c r="R30" s="79"/>
    </row>
    <row r="31" spans="1:18" ht="33" hidden="1" customHeight="1" thickBot="1">
      <c r="A31" s="119"/>
      <c r="B31" s="122" t="s">
        <v>35</v>
      </c>
      <c r="C31" s="123">
        <f>COUNTIFS(Observaciones[[#All],[Estado]],Resumen!$P$22,Observaciones[[#All],[Severidad]],Resumen!$P$12)+COUNTIFS(Observaciones[[#All],[Estado]],$P$23,Observaciones[[#All],[Severidad]],Resumen!$P$12)</f>
        <v>0</v>
      </c>
      <c r="D31" s="124">
        <f>C31/$C$10</f>
        <v>0</v>
      </c>
      <c r="E31" s="125">
        <f>COUNTIFS(Observaciones[[#All],[Estado]],Resumen!$P$24,Observaciones[[#All],[Severidad]],Resumen!$P$12)</f>
        <v>0</v>
      </c>
      <c r="F31" s="124">
        <f>E31/$C$10</f>
        <v>0</v>
      </c>
      <c r="G31" s="119"/>
      <c r="H31" s="122" t="s">
        <v>35</v>
      </c>
      <c r="I31" s="126">
        <f>COUNTIFS(Observaciones[[#All],[Severidad]],Resumen!$P$12,Observaciones[[#All],[Prioridad]],Resumen!$P$17)</f>
        <v>0</v>
      </c>
      <c r="J31" s="126">
        <f>COUNTIFS(Observaciones[[#All],[Severidad]],Resumen!$P$12,Observaciones[[#All],[Prioridad]],Resumen!$P$18)</f>
        <v>0</v>
      </c>
      <c r="K31" s="126">
        <f>COUNTIFS(Observaciones[[#All],[Severidad]],Resumen!$P$12,Observaciones[[#All],[Prioridad]],Resumen!$P$19)</f>
        <v>0</v>
      </c>
      <c r="L31" s="117"/>
      <c r="M31" s="86"/>
      <c r="N31" s="79"/>
      <c r="O31" s="79"/>
      <c r="P31" s="106" t="s">
        <v>23</v>
      </c>
      <c r="Q31" s="14" t="s">
        <v>58</v>
      </c>
      <c r="R31" s="79"/>
    </row>
    <row r="32" spans="1:18" ht="33" hidden="1" customHeight="1" thickBot="1">
      <c r="A32" s="119"/>
      <c r="B32" s="122" t="s">
        <v>37</v>
      </c>
      <c r="C32" s="127">
        <f>COUNTIFS(Observaciones[[#All],[Estado]],Resumen!$P$22,Observaciones[[#All],[Severidad]],Resumen!$P$13)+COUNTIFS(Observaciones[[#All],[Estado]],$P$23,Observaciones[[#All],[Severidad]],Resumen!$P$13)</f>
        <v>0</v>
      </c>
      <c r="D32" s="124">
        <f>C32/$C$10</f>
        <v>0</v>
      </c>
      <c r="E32" s="125">
        <f>COUNTIFS(Observaciones[[#All],[Estado]],Resumen!$P$24,Observaciones[[#All],[Severidad]],Resumen!$P$13)</f>
        <v>0</v>
      </c>
      <c r="F32" s="124">
        <f>E32/$C$10</f>
        <v>0</v>
      </c>
      <c r="G32" s="119"/>
      <c r="H32" s="122" t="s">
        <v>37</v>
      </c>
      <c r="I32" s="126">
        <f>COUNTIFS(Observaciones[[#All],[Severidad]],Resumen!$P$13,Observaciones[[#All],[Prioridad]],Resumen!$P$17)</f>
        <v>0</v>
      </c>
      <c r="J32" s="126">
        <f>COUNTIFS(Observaciones[[#All],[Severidad]],Resumen!$P$13,Observaciones[[#All],[Prioridad]],Resumen!$P$18)</f>
        <v>0</v>
      </c>
      <c r="K32" s="126">
        <f>COUNTIFS(Observaciones[[#All],[Severidad]],Resumen!$P$13,Observaciones[[#All],[Prioridad]],Resumen!$P$19)</f>
        <v>0</v>
      </c>
      <c r="L32" s="117"/>
      <c r="M32" s="86"/>
      <c r="N32" s="79"/>
      <c r="O32" s="79"/>
      <c r="P32" s="107" t="s">
        <v>24</v>
      </c>
      <c r="Q32" s="14" t="s">
        <v>67</v>
      </c>
    </row>
    <row r="33" spans="1:18" ht="15.75" hidden="1" thickBot="1">
      <c r="A33" s="119"/>
      <c r="B33" s="122" t="s">
        <v>39</v>
      </c>
      <c r="C33" s="127">
        <f>COUNTIFS(Observaciones[[#All],[Estado]],Resumen!$P$22,Observaciones[[#All],[Severidad]],Resumen!$P$14)+COUNTIFS(Observaciones[[#All],[Estado]],$P$23,Observaciones[[#All],[Severidad]],Resumen!$P$14)</f>
        <v>0</v>
      </c>
      <c r="D33" s="124">
        <f>C33/$C$10</f>
        <v>0</v>
      </c>
      <c r="E33" s="125">
        <f>COUNTIFS(Observaciones[[#All],[Estado]],Resumen!$P$24,Observaciones[[#All],[Severidad]],Resumen!$P$14)</f>
        <v>0</v>
      </c>
      <c r="F33" s="124">
        <f>E33/$C$10</f>
        <v>0</v>
      </c>
      <c r="G33" s="119"/>
      <c r="H33" s="122" t="s">
        <v>39</v>
      </c>
      <c r="I33" s="126">
        <f>COUNTIFS(Observaciones[[#All],[Severidad]],Resumen!$P$14,Observaciones[[#All],[Prioridad]],Resumen!$P$17)</f>
        <v>0</v>
      </c>
      <c r="J33" s="126">
        <f>COUNTIFS(Observaciones[[#All],[Severidad]],Resumen!$P$14,Observaciones[[#All],[Prioridad]],Resumen!$P$18)</f>
        <v>0</v>
      </c>
      <c r="K33" s="126">
        <f>COUNTIFS(Observaciones[[#All],[Severidad]],Resumen!$P$14,Observaciones[[#All],[Prioridad]],Resumen!$P$19)</f>
        <v>0</v>
      </c>
      <c r="L33" s="117"/>
      <c r="M33" s="86"/>
      <c r="N33" s="79"/>
      <c r="O33" s="79"/>
      <c r="P33" s="79"/>
      <c r="Q33" s="79"/>
      <c r="R33" s="79"/>
    </row>
    <row r="34" spans="1:18" ht="15.75" hidden="1" thickBot="1">
      <c r="A34" s="119"/>
      <c r="B34" s="122" t="s">
        <v>72</v>
      </c>
      <c r="C34" s="128">
        <f>SUM(C30:C33)</f>
        <v>0</v>
      </c>
      <c r="D34" s="129">
        <f>SUM(D30:D33)</f>
        <v>0</v>
      </c>
      <c r="E34" s="128">
        <f>SUM(E30:E33)</f>
        <v>0</v>
      </c>
      <c r="F34" s="129">
        <f>SUM(F30:F33)</f>
        <v>0</v>
      </c>
      <c r="G34" s="119"/>
      <c r="H34" s="122" t="s">
        <v>72</v>
      </c>
      <c r="I34" s="130">
        <f>SUM(I30:I33)</f>
        <v>0</v>
      </c>
      <c r="J34" s="130">
        <f>SUM(J30:J33)</f>
        <v>0</v>
      </c>
      <c r="K34" s="130">
        <f>SUM(K30:K33)</f>
        <v>0</v>
      </c>
      <c r="L34" s="117"/>
      <c r="M34" s="86"/>
      <c r="N34" s="79"/>
      <c r="O34" s="79"/>
      <c r="P34" s="10" t="s">
        <v>59</v>
      </c>
      <c r="Q34" s="11" t="s">
        <v>3</v>
      </c>
      <c r="R34" s="79"/>
    </row>
    <row r="35" spans="1:18" ht="33" hidden="1" customHeight="1" thickBot="1">
      <c r="A35" s="119"/>
      <c r="B35" s="119"/>
      <c r="C35" s="119"/>
      <c r="D35" s="119"/>
      <c r="E35" s="119"/>
      <c r="F35" s="119"/>
      <c r="G35" s="119"/>
      <c r="H35" s="119"/>
      <c r="I35" s="119"/>
      <c r="J35" s="119"/>
      <c r="K35" s="119"/>
      <c r="L35" s="119"/>
      <c r="M35" s="79"/>
      <c r="N35" s="79"/>
      <c r="O35" s="79"/>
      <c r="P35" s="26" t="s">
        <v>60</v>
      </c>
      <c r="Q35" s="27" t="s">
        <v>61</v>
      </c>
      <c r="R35" s="79"/>
    </row>
    <row r="36" spans="1:18" ht="33" hidden="1" customHeight="1" thickBot="1">
      <c r="A36" s="79"/>
      <c r="B36" s="79"/>
      <c r="C36" s="79"/>
      <c r="D36" s="79"/>
      <c r="E36" s="79"/>
      <c r="F36" s="79"/>
      <c r="G36" s="79"/>
      <c r="H36" s="79"/>
      <c r="I36" s="79"/>
      <c r="J36" s="79"/>
      <c r="K36" s="79"/>
      <c r="L36" s="79"/>
      <c r="M36" s="79"/>
      <c r="N36" s="79"/>
      <c r="O36" s="79"/>
      <c r="P36" s="28" t="s">
        <v>62</v>
      </c>
      <c r="Q36" s="29" t="s">
        <v>63</v>
      </c>
      <c r="R36" s="79"/>
    </row>
    <row r="37" spans="1:18" ht="33" hidden="1" customHeight="1" thickBot="1">
      <c r="A37" s="79"/>
      <c r="B37" s="79"/>
      <c r="C37" s="79"/>
      <c r="D37" s="79"/>
      <c r="E37" s="79"/>
      <c r="F37" s="79"/>
      <c r="G37" s="79"/>
      <c r="H37" s="79"/>
      <c r="I37" s="79"/>
      <c r="J37" s="79"/>
      <c r="K37" s="79"/>
      <c r="L37" s="79"/>
      <c r="M37" s="79"/>
      <c r="N37" s="79"/>
      <c r="O37" s="79"/>
      <c r="P37" s="30" t="s">
        <v>64</v>
      </c>
      <c r="Q37" s="29" t="s">
        <v>65</v>
      </c>
      <c r="R37" s="79"/>
    </row>
    <row r="38" spans="1:18" hidden="1">
      <c r="A38" s="79"/>
      <c r="B38" s="79"/>
      <c r="C38" s="79"/>
      <c r="D38" s="79"/>
      <c r="E38" s="79"/>
      <c r="F38" s="79"/>
      <c r="G38" s="79"/>
      <c r="H38" s="79"/>
      <c r="I38" s="79"/>
      <c r="J38" s="79"/>
      <c r="K38" s="79"/>
      <c r="L38" s="79"/>
      <c r="M38" s="79"/>
      <c r="N38" s="79"/>
      <c r="O38" s="79"/>
      <c r="P38" s="79"/>
      <c r="Q38" s="79"/>
      <c r="R38" s="79"/>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71" priority="1" stopIfTrue="1">
      <formula>NOT(ISERROR(SEARCH("INSATISFACTORIO",G4)))</formula>
    </cfRule>
    <cfRule type="expression" dxfId="70" priority="2" stopIfTrue="1">
      <formula>NOT(ISERROR(SEARCH("SATISFACTORIO con Observaciones",G4)))</formula>
    </cfRule>
    <cfRule type="expression" dxfId="69"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zoomScale="55" zoomScaleNormal="55" workbookViewId="0">
      <selection sqref="A1:R1"/>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4" t="s">
        <v>114</v>
      </c>
      <c r="B1" s="194"/>
      <c r="C1" s="194"/>
      <c r="D1" s="194"/>
      <c r="E1" s="194"/>
      <c r="F1" s="194"/>
      <c r="G1" s="194"/>
      <c r="H1" s="194"/>
      <c r="I1" s="194"/>
      <c r="J1" s="194"/>
      <c r="K1" s="194"/>
      <c r="L1" s="194"/>
      <c r="M1" s="194"/>
      <c r="N1" s="194"/>
      <c r="O1" s="194"/>
      <c r="P1" s="194"/>
      <c r="Q1" s="194"/>
      <c r="R1" s="194"/>
    </row>
    <row r="22" spans="1:18" ht="21">
      <c r="A22" s="194" t="s">
        <v>115</v>
      </c>
      <c r="B22" s="194"/>
      <c r="C22" s="194"/>
      <c r="D22" s="194"/>
      <c r="E22" s="194"/>
      <c r="F22" s="194"/>
      <c r="G22" s="194"/>
      <c r="H22" s="194"/>
      <c r="I22" s="194"/>
      <c r="J22" s="194"/>
      <c r="K22" s="194"/>
      <c r="L22" s="194"/>
      <c r="M22" s="194"/>
      <c r="N22" s="194"/>
      <c r="O22" s="194"/>
      <c r="P22" s="194"/>
      <c r="Q22" s="194"/>
      <c r="R22" s="194"/>
    </row>
    <row r="44" spans="1:18" ht="21">
      <c r="A44" s="194" t="s">
        <v>116</v>
      </c>
      <c r="B44" s="194"/>
      <c r="C44" s="194"/>
      <c r="D44" s="194"/>
      <c r="E44" s="194"/>
      <c r="F44" s="194"/>
      <c r="G44" s="194"/>
      <c r="H44" s="194"/>
      <c r="I44" s="194"/>
      <c r="J44" s="194"/>
      <c r="K44" s="194"/>
      <c r="L44" s="194"/>
      <c r="M44" s="194"/>
      <c r="N44" s="194"/>
      <c r="O44" s="194"/>
      <c r="P44" s="194"/>
      <c r="Q44" s="194"/>
      <c r="R44" s="194"/>
    </row>
    <row r="66" spans="1:18" ht="21">
      <c r="A66" s="194" t="s">
        <v>117</v>
      </c>
      <c r="B66" s="194"/>
      <c r="C66" s="194"/>
      <c r="D66" s="194"/>
      <c r="E66" s="194"/>
      <c r="F66" s="194"/>
      <c r="G66" s="194"/>
      <c r="H66" s="194"/>
      <c r="I66" s="194"/>
      <c r="J66" s="194"/>
      <c r="K66" s="194"/>
      <c r="L66" s="194"/>
      <c r="M66" s="194"/>
      <c r="N66" s="194"/>
      <c r="O66" s="194"/>
      <c r="P66" s="194"/>
      <c r="Q66" s="194"/>
      <c r="R66" s="194"/>
    </row>
    <row r="67" spans="1:18" ht="15.75" thickBot="1"/>
    <row r="68" spans="1:18" ht="15.75" thickBot="1">
      <c r="B68" s="195" t="s">
        <v>118</v>
      </c>
      <c r="C68" s="196"/>
      <c r="D68" s="196"/>
      <c r="E68" s="196"/>
      <c r="F68" s="197"/>
      <c r="G68" s="67">
        <f>AVERAGE(Observaciones[[#All],[Tiempo de Solución (Dias)]])</f>
        <v>0.91228070175438591</v>
      </c>
      <c r="H68" s="68" t="s">
        <v>119</v>
      </c>
    </row>
    <row r="70" spans="1:18">
      <c r="B70" s="69" t="s">
        <v>120</v>
      </c>
      <c r="C70" t="s">
        <v>122</v>
      </c>
      <c r="G70" s="69" t="s">
        <v>120</v>
      </c>
      <c r="H70" t="s">
        <v>123</v>
      </c>
      <c r="L70" s="69" t="s">
        <v>120</v>
      </c>
      <c r="M70" t="s">
        <v>124</v>
      </c>
    </row>
    <row r="71" spans="1:18">
      <c r="B71" s="70" t="s">
        <v>37</v>
      </c>
      <c r="C71" s="35">
        <v>1</v>
      </c>
      <c r="G71" s="70" t="s">
        <v>28</v>
      </c>
      <c r="H71" s="35">
        <v>2</v>
      </c>
      <c r="L71" s="70" t="s">
        <v>49</v>
      </c>
      <c r="M71" s="35">
        <v>2</v>
      </c>
    </row>
    <row r="72" spans="1:18">
      <c r="B72" s="70" t="s">
        <v>39</v>
      </c>
      <c r="C72" s="35">
        <v>1</v>
      </c>
      <c r="G72" s="70" t="s">
        <v>121</v>
      </c>
      <c r="H72" s="35">
        <v>2</v>
      </c>
      <c r="L72" s="70" t="s">
        <v>121</v>
      </c>
      <c r="M72" s="35">
        <v>2</v>
      </c>
    </row>
    <row r="73" spans="1:18">
      <c r="B73" s="70" t="s">
        <v>121</v>
      </c>
      <c r="C73" s="35">
        <v>2</v>
      </c>
    </row>
    <row r="87" spans="1:18" ht="21">
      <c r="A87" s="194" t="s">
        <v>126</v>
      </c>
      <c r="B87" s="194"/>
      <c r="C87" s="194"/>
      <c r="D87" s="194"/>
      <c r="E87" s="194"/>
      <c r="F87" s="194"/>
      <c r="G87" s="194"/>
      <c r="H87" s="194"/>
      <c r="I87" s="194"/>
      <c r="J87" s="194"/>
      <c r="K87" s="194"/>
      <c r="L87" s="194"/>
      <c r="M87" s="194"/>
      <c r="N87" s="194"/>
      <c r="O87" s="194"/>
      <c r="P87" s="194"/>
      <c r="Q87" s="194"/>
      <c r="R87" s="194"/>
    </row>
    <row r="88" spans="1:18" ht="15.75" thickBot="1"/>
    <row r="89" spans="1:18" ht="15.75" thickBot="1">
      <c r="B89" s="195" t="s">
        <v>127</v>
      </c>
      <c r="C89" s="196"/>
      <c r="D89" s="196"/>
      <c r="E89" s="196"/>
      <c r="F89" s="197"/>
      <c r="G89" s="67">
        <f>AVERAGE(Consultas[[#All],[Tiempo de Solución]])</f>
        <v>1</v>
      </c>
      <c r="H89" s="68" t="s">
        <v>119</v>
      </c>
    </row>
    <row r="91" spans="1:18">
      <c r="B91" s="69" t="s">
        <v>120</v>
      </c>
      <c r="C91" t="s">
        <v>129</v>
      </c>
      <c r="G91" s="69" t="s">
        <v>120</v>
      </c>
      <c r="H91" t="s">
        <v>123</v>
      </c>
      <c r="L91" s="69" t="s">
        <v>120</v>
      </c>
      <c r="M91" t="s">
        <v>124</v>
      </c>
    </row>
    <row r="92" spans="1:18">
      <c r="B92" s="70" t="s">
        <v>143</v>
      </c>
      <c r="C92" s="35"/>
      <c r="G92" s="70" t="s">
        <v>144</v>
      </c>
      <c r="H92" s="35">
        <v>1</v>
      </c>
      <c r="L92" s="70" t="s">
        <v>49</v>
      </c>
      <c r="M92" s="35">
        <v>1</v>
      </c>
    </row>
    <row r="93" spans="1:18">
      <c r="B93" s="70" t="s">
        <v>121</v>
      </c>
      <c r="C93" s="35"/>
      <c r="G93" s="70" t="s">
        <v>121</v>
      </c>
      <c r="H93" s="35">
        <v>1</v>
      </c>
      <c r="L93" s="70" t="s">
        <v>121</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19"/>
  <sheetViews>
    <sheetView zoomScale="85" zoomScaleNormal="85" workbookViewId="0">
      <selection activeCell="D5" sqref="D5"/>
    </sheetView>
  </sheetViews>
  <sheetFormatPr baseColWidth="10" defaultColWidth="0" defaultRowHeight="15"/>
  <cols>
    <col min="1" max="1" width="16.140625" style="31" bestFit="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96"/>
      <c r="B1" s="96"/>
      <c r="C1" s="96"/>
      <c r="D1" s="96"/>
      <c r="E1" s="96"/>
      <c r="F1" s="100"/>
      <c r="G1" s="96"/>
      <c r="H1" s="96"/>
      <c r="I1" s="96"/>
      <c r="J1" s="96"/>
      <c r="K1" s="96"/>
      <c r="L1" s="101"/>
      <c r="M1" s="96"/>
      <c r="N1" s="96"/>
      <c r="O1" s="96"/>
      <c r="P1" s="96"/>
      <c r="Q1" s="96"/>
      <c r="R1" s="96"/>
    </row>
    <row r="2" spans="1:18" ht="15" customHeight="1">
      <c r="A2" s="96"/>
      <c r="B2" s="96"/>
      <c r="C2" s="96"/>
      <c r="D2" s="150" t="s">
        <v>9</v>
      </c>
      <c r="E2" s="151" t="str">
        <f>General!$B$3</f>
        <v xml:space="preserve">PRY-SSIAEDUCT-03 </v>
      </c>
      <c r="F2" s="152" t="s">
        <v>10</v>
      </c>
      <c r="G2" s="198" t="str">
        <f>General!$B$4</f>
        <v>Arquitectura de Negocios de la Oficina Central de Fe y Alegría Perú – ANOCFAP</v>
      </c>
      <c r="H2" s="199"/>
      <c r="I2" s="199"/>
      <c r="J2" s="199"/>
      <c r="K2" s="199"/>
      <c r="L2" s="199"/>
      <c r="M2" s="199"/>
      <c r="N2" s="200"/>
      <c r="O2" s="96"/>
      <c r="P2" s="96"/>
      <c r="Q2" s="96"/>
      <c r="R2" s="96"/>
    </row>
    <row r="3" spans="1:18" s="71" customFormat="1" ht="58.5" customHeight="1">
      <c r="A3" s="96"/>
      <c r="B3" s="96"/>
      <c r="C3" s="96"/>
      <c r="D3" s="97"/>
      <c r="E3" s="98"/>
      <c r="F3" s="99"/>
      <c r="G3" s="98"/>
      <c r="H3" s="98"/>
      <c r="I3" s="98"/>
      <c r="J3" s="98"/>
      <c r="K3" s="98"/>
      <c r="L3" s="98"/>
      <c r="M3" s="98"/>
      <c r="N3" s="98"/>
      <c r="O3" s="96"/>
      <c r="P3" s="96"/>
      <c r="Q3" s="96"/>
      <c r="R3" s="96"/>
    </row>
    <row r="4" spans="1:18" s="94" customFormat="1" ht="40.5" customHeight="1">
      <c r="A4" s="143" t="s">
        <v>134</v>
      </c>
      <c r="B4" s="144" t="s">
        <v>133</v>
      </c>
      <c r="C4" s="144" t="s">
        <v>73</v>
      </c>
      <c r="D4" s="144" t="s">
        <v>74</v>
      </c>
      <c r="E4" s="144" t="s">
        <v>75</v>
      </c>
      <c r="F4" s="145" t="s">
        <v>76</v>
      </c>
      <c r="G4" s="144" t="s">
        <v>77</v>
      </c>
      <c r="H4" s="144" t="s">
        <v>78</v>
      </c>
      <c r="I4" s="146" t="s">
        <v>79</v>
      </c>
      <c r="J4" s="146" t="s">
        <v>80</v>
      </c>
      <c r="K4" s="147" t="s">
        <v>81</v>
      </c>
      <c r="L4" s="148" t="s">
        <v>82</v>
      </c>
      <c r="M4" s="149" t="s">
        <v>83</v>
      </c>
      <c r="N4" s="144" t="s">
        <v>84</v>
      </c>
      <c r="O4" s="144" t="s">
        <v>85</v>
      </c>
      <c r="P4" s="144" t="s">
        <v>86</v>
      </c>
      <c r="Q4" s="144" t="s">
        <v>87</v>
      </c>
      <c r="R4" s="102"/>
    </row>
    <row r="5" spans="1:18" s="166" customFormat="1" ht="258.75">
      <c r="A5" s="166" t="s">
        <v>149</v>
      </c>
      <c r="B5" s="166" t="s">
        <v>88</v>
      </c>
      <c r="C5" s="166" t="s">
        <v>161</v>
      </c>
      <c r="D5" s="167" t="s">
        <v>162</v>
      </c>
      <c r="E5" s="166" t="s">
        <v>150</v>
      </c>
      <c r="F5" s="168" t="str">
        <f>IF(CasoPrueba[[#This Row],[Estado Testing]]=Resumen!$P$28,"OK",IF(CasoPrueba[[#This Row],[Estado Testing]]=Resumen!$P$29,"NO OK",IF((CasoPrueba[[#This Row],[Estado Testing]]=Resumen!$P$30)+(CasoPrueba[[#This Row],[Estado Testing]]=Resumen!$P$31),"OBSERVADO","")))</f>
        <v>NO OK</v>
      </c>
      <c r="G5" s="166" t="s">
        <v>20</v>
      </c>
      <c r="H5" s="166" t="s">
        <v>28</v>
      </c>
      <c r="I5" s="169" t="s">
        <v>206</v>
      </c>
      <c r="J5" s="166" t="s">
        <v>47</v>
      </c>
      <c r="L5" s="170" t="str">
        <f>General!$A$10</f>
        <v>-</v>
      </c>
      <c r="M5" s="170" t="str">
        <f>General!$A$10</f>
        <v>-</v>
      </c>
      <c r="P5" s="169" t="s">
        <v>292</v>
      </c>
      <c r="Q5" s="169" t="str">
        <f>CONCATENATE(General!$B$7," ",General!$B$6)</f>
        <v>Nicolay García José Ramos Ramírez</v>
      </c>
      <c r="R5" s="171"/>
    </row>
    <row r="6" spans="1:18" s="172" customFormat="1" ht="157.5">
      <c r="A6" s="166" t="s">
        <v>149</v>
      </c>
      <c r="B6" s="166" t="s">
        <v>178</v>
      </c>
      <c r="C6" s="166" t="s">
        <v>161</v>
      </c>
      <c r="D6" s="167" t="s">
        <v>192</v>
      </c>
      <c r="E6" s="166" t="s">
        <v>150</v>
      </c>
      <c r="F6" s="168" t="str">
        <f>IF(CasoPrueba[[#This Row],[Estado Testing]]=Resumen!$P$28,"OK",IF(CasoPrueba[[#This Row],[Estado Testing]]=Resumen!$P$29,"NO OK",IF((CasoPrueba[[#This Row],[Estado Testing]]=Resumen!$P$30)+(CasoPrueba[[#This Row],[Estado Testing]]=Resumen!$P$31),"OBSERVADO","")))</f>
        <v>NO OK</v>
      </c>
      <c r="G6" s="166" t="s">
        <v>20</v>
      </c>
      <c r="H6" s="166" t="s">
        <v>28</v>
      </c>
      <c r="I6" s="169" t="s">
        <v>260</v>
      </c>
      <c r="J6" s="166" t="s">
        <v>47</v>
      </c>
      <c r="K6" s="166"/>
      <c r="L6" s="170"/>
      <c r="M6" s="170"/>
      <c r="N6" s="166"/>
      <c r="O6" s="166"/>
      <c r="P6" s="169" t="s">
        <v>293</v>
      </c>
      <c r="Q6" s="169" t="str">
        <f>CONCATENATE(General!$B$7," ",General!$B$6)</f>
        <v>Nicolay García José Ramos Ramírez</v>
      </c>
    </row>
    <row r="7" spans="1:18" s="172" customFormat="1" ht="101.25">
      <c r="A7" s="166" t="s">
        <v>149</v>
      </c>
      <c r="B7" s="166" t="s">
        <v>179</v>
      </c>
      <c r="C7" s="166" t="s">
        <v>161</v>
      </c>
      <c r="D7" s="167" t="s">
        <v>193</v>
      </c>
      <c r="E7" s="166" t="s">
        <v>150</v>
      </c>
      <c r="F7" s="168" t="str">
        <f>IF(CasoPrueba[[#This Row],[Estado Testing]]=Resumen!$P$28,"OK",IF(CasoPrueba[[#This Row],[Estado Testing]]=Resumen!$P$29,"NO OK",IF((CasoPrueba[[#This Row],[Estado Testing]]=Resumen!$P$30)+(CasoPrueba[[#This Row],[Estado Testing]]=Resumen!$P$31),"OBSERVADO","")))</f>
        <v>NO OK</v>
      </c>
      <c r="G7" s="166" t="s">
        <v>20</v>
      </c>
      <c r="H7" s="166" t="s">
        <v>28</v>
      </c>
      <c r="I7" s="169" t="s">
        <v>206</v>
      </c>
      <c r="J7" s="166" t="s">
        <v>47</v>
      </c>
      <c r="K7" s="166"/>
      <c r="L7" s="170"/>
      <c r="M7" s="170"/>
      <c r="N7" s="166"/>
      <c r="O7" s="166"/>
      <c r="P7" s="169" t="s">
        <v>294</v>
      </c>
      <c r="Q7" s="169" t="str">
        <f>CONCATENATE(General!$B$7," ",General!$B$6)</f>
        <v>Nicolay García José Ramos Ramírez</v>
      </c>
    </row>
    <row r="8" spans="1:18" s="172" customFormat="1" ht="225">
      <c r="A8" s="166" t="s">
        <v>149</v>
      </c>
      <c r="B8" s="166" t="s">
        <v>180</v>
      </c>
      <c r="C8" s="166" t="s">
        <v>161</v>
      </c>
      <c r="D8" s="167" t="s">
        <v>194</v>
      </c>
      <c r="E8" s="166" t="s">
        <v>150</v>
      </c>
      <c r="F8" s="168" t="str">
        <f>IF(CasoPrueba[[#This Row],[Estado Testing]]=Resumen!$P$28,"OK",IF(CasoPrueba[[#This Row],[Estado Testing]]=Resumen!$P$29,"NO OK",IF((CasoPrueba[[#This Row],[Estado Testing]]=Resumen!$P$30)+(CasoPrueba[[#This Row],[Estado Testing]]=Resumen!$P$31),"OBSERVADO","")))</f>
        <v>NO OK</v>
      </c>
      <c r="G8" s="166" t="s">
        <v>20</v>
      </c>
      <c r="H8" s="166" t="s">
        <v>28</v>
      </c>
      <c r="I8" s="169" t="s">
        <v>206</v>
      </c>
      <c r="J8" s="166" t="s">
        <v>47</v>
      </c>
      <c r="K8" s="166"/>
      <c r="L8" s="170"/>
      <c r="M8" s="170"/>
      <c r="N8" s="166"/>
      <c r="O8" s="166"/>
      <c r="P8" s="169" t="s">
        <v>295</v>
      </c>
      <c r="Q8" s="169" t="str">
        <f>CONCATENATE(General!$B$7," ",General!$B$6)</f>
        <v>Nicolay García José Ramos Ramírez</v>
      </c>
    </row>
    <row r="9" spans="1:18" s="172" customFormat="1" ht="67.5">
      <c r="A9" s="166" t="s">
        <v>149</v>
      </c>
      <c r="B9" s="166" t="s">
        <v>181</v>
      </c>
      <c r="C9" s="166" t="s">
        <v>161</v>
      </c>
      <c r="D9" s="167" t="s">
        <v>195</v>
      </c>
      <c r="E9" s="166" t="s">
        <v>150</v>
      </c>
      <c r="F9" s="168" t="str">
        <f>IF(CasoPrueba[[#This Row],[Estado Testing]]=Resumen!$P$28,"OK",IF(CasoPrueba[[#This Row],[Estado Testing]]=Resumen!$P$29,"NO OK",IF((CasoPrueba[[#This Row],[Estado Testing]]=Resumen!$P$30)+(CasoPrueba[[#This Row],[Estado Testing]]=Resumen!$P$31),"OBSERVADO","")))</f>
        <v>NO OK</v>
      </c>
      <c r="G9" s="166" t="s">
        <v>20</v>
      </c>
      <c r="H9" s="166" t="s">
        <v>28</v>
      </c>
      <c r="I9" s="169" t="s">
        <v>206</v>
      </c>
      <c r="J9" s="166" t="s">
        <v>47</v>
      </c>
      <c r="K9" s="166"/>
      <c r="L9" s="170"/>
      <c r="M9" s="170"/>
      <c r="N9" s="166"/>
      <c r="O9" s="166"/>
      <c r="P9" s="169" t="s">
        <v>296</v>
      </c>
      <c r="Q9" s="169" t="str">
        <f>CONCATENATE(General!$B$7," ",General!$B$6)</f>
        <v>Nicolay García José Ramos Ramírez</v>
      </c>
    </row>
    <row r="10" spans="1:18" s="172" customFormat="1" ht="45">
      <c r="A10" s="166" t="s">
        <v>149</v>
      </c>
      <c r="B10" s="166" t="s">
        <v>182</v>
      </c>
      <c r="C10" s="166" t="s">
        <v>161</v>
      </c>
      <c r="D10" s="167" t="s">
        <v>196</v>
      </c>
      <c r="E10" s="166" t="s">
        <v>150</v>
      </c>
      <c r="F10" s="168" t="str">
        <f>IF(CasoPrueba[[#This Row],[Estado Testing]]=Resumen!$P$28,"OK",IF(CasoPrueba[[#This Row],[Estado Testing]]=Resumen!$P$29,"NO OK",IF((CasoPrueba[[#This Row],[Estado Testing]]=Resumen!$P$30)+(CasoPrueba[[#This Row],[Estado Testing]]=Resumen!$P$31),"OBSERVADO","")))</f>
        <v>NO OK</v>
      </c>
      <c r="G10" s="166" t="s">
        <v>20</v>
      </c>
      <c r="H10" s="166" t="s">
        <v>28</v>
      </c>
      <c r="I10" s="169" t="s">
        <v>206</v>
      </c>
      <c r="J10" s="166" t="s">
        <v>47</v>
      </c>
      <c r="K10" s="166"/>
      <c r="L10" s="170"/>
      <c r="M10" s="170"/>
      <c r="N10" s="166"/>
      <c r="O10" s="166"/>
      <c r="P10" s="169" t="s">
        <v>297</v>
      </c>
      <c r="Q10" s="169" t="str">
        <f>CONCATENATE(General!$B$7," ",General!$B$6)</f>
        <v>Nicolay García José Ramos Ramírez</v>
      </c>
    </row>
    <row r="11" spans="1:18" s="172" customFormat="1" ht="123.75">
      <c r="A11" s="166" t="s">
        <v>149</v>
      </c>
      <c r="B11" s="166" t="s">
        <v>183</v>
      </c>
      <c r="C11" s="166" t="s">
        <v>161</v>
      </c>
      <c r="D11" s="167" t="s">
        <v>197</v>
      </c>
      <c r="E11" s="166" t="s">
        <v>150</v>
      </c>
      <c r="F11" s="168" t="str">
        <f>IF(CasoPrueba[[#This Row],[Estado Testing]]=Resumen!$P$28,"OK",IF(CasoPrueba[[#This Row],[Estado Testing]]=Resumen!$P$29,"NO OK",IF((CasoPrueba[[#This Row],[Estado Testing]]=Resumen!$P$30)+(CasoPrueba[[#This Row],[Estado Testing]]=Resumen!$P$31),"OBSERVADO","")))</f>
        <v>NO OK</v>
      </c>
      <c r="G11" s="166" t="s">
        <v>20</v>
      </c>
      <c r="H11" s="166" t="s">
        <v>28</v>
      </c>
      <c r="I11" s="169" t="s">
        <v>206</v>
      </c>
      <c r="J11" s="166" t="s">
        <v>47</v>
      </c>
      <c r="K11" s="166"/>
      <c r="L11" s="170"/>
      <c r="M11" s="170"/>
      <c r="N11" s="166"/>
      <c r="O11" s="166"/>
      <c r="P11" s="169" t="s">
        <v>298</v>
      </c>
      <c r="Q11" s="169" t="str">
        <f>CONCATENATE(General!$B$7," ",General!$B$6)</f>
        <v>Nicolay García José Ramos Ramírez</v>
      </c>
    </row>
    <row r="12" spans="1:18" s="172" customFormat="1" ht="90">
      <c r="A12" s="166" t="s">
        <v>149</v>
      </c>
      <c r="B12" s="166" t="s">
        <v>184</v>
      </c>
      <c r="C12" s="166" t="s">
        <v>161</v>
      </c>
      <c r="D12" s="167" t="s">
        <v>198</v>
      </c>
      <c r="E12" s="166" t="s">
        <v>150</v>
      </c>
      <c r="F12" s="168" t="str">
        <f>IF(CasoPrueba[[#This Row],[Estado Testing]]=Resumen!$P$28,"OK",IF(CasoPrueba[[#This Row],[Estado Testing]]=Resumen!$P$29,"NO OK",IF((CasoPrueba[[#This Row],[Estado Testing]]=Resumen!$P$30)+(CasoPrueba[[#This Row],[Estado Testing]]=Resumen!$P$31),"OBSERVADO","")))</f>
        <v>NO OK</v>
      </c>
      <c r="G12" s="166" t="s">
        <v>20</v>
      </c>
      <c r="H12" s="166" t="s">
        <v>28</v>
      </c>
      <c r="I12" s="169" t="s">
        <v>206</v>
      </c>
      <c r="J12" s="166" t="s">
        <v>47</v>
      </c>
      <c r="K12" s="166"/>
      <c r="L12" s="170"/>
      <c r="M12" s="170"/>
      <c r="N12" s="166"/>
      <c r="O12" s="166"/>
      <c r="P12" s="169" t="s">
        <v>299</v>
      </c>
      <c r="Q12" s="169" t="str">
        <f>CONCATENATE(General!$B$7," ",General!$B$6)</f>
        <v>Nicolay García José Ramos Ramírez</v>
      </c>
    </row>
    <row r="13" spans="1:18" s="172" customFormat="1" ht="112.5">
      <c r="A13" s="166" t="s">
        <v>149</v>
      </c>
      <c r="B13" s="166" t="s">
        <v>185</v>
      </c>
      <c r="C13" s="166" t="s">
        <v>161</v>
      </c>
      <c r="D13" s="167" t="s">
        <v>199</v>
      </c>
      <c r="E13" s="166" t="s">
        <v>150</v>
      </c>
      <c r="F13" s="168" t="str">
        <f>IF(CasoPrueba[[#This Row],[Estado Testing]]=Resumen!$P$28,"OK",IF(CasoPrueba[[#This Row],[Estado Testing]]=Resumen!$P$29,"NO OK",IF((CasoPrueba[[#This Row],[Estado Testing]]=Resumen!$P$30)+(CasoPrueba[[#This Row],[Estado Testing]]=Resumen!$P$31),"OBSERVADO","")))</f>
        <v>NO OK</v>
      </c>
      <c r="G13" s="166" t="s">
        <v>20</v>
      </c>
      <c r="H13" s="166" t="s">
        <v>28</v>
      </c>
      <c r="I13" s="169" t="s">
        <v>206</v>
      </c>
      <c r="J13" s="166" t="s">
        <v>47</v>
      </c>
      <c r="K13" s="166"/>
      <c r="L13" s="170"/>
      <c r="M13" s="170"/>
      <c r="N13" s="166"/>
      <c r="O13" s="166"/>
      <c r="P13" s="169" t="s">
        <v>300</v>
      </c>
      <c r="Q13" s="169" t="str">
        <f>CONCATENATE(General!$B$7," ",General!$B$6)</f>
        <v>Nicolay García José Ramos Ramírez</v>
      </c>
    </row>
    <row r="14" spans="1:18" s="172" customFormat="1" ht="45">
      <c r="A14" s="166" t="s">
        <v>149</v>
      </c>
      <c r="B14" s="166" t="s">
        <v>186</v>
      </c>
      <c r="C14" s="166" t="s">
        <v>161</v>
      </c>
      <c r="D14" s="172" t="s">
        <v>200</v>
      </c>
      <c r="E14" s="166" t="s">
        <v>150</v>
      </c>
      <c r="F14" s="168" t="str">
        <f>IF(CasoPrueba[[#This Row],[Estado Testing]]=Resumen!$P$28,"OK",IF(CasoPrueba[[#This Row],[Estado Testing]]=Resumen!$P$29,"NO OK",IF((CasoPrueba[[#This Row],[Estado Testing]]=Resumen!$P$30)+(CasoPrueba[[#This Row],[Estado Testing]]=Resumen!$P$31),"OBSERVADO","")))</f>
        <v>NO OK</v>
      </c>
      <c r="G14" s="169" t="s">
        <v>20</v>
      </c>
      <c r="H14" s="166" t="s">
        <v>28</v>
      </c>
      <c r="I14" s="169" t="s">
        <v>206</v>
      </c>
      <c r="J14" s="166" t="s">
        <v>47</v>
      </c>
      <c r="K14" s="166"/>
      <c r="L14" s="170" t="str">
        <f>General!$A$10</f>
        <v>-</v>
      </c>
      <c r="M14" s="170" t="str">
        <f>General!$A$10</f>
        <v>-</v>
      </c>
      <c r="N14" s="166"/>
      <c r="O14" s="166"/>
      <c r="P14" s="169" t="s">
        <v>301</v>
      </c>
      <c r="Q14" s="169" t="str">
        <f>CONCATENATE(General!$B$7," ",General!$B$6)</f>
        <v>Nicolay García José Ramos Ramírez</v>
      </c>
    </row>
    <row r="15" spans="1:18" s="172" customFormat="1" ht="22.5">
      <c r="A15" s="166" t="s">
        <v>149</v>
      </c>
      <c r="B15" s="166" t="s">
        <v>187</v>
      </c>
      <c r="C15" s="166" t="s">
        <v>161</v>
      </c>
      <c r="D15" s="172" t="s">
        <v>201</v>
      </c>
      <c r="E15" s="166" t="s">
        <v>150</v>
      </c>
      <c r="F15" s="168" t="str">
        <f>IF(CasoPrueba[[#This Row],[Estado Testing]]=Resumen!$P$28,"OK",IF(CasoPrueba[[#This Row],[Estado Testing]]=Resumen!$P$29,"NO OK",IF((CasoPrueba[[#This Row],[Estado Testing]]=Resumen!$P$30)+(CasoPrueba[[#This Row],[Estado Testing]]=Resumen!$P$31),"OBSERVADO","")))</f>
        <v/>
      </c>
      <c r="G15" s="169"/>
      <c r="H15" s="166" t="s">
        <v>28</v>
      </c>
      <c r="I15" s="169"/>
      <c r="J15" s="166"/>
      <c r="K15" s="166"/>
      <c r="L15" s="170" t="str">
        <f>General!$A$10</f>
        <v>-</v>
      </c>
      <c r="M15" s="170" t="str">
        <f>General!$A$10</f>
        <v>-</v>
      </c>
      <c r="N15" s="166"/>
      <c r="O15" s="166"/>
      <c r="P15" s="169"/>
      <c r="Q15" s="169" t="str">
        <f>CONCATENATE(General!$B$7," ",General!$B$6)</f>
        <v>Nicolay García José Ramos Ramírez</v>
      </c>
    </row>
    <row r="16" spans="1:18" s="172" customFormat="1" ht="30">
      <c r="A16" s="166" t="s">
        <v>149</v>
      </c>
      <c r="B16" s="166" t="s">
        <v>188</v>
      </c>
      <c r="C16" s="166" t="s">
        <v>161</v>
      </c>
      <c r="D16" s="172" t="s">
        <v>202</v>
      </c>
      <c r="E16" s="166" t="s">
        <v>150</v>
      </c>
      <c r="F16" s="168" t="str">
        <f>IF(CasoPrueba[[#This Row],[Estado Testing]]=Resumen!$P$28,"OK",IF(CasoPrueba[[#This Row],[Estado Testing]]=Resumen!$P$29,"NO OK",IF((CasoPrueba[[#This Row],[Estado Testing]]=Resumen!$P$30)+(CasoPrueba[[#This Row],[Estado Testing]]=Resumen!$P$31),"OBSERVADO","")))</f>
        <v/>
      </c>
      <c r="G16" s="169"/>
      <c r="H16" s="166" t="s">
        <v>28</v>
      </c>
      <c r="I16" s="169"/>
      <c r="J16" s="166"/>
      <c r="K16" s="166"/>
      <c r="L16" s="170" t="str">
        <f>General!$A$10</f>
        <v>-</v>
      </c>
      <c r="M16" s="170" t="str">
        <f>General!$A$10</f>
        <v>-</v>
      </c>
      <c r="N16" s="166"/>
      <c r="O16" s="166"/>
      <c r="P16" s="169"/>
      <c r="Q16" s="169" t="str">
        <f>CONCATENATE(General!$B$7," ",General!$B$6)</f>
        <v>Nicolay García José Ramos Ramírez</v>
      </c>
    </row>
    <row r="17" spans="1:17" s="172" customFormat="1" ht="22.5">
      <c r="A17" s="166" t="s">
        <v>149</v>
      </c>
      <c r="B17" s="166" t="s">
        <v>189</v>
      </c>
      <c r="C17" s="166" t="s">
        <v>161</v>
      </c>
      <c r="D17" s="172" t="s">
        <v>203</v>
      </c>
      <c r="E17" s="166" t="s">
        <v>150</v>
      </c>
      <c r="F17" s="168" t="str">
        <f>IF(CasoPrueba[[#This Row],[Estado Testing]]=Resumen!$P$28,"OK",IF(CasoPrueba[[#This Row],[Estado Testing]]=Resumen!$P$29,"NO OK",IF((CasoPrueba[[#This Row],[Estado Testing]]=Resumen!$P$30)+(CasoPrueba[[#This Row],[Estado Testing]]=Resumen!$P$31),"OBSERVADO","")))</f>
        <v/>
      </c>
      <c r="G17" s="169"/>
      <c r="H17" s="166" t="s">
        <v>28</v>
      </c>
      <c r="I17" s="169"/>
      <c r="J17" s="166"/>
      <c r="K17" s="166"/>
      <c r="L17" s="170" t="str">
        <f>General!$A$10</f>
        <v>-</v>
      </c>
      <c r="M17" s="170" t="str">
        <f>General!$A$10</f>
        <v>-</v>
      </c>
      <c r="N17" s="166"/>
      <c r="O17" s="166"/>
      <c r="P17" s="169"/>
      <c r="Q17" s="169" t="str">
        <f>CONCATENATE(General!$B$7," ",General!$B$6)</f>
        <v>Nicolay García José Ramos Ramírez</v>
      </c>
    </row>
    <row r="18" spans="1:17" s="172" customFormat="1" ht="30">
      <c r="A18" s="166" t="s">
        <v>149</v>
      </c>
      <c r="B18" s="166" t="s">
        <v>190</v>
      </c>
      <c r="C18" s="166" t="s">
        <v>161</v>
      </c>
      <c r="D18" s="172" t="s">
        <v>204</v>
      </c>
      <c r="E18" s="166" t="s">
        <v>150</v>
      </c>
      <c r="F18" s="168" t="str">
        <f>IF(CasoPrueba[[#This Row],[Estado Testing]]=Resumen!$P$28,"OK",IF(CasoPrueba[[#This Row],[Estado Testing]]=Resumen!$P$29,"NO OK",IF((CasoPrueba[[#This Row],[Estado Testing]]=Resumen!$P$30)+(CasoPrueba[[#This Row],[Estado Testing]]=Resumen!$P$31),"OBSERVADO","")))</f>
        <v/>
      </c>
      <c r="G18" s="169"/>
      <c r="H18" s="166" t="s">
        <v>28</v>
      </c>
      <c r="I18" s="169"/>
      <c r="J18" s="166"/>
      <c r="K18" s="166"/>
      <c r="L18" s="170" t="str">
        <f>General!$A$10</f>
        <v>-</v>
      </c>
      <c r="M18" s="170" t="str">
        <f>General!$A$10</f>
        <v>-</v>
      </c>
      <c r="N18" s="166"/>
      <c r="O18" s="166"/>
      <c r="P18" s="169"/>
      <c r="Q18" s="169" t="str">
        <f>CONCATENATE(General!$B$7," ",General!$B$6)</f>
        <v>Nicolay García José Ramos Ramírez</v>
      </c>
    </row>
    <row r="19" spans="1:17" s="172" customFormat="1" ht="30">
      <c r="A19" s="166" t="s">
        <v>149</v>
      </c>
      <c r="B19" s="166" t="s">
        <v>191</v>
      </c>
      <c r="C19" s="166" t="s">
        <v>161</v>
      </c>
      <c r="D19" s="172" t="s">
        <v>205</v>
      </c>
      <c r="E19" s="166" t="s">
        <v>150</v>
      </c>
      <c r="F19" s="168" t="str">
        <f>IF(CasoPrueba[[#This Row],[Estado Testing]]=Resumen!$P$28,"OK",IF(CasoPrueba[[#This Row],[Estado Testing]]=Resumen!$P$29,"NO OK",IF((CasoPrueba[[#This Row],[Estado Testing]]=Resumen!$P$30)+(CasoPrueba[[#This Row],[Estado Testing]]=Resumen!$P$31),"OBSERVADO","")))</f>
        <v/>
      </c>
      <c r="G19" s="169"/>
      <c r="H19" s="166" t="s">
        <v>28</v>
      </c>
      <c r="I19" s="169"/>
      <c r="J19" s="166"/>
      <c r="K19" s="166"/>
      <c r="L19" s="170" t="str">
        <f>General!$A$10</f>
        <v>-</v>
      </c>
      <c r="M19" s="170" t="str">
        <f>General!$A$10</f>
        <v>-</v>
      </c>
      <c r="N19" s="166"/>
      <c r="O19" s="166"/>
      <c r="P19" s="169"/>
      <c r="Q19" s="169" t="str">
        <f>CONCATENATE(General!$B$7," ",General!$B$6)</f>
        <v>Nicolay García José Ramos Ramírez</v>
      </c>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Resumen!$P$27:$P$32</xm:f>
          </x14:formula1>
          <xm:sqref>G5:G13</xm:sqref>
        </x14:dataValidation>
        <x14:dataValidation type="list" allowBlank="1" showInputMessage="1" showErrorMessage="1">
          <x14:formula1>
            <xm:f>Resumen!$P$17:$P$19</xm:f>
          </x14:formula1>
          <xm:sqref>H5:H13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XFC59"/>
  <sheetViews>
    <sheetView tabSelected="1" zoomScale="85" zoomScaleNormal="85" workbookViewId="0">
      <selection activeCell="B11" sqref="B11"/>
    </sheetView>
  </sheetViews>
  <sheetFormatPr baseColWidth="10" defaultColWidth="0" defaultRowHeight="15"/>
  <cols>
    <col min="1" max="1" width="12.7109375" style="77" customWidth="1"/>
    <col min="2" max="3" width="12.7109375" style="34" customWidth="1"/>
    <col min="4" max="4" width="15.5703125" style="34" customWidth="1"/>
    <col min="5" max="5" width="12.7109375" style="34" customWidth="1"/>
    <col min="6" max="7" width="12.7109375" style="78" customWidth="1"/>
    <col min="8" max="8" width="13.28515625" style="95" customWidth="1"/>
    <col min="9" max="9" width="41.5703125" style="34" customWidth="1"/>
    <col min="10" max="10" width="40.42578125" style="34" customWidth="1"/>
    <col min="11" max="11" width="12.7109375" style="31" customWidth="1"/>
    <col min="12" max="12" width="13.85546875" style="31" customWidth="1"/>
    <col min="13" max="16383" width="11.42578125" style="31" hidden="1"/>
    <col min="16384" max="16384" width="3.7109375" style="31" hidden="1" customWidth="1"/>
  </cols>
  <sheetData>
    <row r="1" spans="1:14" customFormat="1" ht="31.5">
      <c r="A1" s="201" t="s">
        <v>96</v>
      </c>
      <c r="B1" s="201"/>
      <c r="C1" s="201"/>
      <c r="D1" s="201"/>
      <c r="E1" s="201"/>
      <c r="F1" s="201"/>
      <c r="G1" s="201"/>
      <c r="H1" s="201"/>
      <c r="I1" s="201"/>
      <c r="J1" s="201"/>
      <c r="K1" s="201"/>
      <c r="N1" s="31" t="s">
        <v>131</v>
      </c>
    </row>
    <row r="2" spans="1:14" s="76" customFormat="1" ht="38.25">
      <c r="A2" s="153" t="s">
        <v>89</v>
      </c>
      <c r="B2" s="154" t="s">
        <v>90</v>
      </c>
      <c r="C2" s="154" t="s">
        <v>78</v>
      </c>
      <c r="D2" s="154" t="s">
        <v>79</v>
      </c>
      <c r="E2" s="154" t="s">
        <v>91</v>
      </c>
      <c r="F2" s="155" t="s">
        <v>92</v>
      </c>
      <c r="G2" s="155" t="s">
        <v>93</v>
      </c>
      <c r="H2" s="155" t="s">
        <v>128</v>
      </c>
      <c r="I2" s="154" t="s">
        <v>3</v>
      </c>
      <c r="J2" s="154" t="s">
        <v>94</v>
      </c>
      <c r="K2" s="156" t="s">
        <v>103</v>
      </c>
      <c r="L2" s="156" t="s">
        <v>142</v>
      </c>
      <c r="N2" s="31" t="s">
        <v>132</v>
      </c>
    </row>
    <row r="3" spans="1:14" ht="45" customHeight="1">
      <c r="A3" s="34" t="s">
        <v>167</v>
      </c>
      <c r="B3" s="34" t="s">
        <v>88</v>
      </c>
      <c r="C3" s="34" t="str">
        <f>VLOOKUP(Observaciones[Caso de Prueba],CasoPrueba[[#All],[Código CP]:[Prioridad]],7,TRUE)</f>
        <v>Alta</v>
      </c>
      <c r="D3" s="34" t="s">
        <v>206</v>
      </c>
      <c r="E3" s="34" t="s">
        <v>49</v>
      </c>
      <c r="F3" s="78">
        <v>40784</v>
      </c>
      <c r="H3" s="95" t="s">
        <v>131</v>
      </c>
      <c r="I3" s="34" t="s">
        <v>214</v>
      </c>
      <c r="J3" s="34" t="s">
        <v>303</v>
      </c>
      <c r="K3" s="34">
        <v>2</v>
      </c>
      <c r="L3" s="34" t="str">
        <f>LOOKUP(Observaciones[[#This Row],[Caso de Prueba]],CasoPrueba[Código CP],CasoPrueba[Código de REQ])</f>
        <v>INSPECCIÓN</v>
      </c>
    </row>
    <row r="4" spans="1:14" ht="30" customHeight="1">
      <c r="A4" s="34" t="s">
        <v>151</v>
      </c>
      <c r="B4" s="34" t="s">
        <v>88</v>
      </c>
      <c r="C4" s="34" t="str">
        <f>VLOOKUP(Observaciones[Caso de Prueba],CasoPrueba[[#All],[Código CP]:[Prioridad]],7,TRUE)</f>
        <v>Alta</v>
      </c>
      <c r="D4" s="34" t="s">
        <v>206</v>
      </c>
      <c r="E4" s="34" t="s">
        <v>47</v>
      </c>
      <c r="F4" s="78">
        <v>40784</v>
      </c>
      <c r="H4" s="95" t="s">
        <v>131</v>
      </c>
      <c r="I4" s="34" t="s">
        <v>168</v>
      </c>
      <c r="K4" s="34">
        <f>IF((Observaciones[[#This Row],[Fecha Levantamiento]]-Observaciones[[#This Row],[Fecha Detección]])&gt;=0,Observaciones[[#This Row],[Fecha Levantamiento]]-Observaciones[[#This Row],[Fecha Detección]]+1,0)</f>
        <v>0</v>
      </c>
      <c r="L4" s="34" t="str">
        <f>LOOKUP(Observaciones[[#This Row],[Caso de Prueba]],CasoPrueba[Código CP],CasoPrueba[Código de REQ])</f>
        <v>INSPECCIÓN</v>
      </c>
    </row>
    <row r="5" spans="1:14" ht="30" customHeight="1">
      <c r="A5" s="34" t="s">
        <v>152</v>
      </c>
      <c r="B5" s="34" t="s">
        <v>88</v>
      </c>
      <c r="C5" s="34" t="str">
        <f>VLOOKUP(Observaciones[Caso de Prueba],CasoPrueba[[#All],[Código CP]:[Prioridad]],7,TRUE)</f>
        <v>Alta</v>
      </c>
      <c r="D5" s="34" t="s">
        <v>207</v>
      </c>
      <c r="E5" s="34" t="s">
        <v>47</v>
      </c>
      <c r="F5" s="78">
        <v>40784</v>
      </c>
      <c r="H5" s="95" t="s">
        <v>131</v>
      </c>
      <c r="I5" s="34" t="s">
        <v>169</v>
      </c>
      <c r="K5" s="34">
        <f>IF((Observaciones[[#This Row],[Fecha Levantamiento]]-Observaciones[[#This Row],[Fecha Detección]])&gt;=0,Observaciones[[#This Row],[Fecha Levantamiento]]-Observaciones[[#This Row],[Fecha Detección]]+1,0)</f>
        <v>0</v>
      </c>
      <c r="L5" s="34" t="str">
        <f>LOOKUP(Observaciones[[#This Row],[Caso de Prueba]],CasoPrueba[Código CP],CasoPrueba[Código de REQ])</f>
        <v>INSPECCIÓN</v>
      </c>
    </row>
    <row r="6" spans="1:14" ht="30" customHeight="1">
      <c r="A6" s="34" t="s">
        <v>153</v>
      </c>
      <c r="B6" s="34" t="s">
        <v>88</v>
      </c>
      <c r="C6" s="34" t="str">
        <f>VLOOKUP(Observaciones[Caso de Prueba],CasoPrueba[[#All],[Código CP]:[Prioridad]],7,TRUE)</f>
        <v>Alta</v>
      </c>
      <c r="D6" s="34" t="s">
        <v>207</v>
      </c>
      <c r="E6" s="34" t="s">
        <v>47</v>
      </c>
      <c r="F6" s="78">
        <v>40784</v>
      </c>
      <c r="H6" s="95" t="s">
        <v>131</v>
      </c>
      <c r="I6" s="34" t="s">
        <v>170</v>
      </c>
      <c r="K6" s="34">
        <f>IF((Observaciones[[#This Row],[Fecha Levantamiento]]-Observaciones[[#This Row],[Fecha Detección]])&gt;=0,Observaciones[[#This Row],[Fecha Levantamiento]]-Observaciones[[#This Row],[Fecha Detección]]+1,0)</f>
        <v>0</v>
      </c>
      <c r="L6" s="34" t="str">
        <f>LOOKUP(Observaciones[[#This Row],[Caso de Prueba]],CasoPrueba[Código CP],CasoPrueba[Código de REQ])</f>
        <v>INSPECCIÓN</v>
      </c>
    </row>
    <row r="7" spans="1:14" ht="30" customHeight="1">
      <c r="A7" s="34" t="s">
        <v>154</v>
      </c>
      <c r="B7" s="34" t="s">
        <v>88</v>
      </c>
      <c r="C7" s="34" t="str">
        <f>VLOOKUP(Observaciones[Caso de Prueba],CasoPrueba[[#All],[Código CP]:[Prioridad]],7,TRUE)</f>
        <v>Alta</v>
      </c>
      <c r="D7" s="34" t="s">
        <v>207</v>
      </c>
      <c r="E7" s="34" t="s">
        <v>47</v>
      </c>
      <c r="F7" s="78">
        <v>40784</v>
      </c>
      <c r="H7" s="95" t="s">
        <v>131</v>
      </c>
      <c r="I7" s="34" t="s">
        <v>171</v>
      </c>
      <c r="K7" s="34">
        <f>IF((Observaciones[[#This Row],[Fecha Levantamiento]]-Observaciones[[#This Row],[Fecha Detección]])&gt;=0,Observaciones[[#This Row],[Fecha Levantamiento]]-Observaciones[[#This Row],[Fecha Detección]]+1,0)</f>
        <v>0</v>
      </c>
      <c r="L7" s="34" t="str">
        <f>LOOKUP(Observaciones[[#This Row],[Caso de Prueba]],CasoPrueba[Código CP],CasoPrueba[Código de REQ])</f>
        <v>INSPECCIÓN</v>
      </c>
    </row>
    <row r="8" spans="1:14" ht="30" customHeight="1">
      <c r="A8" s="34" t="s">
        <v>155</v>
      </c>
      <c r="B8" s="34" t="s">
        <v>88</v>
      </c>
      <c r="C8" s="34" t="str">
        <f>VLOOKUP(Observaciones[Caso de Prueba],CasoPrueba[[#All],[Código CP]:[Prioridad]],7,TRUE)</f>
        <v>Alta</v>
      </c>
      <c r="D8" s="34" t="s">
        <v>208</v>
      </c>
      <c r="E8" s="34" t="s">
        <v>47</v>
      </c>
      <c r="F8" s="78">
        <v>40784</v>
      </c>
      <c r="H8" s="95" t="s">
        <v>131</v>
      </c>
      <c r="I8" s="34" t="s">
        <v>282</v>
      </c>
      <c r="K8" s="34">
        <f>IF((Observaciones[[#This Row],[Fecha Levantamiento]]-Observaciones[[#This Row],[Fecha Detección]])&gt;=0,Observaciones[[#This Row],[Fecha Levantamiento]]-Observaciones[[#This Row],[Fecha Detección]]+1,0)</f>
        <v>0</v>
      </c>
      <c r="L8" s="34" t="str">
        <f>LOOKUP(Observaciones[[#This Row],[Caso de Prueba]],CasoPrueba[Código CP],CasoPrueba[Código de REQ])</f>
        <v>INSPECCIÓN</v>
      </c>
    </row>
    <row r="9" spans="1:14" ht="60" customHeight="1">
      <c r="A9" s="34" t="s">
        <v>156</v>
      </c>
      <c r="B9" s="34" t="s">
        <v>88</v>
      </c>
      <c r="C9" s="34" t="str">
        <f>VLOOKUP(Observaciones[Caso de Prueba],CasoPrueba[[#All],[Código CP]:[Prioridad]],7,TRUE)</f>
        <v>Alta</v>
      </c>
      <c r="D9" s="34" t="s">
        <v>208</v>
      </c>
      <c r="E9" s="34" t="s">
        <v>47</v>
      </c>
      <c r="F9" s="78">
        <v>40784</v>
      </c>
      <c r="H9" s="95" t="s">
        <v>131</v>
      </c>
      <c r="I9" s="34" t="s">
        <v>172</v>
      </c>
      <c r="K9" s="34">
        <f>IF((Observaciones[[#This Row],[Fecha Levantamiento]]-Observaciones[[#This Row],[Fecha Detección]])&gt;=0,Observaciones[[#This Row],[Fecha Levantamiento]]-Observaciones[[#This Row],[Fecha Detección]]+1,0)</f>
        <v>0</v>
      </c>
      <c r="L9" s="34" t="str">
        <f>LOOKUP(Observaciones[[#This Row],[Caso de Prueba]],CasoPrueba[Código CP],CasoPrueba[Código de REQ])</f>
        <v>INSPECCIÓN</v>
      </c>
    </row>
    <row r="10" spans="1:14" ht="30" customHeight="1">
      <c r="A10" s="34" t="s">
        <v>157</v>
      </c>
      <c r="B10" s="34" t="s">
        <v>88</v>
      </c>
      <c r="C10" s="34" t="str">
        <f>VLOOKUP(Observaciones[Caso de Prueba],CasoPrueba[[#All],[Código CP]:[Prioridad]],7,TRUE)</f>
        <v>Alta</v>
      </c>
      <c r="D10" s="34" t="s">
        <v>208</v>
      </c>
      <c r="E10" s="34" t="s">
        <v>47</v>
      </c>
      <c r="F10" s="78">
        <v>40784</v>
      </c>
      <c r="H10" s="95" t="s">
        <v>131</v>
      </c>
      <c r="I10" s="34" t="s">
        <v>173</v>
      </c>
      <c r="K10" s="34">
        <f>IF((Observaciones[[#This Row],[Fecha Levantamiento]]-Observaciones[[#This Row],[Fecha Detección]])&gt;=0,Observaciones[[#This Row],[Fecha Levantamiento]]-Observaciones[[#This Row],[Fecha Detección]]+1,0)</f>
        <v>0</v>
      </c>
      <c r="L10" s="34" t="str">
        <f>LOOKUP(Observaciones[[#This Row],[Caso de Prueba]],CasoPrueba[Código CP],CasoPrueba[Código de REQ])</f>
        <v>INSPECCIÓN</v>
      </c>
    </row>
    <row r="11" spans="1:14" ht="68.25" customHeight="1">
      <c r="A11" s="34" t="s">
        <v>158</v>
      </c>
      <c r="B11" s="34" t="s">
        <v>88</v>
      </c>
      <c r="C11" s="34" t="str">
        <f>VLOOKUP(Observaciones[Caso de Prueba],CasoPrueba[[#All],[Código CP]:[Prioridad]],7,TRUE)</f>
        <v>Alta</v>
      </c>
      <c r="D11" s="34" t="s">
        <v>208</v>
      </c>
      <c r="E11" s="34" t="s">
        <v>47</v>
      </c>
      <c r="F11" s="78">
        <v>40784</v>
      </c>
      <c r="H11" s="95" t="s">
        <v>131</v>
      </c>
      <c r="I11" s="34" t="s">
        <v>176</v>
      </c>
      <c r="K11" s="34">
        <f>IF((Observaciones[[#This Row],[Fecha Levantamiento]]-Observaciones[[#This Row],[Fecha Detección]])&gt;=0,Observaciones[[#This Row],[Fecha Levantamiento]]-Observaciones[[#This Row],[Fecha Detección]]+1,0)</f>
        <v>0</v>
      </c>
      <c r="L11" s="34" t="str">
        <f>LOOKUP(Observaciones[[#This Row],[Caso de Prueba]],CasoPrueba[Código CP],CasoPrueba[Código de REQ])</f>
        <v>INSPECCIÓN</v>
      </c>
    </row>
    <row r="12" spans="1:14" ht="45" customHeight="1">
      <c r="A12" s="34" t="s">
        <v>209</v>
      </c>
      <c r="B12" s="34" t="s">
        <v>88</v>
      </c>
      <c r="C12" s="34" t="str">
        <f>VLOOKUP(Observaciones[Caso de Prueba],CasoPrueba[[#All],[Código CP]:[Prioridad]],7,TRUE)</f>
        <v>Alta</v>
      </c>
      <c r="D12" s="34" t="s">
        <v>208</v>
      </c>
      <c r="E12" s="34" t="s">
        <v>47</v>
      </c>
      <c r="F12" s="78">
        <v>40784</v>
      </c>
      <c r="H12" s="95" t="s">
        <v>131</v>
      </c>
      <c r="I12" s="34" t="s">
        <v>175</v>
      </c>
      <c r="J12" s="164"/>
      <c r="K12" s="34">
        <f>IF((Observaciones[[#This Row],[Fecha Levantamiento]]-Observaciones[[#This Row],[Fecha Detección]])&gt;=0,Observaciones[[#This Row],[Fecha Levantamiento]]-Observaciones[[#This Row],[Fecha Detección]]+1,0)</f>
        <v>0</v>
      </c>
      <c r="L12" s="34" t="str">
        <f>LOOKUP(Observaciones[[#This Row],[Caso de Prueba]],CasoPrueba[Código CP],CasoPrueba[Código de REQ])</f>
        <v>INSPECCIÓN</v>
      </c>
    </row>
    <row r="13" spans="1:14" ht="33" customHeight="1">
      <c r="A13" s="34" t="s">
        <v>210</v>
      </c>
      <c r="B13" s="34" t="s">
        <v>88</v>
      </c>
      <c r="C13" s="34" t="str">
        <f>VLOOKUP(Observaciones[Caso de Prueba],CasoPrueba[[#All],[Código CP]:[Prioridad]],7,TRUE)</f>
        <v>Alta</v>
      </c>
      <c r="D13" s="34" t="s">
        <v>206</v>
      </c>
      <c r="E13" s="34" t="s">
        <v>47</v>
      </c>
      <c r="F13" s="78">
        <v>40784</v>
      </c>
      <c r="G13" s="165"/>
      <c r="H13" s="95" t="s">
        <v>131</v>
      </c>
      <c r="I13" s="164" t="s">
        <v>174</v>
      </c>
      <c r="J13" s="164"/>
      <c r="K13" s="34">
        <f>IF((Observaciones[[#This Row],[Fecha Levantamiento]]-Observaciones[[#This Row],[Fecha Detección]])&gt;=0,Observaciones[[#This Row],[Fecha Levantamiento]]-Observaciones[[#This Row],[Fecha Detección]]+1,0)</f>
        <v>0</v>
      </c>
      <c r="L13" s="34" t="str">
        <f>LOOKUP(Observaciones[[#This Row],[Caso de Prueba]],CasoPrueba[Código CP],CasoPrueba[Código de REQ])</f>
        <v>INSPECCIÓN</v>
      </c>
    </row>
    <row r="14" spans="1:14" ht="74.25" customHeight="1">
      <c r="A14" s="34" t="s">
        <v>211</v>
      </c>
      <c r="B14" s="34" t="s">
        <v>88</v>
      </c>
      <c r="C14" s="34" t="str">
        <f>VLOOKUP(Observaciones[Caso de Prueba],CasoPrueba[[#All],[Código CP]:[Prioridad]],7,TRUE)</f>
        <v>Alta</v>
      </c>
      <c r="D14" s="34" t="s">
        <v>206</v>
      </c>
      <c r="E14" s="34" t="s">
        <v>47</v>
      </c>
      <c r="F14" s="78">
        <v>40784</v>
      </c>
      <c r="G14" s="165"/>
      <c r="H14" s="95" t="s">
        <v>131</v>
      </c>
      <c r="I14" s="164" t="s">
        <v>177</v>
      </c>
      <c r="J14" s="164"/>
      <c r="K14" s="34">
        <f>IF((Observaciones[[#This Row],[Fecha Levantamiento]]-Observaciones[[#This Row],[Fecha Detección]])&gt;=0,Observaciones[[#This Row],[Fecha Levantamiento]]-Observaciones[[#This Row],[Fecha Detección]]+1,0)</f>
        <v>0</v>
      </c>
      <c r="L14" s="34" t="str">
        <f>LOOKUP(Observaciones[[#This Row],[Caso de Prueba]],CasoPrueba[Código CP],CasoPrueba[Código de REQ])</f>
        <v>INSPECCIÓN</v>
      </c>
    </row>
    <row r="15" spans="1:14" ht="45" customHeight="1">
      <c r="A15" s="34" t="s">
        <v>212</v>
      </c>
      <c r="B15" s="34" t="s">
        <v>178</v>
      </c>
      <c r="C15" s="34" t="str">
        <f>VLOOKUP(Observaciones[Caso de Prueba],CasoPrueba[[#All],[Código CP]:[Prioridad]],7,TRUE)</f>
        <v>Alta</v>
      </c>
      <c r="D15" s="34" t="s">
        <v>206</v>
      </c>
      <c r="E15" s="34" t="s">
        <v>49</v>
      </c>
      <c r="F15" s="78">
        <v>40786</v>
      </c>
      <c r="G15" s="165"/>
      <c r="H15" s="95" t="s">
        <v>131</v>
      </c>
      <c r="I15" s="34" t="s">
        <v>214</v>
      </c>
      <c r="J15" s="164" t="s">
        <v>303</v>
      </c>
      <c r="K15" s="34">
        <v>2</v>
      </c>
      <c r="L15" s="34" t="str">
        <f>LOOKUP(Observaciones[[#This Row],[Caso de Prueba]],CasoPrueba[Código CP],CasoPrueba[Código de REQ])</f>
        <v>INSPECCIÓN</v>
      </c>
    </row>
    <row r="16" spans="1:14" ht="30" customHeight="1">
      <c r="A16" s="34" t="s">
        <v>213</v>
      </c>
      <c r="B16" s="34" t="s">
        <v>178</v>
      </c>
      <c r="C16" s="34" t="str">
        <f>VLOOKUP(Observaciones[Caso de Prueba],CasoPrueba[[#All],[Código CP]:[Prioridad]],7,TRUE)</f>
        <v>Alta</v>
      </c>
      <c r="D16" s="164" t="s">
        <v>207</v>
      </c>
      <c r="E16" s="34" t="s">
        <v>47</v>
      </c>
      <c r="F16" s="78">
        <v>40786</v>
      </c>
      <c r="G16" s="165"/>
      <c r="H16" s="95" t="s">
        <v>131</v>
      </c>
      <c r="I16" s="164" t="s">
        <v>256</v>
      </c>
      <c r="J16" s="164"/>
      <c r="K16" s="34">
        <f>IF((Observaciones[[#This Row],[Fecha Levantamiento]]-Observaciones[[#This Row],[Fecha Detección]])&gt;=0,Observaciones[[#This Row],[Fecha Levantamiento]]-Observaciones[[#This Row],[Fecha Detección]]+1,0)</f>
        <v>0</v>
      </c>
      <c r="L16" s="34" t="str">
        <f>LOOKUP(Observaciones[[#This Row],[Caso de Prueba]],CasoPrueba[Código CP],CasoPrueba[Código de REQ])</f>
        <v>INSPECCIÓN</v>
      </c>
    </row>
    <row r="17" spans="1:12" ht="30" customHeight="1">
      <c r="A17" s="34" t="s">
        <v>215</v>
      </c>
      <c r="B17" s="34" t="s">
        <v>178</v>
      </c>
      <c r="C17" s="34" t="str">
        <f>VLOOKUP(Observaciones[Caso de Prueba],CasoPrueba[[#All],[Código CP]:[Prioridad]],7,TRUE)</f>
        <v>Alta</v>
      </c>
      <c r="D17" s="164" t="s">
        <v>207</v>
      </c>
      <c r="E17" s="34" t="s">
        <v>47</v>
      </c>
      <c r="F17" s="78">
        <v>40786</v>
      </c>
      <c r="G17" s="165"/>
      <c r="H17" s="95" t="s">
        <v>131</v>
      </c>
      <c r="I17" s="164" t="s">
        <v>257</v>
      </c>
      <c r="J17" s="164"/>
      <c r="K17" s="34">
        <f>IF((Observaciones[[#This Row],[Fecha Levantamiento]]-Observaciones[[#This Row],[Fecha Detección]])&gt;=0,Observaciones[[#This Row],[Fecha Levantamiento]]-Observaciones[[#This Row],[Fecha Detección]]+1,0)</f>
        <v>0</v>
      </c>
      <c r="L17" s="34" t="str">
        <f>LOOKUP(Observaciones[[#This Row],[Caso de Prueba]],CasoPrueba[Código CP],CasoPrueba[Código de REQ])</f>
        <v>INSPECCIÓN</v>
      </c>
    </row>
    <row r="18" spans="1:12" ht="45.75" customHeight="1">
      <c r="A18" s="34" t="s">
        <v>216</v>
      </c>
      <c r="B18" s="34" t="s">
        <v>178</v>
      </c>
      <c r="C18" s="34" t="str">
        <f>VLOOKUP(Observaciones[Caso de Prueba],CasoPrueba[[#All],[Código CP]:[Prioridad]],7,TRUE)</f>
        <v>Alta</v>
      </c>
      <c r="D18" s="34" t="s">
        <v>208</v>
      </c>
      <c r="E18" s="34" t="s">
        <v>47</v>
      </c>
      <c r="F18" s="78">
        <v>40786</v>
      </c>
      <c r="H18" s="95" t="s">
        <v>131</v>
      </c>
      <c r="I18" s="34" t="s">
        <v>283</v>
      </c>
      <c r="J18" s="164"/>
      <c r="K18" s="34">
        <f>IF((Observaciones[[#This Row],[Fecha Levantamiento]]-Observaciones[[#This Row],[Fecha Detección]])&gt;=0,Observaciones[[#This Row],[Fecha Levantamiento]]-Observaciones[[#This Row],[Fecha Detección]]+1,0)</f>
        <v>0</v>
      </c>
      <c r="L18" s="34" t="str">
        <f>LOOKUP(Observaciones[[#This Row],[Caso de Prueba]],CasoPrueba[Código CP],CasoPrueba[Código de REQ])</f>
        <v>INSPECCIÓN</v>
      </c>
    </row>
    <row r="19" spans="1:12" ht="45" customHeight="1">
      <c r="A19" s="34" t="s">
        <v>217</v>
      </c>
      <c r="B19" s="34" t="s">
        <v>178</v>
      </c>
      <c r="C19" s="34" t="str">
        <f>VLOOKUP(Observaciones[Caso de Prueba],CasoPrueba[[#All],[Código CP]:[Prioridad]],7,TRUE)</f>
        <v>Alta</v>
      </c>
      <c r="D19" s="34" t="s">
        <v>208</v>
      </c>
      <c r="E19" s="34" t="s">
        <v>47</v>
      </c>
      <c r="F19" s="78">
        <v>40786</v>
      </c>
      <c r="G19" s="165"/>
      <c r="H19" s="95" t="s">
        <v>131</v>
      </c>
      <c r="I19" s="34" t="s">
        <v>262</v>
      </c>
      <c r="J19" s="164"/>
      <c r="K19" s="34">
        <f>IF((Observaciones[[#This Row],[Fecha Levantamiento]]-Observaciones[[#This Row],[Fecha Detección]])&gt;=0,Observaciones[[#This Row],[Fecha Levantamiento]]-Observaciones[[#This Row],[Fecha Detección]]+1,0)</f>
        <v>0</v>
      </c>
      <c r="L19" s="34" t="str">
        <f>LOOKUP(Observaciones[[#This Row],[Caso de Prueba]],CasoPrueba[Código CP],CasoPrueba[Código de REQ])</f>
        <v>INSPECCIÓN</v>
      </c>
    </row>
    <row r="20" spans="1:12" ht="30" customHeight="1">
      <c r="A20" s="34" t="s">
        <v>218</v>
      </c>
      <c r="B20" s="34" t="s">
        <v>178</v>
      </c>
      <c r="C20" s="34" t="str">
        <f>VLOOKUP(Observaciones[Caso de Prueba],CasoPrueba[[#All],[Código CP]:[Prioridad]],7,TRUE)</f>
        <v>Alta</v>
      </c>
      <c r="D20" s="34" t="s">
        <v>208</v>
      </c>
      <c r="E20" s="34" t="s">
        <v>47</v>
      </c>
      <c r="F20" s="78">
        <v>40786</v>
      </c>
      <c r="H20" s="95" t="s">
        <v>131</v>
      </c>
      <c r="I20" s="34" t="s">
        <v>258</v>
      </c>
      <c r="K20" s="34">
        <f>IF((Observaciones[[#This Row],[Fecha Levantamiento]]-Observaciones[[#This Row],[Fecha Detección]])&gt;=0,Observaciones[[#This Row],[Fecha Levantamiento]]-Observaciones[[#This Row],[Fecha Detección]]+1,0)</f>
        <v>0</v>
      </c>
      <c r="L20" s="34" t="str">
        <f>LOOKUP(Observaciones[[#This Row],[Caso de Prueba]],CasoPrueba[Código CP],CasoPrueba[Código de REQ])</f>
        <v>INSPECCIÓN</v>
      </c>
    </row>
    <row r="21" spans="1:12" ht="30" customHeight="1">
      <c r="A21" s="34" t="s">
        <v>219</v>
      </c>
      <c r="B21" s="34" t="s">
        <v>178</v>
      </c>
      <c r="C21" s="34" t="str">
        <f>VLOOKUP(Observaciones[Caso de Prueba],CasoPrueba[[#All],[Código CP]:[Prioridad]],7,TRUE)</f>
        <v>Alta</v>
      </c>
      <c r="D21" s="34" t="s">
        <v>207</v>
      </c>
      <c r="E21" s="34" t="s">
        <v>47</v>
      </c>
      <c r="F21" s="78">
        <v>40786</v>
      </c>
      <c r="H21" s="95" t="s">
        <v>131</v>
      </c>
      <c r="I21" s="34" t="s">
        <v>259</v>
      </c>
      <c r="K21" s="34">
        <f>IF((Observaciones[[#This Row],[Fecha Levantamiento]]-Observaciones[[#This Row],[Fecha Detección]])&gt;=0,Observaciones[[#This Row],[Fecha Levantamiento]]-Observaciones[[#This Row],[Fecha Detección]]+1,0)</f>
        <v>0</v>
      </c>
      <c r="L21" s="34" t="str">
        <f>LOOKUP(Observaciones[[#This Row],[Caso de Prueba]],CasoPrueba[Código CP],CasoPrueba[Código de REQ])</f>
        <v>INSPECCIÓN</v>
      </c>
    </row>
    <row r="22" spans="1:12" ht="15" customHeight="1">
      <c r="A22" s="34" t="s">
        <v>220</v>
      </c>
      <c r="B22" s="34" t="s">
        <v>178</v>
      </c>
      <c r="C22" s="34" t="str">
        <f>VLOOKUP(Observaciones[Caso de Prueba],CasoPrueba[[#All],[Código CP]:[Prioridad]],7,TRUE)</f>
        <v>Alta</v>
      </c>
      <c r="D22" s="34" t="s">
        <v>260</v>
      </c>
      <c r="E22" s="34" t="s">
        <v>47</v>
      </c>
      <c r="F22" s="78">
        <v>40786</v>
      </c>
      <c r="H22" s="95" t="s">
        <v>131</v>
      </c>
      <c r="I22" s="34" t="s">
        <v>261</v>
      </c>
      <c r="K22" s="34">
        <f>IF((Observaciones[[#This Row],[Fecha Levantamiento]]-Observaciones[[#This Row],[Fecha Detección]])&gt;=0,Observaciones[[#This Row],[Fecha Levantamiento]]-Observaciones[[#This Row],[Fecha Detección]]+1,0)</f>
        <v>0</v>
      </c>
      <c r="L22" s="34" t="str">
        <f>LOOKUP(Observaciones[[#This Row],[Caso de Prueba]],CasoPrueba[Código CP],CasoPrueba[Código de REQ])</f>
        <v>INSPECCIÓN</v>
      </c>
    </row>
    <row r="23" spans="1:12" ht="45" customHeight="1">
      <c r="A23" s="34" t="s">
        <v>221</v>
      </c>
      <c r="B23" s="34" t="s">
        <v>179</v>
      </c>
      <c r="C23" s="34" t="str">
        <f>VLOOKUP(Observaciones[Caso de Prueba],CasoPrueba[[#All],[Código CP]:[Prioridad]],7,TRUE)</f>
        <v>Alta</v>
      </c>
      <c r="D23" s="34" t="s">
        <v>206</v>
      </c>
      <c r="E23" s="34" t="s">
        <v>49</v>
      </c>
      <c r="F23" s="78">
        <v>40786</v>
      </c>
      <c r="G23" s="165"/>
      <c r="H23" s="95" t="s">
        <v>131</v>
      </c>
      <c r="I23" s="34" t="s">
        <v>264</v>
      </c>
      <c r="J23" s="34" t="s">
        <v>303</v>
      </c>
      <c r="K23" s="34">
        <v>2</v>
      </c>
      <c r="L23" s="34" t="str">
        <f>LOOKUP(Observaciones[[#This Row],[Caso de Prueba]],CasoPrueba[Código CP],CasoPrueba[Código de REQ])</f>
        <v>INSPECCIÓN</v>
      </c>
    </row>
    <row r="24" spans="1:12" ht="30" customHeight="1">
      <c r="A24" s="34" t="s">
        <v>222</v>
      </c>
      <c r="B24" s="34" t="s">
        <v>179</v>
      </c>
      <c r="C24" s="34" t="str">
        <f>VLOOKUP(Observaciones[Caso de Prueba],CasoPrueba[[#All],[Código CP]:[Prioridad]],7,TRUE)</f>
        <v>Alta</v>
      </c>
      <c r="D24" s="34" t="s">
        <v>208</v>
      </c>
      <c r="E24" s="34" t="s">
        <v>47</v>
      </c>
      <c r="F24" s="78">
        <v>40786</v>
      </c>
      <c r="H24" s="95" t="s">
        <v>131</v>
      </c>
      <c r="I24" s="34" t="s">
        <v>284</v>
      </c>
      <c r="J24" s="34" t="s">
        <v>305</v>
      </c>
      <c r="K24" s="34">
        <v>2</v>
      </c>
      <c r="L24" s="34" t="str">
        <f>LOOKUP(Observaciones[[#This Row],[Caso de Prueba]],CasoPrueba[Código CP],CasoPrueba[Código de REQ])</f>
        <v>INSPECCIÓN</v>
      </c>
    </row>
    <row r="25" spans="1:12" ht="60" customHeight="1">
      <c r="A25" s="34" t="s">
        <v>223</v>
      </c>
      <c r="B25" s="34" t="s">
        <v>179</v>
      </c>
      <c r="C25" s="34" t="str">
        <f>VLOOKUP(Observaciones[Caso de Prueba],CasoPrueba[[#All],[Código CP]:[Prioridad]],7,TRUE)</f>
        <v>Alta</v>
      </c>
      <c r="D25" s="34" t="s">
        <v>208</v>
      </c>
      <c r="E25" s="34" t="s">
        <v>47</v>
      </c>
      <c r="F25" s="78">
        <v>40786</v>
      </c>
      <c r="H25" s="95" t="s">
        <v>131</v>
      </c>
      <c r="I25" s="34" t="s">
        <v>263</v>
      </c>
      <c r="J25" s="34" t="s">
        <v>306</v>
      </c>
      <c r="K25" s="34">
        <v>2</v>
      </c>
      <c r="L25" s="34" t="str">
        <f>LOOKUP(Observaciones[[#This Row],[Caso de Prueba]],CasoPrueba[Código CP],CasoPrueba[Código de REQ])</f>
        <v>INSPECCIÓN</v>
      </c>
    </row>
    <row r="26" spans="1:12" ht="30" customHeight="1">
      <c r="A26" s="34" t="s">
        <v>224</v>
      </c>
      <c r="B26" s="34" t="s">
        <v>179</v>
      </c>
      <c r="C26" s="34" t="str">
        <f>VLOOKUP(Observaciones[Caso de Prueba],CasoPrueba[[#All],[Código CP]:[Prioridad]],7,TRUE)</f>
        <v>Alta</v>
      </c>
      <c r="D26" s="34" t="s">
        <v>207</v>
      </c>
      <c r="E26" s="34" t="s">
        <v>47</v>
      </c>
      <c r="F26" s="78">
        <v>40786</v>
      </c>
      <c r="H26" s="95" t="s">
        <v>131</v>
      </c>
      <c r="I26" s="34" t="s">
        <v>265</v>
      </c>
      <c r="J26" s="34" t="s">
        <v>304</v>
      </c>
      <c r="K26" s="34">
        <v>2</v>
      </c>
      <c r="L26" s="34" t="str">
        <f>LOOKUP(Observaciones[[#This Row],[Caso de Prueba]],CasoPrueba[Código CP],CasoPrueba[Código de REQ])</f>
        <v>INSPECCIÓN</v>
      </c>
    </row>
    <row r="27" spans="1:12" ht="30" customHeight="1">
      <c r="A27" s="34" t="s">
        <v>225</v>
      </c>
      <c r="B27" s="34" t="s">
        <v>180</v>
      </c>
      <c r="C27" s="34" t="str">
        <f>VLOOKUP(Observaciones[Caso de Prueba],CasoPrueba[[#All],[Código CP]:[Prioridad]],7,TRUE)</f>
        <v>Alta</v>
      </c>
      <c r="D27" s="34" t="s">
        <v>206</v>
      </c>
      <c r="E27" s="34" t="s">
        <v>47</v>
      </c>
      <c r="F27" s="78">
        <v>40788</v>
      </c>
      <c r="H27" s="95" t="s">
        <v>131</v>
      </c>
      <c r="I27" s="34" t="s">
        <v>266</v>
      </c>
      <c r="K27" s="34">
        <f>IF((Observaciones[[#This Row],[Fecha Levantamiento]]-Observaciones[[#This Row],[Fecha Detección]])&gt;=0,Observaciones[[#This Row],[Fecha Levantamiento]]-Observaciones[[#This Row],[Fecha Detección]]+1,0)</f>
        <v>0</v>
      </c>
      <c r="L27" s="34" t="str">
        <f>LOOKUP(Observaciones[[#This Row],[Caso de Prueba]],CasoPrueba[Código CP],CasoPrueba[Código de REQ])</f>
        <v>INSPECCIÓN</v>
      </c>
    </row>
    <row r="28" spans="1:12" ht="45" customHeight="1">
      <c r="A28" s="34" t="s">
        <v>226</v>
      </c>
      <c r="B28" s="34" t="s">
        <v>180</v>
      </c>
      <c r="C28" s="34" t="str">
        <f>VLOOKUP(Observaciones[Caso de Prueba],CasoPrueba[[#All],[Código CP]:[Prioridad]],7,TRUE)</f>
        <v>Alta</v>
      </c>
      <c r="D28" s="34" t="s">
        <v>206</v>
      </c>
      <c r="E28" s="34" t="s">
        <v>49</v>
      </c>
      <c r="F28" s="78">
        <v>40788</v>
      </c>
      <c r="G28" s="165"/>
      <c r="H28" s="95" t="s">
        <v>131</v>
      </c>
      <c r="I28" s="34" t="s">
        <v>264</v>
      </c>
      <c r="J28" s="34" t="s">
        <v>303</v>
      </c>
      <c r="K28" s="34">
        <v>2</v>
      </c>
      <c r="L28" s="34" t="str">
        <f>LOOKUP(Observaciones[[#This Row],[Caso de Prueba]],CasoPrueba[Código CP],CasoPrueba[Código de REQ])</f>
        <v>INSPECCIÓN</v>
      </c>
    </row>
    <row r="29" spans="1:12" ht="30" customHeight="1">
      <c r="A29" s="34" t="s">
        <v>227</v>
      </c>
      <c r="B29" s="34" t="s">
        <v>180</v>
      </c>
      <c r="C29" s="34" t="str">
        <f>VLOOKUP(Observaciones[Caso de Prueba],CasoPrueba[[#All],[Código CP]:[Prioridad]],7,TRUE)</f>
        <v>Alta</v>
      </c>
      <c r="D29" s="34" t="s">
        <v>208</v>
      </c>
      <c r="E29" s="34" t="s">
        <v>47</v>
      </c>
      <c r="F29" s="78">
        <v>40788</v>
      </c>
      <c r="H29" s="95" t="s">
        <v>131</v>
      </c>
      <c r="I29" s="34" t="s">
        <v>282</v>
      </c>
      <c r="K29" s="34">
        <f>IF((Observaciones[[#This Row],[Fecha Levantamiento]]-Observaciones[[#This Row],[Fecha Detección]])&gt;=0,Observaciones[[#This Row],[Fecha Levantamiento]]-Observaciones[[#This Row],[Fecha Detección]]+1,0)</f>
        <v>0</v>
      </c>
      <c r="L29" s="34" t="str">
        <f>LOOKUP(Observaciones[[#This Row],[Caso de Prueba]],CasoPrueba[Código CP],CasoPrueba[Código de REQ])</f>
        <v>INSPECCIÓN</v>
      </c>
    </row>
    <row r="30" spans="1:12" ht="45" customHeight="1">
      <c r="A30" s="34" t="s">
        <v>228</v>
      </c>
      <c r="B30" s="34" t="s">
        <v>180</v>
      </c>
      <c r="C30" s="34" t="str">
        <f>VLOOKUP(Observaciones[Caso de Prueba],CasoPrueba[[#All],[Código CP]:[Prioridad]],7,TRUE)</f>
        <v>Alta</v>
      </c>
      <c r="D30" s="34" t="s">
        <v>206</v>
      </c>
      <c r="E30" s="34" t="s">
        <v>47</v>
      </c>
      <c r="F30" s="78">
        <v>40788</v>
      </c>
      <c r="H30" s="95" t="s">
        <v>131</v>
      </c>
      <c r="I30" s="34" t="s">
        <v>267</v>
      </c>
      <c r="K30" s="34">
        <f>IF((Observaciones[[#This Row],[Fecha Levantamiento]]-Observaciones[[#This Row],[Fecha Detección]])&gt;=0,Observaciones[[#This Row],[Fecha Levantamiento]]-Observaciones[[#This Row],[Fecha Detección]]+1,0)</f>
        <v>0</v>
      </c>
      <c r="L30" s="34" t="str">
        <f>LOOKUP(Observaciones[[#This Row],[Caso de Prueba]],CasoPrueba[Código CP],CasoPrueba[Código de REQ])</f>
        <v>INSPECCIÓN</v>
      </c>
    </row>
    <row r="31" spans="1:12" ht="60" customHeight="1">
      <c r="A31" s="34" t="s">
        <v>229</v>
      </c>
      <c r="B31" s="34" t="s">
        <v>180</v>
      </c>
      <c r="C31" s="34" t="str">
        <f>VLOOKUP(Observaciones[Caso de Prueba],CasoPrueba[[#All],[Código CP]:[Prioridad]],7,TRUE)</f>
        <v>Alta</v>
      </c>
      <c r="D31" s="34" t="s">
        <v>208</v>
      </c>
      <c r="E31" s="34" t="s">
        <v>47</v>
      </c>
      <c r="F31" s="78">
        <v>40788</v>
      </c>
      <c r="H31" s="95" t="s">
        <v>131</v>
      </c>
      <c r="I31" s="34" t="s">
        <v>268</v>
      </c>
      <c r="K31" s="34">
        <f>IF((Observaciones[[#This Row],[Fecha Levantamiento]]-Observaciones[[#This Row],[Fecha Detección]])&gt;=0,Observaciones[[#This Row],[Fecha Levantamiento]]-Observaciones[[#This Row],[Fecha Detección]]+1,0)</f>
        <v>0</v>
      </c>
      <c r="L31" s="34" t="str">
        <f>LOOKUP(Observaciones[[#This Row],[Caso de Prueba]],CasoPrueba[Código CP],CasoPrueba[Código de REQ])</f>
        <v>INSPECCIÓN</v>
      </c>
    </row>
    <row r="32" spans="1:12" ht="30" customHeight="1">
      <c r="A32" s="34" t="s">
        <v>230</v>
      </c>
      <c r="B32" s="34" t="s">
        <v>180</v>
      </c>
      <c r="C32" s="34" t="str">
        <f>VLOOKUP(Observaciones[Caso de Prueba],CasoPrueba[[#All],[Código CP]:[Prioridad]],7,TRUE)</f>
        <v>Alta</v>
      </c>
      <c r="D32" s="34" t="s">
        <v>208</v>
      </c>
      <c r="E32" s="34" t="s">
        <v>47</v>
      </c>
      <c r="F32" s="78">
        <v>40788</v>
      </c>
      <c r="H32" s="95" t="s">
        <v>131</v>
      </c>
      <c r="I32" s="34" t="s">
        <v>269</v>
      </c>
      <c r="K32" s="34">
        <f>IF((Observaciones[[#This Row],[Fecha Levantamiento]]-Observaciones[[#This Row],[Fecha Detección]])&gt;=0,Observaciones[[#This Row],[Fecha Levantamiento]]-Observaciones[[#This Row],[Fecha Detección]]+1,0)</f>
        <v>0</v>
      </c>
      <c r="L32" s="34" t="str">
        <f>LOOKUP(Observaciones[[#This Row],[Caso de Prueba]],CasoPrueba[Código CP],CasoPrueba[Código de REQ])</f>
        <v>INSPECCIÓN</v>
      </c>
    </row>
    <row r="33" spans="1:12" ht="30" customHeight="1">
      <c r="A33" s="34" t="s">
        <v>231</v>
      </c>
      <c r="B33" s="34" t="s">
        <v>180</v>
      </c>
      <c r="C33" s="34" t="str">
        <f>VLOOKUP(Observaciones[Caso de Prueba],CasoPrueba[[#All],[Código CP]:[Prioridad]],7,TRUE)</f>
        <v>Alta</v>
      </c>
      <c r="D33" s="34" t="s">
        <v>208</v>
      </c>
      <c r="E33" s="34" t="s">
        <v>47</v>
      </c>
      <c r="F33" s="78">
        <v>40788</v>
      </c>
      <c r="H33" s="95" t="s">
        <v>131</v>
      </c>
      <c r="I33" s="34" t="s">
        <v>272</v>
      </c>
      <c r="K33" s="34">
        <f>IF((Observaciones[[#This Row],[Fecha Levantamiento]]-Observaciones[[#This Row],[Fecha Detección]])&gt;=0,Observaciones[[#This Row],[Fecha Levantamiento]]-Observaciones[[#This Row],[Fecha Detección]]+1,0)</f>
        <v>0</v>
      </c>
      <c r="L33" s="34" t="str">
        <f>LOOKUP(Observaciones[[#This Row],[Caso de Prueba]],CasoPrueba[Código CP],CasoPrueba[Código de REQ])</f>
        <v>INSPECCIÓN</v>
      </c>
    </row>
    <row r="34" spans="1:12" ht="45" customHeight="1">
      <c r="A34" s="34" t="s">
        <v>232</v>
      </c>
      <c r="B34" s="34" t="s">
        <v>180</v>
      </c>
      <c r="C34" s="34" t="str">
        <f>VLOOKUP(Observaciones[Caso de Prueba],CasoPrueba[[#All],[Código CP]:[Prioridad]],7,TRUE)</f>
        <v>Alta</v>
      </c>
      <c r="D34" s="34" t="s">
        <v>208</v>
      </c>
      <c r="E34" s="34" t="s">
        <v>47</v>
      </c>
      <c r="F34" s="78">
        <v>40788</v>
      </c>
      <c r="H34" s="95" t="s">
        <v>131</v>
      </c>
      <c r="I34" s="34" t="s">
        <v>270</v>
      </c>
      <c r="K34" s="34">
        <f>IF((Observaciones[[#This Row],[Fecha Levantamiento]]-Observaciones[[#This Row],[Fecha Detección]])&gt;=0,Observaciones[[#This Row],[Fecha Levantamiento]]-Observaciones[[#This Row],[Fecha Detección]]+1,0)</f>
        <v>0</v>
      </c>
      <c r="L34" s="34" t="str">
        <f>LOOKUP(Observaciones[[#This Row],[Caso de Prueba]],CasoPrueba[Código CP],CasoPrueba[Código de REQ])</f>
        <v>INSPECCIÓN</v>
      </c>
    </row>
    <row r="35" spans="1:12" ht="30" customHeight="1">
      <c r="A35" s="34" t="s">
        <v>233</v>
      </c>
      <c r="B35" s="34" t="s">
        <v>180</v>
      </c>
      <c r="C35" s="34" t="str">
        <f>VLOOKUP(Observaciones[Caso de Prueba],CasoPrueba[[#All],[Código CP]:[Prioridad]],7,TRUE)</f>
        <v>Alta</v>
      </c>
      <c r="D35" s="34" t="s">
        <v>207</v>
      </c>
      <c r="E35" s="34" t="s">
        <v>47</v>
      </c>
      <c r="F35" s="78">
        <v>40788</v>
      </c>
      <c r="H35" s="95" t="s">
        <v>131</v>
      </c>
      <c r="I35" s="34" t="s">
        <v>271</v>
      </c>
      <c r="K35" s="34">
        <f>IF((Observaciones[[#This Row],[Fecha Levantamiento]]-Observaciones[[#This Row],[Fecha Detección]])&gt;=0,Observaciones[[#This Row],[Fecha Levantamiento]]-Observaciones[[#This Row],[Fecha Detección]]+1,0)</f>
        <v>0</v>
      </c>
      <c r="L35" s="34" t="str">
        <f>LOOKUP(Observaciones[[#This Row],[Caso de Prueba]],CasoPrueba[Código CP],CasoPrueba[Código de REQ])</f>
        <v>INSPECCIÓN</v>
      </c>
    </row>
    <row r="36" spans="1:12" ht="30" customHeight="1">
      <c r="A36" s="34" t="s">
        <v>234</v>
      </c>
      <c r="B36" s="34" t="s">
        <v>180</v>
      </c>
      <c r="C36" s="34" t="str">
        <f>VLOOKUP(Observaciones[Caso de Prueba],CasoPrueba[[#All],[Código CP]:[Prioridad]],7,TRUE)</f>
        <v>Alta</v>
      </c>
      <c r="D36" s="34" t="s">
        <v>206</v>
      </c>
      <c r="E36" s="34" t="s">
        <v>47</v>
      </c>
      <c r="F36" s="78">
        <v>40788</v>
      </c>
      <c r="H36" s="95" t="s">
        <v>131</v>
      </c>
      <c r="I36" s="34" t="s">
        <v>273</v>
      </c>
      <c r="K36" s="34">
        <f>IF((Observaciones[[#This Row],[Fecha Levantamiento]]-Observaciones[[#This Row],[Fecha Detección]])&gt;=0,Observaciones[[#This Row],[Fecha Levantamiento]]-Observaciones[[#This Row],[Fecha Detección]]+1,0)</f>
        <v>0</v>
      </c>
      <c r="L36" s="34" t="str">
        <f>LOOKUP(Observaciones[[#This Row],[Caso de Prueba]],CasoPrueba[Código CP],CasoPrueba[Código de REQ])</f>
        <v>INSPECCIÓN</v>
      </c>
    </row>
    <row r="37" spans="1:12" ht="30" customHeight="1">
      <c r="A37" s="34" t="s">
        <v>235</v>
      </c>
      <c r="B37" s="34" t="s">
        <v>180</v>
      </c>
      <c r="C37" s="34" t="str">
        <f>VLOOKUP(Observaciones[Caso de Prueba],CasoPrueba[[#All],[Código CP]:[Prioridad]],7,TRUE)</f>
        <v>Alta</v>
      </c>
      <c r="D37" s="34" t="s">
        <v>208</v>
      </c>
      <c r="E37" s="34" t="s">
        <v>47</v>
      </c>
      <c r="F37" s="78">
        <v>40788</v>
      </c>
      <c r="H37" s="95" t="s">
        <v>131</v>
      </c>
      <c r="I37" s="34" t="s">
        <v>274</v>
      </c>
      <c r="K37" s="34">
        <f>IF((Observaciones[[#This Row],[Fecha Levantamiento]]-Observaciones[[#This Row],[Fecha Detección]])&gt;=0,Observaciones[[#This Row],[Fecha Levantamiento]]-Observaciones[[#This Row],[Fecha Detección]]+1,0)</f>
        <v>0</v>
      </c>
      <c r="L37" s="34" t="str">
        <f>LOOKUP(Observaciones[[#This Row],[Caso de Prueba]],CasoPrueba[Código CP],CasoPrueba[Código de REQ])</f>
        <v>INSPECCIÓN</v>
      </c>
    </row>
    <row r="38" spans="1:12" ht="45" customHeight="1">
      <c r="A38" s="34" t="s">
        <v>236</v>
      </c>
      <c r="B38" s="34" t="s">
        <v>181</v>
      </c>
      <c r="C38" s="34" t="str">
        <f>VLOOKUP(Observaciones[Caso de Prueba],CasoPrueba[[#All],[Código CP]:[Prioridad]],7,TRUE)</f>
        <v>Alta</v>
      </c>
      <c r="D38" s="34" t="s">
        <v>206</v>
      </c>
      <c r="E38" s="34" t="s">
        <v>49</v>
      </c>
      <c r="F38" s="78">
        <v>40788</v>
      </c>
      <c r="G38" s="165"/>
      <c r="H38" s="95" t="s">
        <v>131</v>
      </c>
      <c r="I38" s="34" t="s">
        <v>264</v>
      </c>
      <c r="J38" s="34" t="s">
        <v>303</v>
      </c>
      <c r="K38" s="34">
        <v>2</v>
      </c>
      <c r="L38" s="34" t="str">
        <f>LOOKUP(Observaciones[[#This Row],[Caso de Prueba]],CasoPrueba[Código CP],CasoPrueba[Código de REQ])</f>
        <v>INSPECCIÓN</v>
      </c>
    </row>
    <row r="39" spans="1:12" ht="30">
      <c r="A39" s="34" t="s">
        <v>237</v>
      </c>
      <c r="B39" s="34" t="s">
        <v>181</v>
      </c>
      <c r="C39" s="34" t="str">
        <f>VLOOKUP(Observaciones[Caso de Prueba],CasoPrueba[[#All],[Código CP]:[Prioridad]],7,TRUE)</f>
        <v>Alta</v>
      </c>
      <c r="D39" s="34" t="s">
        <v>208</v>
      </c>
      <c r="E39" s="34" t="s">
        <v>47</v>
      </c>
      <c r="F39" s="78">
        <v>40788</v>
      </c>
      <c r="H39" s="95" t="s">
        <v>131</v>
      </c>
      <c r="I39" s="34" t="s">
        <v>281</v>
      </c>
      <c r="J39" s="34" t="s">
        <v>305</v>
      </c>
      <c r="K39" s="34">
        <v>2</v>
      </c>
      <c r="L39" s="34" t="str">
        <f>LOOKUP(Observaciones[[#This Row],[Caso de Prueba]],CasoPrueba[Código CP],CasoPrueba[Código de REQ])</f>
        <v>INSPECCIÓN</v>
      </c>
    </row>
    <row r="40" spans="1:12" ht="60">
      <c r="A40" s="34" t="s">
        <v>238</v>
      </c>
      <c r="B40" s="34" t="s">
        <v>181</v>
      </c>
      <c r="C40" s="34" t="str">
        <f>VLOOKUP(Observaciones[Caso de Prueba],CasoPrueba[[#All],[Código CP]:[Prioridad]],7,TRUE)</f>
        <v>Alta</v>
      </c>
      <c r="D40" s="34" t="s">
        <v>208</v>
      </c>
      <c r="E40" s="34" t="s">
        <v>47</v>
      </c>
      <c r="F40" s="78">
        <v>40788</v>
      </c>
      <c r="H40" s="95" t="s">
        <v>131</v>
      </c>
      <c r="I40" s="34" t="s">
        <v>275</v>
      </c>
      <c r="J40" s="34" t="s">
        <v>306</v>
      </c>
      <c r="K40" s="34">
        <v>2</v>
      </c>
      <c r="L40" s="34" t="str">
        <f>LOOKUP(Observaciones[[#This Row],[Caso de Prueba]],CasoPrueba[Código CP],CasoPrueba[Código de REQ])</f>
        <v>INSPECCIÓN</v>
      </c>
    </row>
    <row r="41" spans="1:12" ht="45" customHeight="1">
      <c r="A41" s="34" t="s">
        <v>239</v>
      </c>
      <c r="B41" s="34" t="s">
        <v>182</v>
      </c>
      <c r="C41" s="34" t="str">
        <f>VLOOKUP(Observaciones[Caso de Prueba],CasoPrueba[[#All],[Código CP]:[Prioridad]],7,TRUE)</f>
        <v>Alta</v>
      </c>
      <c r="D41" s="34" t="s">
        <v>206</v>
      </c>
      <c r="E41" s="34" t="s">
        <v>49</v>
      </c>
      <c r="F41" s="78">
        <v>40788</v>
      </c>
      <c r="G41" s="165"/>
      <c r="H41" s="95" t="s">
        <v>131</v>
      </c>
      <c r="I41" s="34" t="s">
        <v>264</v>
      </c>
      <c r="J41" s="34" t="s">
        <v>303</v>
      </c>
      <c r="K41" s="34">
        <v>2</v>
      </c>
      <c r="L41" s="34" t="str">
        <f>LOOKUP(Observaciones[[#This Row],[Caso de Prueba]],CasoPrueba[Código CP],CasoPrueba[Código de REQ])</f>
        <v>INSPECCIÓN</v>
      </c>
    </row>
    <row r="42" spans="1:12" ht="30">
      <c r="A42" s="34" t="s">
        <v>240</v>
      </c>
      <c r="B42" s="34" t="s">
        <v>182</v>
      </c>
      <c r="C42" s="34" t="str">
        <f>VLOOKUP(Observaciones[Caso de Prueba],CasoPrueba[[#All],[Código CP]:[Prioridad]],7,TRUE)</f>
        <v>Alta</v>
      </c>
      <c r="D42" s="34" t="s">
        <v>208</v>
      </c>
      <c r="E42" s="34" t="s">
        <v>47</v>
      </c>
      <c r="F42" s="78">
        <v>40788</v>
      </c>
      <c r="H42" s="95" t="s">
        <v>131</v>
      </c>
      <c r="I42" s="34" t="s">
        <v>281</v>
      </c>
      <c r="J42" s="34" t="s">
        <v>305</v>
      </c>
      <c r="K42" s="34">
        <v>2</v>
      </c>
      <c r="L42" s="34" t="str">
        <f>LOOKUP(Observaciones[[#This Row],[Caso de Prueba]],CasoPrueba[Código CP],CasoPrueba[Código de REQ])</f>
        <v>INSPECCIÓN</v>
      </c>
    </row>
    <row r="43" spans="1:12" ht="45" customHeight="1">
      <c r="A43" s="34" t="s">
        <v>241</v>
      </c>
      <c r="B43" s="34" t="s">
        <v>183</v>
      </c>
      <c r="C43" s="34" t="str">
        <f>VLOOKUP(Observaciones[Caso de Prueba],CasoPrueba[[#All],[Código CP]:[Prioridad]],7,TRUE)</f>
        <v>Alta</v>
      </c>
      <c r="D43" s="34" t="s">
        <v>206</v>
      </c>
      <c r="E43" s="34" t="s">
        <v>49</v>
      </c>
      <c r="F43" s="78">
        <v>40789</v>
      </c>
      <c r="G43" s="165"/>
      <c r="H43" s="95" t="s">
        <v>131</v>
      </c>
      <c r="I43" s="34" t="s">
        <v>264</v>
      </c>
      <c r="J43" s="34" t="s">
        <v>303</v>
      </c>
      <c r="K43" s="34">
        <v>2</v>
      </c>
      <c r="L43" s="34" t="str">
        <f>LOOKUP(Observaciones[[#This Row],[Caso de Prueba]],CasoPrueba[Código CP],CasoPrueba[Código de REQ])</f>
        <v>INSPECCIÓN</v>
      </c>
    </row>
    <row r="44" spans="1:12" ht="30">
      <c r="A44" s="34" t="s">
        <v>242</v>
      </c>
      <c r="B44" s="34" t="s">
        <v>183</v>
      </c>
      <c r="C44" s="34" t="str">
        <f>VLOOKUP(Observaciones[Caso de Prueba],CasoPrueba[[#All],[Código CP]:[Prioridad]],7,TRUE)</f>
        <v>Alta</v>
      </c>
      <c r="D44" s="34" t="s">
        <v>206</v>
      </c>
      <c r="E44" s="34" t="s">
        <v>47</v>
      </c>
      <c r="F44" s="78">
        <v>40789</v>
      </c>
      <c r="H44" s="95" t="s">
        <v>131</v>
      </c>
      <c r="I44" s="34" t="s">
        <v>276</v>
      </c>
      <c r="J44" s="34" t="s">
        <v>307</v>
      </c>
      <c r="K44" s="34">
        <v>2</v>
      </c>
      <c r="L44" s="34" t="str">
        <f>LOOKUP(Observaciones[[#This Row],[Caso de Prueba]],CasoPrueba[Código CP],CasoPrueba[Código de REQ])</f>
        <v>INSPECCIÓN</v>
      </c>
    </row>
    <row r="45" spans="1:12" ht="45">
      <c r="A45" s="34" t="s">
        <v>243</v>
      </c>
      <c r="B45" s="34" t="s">
        <v>183</v>
      </c>
      <c r="C45" s="34" t="str">
        <f>VLOOKUP(Observaciones[Caso de Prueba],CasoPrueba[[#All],[Código CP]:[Prioridad]],7,TRUE)</f>
        <v>Alta</v>
      </c>
      <c r="D45" s="34" t="s">
        <v>208</v>
      </c>
      <c r="E45" s="34" t="s">
        <v>47</v>
      </c>
      <c r="F45" s="78">
        <v>40789</v>
      </c>
      <c r="H45" s="95" t="s">
        <v>131</v>
      </c>
      <c r="I45" s="34" t="s">
        <v>279</v>
      </c>
      <c r="J45" s="34" t="s">
        <v>306</v>
      </c>
      <c r="K45" s="34">
        <v>2</v>
      </c>
      <c r="L45" s="34" t="str">
        <f>LOOKUP(Observaciones[[#This Row],[Caso de Prueba]],CasoPrueba[Código CP],CasoPrueba[Código de REQ])</f>
        <v>INSPECCIÓN</v>
      </c>
    </row>
    <row r="46" spans="1:12" ht="30">
      <c r="A46" s="34" t="s">
        <v>244</v>
      </c>
      <c r="B46" s="34" t="s">
        <v>183</v>
      </c>
      <c r="C46" s="34" t="str">
        <f>VLOOKUP(Observaciones[Caso de Prueba],CasoPrueba[[#All],[Código CP]:[Prioridad]],7,TRUE)</f>
        <v>Alta</v>
      </c>
      <c r="D46" s="34" t="s">
        <v>206</v>
      </c>
      <c r="E46" s="34" t="s">
        <v>47</v>
      </c>
      <c r="F46" s="78">
        <v>40789</v>
      </c>
      <c r="H46" s="95" t="s">
        <v>131</v>
      </c>
      <c r="I46" s="34" t="s">
        <v>277</v>
      </c>
      <c r="J46" s="34" t="s">
        <v>308</v>
      </c>
      <c r="K46" s="34">
        <v>2</v>
      </c>
      <c r="L46" s="34" t="str">
        <f>LOOKUP(Observaciones[[#This Row],[Caso de Prueba]],CasoPrueba[Código CP],CasoPrueba[Código de REQ])</f>
        <v>INSPECCIÓN</v>
      </c>
    </row>
    <row r="47" spans="1:12" ht="60">
      <c r="A47" s="34" t="s">
        <v>245</v>
      </c>
      <c r="B47" s="34" t="s">
        <v>183</v>
      </c>
      <c r="C47" s="34" t="str">
        <f>VLOOKUP(Observaciones[Caso de Prueba],CasoPrueba[[#All],[Código CP]:[Prioridad]],7,TRUE)</f>
        <v>Alta</v>
      </c>
      <c r="D47" s="34" t="s">
        <v>206</v>
      </c>
      <c r="E47" s="34" t="s">
        <v>47</v>
      </c>
      <c r="F47" s="78">
        <v>40789</v>
      </c>
      <c r="H47" s="95" t="s">
        <v>131</v>
      </c>
      <c r="I47" s="34" t="s">
        <v>278</v>
      </c>
      <c r="J47" s="34" t="s">
        <v>309</v>
      </c>
      <c r="K47" s="34">
        <v>2</v>
      </c>
      <c r="L47" s="34" t="str">
        <f>LOOKUP(Observaciones[[#This Row],[Caso de Prueba]],CasoPrueba[Código CP],CasoPrueba[Código de REQ])</f>
        <v>INSPECCIÓN</v>
      </c>
    </row>
    <row r="48" spans="1:12" ht="30">
      <c r="A48" s="34" t="s">
        <v>246</v>
      </c>
      <c r="B48" s="34" t="s">
        <v>183</v>
      </c>
      <c r="C48" s="34" t="str">
        <f>VLOOKUP(Observaciones[Caso de Prueba],CasoPrueba[[#All],[Código CP]:[Prioridad]],7,TRUE)</f>
        <v>Alta</v>
      </c>
      <c r="D48" s="34" t="s">
        <v>208</v>
      </c>
      <c r="E48" s="34" t="s">
        <v>47</v>
      </c>
      <c r="F48" s="78">
        <v>40789</v>
      </c>
      <c r="H48" s="95" t="s">
        <v>131</v>
      </c>
      <c r="I48" s="34" t="s">
        <v>280</v>
      </c>
      <c r="J48" s="34" t="s">
        <v>310</v>
      </c>
      <c r="K48" s="34">
        <v>2</v>
      </c>
      <c r="L48" s="34" t="str">
        <f>LOOKUP(Observaciones[[#This Row],[Caso de Prueba]],CasoPrueba[Código CP],CasoPrueba[Código de REQ])</f>
        <v>INSPECCIÓN</v>
      </c>
    </row>
    <row r="49" spans="1:12" ht="45" customHeight="1">
      <c r="A49" s="34" t="s">
        <v>247</v>
      </c>
      <c r="B49" s="34" t="s">
        <v>184</v>
      </c>
      <c r="C49" s="34" t="str">
        <f>VLOOKUP(Observaciones[Caso de Prueba],CasoPrueba[[#All],[Código CP]:[Prioridad]],7,TRUE)</f>
        <v>Alta</v>
      </c>
      <c r="D49" s="34" t="s">
        <v>206</v>
      </c>
      <c r="E49" s="34" t="s">
        <v>49</v>
      </c>
      <c r="F49" s="78">
        <v>40789</v>
      </c>
      <c r="H49" s="95" t="s">
        <v>131</v>
      </c>
      <c r="I49" s="34" t="s">
        <v>264</v>
      </c>
      <c r="J49" s="34" t="s">
        <v>303</v>
      </c>
      <c r="K49" s="34">
        <v>2</v>
      </c>
      <c r="L49" s="34" t="str">
        <f>LOOKUP(Observaciones[[#This Row],[Caso de Prueba]],CasoPrueba[Código CP],CasoPrueba[Código de REQ])</f>
        <v>INSPECCIÓN</v>
      </c>
    </row>
    <row r="50" spans="1:12" ht="30" customHeight="1">
      <c r="A50" s="34" t="s">
        <v>248</v>
      </c>
      <c r="B50" s="34" t="s">
        <v>184</v>
      </c>
      <c r="C50" s="34" t="str">
        <f>VLOOKUP(Observaciones[Caso de Prueba],CasoPrueba[[#All],[Código CP]:[Prioridad]],7,TRUE)</f>
        <v>Alta</v>
      </c>
      <c r="D50" s="34" t="s">
        <v>207</v>
      </c>
      <c r="E50" s="34" t="s">
        <v>47</v>
      </c>
      <c r="F50" s="78">
        <v>40789</v>
      </c>
      <c r="H50" s="95" t="s">
        <v>131</v>
      </c>
      <c r="I50" s="34" t="s">
        <v>291</v>
      </c>
      <c r="K50" s="34">
        <f>IF((Observaciones[[#This Row],[Fecha Levantamiento]]-Observaciones[[#This Row],[Fecha Detección]])&gt;=0,Observaciones[[#This Row],[Fecha Levantamiento]]-Observaciones[[#This Row],[Fecha Detección]]+1,0)</f>
        <v>0</v>
      </c>
      <c r="L50" s="34" t="str">
        <f>LOOKUP(Observaciones[[#This Row],[Caso de Prueba]],CasoPrueba[Código CP],CasoPrueba[Código de REQ])</f>
        <v>INSPECCIÓN</v>
      </c>
    </row>
    <row r="51" spans="1:12" ht="30" customHeight="1">
      <c r="A51" s="34" t="s">
        <v>249</v>
      </c>
      <c r="B51" s="34" t="s">
        <v>184</v>
      </c>
      <c r="C51" s="34" t="str">
        <f>VLOOKUP(Observaciones[Caso de Prueba],CasoPrueba[[#All],[Código CP]:[Prioridad]],7,TRUE)</f>
        <v>Alta</v>
      </c>
      <c r="D51" s="34" t="s">
        <v>208</v>
      </c>
      <c r="E51" s="34" t="s">
        <v>47</v>
      </c>
      <c r="F51" s="78">
        <v>40789</v>
      </c>
      <c r="H51" s="95" t="s">
        <v>131</v>
      </c>
      <c r="I51" s="34" t="s">
        <v>285</v>
      </c>
      <c r="K51" s="34">
        <f>IF((Observaciones[[#This Row],[Fecha Levantamiento]]-Observaciones[[#This Row],[Fecha Detección]])&gt;=0,Observaciones[[#This Row],[Fecha Levantamiento]]-Observaciones[[#This Row],[Fecha Detección]]+1,0)</f>
        <v>0</v>
      </c>
      <c r="L51" s="34" t="str">
        <f>LOOKUP(Observaciones[[#This Row],[Caso de Prueba]],CasoPrueba[Código CP],CasoPrueba[Código de REQ])</f>
        <v>INSPECCIÓN</v>
      </c>
    </row>
    <row r="52" spans="1:12" ht="45" customHeight="1">
      <c r="A52" s="34" t="s">
        <v>250</v>
      </c>
      <c r="B52" s="34" t="s">
        <v>184</v>
      </c>
      <c r="C52" s="34" t="str">
        <f>VLOOKUP(Observaciones[Caso de Prueba],CasoPrueba[[#All],[Código CP]:[Prioridad]],7,TRUE)</f>
        <v>Alta</v>
      </c>
      <c r="D52" s="34" t="s">
        <v>208</v>
      </c>
      <c r="E52" s="34" t="s">
        <v>47</v>
      </c>
      <c r="F52" s="78">
        <v>40789</v>
      </c>
      <c r="H52" s="95" t="s">
        <v>131</v>
      </c>
      <c r="I52" s="34" t="s">
        <v>286</v>
      </c>
      <c r="K52" s="34">
        <f>IF((Observaciones[[#This Row],[Fecha Levantamiento]]-Observaciones[[#This Row],[Fecha Detección]])&gt;=0,Observaciones[[#This Row],[Fecha Levantamiento]]-Observaciones[[#This Row],[Fecha Detección]]+1,0)</f>
        <v>0</v>
      </c>
      <c r="L52" s="34" t="str">
        <f>LOOKUP(Observaciones[[#This Row],[Caso de Prueba]],CasoPrueba[Código CP],CasoPrueba[Código de REQ])</f>
        <v>INSPECCIÓN</v>
      </c>
    </row>
    <row r="53" spans="1:12" ht="45" customHeight="1">
      <c r="A53" s="34" t="s">
        <v>251</v>
      </c>
      <c r="B53" s="34" t="s">
        <v>185</v>
      </c>
      <c r="C53" s="34" t="str">
        <f>VLOOKUP(Observaciones[Caso de Prueba],CasoPrueba[[#All],[Código CP]:[Prioridad]],7,TRUE)</f>
        <v>Alta</v>
      </c>
      <c r="D53" s="34" t="s">
        <v>206</v>
      </c>
      <c r="E53" s="34" t="s">
        <v>49</v>
      </c>
      <c r="F53" s="78">
        <v>40791</v>
      </c>
      <c r="H53" s="95" t="s">
        <v>131</v>
      </c>
      <c r="I53" s="34" t="s">
        <v>264</v>
      </c>
      <c r="J53" s="34" t="s">
        <v>303</v>
      </c>
      <c r="K53" s="34">
        <v>2</v>
      </c>
      <c r="L53" s="34" t="str">
        <f>LOOKUP(Observaciones[[#This Row],[Caso de Prueba]],CasoPrueba[Código CP],CasoPrueba[Código de REQ])</f>
        <v>INSPECCIÓN</v>
      </c>
    </row>
    <row r="54" spans="1:12" ht="30">
      <c r="A54" s="34" t="s">
        <v>252</v>
      </c>
      <c r="B54" s="34" t="s">
        <v>185</v>
      </c>
      <c r="C54" s="34" t="str">
        <f>VLOOKUP(Observaciones[Caso de Prueba],CasoPrueba[[#All],[Código CP]:[Prioridad]],7,TRUE)</f>
        <v>Alta</v>
      </c>
      <c r="D54" s="34" t="s">
        <v>206</v>
      </c>
      <c r="E54" s="34" t="s">
        <v>47</v>
      </c>
      <c r="F54" s="78">
        <v>40791</v>
      </c>
      <c r="H54" s="95" t="s">
        <v>131</v>
      </c>
      <c r="I54" s="34" t="s">
        <v>277</v>
      </c>
      <c r="J54" s="34" t="s">
        <v>308</v>
      </c>
      <c r="K54" s="34">
        <v>2</v>
      </c>
      <c r="L54" s="34" t="str">
        <f>LOOKUP(Observaciones[[#This Row],[Caso de Prueba]],CasoPrueba[Código CP],CasoPrueba[Código de REQ])</f>
        <v>INSPECCIÓN</v>
      </c>
    </row>
    <row r="55" spans="1:12" ht="45">
      <c r="A55" s="34" t="s">
        <v>253</v>
      </c>
      <c r="B55" s="34" t="s">
        <v>185</v>
      </c>
      <c r="C55" s="34" t="str">
        <f>VLOOKUP(Observaciones[Caso de Prueba],CasoPrueba[[#All],[Código CP]:[Prioridad]],7,TRUE)</f>
        <v>Alta</v>
      </c>
      <c r="D55" s="34" t="s">
        <v>208</v>
      </c>
      <c r="E55" s="34" t="s">
        <v>47</v>
      </c>
      <c r="F55" s="78">
        <v>40791</v>
      </c>
      <c r="H55" s="95" t="s">
        <v>131</v>
      </c>
      <c r="I55" s="34" t="s">
        <v>287</v>
      </c>
      <c r="J55" s="34" t="s">
        <v>306</v>
      </c>
      <c r="K55" s="34">
        <v>2</v>
      </c>
      <c r="L55" s="34" t="str">
        <f>LOOKUP(Observaciones[[#This Row],[Caso de Prueba]],CasoPrueba[Código CP],CasoPrueba[Código de REQ])</f>
        <v>INSPECCIÓN</v>
      </c>
    </row>
    <row r="56" spans="1:12" ht="45">
      <c r="A56" s="34" t="s">
        <v>254</v>
      </c>
      <c r="B56" s="34" t="s">
        <v>185</v>
      </c>
      <c r="C56" s="34" t="str">
        <f>VLOOKUP(Observaciones[Caso de Prueba],CasoPrueba[[#All],[Código CP]:[Prioridad]],7,TRUE)</f>
        <v>Alta</v>
      </c>
      <c r="D56" s="34" t="s">
        <v>207</v>
      </c>
      <c r="E56" s="34" t="s">
        <v>47</v>
      </c>
      <c r="F56" s="78">
        <v>40791</v>
      </c>
      <c r="H56" s="95" t="s">
        <v>131</v>
      </c>
      <c r="I56" s="34" t="s">
        <v>288</v>
      </c>
      <c r="J56" s="34" t="s">
        <v>304</v>
      </c>
      <c r="K56" s="34">
        <v>2</v>
      </c>
      <c r="L56" s="34" t="str">
        <f>LOOKUP(Observaciones[[#This Row],[Caso de Prueba]],CasoPrueba[Código CP],CasoPrueba[Código de REQ])</f>
        <v>INSPECCIÓN</v>
      </c>
    </row>
    <row r="57" spans="1:12" ht="30">
      <c r="A57" s="34" t="s">
        <v>255</v>
      </c>
      <c r="B57" s="34" t="s">
        <v>185</v>
      </c>
      <c r="C57" s="34" t="str">
        <f>VLOOKUP(Observaciones[Caso de Prueba],CasoPrueba[[#All],[Código CP]:[Prioridad]],7,TRUE)</f>
        <v>Alta</v>
      </c>
      <c r="D57" s="34" t="s">
        <v>208</v>
      </c>
      <c r="E57" s="34" t="s">
        <v>47</v>
      </c>
      <c r="F57" s="78">
        <v>40791</v>
      </c>
      <c r="H57" s="95" t="s">
        <v>131</v>
      </c>
      <c r="I57" s="34" t="s">
        <v>280</v>
      </c>
      <c r="J57" s="34" t="s">
        <v>310</v>
      </c>
      <c r="K57" s="34">
        <v>2</v>
      </c>
      <c r="L57" s="34" t="str">
        <f>LOOKUP(Observaciones[[#This Row],[Caso de Prueba]],CasoPrueba[Código CP],CasoPrueba[Código de REQ])</f>
        <v>INSPECCIÓN</v>
      </c>
    </row>
    <row r="58" spans="1:12" ht="45" customHeight="1">
      <c r="A58" s="34" t="s">
        <v>289</v>
      </c>
      <c r="B58" s="34" t="s">
        <v>186</v>
      </c>
      <c r="C58" s="34" t="str">
        <f>VLOOKUP(Observaciones[Caso de Prueba],CasoPrueba[[#All],[Código CP]:[Prioridad]],7,TRUE)</f>
        <v>Alta</v>
      </c>
      <c r="D58" s="34" t="s">
        <v>206</v>
      </c>
      <c r="E58" s="34" t="s">
        <v>49</v>
      </c>
      <c r="F58" s="78">
        <v>40791</v>
      </c>
      <c r="H58" s="95" t="s">
        <v>131</v>
      </c>
      <c r="I58" s="34" t="s">
        <v>264</v>
      </c>
      <c r="J58" s="34" t="s">
        <v>303</v>
      </c>
      <c r="K58" s="34">
        <v>2</v>
      </c>
      <c r="L58" s="34" t="str">
        <f>LOOKUP(Observaciones[[#This Row],[Caso de Prueba]],CasoPrueba[Código CP],CasoPrueba[Código de REQ])</f>
        <v>INSPECCIÓN</v>
      </c>
    </row>
    <row r="59" spans="1:12" ht="30">
      <c r="A59" s="34" t="s">
        <v>290</v>
      </c>
      <c r="B59" s="34" t="s">
        <v>186</v>
      </c>
      <c r="C59" s="34" t="str">
        <f>VLOOKUP(Observaciones[Caso de Prueba],CasoPrueba[[#All],[Código CP]:[Prioridad]],7,TRUE)</f>
        <v>Alta</v>
      </c>
      <c r="D59" s="34" t="s">
        <v>208</v>
      </c>
      <c r="E59" s="34" t="s">
        <v>47</v>
      </c>
      <c r="F59" s="78">
        <v>40791</v>
      </c>
      <c r="H59" s="95" t="s">
        <v>131</v>
      </c>
      <c r="I59" s="34" t="s">
        <v>280</v>
      </c>
      <c r="J59" s="34" t="s">
        <v>310</v>
      </c>
      <c r="K59" s="34">
        <v>2</v>
      </c>
      <c r="L59" s="34" t="str">
        <f>LOOKUP(Observaciones[[#This Row],[Caso de Prueba]],CasoPrueba[Código CP],CasoPrueba[Código de REQ])</f>
        <v>INSPECCIÓN</v>
      </c>
    </row>
  </sheetData>
  <mergeCells count="1">
    <mergeCell ref="A1:K1"/>
  </mergeCells>
  <dataValidations count="1">
    <dataValidation type="list" allowBlank="1" showInputMessage="1" showErrorMessage="1" sqref="H3:H59">
      <formula1>$N$1:$N$2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4</xdr:col>
                    <xdr:colOff>666750</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Resumen!$P$11:$P$14</xm:f>
          </x14:formula1>
          <xm:sqref>D3:D11</xm:sqref>
        </x14:dataValidation>
        <x14:dataValidation type="list" allowBlank="1" showInputMessage="1" showErrorMessage="1">
          <x14:formula1>
            <xm:f>Resumen!$P$22:$P$24</xm:f>
          </x14:formula1>
          <xm:sqref>E3:E11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B3" sqref="B3"/>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2" t="s">
        <v>102</v>
      </c>
      <c r="B1" s="202"/>
      <c r="C1" s="202"/>
      <c r="D1" s="202"/>
      <c r="E1" s="202"/>
      <c r="F1" s="202"/>
      <c r="G1" s="202"/>
      <c r="H1" s="202"/>
      <c r="I1" s="202"/>
      <c r="J1" s="202"/>
      <c r="K1" s="36"/>
      <c r="L1" s="36"/>
      <c r="M1" t="s">
        <v>145</v>
      </c>
      <c r="XFD1" s="31"/>
    </row>
    <row r="2" spans="1:13 16384:16384" ht="39.75" customHeight="1">
      <c r="A2" s="157" t="s">
        <v>97</v>
      </c>
      <c r="B2" s="157" t="s">
        <v>90</v>
      </c>
      <c r="C2" s="157" t="s">
        <v>78</v>
      </c>
      <c r="D2" s="157" t="s">
        <v>91</v>
      </c>
      <c r="E2" s="157" t="s">
        <v>128</v>
      </c>
      <c r="F2" s="158" t="s">
        <v>98</v>
      </c>
      <c r="G2" s="158" t="s">
        <v>99</v>
      </c>
      <c r="H2" s="157" t="s">
        <v>100</v>
      </c>
      <c r="I2" s="157" t="s">
        <v>101</v>
      </c>
      <c r="J2" s="157" t="s">
        <v>95</v>
      </c>
      <c r="M2" s="31" t="s">
        <v>146</v>
      </c>
    </row>
    <row r="3" spans="1:13 16384:16384" ht="41.25" customHeight="1">
      <c r="A3" s="31" t="s">
        <v>125</v>
      </c>
      <c r="C3" s="34" t="e">
        <f>VLOOKUP(Consultas[[#This Row],[Caso de Prueba]],CasoPrueba[[#All],[Código CP]:[Prioridad]],7,TRUE)</f>
        <v>#N/A</v>
      </c>
      <c r="D3" s="31" t="s">
        <v>49</v>
      </c>
      <c r="J3" s="34">
        <f>IF((Consultas[[#This Row],[Fecha Respuesta]]-Consultas[[#This Row],[Fecha Solicitud]])&gt;=0,(Consultas[[#This Row],[Fecha Respuesta]]-Consultas[[#This Row],[Fecha Solicitud]])+1,0)</f>
        <v>1</v>
      </c>
      <c r="M3" s="31" t="s">
        <v>147</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8"/>
  <sheetViews>
    <sheetView zoomScale="85" zoomScaleNormal="85" workbookViewId="0">
      <selection activeCell="G22" sqref="G22"/>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3" t="s">
        <v>110</v>
      </c>
      <c r="C2" s="203"/>
      <c r="D2" s="203"/>
      <c r="E2" s="203"/>
      <c r="F2" s="203"/>
      <c r="G2" s="203"/>
      <c r="H2" s="203"/>
      <c r="I2" s="203"/>
      <c r="J2" s="203"/>
      <c r="L2" s="203" t="s">
        <v>111</v>
      </c>
      <c r="M2" s="203"/>
      <c r="N2" s="203"/>
      <c r="O2" s="203"/>
    </row>
    <row r="3" spans="2:15" ht="26.25" thickBot="1">
      <c r="B3" s="159" t="s">
        <v>112</v>
      </c>
      <c r="C3" s="161" t="s">
        <v>104</v>
      </c>
      <c r="D3" s="161" t="s">
        <v>105</v>
      </c>
      <c r="E3" s="161" t="s">
        <v>21</v>
      </c>
      <c r="F3" s="161" t="s">
        <v>22</v>
      </c>
      <c r="G3" s="161" t="s">
        <v>23</v>
      </c>
      <c r="H3" s="162" t="s">
        <v>24</v>
      </c>
      <c r="I3" s="162" t="s">
        <v>106</v>
      </c>
      <c r="J3" s="162" t="s">
        <v>109</v>
      </c>
      <c r="L3" s="159" t="s">
        <v>112</v>
      </c>
      <c r="M3" s="160" t="s">
        <v>107</v>
      </c>
      <c r="N3" s="161" t="s">
        <v>108</v>
      </c>
      <c r="O3" s="162" t="s">
        <v>109</v>
      </c>
    </row>
    <row r="4" spans="2:15">
      <c r="B4" s="37">
        <v>40791</v>
      </c>
      <c r="C4" s="39">
        <v>0</v>
      </c>
      <c r="D4" s="39">
        <v>10</v>
      </c>
      <c r="E4" s="39">
        <v>0</v>
      </c>
      <c r="F4" s="39">
        <v>0</v>
      </c>
      <c r="G4" s="39">
        <v>0</v>
      </c>
      <c r="H4" s="39">
        <v>0</v>
      </c>
      <c r="I4" s="39">
        <v>0</v>
      </c>
      <c r="J4" s="41">
        <f>SUM(HistóricoEjecuciones[[#This Row],[Aciertos]:[En Proceso]])</f>
        <v>10</v>
      </c>
      <c r="L4" s="37">
        <v>40791</v>
      </c>
      <c r="M4" s="39">
        <v>0</v>
      </c>
      <c r="N4" s="39">
        <v>0</v>
      </c>
      <c r="O4" s="38">
        <f>SUM(HistoricoIncidencias[[#This Row],[Abiertas]:[Cerradas]])</f>
        <v>0</v>
      </c>
    </row>
    <row r="5" spans="2:15">
      <c r="B5" s="72"/>
      <c r="C5" s="39"/>
      <c r="D5" s="39"/>
      <c r="E5" s="39"/>
      <c r="F5" s="39"/>
      <c r="G5" s="39"/>
      <c r="H5" s="39"/>
      <c r="I5" s="39"/>
      <c r="J5" s="42">
        <f>SUM(HistóricoEjecuciones[[#This Row],[Aciertos]:[En Proceso]])</f>
        <v>0</v>
      </c>
      <c r="L5" s="73"/>
      <c r="M5" s="40"/>
      <c r="N5" s="40"/>
      <c r="O5" s="38">
        <f>SUM(HistoricoIncidencias[[#This Row],[Abiertas]:[Cerradas]])</f>
        <v>0</v>
      </c>
    </row>
    <row r="6" spans="2:15">
      <c r="B6" s="72"/>
      <c r="C6" s="39"/>
      <c r="D6" s="39"/>
      <c r="E6" s="39"/>
      <c r="F6" s="39"/>
      <c r="G6" s="39"/>
      <c r="H6" s="39"/>
      <c r="I6" s="39"/>
      <c r="J6" s="42">
        <f>SUM(HistóricoEjecuciones[[#This Row],[Aciertos]:[En Proceso]])</f>
        <v>0</v>
      </c>
      <c r="L6" s="72"/>
      <c r="M6" s="163"/>
      <c r="N6" s="163"/>
      <c r="O6" s="75">
        <f>SUM(HistoricoIncidencias[[#This Row],[Abiertas]:[Cerradas]])</f>
        <v>0</v>
      </c>
    </row>
    <row r="7" spans="2:15">
      <c r="B7" s="72"/>
      <c r="C7" s="64"/>
      <c r="D7" s="64"/>
      <c r="E7" s="64"/>
      <c r="F7" s="65"/>
      <c r="G7" s="66"/>
      <c r="H7" s="40"/>
      <c r="I7" s="40"/>
      <c r="J7" s="42"/>
      <c r="L7" s="73"/>
      <c r="M7" s="74"/>
      <c r="N7" s="74"/>
      <c r="O7" s="75"/>
    </row>
    <row r="8" spans="2:15">
      <c r="B8" s="72"/>
      <c r="C8" s="64"/>
      <c r="D8" s="64"/>
      <c r="E8" s="64"/>
      <c r="F8" s="65"/>
      <c r="G8" s="66"/>
      <c r="H8" s="40"/>
      <c r="I8" s="40"/>
      <c r="J8" s="42"/>
      <c r="L8" s="73"/>
      <c r="M8" s="74"/>
      <c r="N8" s="74"/>
      <c r="O8" s="75"/>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doc</cp:lastModifiedBy>
  <dcterms:created xsi:type="dcterms:W3CDTF">2011-02-09T13:28:15Z</dcterms:created>
  <dcterms:modified xsi:type="dcterms:W3CDTF">2011-09-07T04:25:08Z</dcterms:modified>
</cp:coreProperties>
</file>