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firstSheet="1"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12" i="6" l="1"/>
  <c r="J12" i="6"/>
  <c r="C318"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J11" i="6"/>
  <c r="K302" i="4"/>
  <c r="L302" i="4"/>
  <c r="K303" i="4"/>
  <c r="L303" i="4"/>
  <c r="C299" i="4"/>
  <c r="K292" i="4"/>
  <c r="L292" i="4"/>
  <c r="F13" i="2"/>
  <c r="O10" i="6"/>
  <c r="J10" i="6"/>
  <c r="K272" i="4"/>
  <c r="L272" i="4"/>
  <c r="K270" i="4"/>
  <c r="K266" i="4"/>
  <c r="L266" i="4"/>
  <c r="K246" i="4"/>
  <c r="F37" i="3"/>
  <c r="F38" i="3"/>
  <c r="F39" i="3"/>
  <c r="L39" i="3"/>
  <c r="Q39" i="3"/>
  <c r="L38" i="3"/>
  <c r="Q38" i="3"/>
  <c r="L37" i="3"/>
  <c r="F30" i="3"/>
  <c r="L30" i="3"/>
  <c r="F31" i="3"/>
  <c r="L31" i="3"/>
  <c r="F32" i="3"/>
  <c r="L32" i="3"/>
  <c r="F33" i="3"/>
  <c r="L33" i="3"/>
  <c r="F34" i="3"/>
  <c r="L34" i="3"/>
  <c r="F35" i="3"/>
  <c r="L35" i="3"/>
  <c r="F36" i="3"/>
  <c r="L36" i="3"/>
  <c r="O9" i="6"/>
  <c r="J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J8" i="6"/>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Q28" i="3"/>
  <c r="F29" i="3"/>
  <c r="L29" i="3"/>
  <c r="C194" i="4"/>
  <c r="C195" i="4"/>
  <c r="C192" i="4"/>
  <c r="C188" i="4"/>
  <c r="C189" i="4"/>
  <c r="C177" i="4" l="1"/>
  <c r="C176" i="4"/>
  <c r="F24" i="3"/>
  <c r="L24" i="3"/>
  <c r="F25" i="3"/>
  <c r="L25" i="3"/>
  <c r="F26" i="3"/>
  <c r="L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<sst xmlns="http://schemas.openxmlformats.org/spreadsheetml/2006/main" count="2900" uniqueCount="1072">
  <si>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</si>
  <si>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</si>
  <si>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</si>
  <si>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</si>
  <si>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</si>
  <si>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</si>
  <si>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</si>
  <si>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</si>
  <si>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</si>
  <si>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</si>
  <si>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</si>
  <si>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</si>
  <si>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</si>
  <si>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</si>
  <si>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</si>
  <si>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</si>
  <si>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</si>
  <si>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</si>
  <si>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</si>
  <si>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</si>
  <si>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</si>
  <si>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</si>
  <si>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</si>
  <si>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</si>
  <si>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</si>
  <si>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</si>
  <si>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</si>
  <si>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</si>
  <si>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</si>
  <si>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</si>
  <si>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</si>
  <si>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</si>
  <si>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</si>
  <si>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</si>
  <si>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</si>
  <si>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</si>
  <si>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</si>
  <si>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</si>
  <si>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</si>
  <si>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</si>
  <si>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</si>
  <si>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</si>
  <si>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</si>
  <si>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</si>
  <si>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</si>
  <si>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</si>
  <si>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</si>
  <si>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</si>
  <si>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</si>
  <si>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</si>
  <si>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</si>
  <si>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</si>
  <si>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</si>
  <si>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</si>
  <si>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</si>
  <si>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</si>
  <si>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</si>
  <si>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</si>
  <si>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</si>
  <si>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</si>
  <si>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</si>
  <si>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</si>
  <si>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</si>
  <si>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</si>
  <si>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</si>
  <si>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</si>
  <si>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</si>
  <si>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</si>
  <si>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</si>
  <si>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</si>
  <si>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</si>
  <si>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</si>
  <si>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</si>
  <si>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</si>
  <si>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</si>
  <si>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</si>
  <si>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</si>
  <si>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</si>
  <si>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</si>
  <si>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</si>
  <si>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</si>
  <si>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</si>
  <si>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</si>
  <si>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</si>
  <si>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</si>
  <si>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</si>
  <si>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</si>
  <si>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</si>
  <si>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</si>
  <si>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</si>
  <si>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</si>
  <si>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</si>
  <si>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</si>
  <si>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</si>
  <si>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</si>
  <si>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</si>
  <si>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</si>
  <si>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</si>
  <si>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</si>
  <si>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</si>
  <si>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</si>
  <si>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</si>
  <si>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</si>
  <si>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</si>
  <si>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</si>
  <si>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</si>
  <si>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</si>
  <si>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</si>
  <si>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</si>
  <si>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</si>
  <si>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</si>
  <si>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</si>
  <si>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</si>
  <si>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</si>
  <si>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</si>
  <si>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</si>
  <si>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</si>
  <si>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</si>
  <si>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</si>
  <si>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</si>
  <si>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</si>
  <si>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</si>
  <si>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</si>
  <si>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</si>
  <si>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</si>
  <si>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</si>
  <si>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</si>
  <si>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</si>
  <si>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</si>
  <si>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</si>
  <si>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</si>
  <si>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</si>
  <si>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</si>
  <si>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</si>
  <si>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</si>
  <si>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</si>
  <si>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</si>
  <si>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</si>
  <si>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</si>
  <si>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</si>
  <si>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</si>
  <si>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</si>
  <si>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</si>
  <si>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</si>
  <si>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</si>
  <si>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</si>
  <si>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</si>
  <si>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</si>
  <si>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</si>
  <si>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</si>
  <si>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</si>
  <si>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</si>
  <si>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</si>
  <si>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</si>
  <si>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</si>
  <si>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</si>
  <si>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</si>
  <si>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</si>
  <si>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</si>
  <si>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</si>
  <si>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</si>
  <si>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</si>
  <si>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</si>
  <si>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</si>
  <si>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</si>
  <si>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</si>
  <si>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</si>
  <si>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</si>
  <si>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</si>
  <si>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</si>
  <si>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</si>
  <si>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</si>
  <si>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</si>
  <si>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</si>
  <si>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</si>
  <si>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</si>
  <si>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</si>
  <si>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</si>
  <si>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</si>
  <si>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</si>
  <si>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</si>
  <si>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</si>
  <si>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</si>
  <si>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</si>
  <si>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</si>
  <si>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</si>
  <si>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</si>
  <si>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</si>
  <si>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</si>
  <si>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</si>
  <si>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</si>
  <si>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</si>
  <si>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</si>
  <si>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</si>
  <si>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</si>
  <si>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</si>
  <si>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</si>
  <si>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</si>
  <si>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</si>
  <si>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</si>
  <si>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</si>
  <si>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</si>
  <si>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</si>
  <si>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</si>
  <si>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</si>
  <si>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</si>
  <si>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</si>
  <si>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</si>
  <si>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</si>
  <si>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</si>
  <si>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</si>
  <si>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</si>
  <si>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</si>
  <si>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</si>
  <si>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</si>
  <si>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</si>
  <si>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</si>
  <si>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</si>
  <si>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</si>
  <si>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</si>
  <si>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</si>
  <si>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</si>
  <si>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</si>
  <si>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</si>
  <si>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</si>
  <si>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</si>
  <si>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</si>
  <si>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</si>
  <si>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</si>
  <si>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</si>
  <si>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</si>
  <si>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</si>
  <si>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</si>
  <si>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</si>
  <si>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</si>
  <si>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</si>
  <si>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</si>
  <si>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</si>
  <si>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</si>
  <si>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</si>
  <si>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</si>
  <si>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</si>
  <si>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</si>
  <si>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</si>
  <si>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</si>
  <si>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</si>
  <si>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</si>
  <si>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</si>
  <si>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</si>
  <si>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</si>
  <si>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</si>
  <si>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</si>
  <si>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</si>
  <si>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</si>
  <si>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</si>
  <si>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</si>
  <si>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</si>
  <si>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</si>
  <si>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</si>
  <si>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</si>
  <si>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</si>
  <si>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</si>
  <si>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</si>
  <si>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</si>
  <si>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</si>
  <si>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</si>
  <si>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</si>
  <si>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</si>
  <si>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</si>
  <si>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</si>
  <si>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</si>
  <si>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</si>
  <si>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</si>
  <si>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</si>
  <si>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</si>
  <si>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</si>
  <si>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</si>
  <si>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</si>
  <si>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</si>
  <si>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</si>
  <si>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</si>
  <si>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</si>
  <si>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</si>
  <si>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</si>
  <si>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</si>
  <si>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</si>
  <si>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</si>
  <si>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</si>
  <si>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</si>
  <si>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</si>
  <si>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</si>
  <si>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</si>
  <si>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</si>
  <si>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</si>
  <si>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</si>
  <si>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</si>
  <si>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</si>
  <si>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</si>
  <si>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</si>
  <si>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</si>
  <si>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</si>
  <si>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</si>
  <si>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</si>
  <si>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</si>
  <si>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</si>
  <si>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</si>
  <si>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</si>
  <si>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</si>
  <si>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</si>
  <si>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</si>
  <si>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</si>
  <si>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</si>
  <si>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</si>
  <si>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</si>
  <si>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</si>
  <si>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</si>
  <si>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</si>
  <si>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</si>
  <si>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</si>
  <si>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</si>
  <si>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</si>
  <si>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</si>
  <si>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</si>
  <si>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</si>
  <si>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</si>
  <si>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</si>
  <si>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</si>
  <si>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</si>
  <si>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</si>
  <si>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</si>
  <si>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</si>
  <si>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</si>
  <si>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</si>
  <si>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</si>
  <si>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</si>
  <si>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</si>
  <si>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</si>
  <si>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</si>
  <si>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</si>
  <si>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</si>
  <si>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</si>
  <si>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</si>
  <si>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</si>
  <si>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</si>
  <si>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</si>
  <si>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</si>
  <si>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</si>
  <si>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</si>
  <si>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</si>
  <si>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</si>
  <si>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</si>
  <si>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</si>
  <si>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</si>
  <si>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</si>
  <si>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</si>
  <si>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</si>
  <si>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</si>
  <si>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</si>
  <si>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</si>
  <si>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</si>
  <si>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</si>
  <si>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</si>
  <si>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</si>
  <si>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</si>
  <si>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</si>
  <si>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</si>
  <si>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</si>
  <si>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</si>
  <si>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</si>
  <si>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</si>
  <si>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</si>
  <si>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</si>
  <si>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</si>
  <si>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</si>
  <si>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</si>
  <si>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</si>
  <si>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</si>
  <si>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</si>
  <si>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</si>
  <si>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</si>
  <si>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</si>
  <si>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</si>
  <si>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</si>
  <si>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</si>
  <si>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</si>
  <si>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</si>
  <si>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</si>
  <si>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</si>
  <si>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</si>
  <si>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</si>
  <si>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</si>
  <si>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</si>
  <si>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</si>
  <si>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</si>
  <si>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</si>
  <si>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</si>
  <si>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</si>
  <si>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</si>
  <si>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</si>
  <si>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</si>
  <si>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</si>
  <si>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</si>
  <si>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</si>
  <si>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</si>
  <si>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</si>
  <si>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</si>
  <si>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</si>
  <si>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</si>
  <si>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</si>
  <si>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</si>
  <si>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</si>
  <si>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</si>
  <si>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</si>
  <si>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</si>
  <si>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</si>
  <si>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</si>
  <si>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</si>
  <si>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</si>
  <si>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</si>
  <si>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</si>
  <si>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</si>
  <si>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</si>
  <si>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</si>
  <si>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</si>
  <si>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</si>
  <si>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</si>
  <si>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</si>
  <si>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</si>
  <si>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</si>
  <si>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</si>
  <si>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</si>
  <si>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</si>
  <si>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</si>
  <si>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</si>
  <si>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</si>
  <si>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</si>
  <si>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</si>
  <si>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</si>
  <si>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</si>
  <si>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</si>
  <si>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</si>
  <si>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</si>
  <si>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</si>
  <si>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</si>
  <si>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</si>
  <si>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</si>
  <si>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</si>
  <si>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</si>
  <si>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</si>
  <si>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</si>
  <si>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</si>
  <si>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</si>
  <si>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</si>
  <si>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</si>
  <si>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</si>
  <si>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</si>
  <si>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</si>
  <si>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</si>
  <si>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</si>
  <si>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</si>
  <si>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</si>
  <si>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</si>
  <si>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</si>
  <si>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</si>
  <si>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</si>
  <si>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</si>
  <si>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</si>
  <si>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</si>
  <si>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</si>
  <si>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</si>
  <si>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</si>
  <si>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</si>
  <si>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</si>
  <si>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</si>
  <si>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</si>
  <si>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</si>
  <si>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</si>
  <si>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</si>
  <si>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</si>
  <si>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</si>
  <si>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</si>
  <si>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</si>
  <si>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</si>
  <si>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</si>
  <si>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</si>
  <si>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</si>
  <si>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</si>
  <si>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</si>
  <si>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</si>
  <si>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</si>
  <si>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</si>
  <si>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</si>
  <si>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</si>
  <si>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</si>
  <si>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</si>
  <si>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</si>
  <si>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</si>
  <si>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</si>
  <si>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</si>
  <si>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</si>
  <si>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</si>
  <si>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</si>
  <si>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</si>
  <si>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</si>
  <si>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</si>
  <si>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</si>
  <si>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</si>
  <si>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</si>
  <si>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</si>
  <si>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</si>
  <si>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</si>
  <si>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</si>
  <si>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</si>
  <si>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</si>
  <si>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</si>
  <si>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</si>
  <si>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</si>
  <si>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</si>
  <si>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</si>
  <si>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</si>
  <si>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</si>
  <si>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</si>
  <si>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</si>
  <si>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</si>
  <si>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</si>
  <si>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</si>
  <si>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</si>
  <si>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</si>
  <si>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</si>
  <si>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</si>
  <si>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</si>
  <si>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</si>
  <si>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</si>
  <si>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</si>
  <si>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</si>
  <si>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</si>
  <si>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</si>
  <si>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</si>
  <si>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</si>
  <si>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</si>
  <si>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</si>
  <si>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</si>
  <si>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</si>
  <si>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</si>
  <si>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</si>
  <si>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</si>
  <si>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</si>
  <si>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</si>
  <si>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</si>
  <si>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</si>
  <si>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</si>
  <si>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</si>
  <si>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</si>
  <si>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</si>
  <si>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</si>
  <si>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</si>
  <si>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</si>
  <si>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</si>
  <si>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</si>
  <si>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</si>
  <si>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</si>
  <si>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</si>
  <si>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</si>
  <si>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</si>
  <si>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</si>
  <si>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</si>
  <si>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</si>
  <si>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</si>
  <si>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</si>
  <si>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</si>
  <si>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</si>
  <si>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</si>
  <si>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</si>
  <si>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</si>
  <si>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</si>
  <si>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</si>
  <si>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</si>
  <si>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</si>
  <si>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</si>
  <si>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</si>
  <si>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</si>
  <si>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</si>
  <si>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</si>
  <si>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</si>
  <si>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</si>
  <si>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</si>
  <si>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</si>
  <si>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</si>
  <si>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</si>
  <si>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</si>
  <si>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</si>
  <si>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</si>
  <si>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</si>
  <si>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</si>
  <si>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</si>
  <si>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</si>
  <si>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</si>
  <si>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</si>
  <si>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</si>
  <si>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</si>
  <si>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</si>
  <si>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</si>
  <si>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</si>
  <si>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</si>
  <si>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</si>
  <si>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</si>
  <si>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</si>
  <si>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</si>
  <si>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</si>
  <si>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</si>
  <si>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</si>
  <si>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</si>
  <si>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</si>
  <si>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</si>
  <si>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</si>
  <si>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</si>
  <si>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</si>
  <si>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</si>
  <si>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</si>
  <si>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</si>
  <si>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</si>
  <si>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</si>
  <si>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</si>
  <si>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</si>
  <si>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</si>
  <si>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</si>
  <si>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</si>
  <si>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</si>
  <si>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</si>
  <si>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</si>
  <si>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</si>
  <si>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</si>
  <si>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</si>
  <si>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</si>
  <si>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</si>
  <si>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</si>
  <si>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</si>
  <si>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</si>
  <si>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</si>
  <si>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</si>
  <si>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</si>
  <si>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</si>
  <si>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</si>
  <si>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</si>
  <si>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</si>
  <si>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</si>
  <si>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</si>
  <si>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</si>
  <si>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</si>
  <si>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</si>
  <si>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</si>
  <si>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</si>
  <si>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</si>
  <si>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</si>
  <si>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</si>
  <si>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</si>
  <si>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</si>
  <si>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</si>
  <si>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</si>
  <si>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</si>
  <si>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</si>
  <si>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</si>
  <si>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</si>
  <si>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</si>
  <si>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</si>
  <si>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</si>
  <si>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</si>
  <si>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</si>
  <si>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</si>
  <si>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</si>
  <si>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</si>
  <si>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</si>
  <si>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</si>
  <si>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</si>
  <si>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</si>
  <si>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</si>
  <si>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</si>
  <si>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</si>
  <si>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</si>
  <si>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</si>
  <si>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</si>
  <si>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</si>
  <si>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</si>
  <si>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</si>
  <si>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</si>
  <si>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</si>
  <si>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</si>
  <si>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</si>
  <si>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</si>
  <si>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</si>
  <si>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</si>
  <si>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</si>
  <si>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</si>
  <si>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</si>
  <si>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</si>
  <si>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</si>
  <si>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</si>
  <si>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</si>
  <si>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</si>
  <si>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</si>
  <si>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</si>
  <si>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</si>
  <si>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</si>
  <si>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</si>
  <si>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</si>
  <si>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</si>
  <si>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</si>
  <si>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</si>
  <si>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</si>
  <si>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</si>
  <si>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</si>
  <si>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</si>
  <si>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</si>
  <si>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</si>
  <si>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</si>
  <si>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</si>
  <si>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</si>
  <si>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</si>
  <si>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</si>
  <si>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</si>
  <si>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</si>
  <si>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</si>
  <si>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</si>
  <si>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</si>
  <si>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</si>
  <si>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</si>
  <si>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</si>
  <si>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</si>
  <si>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</si>
  <si>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</si>
  <si>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</si>
  <si>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</si>
  <si>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</si>
  <si>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</si>
  <si>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</si>
  <si>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</si>
  <si>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</si>
  <si>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</si>
  <si>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</si>
  <si>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</si>
  <si>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</si>
  <si>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</si>
  <si>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</si>
  <si>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</si>
  <si>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</si>
  <si>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</si>
  <si>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</si>
  <si>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</si>
  <si>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</si>
  <si>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</si>
  <si>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</si>
  <si>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</si>
  <si>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</si>
  <si>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</si>
  <si>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</si>
  <si>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</si>
  <si>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</si>
  <si>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</si>
  <si>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</si>
  <si>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</si>
  <si>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</si>
  <si>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</si>
  <si>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</si>
  <si>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</si>
  <si>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</si>
  <si>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</si>
  <si>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</si>
  <si>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</si>
  <si>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</si>
  <si>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</si>
  <si>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</si>
  <si>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</si>
  <si>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</si>
  <si>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</si>
  <si>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</si>
  <si>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</si>
  <si>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</si>
  <si>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</si>
  <si>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</si>
  <si>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</si>
  <si>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</si>
  <si>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</si>
  <si>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</si>
  <si>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</si>
  <si>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</si>
  <si>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</si>
  <si>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</si>
  <si>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</si>
  <si>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</si>
  <si>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</si>
  <si>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</si>
  <si>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</si>
  <si>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</si>
  <si>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</si>
  <si>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</si>
  <si>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</si>
  <si>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</si>
  <si>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</si>
  <si>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</si>
  <si>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</si>
  <si>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</si>
  <si>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</si>
  <si>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</si>
  <si>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</si>
  <si>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</si>
  <si>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</si>
  <si>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</si>
  <si>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</si>
  <si>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</si>
  <si>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</si>
  <si>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</si>
  <si>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</si>
  <si>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</si>
  <si>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</si>
  <si>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</si>
  <si>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</si>
  <si>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</si>
  <si>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</si>
  <si>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</si>
  <si>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</si>
  <si>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</si>
  <si>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</si>
  <si>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</si>
  <si>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</si>
  <si>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</si>
  <si>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</si>
  <si>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</si>
  <si>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</si>
  <si>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</si>
  <si>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</si>
  <si>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</si>
  <si>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</si>
  <si>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</si>
  <si>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</si>
  <si>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</si>
  <si>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</si>
  <si>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</si>
  <si>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</si>
  <si>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</si>
  <si>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</si>
  <si>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</si>
  <si>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</si>
  <si>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</si>
  <si>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</si>
  <si>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</si>
  <si>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</si>
  <si>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</si>
  <si>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</si>
  <si>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</si>
  <si>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</si>
  <si>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</si>
  <si>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</si>
  <si>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</si>
  <si>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</si>
  <si>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</si>
  <si>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</si>
  <si>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</si>
  <si>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</si>
  <si>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</si>
  <si>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</si>
  <si>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</si>
  <si>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</si>
  <si>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</si>
  <si>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</si>
  <si>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</si>
  <si>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</si>
  <si>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</si>
  <si>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</si>
  <si>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</si>
  <si>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</si>
  <si>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</si>
  <si>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</si>
  <si>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</si>
  <si>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</si>
  <si>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</si>
  <si>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</si>
  <si>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</si>
  <si>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</si>
  <si>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</si>
  <si>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</si>
  <si>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</si>
  <si>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</si>
  <si>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</si>
  <si>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</si>
  <si>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</si>
  <si>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</si>
  <si>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</si>
  <si>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</si>
  <si>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</si>
  <si>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</si>
  <si>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</si>
  <si>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</si>
  <si>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</si>
  <si>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</si>
  <si>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</si>
  <si>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</si>
  <si>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</si>
  <si>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</si>
  <si>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</si>
  <si>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</si>
  <si>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</si>
  <si>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</si>
  <si>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</si>
  <si>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</si>
  <si>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</si>
  <si>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</si>
  <si>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</si>
  <si>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</si>
  <si>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</si>
  <si>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</si>
  <si>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</si>
  <si>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</si>
  <si>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</si>
  <si>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</si>
  <si>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</si>
  <si>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</si>
  <si>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</si>
  <si>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</si>
  <si>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</si>
  <si>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</si>
  <si>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</si>
  <si>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</si>
  <si>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</si>
  <si>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</si>
  <si>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Como dato de esntrada no se menciona el dato de salida de la actividad 7 "Informe Final", mientras que "Solicitud de realización de auditoría" no concuerda con el flujo.</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</si>
  <si>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</si>
  <si>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</si>
  <si>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</si>
  <si>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</si>
  <si>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</si>
  <si>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</si>
  <si>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</si>
  <si>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</si>
  <si>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</si>
  <si>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</si>
  <si>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</si>
  <si>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</si>
  <si>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</si>
  <si>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</si>
  <si>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</si>
  <si>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</si>
  <si>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</si>
  <si>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</si>
  <si>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</si>
  <si>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</si>
  <si>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</si>
  <si>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</si>
  <si>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</si>
  <si>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 xml:space="preserve">[OBS237]Considerar el mismo formato al momento de juntar todos los documentos, normalmente siempre han escrito el título del macroproceso en mayúsculas._x000D_
[OBS238]Hay un error de tipeo en el propósito y en el alcance al escribir "macro proceso", es junto._x000D_
[OBS239]Al final del punto 2 del procedimiento, "otros" debería estar en femenino, ya que se está refiriendo a las áreas._x000D_
[OBS240]Sugerencia de formato, es el primer documento en el que se encuentra leyendas como: "Definición del Macroproceso: "Gestión de Proyectos”, "Diagrama de Proceso del Macroproceso "Gestión de Proyectos” y Caracterización del Macroproceso "Gestión de Proyectos"_x000D_
[OBS241]El nombre de un proceso debe comenzar con un verbo en infinitivo, solo los nombres de los Macroprocesos no cumplen con esa regla._x000D_
[OBS242]Es una buena práctica caracterizar según el flujo total, no solo del principal. El fin debería ser lo último que se caracteriza al igual que procesos que tienen datos de salida que son datos de entrada de otro proceso se caracterizan primero._x000D_
[OBS243]Sugiero un estandar, en todos los documentos anteriores la caracterización siempre siempre ha tenido todos los bordes en el cuadro._x000D_
[OBS244]En la Obs130 se mencionó que los datos de entrada "No faltan actividades" no parecen ser un artefacto y la solución que propusieron fue cambiarla por "Actividades completas". Se podría considerar lo mismo._x000D_
[OBS245]En la descripción de la actividad 3 hay un error de tipeo al final de la 2da linea con "esperar"._x000D_
[OBS246]No se menciona el dato de salida "Documentación" en la actividad 4._x000D_
[OBS247]Como dato de esntrada no se menciona el dato de salida de la actividad 7 "Informe Final", mientras que "Solicitud de realización de auditoría" no concuerda con el flujo._x000D_
[OBS248]En la descripción de la actividad 6 "referente al proyecto" debería estar entre comas para que se entienda que "lista" se refiere a la información. Si se refiere al proyecto debe ser "listo"._x000D_
[OBS249]En la descripción de la actividad 8 hay un "la" innecesario entre "para" y "llevar"._x000D_
[OBS250]El dato de entrada de la actividad 11 no concuerda con el dato de salida de la actividad 2._x000D_
</t>
  </si>
  <si>
    <t xml:space="preserve">[OBS251]El nombre de un proceso debe comenzar con un verbo en infinitivo, solo los nombres de los Macroprocesos no cumplen con esa regla._x000D_
[OBS252]En el procedimiento, en el punto 2, hay un error ortográfico con la "ó" que está entre donación y concurso, no es necesario que lleve tilde._x000D_
[OBS253]En el procedimiento, en el punto 5, hay un error de tipeo "Evaluar del Proyecto"._x000D_
[OBS254]Es una buena práctica caracterizar según el flujo total, no solo del principal. El fin debería ser lo último que se caracteriza al igual que procesos que tienen datos de salida que son datos de entrada de otro proceso se caracterizan primero._x000D_
[OBS255]Toda tarea, actividad: proceso, subproceso, gateway, evento tiene que empezar con un verbo infinitivo. (-ar, -er, -ir)._x000D_
[OBS256]Considerar las actividades de compensación que se llaman en la actividad 7 y 17. La actividad de compensación indica el rolling back del flujo. Para este caso, cancelando todo el proceso._x000D_
[OBS257]No hay un dato que relacione el inicio con la actividad 2_x000D_
[OBS258]En la descripción de la actividad 5 no se menciona cuando se sale del ciclo para poder ir a la siguiente actividad._x000D_
[OBS259]En la descripción de la actividad 15, debe haber una coma entre "requerida" y  "se"._x000D_
[OBS260]La actividad 20 tiene 3 datos de salida que no estan como entrada en la actividad 2._x000D_
[OBS261]La actividad 21 tiene 5 datos de salida que no estan como entrada en la actividad 2._x000D_
</t>
  </si>
  <si>
    <t xml:space="preserve">[OBS262]Diferente tipo de fuente, en el mismo documento, y respecto a los otros documentos._x000D_
[OBS263]En el primer parrafo y en la descripción de la actividad 8 hay un error de tipeo al escribir "macroproceso" separado._x000D_
[OBS264]En el propósito, el alcance y la descripción de la actividad 9 se menciona proceso en vez de macroproceso._x000D_
[OBS265]No se mencionó la leyenda, normalmente lo mencionan en el alcance, que significa los colores de los procesos._x000D_
[OBS266]Es una buena práctica caracterizar según el flujo total, no solo del principal. El fin debería ser lo último que se caracteriza al igual que procesos que tienen datos de salida que son datos de entrada de otro proceso se caracterizan primero._x000D_
[OBS267]Toda tarea, actividad: proceso, subproceso, gateway, evento tiene que empezar con un verbo infinitivo. (-ar, -er, -ir)._x000D_
[OBS268]"Resultado de Prueba Ministerial" no está como dato de entrada de la actividad 4, el proceso 10 no sería necesario._x000D_
[OBS269]"Cuestionario de necesidades" no está como dato de salida de la actividad 4._x000D_
[OBS270]"Formato de monitoreo e Informe" no se detalla como dato de salida de la actividad 5 ni como dato de entrada de la actividad 6._x000D_
[OBS271]Existe un conector de más entre la actvidad 5 y 11._x000D_
[OBS272]La descripción de la actividad 11 está incompleta._x000D_
[OBS273]Existe un conector de más entre la actvidad 6 y 13._x000D_
[OBS274]Probablemente en la descripción de la actividad 13 no debería decir "Capacitación de la invitación"._x000D_
</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</si>
  <si>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</si>
  <si>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</si>
  <si>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</si>
  <si>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</si>
  <si>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</si>
  <si>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</si>
  <si>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</si>
  <si>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</si>
  <si>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</si>
  <si>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</si>
  <si>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</si>
  <si>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</si>
  <si>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</si>
  <si>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</si>
  <si>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</si>
  <si>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</si>
  <si>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[OBS281]El nombre de un proceso debe comenzar con un verbo en infinitivo, solo los nombres de los Macroprocesos no cumplen con esa regla._x000D_
[OBS282]Diferente tipo de fuente, en el mismo documento, y respecto a los otros documentos._x000D_
[OBS283]Es una buena práctica caracterizar según el flujo total, no solo del principal. El fin debería ser lo último que se caracteriza al igual que procesos que tienen datos de salida que son datos de entrada de otro proceso se caracterizan primero._x000D_
[OBS284]Toda tarea, actividad: proceso, subproceso, gateway, evento tiene que empezar con un verbo infinitivo. (-ar, -er, -ir)._x000D_
[OBS285]En la descripción de la actividad 4, hay un error ortográfico con "llevará"._x000D_
[OBS286]En la descripción de la actividad 4, sugiero cambiar el "en los docentes" con "con los docentes"._x000D_
[OBS287]Error de formato con el dato de salida de la actividad 6._x000D_
[OBS288]No hay dato que relacione la actividad 6 y 7._x000D_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</si>
  <si>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</si>
  <si>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</si>
  <si>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</si>
  <si>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</si>
  <si>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</si>
  <si>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</si>
  <si>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</si>
  <si>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</si>
  <si>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</si>
  <si>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</si>
  <si>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</si>
  <si>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</si>
  <si>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</si>
  <si>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</si>
  <si>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</si>
  <si>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</si>
  <si>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</si>
  <si>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</si>
  <si>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</si>
  <si>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</si>
  <si>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</si>
  <si>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</si>
  <si>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</si>
  <si>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</si>
  <si>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</si>
  <si>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</si>
  <si>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</si>
  <si>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</si>
  <si>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</si>
  <si>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</si>
  <si>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</si>
  <si>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</si>
  <si>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</si>
  <si>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</si>
  <si>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</si>
  <si>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</si>
  <si>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</si>
  <si>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</si>
  <si>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</si>
  <si>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</si>
  <si>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</si>
  <si>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</si>
  <si>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</si>
  <si>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</si>
  <si>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</si>
  <si>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</si>
  <si>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</si>
  <si>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</si>
  <si>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</si>
  <si>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</si>
  <si>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</si>
  <si>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</si>
  <si>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</si>
  <si>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</si>
  <si>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</si>
  <si>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</si>
  <si>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</si>
  <si>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</si>
  <si>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</si>
  <si>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</si>
  <si>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</si>
  <si>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</si>
  <si>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</si>
  <si>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En la descripción de la actividad 2.8 hay un ":" de mas.</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</si>
  <si>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</si>
  <si>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</si>
  <si>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</si>
  <si>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</si>
  <si>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</si>
  <si>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</si>
  <si>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</si>
  <si>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</si>
  <si>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</si>
  <si>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</si>
  <si>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</si>
  <si>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</si>
  <si>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</si>
  <si>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</si>
  <si>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</si>
  <si>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</si>
  <si>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 xml:space="preserve">[OBS329]El conector entre las actividades y el evento enlace, vínculo o link, al estar en el mismo pool deberían ser de flujo de secuencia._x000D_
</t>
  </si>
  <si>
    <t xml:space="preserve">[OBS330]En la actividad 3, "Decisión luego de visita", solo debería ser dato de entrada, ya que en esa actividad lo que se hace es coordinar la entrevista. _x000D_
[OBS331]Error de formato en la desccripción de la actividad 3._x000D_
</t>
  </si>
  <si>
    <t xml:space="preserve">[OBS332]No me queda claro la necesidad del Fin 3.1, ya que si se da, finalizaría la actividad 4, asi esta no se haya terminado. Por otro lado, si hay un fin, debería haber un inicio. _x000D_
[OBS333]El dato "Informe Financiero" de la actividad 3 y 3.1 no se usa más. _x000D_
</t>
  </si>
  <si>
    <t>|</t>
  </si>
  <si>
    <t>Se modificaron las entradas y salidas de la actividad mencionada.</t>
  </si>
  <si>
    <t>Error de formato corregido.</t>
  </si>
  <si>
    <t>Se agregó la actividad "Acompañar a Donante"</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</si>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</sst>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04"/>
          <c:y val="0.20151813899974841"/>
          <c:w val="0.50142494135134541"/>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c:v>
                </c:pt>
                <c:pt idx="1">
                  <c:v>0.4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955" l="0.70000000000000062" r="0.70000000000000062" t="0.750000000000009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955" l="0.70000000000000062" r="0.70000000000000062" t="0.750000000000009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HistoricoAvance!$C$4:$C$12</c:f>
              <c:numCache>
                <c:formatCode>0</c:formatCode>
                <c:ptCount val="9"/>
                <c:pt idx="0">
                  <c:v>0</c:v>
                </c:pt>
                <c:pt idx="1">
                  <c:v>0</c:v>
                </c:pt>
                <c:pt idx="2">
                  <c:v>5</c:v>
                </c:pt>
                <c:pt idx="3">
                  <c:v>14</c:v>
                </c:pt>
                <c:pt idx="4">
                  <c:v>15</c:v>
                </c:pt>
                <c:pt idx="5">
                  <c:v>15</c:v>
                </c:pt>
                <c:pt idx="6">
                  <c:v>15</c:v>
                </c:pt>
                <c:pt idx="7">
                  <c:v>16</c:v>
                </c:pt>
                <c:pt idx="8">
                  <c:v>15</c:v>
                </c:pt>
              </c:numCache>
            </c:numRef>
          </c:val>
          <c:smooth val="0"/>
        </c:ser>
        <c:ser>
          <c:idx val="1"/>
          <c:order val="1"/>
          <c:tx>
            <c:strRef>
              <c:f>HistoricoAvance!$D$3</c:f>
              <c:strCache>
                <c:ptCount val="1"/>
                <c:pt idx="0">
                  <c:v>Fallos</c:v>
                </c:pt>
              </c:strCache>
            </c:strRef>
          </c:tx>
          <c:spPr>
            <a:ln w="50800"/>
          </c:spPr>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HistoricoAvance!$D$4:$D$12</c:f>
              <c:numCache>
                <c:formatCode>0</c:formatCode>
                <c:ptCount val="9"/>
                <c:pt idx="0">
                  <c:v>10</c:v>
                </c:pt>
                <c:pt idx="1">
                  <c:v>15</c:v>
                </c:pt>
                <c:pt idx="2">
                  <c:v>10</c:v>
                </c:pt>
                <c:pt idx="3">
                  <c:v>1</c:v>
                </c:pt>
                <c:pt idx="4">
                  <c:v>10</c:v>
                </c:pt>
                <c:pt idx="5">
                  <c:v>10</c:v>
                </c:pt>
                <c:pt idx="6">
                  <c:v>20</c:v>
                </c:pt>
                <c:pt idx="7">
                  <c:v>19</c:v>
                </c:pt>
                <c:pt idx="8">
                  <c:v>20</c:v>
                </c:pt>
              </c:numCache>
            </c:numRef>
          </c:val>
          <c:smooth val="0"/>
        </c:ser>
        <c:ser>
          <c:idx val="2"/>
          <c:order val="2"/>
          <c:tx>
            <c:strRef>
              <c:f>HistoricoAvance!$E$3</c:f>
              <c:strCache>
                <c:ptCount val="1"/>
                <c:pt idx="0">
                  <c:v>Bloqueado</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HistoricoAvance!$E$4:$E$12</c:f>
              <c:numCache>
                <c:formatCode>0</c:formatCode>
                <c:ptCount val="9"/>
                <c:pt idx="0">
                  <c:v>0</c:v>
                </c:pt>
                <c:pt idx="1">
                  <c:v>0</c:v>
                </c:pt>
                <c:pt idx="2">
                  <c:v>0</c:v>
                </c:pt>
                <c:pt idx="3">
                  <c:v>0</c:v>
                </c:pt>
                <c:pt idx="4">
                  <c:v>0</c:v>
                </c:pt>
                <c:pt idx="5">
                  <c:v>0</c:v>
                </c:pt>
                <c:pt idx="6">
                  <c:v>0</c:v>
                </c:pt>
                <c:pt idx="7">
                  <c:v>0</c:v>
                </c:pt>
                <c:pt idx="8">
                  <c:v>0</c:v>
                </c:pt>
              </c:numCache>
            </c:numRef>
          </c:val>
          <c:smooth val="0"/>
        </c:ser>
        <c:ser>
          <c:idx val="3"/>
          <c:order val="3"/>
          <c:tx>
            <c:strRef>
              <c:f>HistoricoAvance!$F$3</c:f>
              <c:strCache>
                <c:ptCount val="1"/>
                <c:pt idx="0">
                  <c:v>Pendiente</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HistoricoAvance!$F$4:$F$12</c:f>
              <c:numCache>
                <c:formatCode>0</c:formatCode>
                <c:ptCount val="9"/>
                <c:pt idx="0">
                  <c:v>0</c:v>
                </c:pt>
                <c:pt idx="1">
                  <c:v>0</c:v>
                </c:pt>
                <c:pt idx="2">
                  <c:v>0</c:v>
                </c:pt>
                <c:pt idx="3">
                  <c:v>0</c:v>
                </c:pt>
                <c:pt idx="4">
                  <c:v>0</c:v>
                </c:pt>
                <c:pt idx="5">
                  <c:v>0</c:v>
                </c:pt>
                <c:pt idx="6">
                  <c:v>0</c:v>
                </c:pt>
                <c:pt idx="7">
                  <c:v>0</c:v>
                </c:pt>
                <c:pt idx="8">
                  <c:v>0</c:v>
                </c:pt>
              </c:numCache>
            </c:numRef>
          </c:val>
          <c:smooth val="0"/>
        </c:ser>
        <c:ser>
          <c:idx val="4"/>
          <c:order val="4"/>
          <c:tx>
            <c:strRef>
              <c:f>HistoricoAvance!$G$3</c:f>
              <c:strCache>
                <c:ptCount val="1"/>
                <c:pt idx="0">
                  <c:v>No Aplica</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HistoricoAvance!$G$4:$G$12</c:f>
              <c:numCache>
                <c:formatCode>0</c:formatCode>
                <c:ptCount val="9"/>
                <c:pt idx="0">
                  <c:v>0</c:v>
                </c:pt>
                <c:pt idx="1">
                  <c:v>0</c:v>
                </c:pt>
                <c:pt idx="2">
                  <c:v>0</c:v>
                </c:pt>
                <c:pt idx="3">
                  <c:v>0</c:v>
                </c:pt>
                <c:pt idx="4">
                  <c:v>0</c:v>
                </c:pt>
                <c:pt idx="5">
                  <c:v>0</c:v>
                </c:pt>
                <c:pt idx="6">
                  <c:v>0</c:v>
                </c:pt>
                <c:pt idx="7">
                  <c:v>0</c:v>
                </c:pt>
                <c:pt idx="8">
                  <c:v>0</c:v>
                </c:pt>
              </c:numCache>
            </c:numRef>
          </c:val>
          <c:smooth val="0"/>
        </c:ser>
        <c:ser>
          <c:idx val="5"/>
          <c:order val="5"/>
          <c:tx>
            <c:strRef>
              <c:f>HistoricoAvance!$H$3</c:f>
              <c:strCache>
                <c:ptCount val="1"/>
                <c:pt idx="0">
                  <c:v>En Proceso</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HistoricoAvance!$H$4:$H$12</c:f>
              <c:numCache>
                <c:formatCode>0</c:formatCode>
                <c:ptCount val="9"/>
                <c:pt idx="0">
                  <c:v>0</c:v>
                </c:pt>
                <c:pt idx="1">
                  <c:v>0</c:v>
                </c:pt>
                <c:pt idx="2">
                  <c:v>0</c:v>
                </c:pt>
                <c:pt idx="3">
                  <c:v>0</c:v>
                </c:pt>
                <c:pt idx="4">
                  <c:v>0</c:v>
                </c:pt>
                <c:pt idx="5">
                  <c:v>0</c:v>
                </c:pt>
                <c:pt idx="6">
                  <c:v>0</c:v>
                </c:pt>
                <c:pt idx="7">
                  <c:v>0</c:v>
                </c:pt>
                <c:pt idx="8">
                  <c:v>0</c:v>
                </c:pt>
              </c:numCache>
            </c:numRef>
          </c:val>
          <c:smooth val="0"/>
        </c:ser>
        <c:ser>
          <c:idx val="6"/>
          <c:order val="6"/>
          <c:tx>
            <c:strRef>
              <c:f>HistoricoAvance!$I$3</c:f>
              <c:strCache>
                <c:ptCount val="1"/>
                <c:pt idx="0">
                  <c:v>Reejecuciones</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HistoricoAvance!$I$4:$I$12</c:f>
              <c:numCache>
                <c:formatCode>0</c:formatCode>
                <c:ptCount val="9"/>
                <c:pt idx="0">
                  <c:v>0</c:v>
                </c:pt>
                <c:pt idx="1">
                  <c:v>0</c:v>
                </c:pt>
                <c:pt idx="2">
                  <c:v>0</c:v>
                </c:pt>
                <c:pt idx="3">
                  <c:v>0</c:v>
                </c:pt>
                <c:pt idx="4">
                  <c:v>0</c:v>
                </c:pt>
                <c:pt idx="5">
                  <c:v>0</c:v>
                </c:pt>
                <c:pt idx="6">
                  <c:v>0</c:v>
                </c:pt>
                <c:pt idx="7">
                  <c:v>0</c:v>
                </c:pt>
                <c:pt idx="8">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HistoricoAvance!$J$4:$J$12</c:f>
              <c:numCache>
                <c:formatCode>General</c:formatCode>
                <c:ptCount val="9"/>
                <c:pt idx="0">
                  <c:v>10</c:v>
                </c:pt>
                <c:pt idx="1">
                  <c:v>15</c:v>
                </c:pt>
                <c:pt idx="2">
                  <c:v>15</c:v>
                </c:pt>
                <c:pt idx="3">
                  <c:v>15</c:v>
                </c:pt>
                <c:pt idx="4">
                  <c:v>25</c:v>
                </c:pt>
                <c:pt idx="5">
                  <c:v>25</c:v>
                </c:pt>
                <c:pt idx="6">
                  <c:v>35</c:v>
                </c:pt>
                <c:pt idx="7">
                  <c:v>35</c:v>
                </c:pt>
                <c:pt idx="8">
                  <c:v>35</c:v>
                </c:pt>
              </c:numCache>
            </c:numRef>
          </c:val>
          <c:smooth val="0"/>
        </c:ser>
        <c:dLbls>
          <c:showLegendKey val="0"/>
          <c:showVal val="0"/>
          <c:showCatName val="0"/>
          <c:showSerName val="0"/>
          <c:showPercent val="0"/>
          <c:showBubbleSize val="0"/>
        </c:dLbls>
        <c:marker val="1"/>
        <c:smooth val="0"/>
        <c:axId val="137630080"/>
        <c:axId val="137631616"/>
      </c:lineChart>
      <c:dateAx>
        <c:axId val="137630080"/>
        <c:scaling>
          <c:orientation val="minMax"/>
        </c:scaling>
        <c:delete val="0"/>
        <c:axPos val="b"/>
        <c:numFmt formatCode="dd/mm/yyyy" sourceLinked="1"/>
        <c:majorTickMark val="out"/>
        <c:minorTickMark val="none"/>
        <c:tickLblPos val="nextTo"/>
        <c:txPr>
          <a:bodyPr/>
          <a:lstStyle/>
          <a:p>
            <a:pPr>
              <a:defRPr lang="es-ES"/>
            </a:pPr>
            <a:endParaRPr lang="es-PE"/>
          </a:p>
        </c:txPr>
        <c:crossAx val="137631616"/>
        <c:crosses val="autoZero"/>
        <c:auto val="1"/>
        <c:lblOffset val="100"/>
        <c:baseTimeUnit val="days"/>
      </c:dateAx>
      <c:valAx>
        <c:axId val="13763161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63008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HistoricoAvance!$M$4:$M$12</c:f>
              <c:numCache>
                <c:formatCode>0</c:formatCode>
                <c:ptCount val="9"/>
                <c:pt idx="0">
                  <c:v>55</c:v>
                </c:pt>
                <c:pt idx="1">
                  <c:v>101</c:v>
                </c:pt>
                <c:pt idx="2">
                  <c:v>19</c:v>
                </c:pt>
                <c:pt idx="3">
                  <c:v>3</c:v>
                </c:pt>
                <c:pt idx="4">
                  <c:v>92</c:v>
                </c:pt>
                <c:pt idx="5">
                  <c:v>21</c:v>
                </c:pt>
                <c:pt idx="6">
                  <c:v>63</c:v>
                </c:pt>
                <c:pt idx="7">
                  <c:v>87</c:v>
                </c:pt>
                <c:pt idx="8">
                  <c:v>111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HistoricoAvance!$N$4:$N$12</c:f>
              <c:numCache>
                <c:formatCode>0</c:formatCode>
                <c:ptCount val="9"/>
                <c:pt idx="0">
                  <c:v>0</c:v>
                </c:pt>
                <c:pt idx="1">
                  <c:v>0</c:v>
                </c:pt>
                <c:pt idx="2">
                  <c:v>101</c:v>
                </c:pt>
                <c:pt idx="3">
                  <c:v>120</c:v>
                </c:pt>
                <c:pt idx="4">
                  <c:v>123</c:v>
                </c:pt>
                <c:pt idx="5">
                  <c:v>215</c:v>
                </c:pt>
                <c:pt idx="6">
                  <c:v>215</c:v>
                </c:pt>
                <c:pt idx="7">
                  <c:v>215</c:v>
                </c:pt>
                <c:pt idx="8">
                  <c:v>215</c:v>
                </c:pt>
              </c:numCache>
            </c:numRef>
          </c:val>
          <c:smooth val="0"/>
        </c:ser>
        <c:ser>
          <c:idx val="2"/>
          <c:order val="2"/>
          <c:tx>
            <c:strRef>
              <c:f>HistoricoAvance!$O$3</c:f>
              <c:strCache>
                <c:ptCount val="1"/>
                <c:pt idx="0">
                  <c:v>Totales</c:v>
                </c:pt>
              </c:strCache>
            </c:strRef>
          </c:tx>
          <c:cat>
            <c:numRef>
              <c:f>HistoricoAvance!$L$4:$L$12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HistoricoAvance!$O$4:$O$12</c:f>
              <c:numCache>
                <c:formatCode>General</c:formatCode>
                <c:ptCount val="9"/>
                <c:pt idx="0">
                  <c:v>55</c:v>
                </c:pt>
                <c:pt idx="1">
                  <c:v>101</c:v>
                </c:pt>
                <c:pt idx="2">
                  <c:v>120</c:v>
                </c:pt>
                <c:pt idx="3">
                  <c:v>123</c:v>
                </c:pt>
                <c:pt idx="4">
                  <c:v>215</c:v>
                </c:pt>
                <c:pt idx="5">
                  <c:v>236</c:v>
                </c:pt>
                <c:pt idx="6">
                  <c:v>278</c:v>
                </c:pt>
                <c:pt idx="7">
                  <c:v>302</c:v>
                </c:pt>
                <c:pt idx="8">
                  <c:v>326</c:v>
                </c:pt>
              </c:numCache>
            </c:numRef>
          </c:val>
          <c:smooth val="0"/>
        </c:ser>
        <c:dLbls>
          <c:showLegendKey val="0"/>
          <c:showVal val="0"/>
          <c:showCatName val="0"/>
          <c:showSerName val="0"/>
          <c:showPercent val="0"/>
          <c:showBubbleSize val="0"/>
        </c:dLbls>
        <c:marker val="1"/>
        <c:smooth val="0"/>
        <c:axId val="137661440"/>
        <c:axId val="137663232"/>
      </c:lineChart>
      <c:dateAx>
        <c:axId val="137661440"/>
        <c:scaling>
          <c:orientation val="minMax"/>
        </c:scaling>
        <c:delete val="0"/>
        <c:axPos val="b"/>
        <c:numFmt formatCode="dd/mm/yyyy" sourceLinked="1"/>
        <c:majorTickMark val="out"/>
        <c:minorTickMark val="none"/>
        <c:tickLblPos val="nextTo"/>
        <c:txPr>
          <a:bodyPr/>
          <a:lstStyle/>
          <a:p>
            <a:pPr>
              <a:defRPr lang="es-ES"/>
            </a:pPr>
            <a:endParaRPr lang="es-PE"/>
          </a:p>
        </c:txPr>
        <c:crossAx val="137663232"/>
        <c:crosses val="autoZero"/>
        <c:auto val="1"/>
        <c:lblOffset val="100"/>
        <c:baseTimeUnit val="days"/>
      </c:dateAx>
      <c:valAx>
        <c:axId val="13766323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66144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1236864"/>
        <c:axId val="141242752"/>
      </c:barChart>
      <c:catAx>
        <c:axId val="141236864"/>
        <c:scaling>
          <c:orientation val="minMax"/>
        </c:scaling>
        <c:delete val="0"/>
        <c:axPos val="b"/>
        <c:majorTickMark val="out"/>
        <c:minorTickMark val="none"/>
        <c:tickLblPos val="nextTo"/>
        <c:txPr>
          <a:bodyPr/>
          <a:lstStyle/>
          <a:p>
            <a:pPr>
              <a:defRPr lang="es-ES"/>
            </a:pPr>
            <a:endParaRPr lang="es-PE"/>
          </a:p>
        </c:txPr>
        <c:crossAx val="141242752"/>
        <c:crosses val="autoZero"/>
        <c:auto val="1"/>
        <c:lblAlgn val="ctr"/>
        <c:lblOffset val="100"/>
        <c:noMultiLvlLbl val="0"/>
      </c:catAx>
      <c:valAx>
        <c:axId val="1412427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36864"/>
        <c:crosses val="autoZero"/>
        <c:crossBetween val="between"/>
      </c:valAx>
    </c:plotArea>
    <c:plotVisOnly val="1"/>
    <c:dispBlanksAs val="gap"/>
    <c:showDLblsOverMax val="0"/>
  </c:chart>
  <c:printSettings>
    <c:headerFooter/>
    <c:pageMargins b="0.75000000000000944" l="0.70000000000000062" r="0.70000000000000062" t="0.750000000000009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1259904"/>
        <c:axId val="141261440"/>
      </c:barChart>
      <c:catAx>
        <c:axId val="141259904"/>
        <c:scaling>
          <c:orientation val="minMax"/>
        </c:scaling>
        <c:delete val="0"/>
        <c:axPos val="b"/>
        <c:majorTickMark val="out"/>
        <c:minorTickMark val="none"/>
        <c:tickLblPos val="nextTo"/>
        <c:txPr>
          <a:bodyPr/>
          <a:lstStyle/>
          <a:p>
            <a:pPr>
              <a:defRPr lang="es-ES"/>
            </a:pPr>
            <a:endParaRPr lang="es-PE"/>
          </a:p>
        </c:txPr>
        <c:crossAx val="141261440"/>
        <c:crosses val="autoZero"/>
        <c:auto val="1"/>
        <c:lblAlgn val="ctr"/>
        <c:lblOffset val="100"/>
        <c:noMultiLvlLbl val="0"/>
      </c:catAx>
      <c:valAx>
        <c:axId val="1412614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59904"/>
        <c:crosses val="autoZero"/>
        <c:crossBetween val="between"/>
      </c:valAx>
    </c:plotArea>
    <c:plotVisOnly val="1"/>
    <c:dispBlanksAs val="gap"/>
    <c:showDLblsOverMax val="0"/>
  </c:chart>
  <c:printSettings>
    <c:headerFooter/>
    <c:pageMargins b="0.75000000000000944" l="0.70000000000000062" r="0.70000000000000062" t="0.750000000000009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1564928"/>
        <c:axId val="141570816"/>
      </c:barChart>
      <c:catAx>
        <c:axId val="141564928"/>
        <c:scaling>
          <c:orientation val="minMax"/>
        </c:scaling>
        <c:delete val="0"/>
        <c:axPos val="b"/>
        <c:majorTickMark val="out"/>
        <c:minorTickMark val="none"/>
        <c:tickLblPos val="nextTo"/>
        <c:txPr>
          <a:bodyPr/>
          <a:lstStyle/>
          <a:p>
            <a:pPr>
              <a:defRPr lang="es-ES"/>
            </a:pPr>
            <a:endParaRPr lang="es-PE"/>
          </a:p>
        </c:txPr>
        <c:crossAx val="141570816"/>
        <c:crosses val="autoZero"/>
        <c:auto val="1"/>
        <c:lblAlgn val="ctr"/>
        <c:lblOffset val="100"/>
        <c:noMultiLvlLbl val="0"/>
      </c:catAx>
      <c:valAx>
        <c:axId val="1415708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564928"/>
        <c:crosses val="autoZero"/>
        <c:crossBetween val="between"/>
      </c:valAx>
    </c:plotArea>
    <c:plotVisOnly val="1"/>
    <c:dispBlanksAs val="gap"/>
    <c:showDLblsOverMax val="0"/>
  </c:chart>
  <c:printSettings>
    <c:headerFooter/>
    <c:pageMargins b="0.75000000000000944" l="0.70000000000000062" r="0.70000000000000062" t="0.750000000000009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1595392"/>
        <c:axId val="141596928"/>
      </c:barChart>
      <c:catAx>
        <c:axId val="141595392"/>
        <c:scaling>
          <c:orientation val="minMax"/>
        </c:scaling>
        <c:delete val="0"/>
        <c:axPos val="b"/>
        <c:majorTickMark val="out"/>
        <c:minorTickMark val="none"/>
        <c:tickLblPos val="nextTo"/>
        <c:txPr>
          <a:bodyPr/>
          <a:lstStyle/>
          <a:p>
            <a:pPr>
              <a:defRPr lang="es-ES"/>
            </a:pPr>
            <a:endParaRPr lang="es-PE"/>
          </a:p>
        </c:txPr>
        <c:crossAx val="141596928"/>
        <c:crosses val="autoZero"/>
        <c:auto val="1"/>
        <c:lblAlgn val="ctr"/>
        <c:lblOffset val="100"/>
        <c:noMultiLvlLbl val="0"/>
      </c:catAx>
      <c:valAx>
        <c:axId val="14159692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595392"/>
        <c:crosses val="autoZero"/>
        <c:crossBetween val="between"/>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757056"/>
        <c:axId val="141767040"/>
      </c:barChart>
      <c:catAx>
        <c:axId val="141757056"/>
        <c:scaling>
          <c:orientation val="minMax"/>
        </c:scaling>
        <c:delete val="0"/>
        <c:axPos val="b"/>
        <c:majorTickMark val="out"/>
        <c:minorTickMark val="none"/>
        <c:tickLblPos val="nextTo"/>
        <c:txPr>
          <a:bodyPr/>
          <a:lstStyle/>
          <a:p>
            <a:pPr>
              <a:defRPr lang="es-ES"/>
            </a:pPr>
            <a:endParaRPr lang="es-PE"/>
          </a:p>
        </c:txPr>
        <c:crossAx val="141767040"/>
        <c:crosses val="autoZero"/>
        <c:auto val="1"/>
        <c:lblAlgn val="ctr"/>
        <c:lblOffset val="100"/>
        <c:noMultiLvlLbl val="0"/>
      </c:catAx>
      <c:valAx>
        <c:axId val="1417670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757056"/>
        <c:crosses val="autoZero"/>
        <c:crossBetween val="between"/>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796480"/>
        <c:axId val="141798016"/>
      </c:barChart>
      <c:catAx>
        <c:axId val="141796480"/>
        <c:scaling>
          <c:orientation val="minMax"/>
        </c:scaling>
        <c:delete val="0"/>
        <c:axPos val="b"/>
        <c:majorTickMark val="out"/>
        <c:minorTickMark val="none"/>
        <c:tickLblPos val="nextTo"/>
        <c:txPr>
          <a:bodyPr/>
          <a:lstStyle/>
          <a:p>
            <a:pPr>
              <a:defRPr lang="es-ES"/>
            </a:pPr>
            <a:endParaRPr lang="es-PE"/>
          </a:p>
        </c:txPr>
        <c:crossAx val="141798016"/>
        <c:crosses val="autoZero"/>
        <c:auto val="1"/>
        <c:lblAlgn val="ctr"/>
        <c:lblOffset val="100"/>
        <c:noMultiLvlLbl val="0"/>
      </c:catAx>
      <c:valAx>
        <c:axId val="1417980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796480"/>
        <c:crosses val="autoZero"/>
        <c:crossBetween val="between"/>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68" dataDxfId="66" headerRowBorderDxfId="67" tableBorderDxfId="65">
  <autoFilter ref="A4:Q3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1">
      <filters>
        <filter val="CP018"/>
        <filter val="CP019"/>
        <filter val="CP023"/>
        <filter val="CP024"/>
      </filters>
    </filterColumn>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12"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SUM([2]!HistóricoEjecuciones[[#This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12" totalsRowShown="0" headerRowDxfId="6" headerRowBorderDxfId="5" tableBorderDxfId="4">
  <tableColumns count="4">
    <tableColumn id="1" name="Fecha" dataDxfId="3"/>
    <tableColumn id="2" name="Abiertas" dataDxfId="2"/>
    <tableColumn id="4" name="Cerradas" dataDxfId="1"/>
    <tableColumn id="5" name="Totales" dataDxfId="0">
      <calculatedColumnFormula>SUM([2]!HistoricoIncidencias[[#This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4" sqref="D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14</v>
      </c>
      <c r="D13" s="74"/>
      <c r="E13" s="5">
        <f>COUNTIF(CasoPrueba[[#All],[Estado Testing]],$P$28)</f>
        <v>21</v>
      </c>
      <c r="F13" s="5">
        <f>COUNTIF(CasoPrueba[[#All],[Estado Testing]],$P$29)</f>
        <v>14</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v>
      </c>
      <c r="F14" s="15">
        <f t="shared" si="0"/>
        <v>0.4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21</v>
      </c>
      <c r="D18" s="45">
        <f>C18/$C$10</f>
        <v>0.6</v>
      </c>
      <c r="E18" s="46">
        <f>COUNTIFS(CasoPrueba[[#All],[Estado Testing]],$P$29,CasoPrueba[[#All],[Prioridad]],$P$17)</f>
        <v>14</v>
      </c>
      <c r="F18" s="47">
        <f>E18/$C$10</f>
        <v>0.4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14</v>
      </c>
      <c r="N18" s="53">
        <f>M18/$C$10</f>
        <v>0.4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21</v>
      </c>
      <c r="D21" s="63">
        <f t="shared" ref="D21:N21" si="2">SUM(D18:D20)</f>
        <v>0.6</v>
      </c>
      <c r="E21" s="62">
        <f t="shared" si="2"/>
        <v>14</v>
      </c>
      <c r="F21" s="63">
        <f t="shared" si="2"/>
        <v>0.4</v>
      </c>
      <c r="G21" s="62">
        <f t="shared" si="2"/>
        <v>0</v>
      </c>
      <c r="H21" s="63">
        <f t="shared" si="2"/>
        <v>0</v>
      </c>
      <c r="I21" s="62">
        <f t="shared" si="2"/>
        <v>0</v>
      </c>
      <c r="J21" s="63">
        <f t="shared" si="2"/>
        <v>0</v>
      </c>
      <c r="K21" s="62">
        <f>SUM(K18:K20)</f>
        <v>0</v>
      </c>
      <c r="L21" s="63">
        <f>SUM(L18:L20)</f>
        <v>0</v>
      </c>
      <c r="M21" s="62">
        <f t="shared" si="2"/>
        <v>14</v>
      </c>
      <c r="N21" s="63">
        <f t="shared" si="2"/>
        <v>0.4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20</v>
      </c>
      <c r="D30" s="124">
        <f>C30/$C$10</f>
        <v>0.5714285714285714</v>
      </c>
      <c r="E30" s="125">
        <f>COUNTIFS(Observaciones[[#All],[Estado]],Resumen!$P$24,Observaciones[[#All],[Severidad]],Resumen!$P$11)</f>
        <v>36</v>
      </c>
      <c r="F30" s="124">
        <f>E30/$C$10</f>
        <v>1.0285714285714285</v>
      </c>
      <c r="G30" s="119"/>
      <c r="H30" s="122" t="s">
        <v>33</v>
      </c>
      <c r="I30" s="126">
        <f>COUNTIFS(Observaciones[[#All],[Severidad]],Resumen!$P$11,Observaciones[[#All],[Prioridad]],Resumen!$P$17)</f>
        <v>56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27</v>
      </c>
      <c r="D31" s="124">
        <f>C31/$C$10</f>
        <v>0.77142857142857146</v>
      </c>
      <c r="E31" s="125">
        <f>COUNTIFS(Observaciones[[#All],[Estado]],Resumen!$P$24,Observaciones[[#All],[Severidad]],Resumen!$P$12)</f>
        <v>90</v>
      </c>
      <c r="F31" s="124">
        <f>E31/$C$10</f>
        <v>2.5714285714285716</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12</v>
      </c>
      <c r="D32" s="124">
        <f>C32/$C$10</f>
        <v>0.34285714285714286</v>
      </c>
      <c r="E32" s="125">
        <f>COUNTIFS(Observaciones[[#All],[Estado]],Resumen!$P$24,Observaciones[[#All],[Severidad]],Resumen!$P$13)</f>
        <v>60</v>
      </c>
      <c r="F32" s="124">
        <f>E32/$C$10</f>
        <v>1.7142857142857142</v>
      </c>
      <c r="G32" s="119"/>
      <c r="H32" s="122" t="s">
        <v>37</v>
      </c>
      <c r="I32" s="126">
        <f>COUNTIFS(Observaciones[[#All],[Severidad]],Resumen!$P$13,Observaciones[[#All],[Prioridad]],Resumen!$P$17)</f>
        <v>72</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38</v>
      </c>
      <c r="D33" s="124">
        <f>C33/$C$10</f>
        <v>1.0857142857142856</v>
      </c>
      <c r="E33" s="125">
        <f>COUNTIFS(Observaciones[[#All],[Estado]],Resumen!$P$24,Observaciones[[#All],[Severidad]],Resumen!$P$14)</f>
        <v>50</v>
      </c>
      <c r="F33" s="124">
        <f>E33/$C$10</f>
        <v>1.4285714285714286</v>
      </c>
      <c r="G33" s="119"/>
      <c r="H33" s="122" t="s">
        <v>39</v>
      </c>
      <c r="I33" s="126">
        <f>COUNTIFS(Observaciones[[#All],[Severidad]],Resumen!$P$14,Observaciones[[#All],[Prioridad]],Resumen!$P$17)</f>
        <v>88</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97</v>
      </c>
      <c r="D34" s="129">
        <f>SUM(D30:D33)</f>
        <v>2.7714285714285714</v>
      </c>
      <c r="E34" s="128">
        <f>SUM(E30:E33)</f>
        <v>236</v>
      </c>
      <c r="F34" s="129">
        <f>SUM(F30:F33)</f>
        <v>6.7428571428571429</v>
      </c>
      <c r="G34" s="119"/>
      <c r="H34" s="122" t="s">
        <v>72</v>
      </c>
      <c r="I34" s="130">
        <f>SUM(I30:I33)</f>
        <v>333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7.8687150837988824</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22" zoomScaleNormal="100" workbookViewId="0">
      <selection activeCell="C28" sqref="C28"/>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462</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463</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464</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465</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466</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467</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468</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469</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496</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470</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471</v>
      </c>
      <c r="Q19" s="90" t="str">
        <f>CONCATENATE(General!$B$7," ",General!$B$6)</f>
        <v>Nicolay García José Ramos Ramírez</v>
      </c>
    </row>
    <row r="20" spans="1:17" ht="56.25">
      <c r="A20" s="90" t="s">
        <v>159</v>
      </c>
      <c r="B20" s="168" t="s">
        <v>497</v>
      </c>
      <c r="C20" s="90" t="s">
        <v>170</v>
      </c>
      <c r="D20" s="169" t="s">
        <v>500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891</v>
      </c>
      <c r="Q20" s="90"/>
    </row>
    <row r="21" spans="1:17" ht="56.25">
      <c r="A21" s="90" t="s">
        <v>159</v>
      </c>
      <c r="B21" s="168" t="s">
        <v>498</v>
      </c>
      <c r="C21" s="90" t="s">
        <v>170</v>
      </c>
      <c r="D21" s="31" t="s">
        <v>502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892</v>
      </c>
      <c r="Q21" s="90"/>
    </row>
    <row r="22" spans="1:17" ht="33.75">
      <c r="A22" s="90" t="s">
        <v>159</v>
      </c>
      <c r="B22" s="168" t="s">
        <v>499</v>
      </c>
      <c r="C22" s="90" t="s">
        <v>170</v>
      </c>
      <c r="D22" s="31" t="s">
        <v>501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30</v>
      </c>
      <c r="J22" s="90" t="s">
        <v>47</v>
      </c>
      <c r="K22" s="90"/>
      <c r="L22" s="93">
        <f>General!$A$10</f>
        <v>0</v>
      </c>
      <c r="M22" s="93"/>
      <c r="N22" s="90"/>
      <c r="O22" s="90"/>
      <c r="P22" s="92" t="s">
        <v>1047</v>
      </c>
      <c r="Q22" s="90" t="str">
        <f>CONCATENATE(General!$B$7," ",General!$B$6)</f>
        <v>Nicolay García José Ramos Ramírez</v>
      </c>
    </row>
    <row r="23" spans="1:17" ht="33.75">
      <c r="A23" s="90" t="s">
        <v>159</v>
      </c>
      <c r="B23" s="168" t="s">
        <v>624</v>
      </c>
      <c r="C23" s="90" t="s">
        <v>170</v>
      </c>
      <c r="D23" s="31" t="s">
        <v>625</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30</v>
      </c>
      <c r="J23" s="90" t="s">
        <v>47</v>
      </c>
      <c r="K23" s="90"/>
      <c r="L23" s="93">
        <f>General!$A$10</f>
        <v>0</v>
      </c>
      <c r="M23" s="93"/>
      <c r="N23" s="90"/>
      <c r="O23" s="90"/>
      <c r="P23" s="92" t="s">
        <v>1048</v>
      </c>
      <c r="Q23" s="90" t="str">
        <f>CONCATENATE(General!$B$7," ",General!$B$6)</f>
        <v>Nicolay García José Ramos Ramírez</v>
      </c>
    </row>
    <row r="24" spans="1:17" ht="112.5">
      <c r="A24" s="90" t="s">
        <v>159</v>
      </c>
      <c r="B24" s="168" t="s">
        <v>626</v>
      </c>
      <c r="C24" s="90" t="s">
        <v>170</v>
      </c>
      <c r="D24" s="31" t="s">
        <v>630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893</v>
      </c>
      <c r="Q24" s="90"/>
    </row>
    <row r="25" spans="1:17" ht="33.75">
      <c r="A25" s="90" t="s">
        <v>159</v>
      </c>
      <c r="B25" s="168" t="s">
        <v>627</v>
      </c>
      <c r="C25" s="90" t="s">
        <v>170</v>
      </c>
      <c r="D25" s="31" t="s">
        <v>631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894</v>
      </c>
      <c r="Q25" s="90"/>
    </row>
    <row r="26" spans="1:17" ht="33.75">
      <c r="A26" s="90" t="s">
        <v>159</v>
      </c>
      <c r="B26" s="168" t="s">
        <v>628</v>
      </c>
      <c r="C26" s="90" t="s">
        <v>170</v>
      </c>
      <c r="D26" s="31" t="s">
        <v>632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895</v>
      </c>
      <c r="Q26" s="90"/>
    </row>
    <row r="27" spans="1:17" ht="56.25">
      <c r="A27" s="90" t="s">
        <v>159</v>
      </c>
      <c r="B27" s="168" t="s">
        <v>629</v>
      </c>
      <c r="C27" s="90" t="s">
        <v>170</v>
      </c>
      <c r="D27" s="31" t="s">
        <v>633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30</v>
      </c>
      <c r="J27" s="90" t="s">
        <v>47</v>
      </c>
      <c r="K27" s="90"/>
      <c r="L27" s="93">
        <f>General!$A$10</f>
        <v>0</v>
      </c>
      <c r="M27" s="93"/>
      <c r="N27" s="90"/>
      <c r="O27" s="90"/>
      <c r="P27" s="92" t="s">
        <v>1049</v>
      </c>
      <c r="Q27" s="90" t="str">
        <f>CONCATENATE(General!$B$7," ",General!$B$6)</f>
        <v>Nicolay García José Ramos Ramírez</v>
      </c>
    </row>
    <row r="28" spans="1:17" ht="56.25">
      <c r="A28" s="90" t="s">
        <v>159</v>
      </c>
      <c r="B28" s="168" t="s">
        <v>663</v>
      </c>
      <c r="C28" s="90" t="s">
        <v>170</v>
      </c>
      <c r="D28" s="31" t="s">
        <v>665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1050</v>
      </c>
      <c r="Q28" s="90" t="str">
        <f>CONCATENATE(General!$B$7," ",General!$B$6)</f>
        <v>Nicolay García José Ramos Ramírez</v>
      </c>
    </row>
    <row r="29" spans="1:17" ht="56.25">
      <c r="A29" s="90" t="s">
        <v>159</v>
      </c>
      <c r="B29" s="168" t="s">
        <v>664</v>
      </c>
      <c r="C29" s="90" t="s">
        <v>170</v>
      </c>
      <c r="D29" s="31" t="s">
        <v>666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896</v>
      </c>
      <c r="Q29" s="90"/>
    </row>
    <row r="30" spans="1:17" ht="409.5">
      <c r="A30" s="90" t="s">
        <v>159</v>
      </c>
      <c r="B30" s="168" t="s">
        <v>897</v>
      </c>
      <c r="C30" s="90" t="s">
        <v>170</v>
      </c>
      <c r="D30" s="31" t="s">
        <v>904</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t="s">
        <v>948</v>
      </c>
      <c r="Q30" s="90"/>
    </row>
    <row r="31" spans="1:17" ht="281.25">
      <c r="A31" s="90" t="s">
        <v>159</v>
      </c>
      <c r="B31" s="168" t="s">
        <v>898</v>
      </c>
      <c r="C31" s="90" t="s">
        <v>170</v>
      </c>
      <c r="D31" s="31" t="s">
        <v>905</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t="s">
        <v>949</v>
      </c>
      <c r="Q31" s="90"/>
    </row>
    <row r="32" spans="1:17" ht="292.5">
      <c r="A32" s="90" t="s">
        <v>159</v>
      </c>
      <c r="B32" s="168" t="s">
        <v>899</v>
      </c>
      <c r="C32" s="90" t="s">
        <v>170</v>
      </c>
      <c r="D32" s="31" t="s">
        <v>906</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t="s">
        <v>950</v>
      </c>
      <c r="Q32" s="90"/>
    </row>
    <row r="33" spans="1:17" ht="168.75">
      <c r="A33" s="90" t="s">
        <v>159</v>
      </c>
      <c r="B33" s="168" t="s">
        <v>900</v>
      </c>
      <c r="C33" s="90" t="s">
        <v>170</v>
      </c>
      <c r="D33" s="31" t="s">
        <v>907</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t="s">
        <v>966</v>
      </c>
      <c r="Q33" s="90"/>
    </row>
    <row r="34" spans="1:17" ht="191.25">
      <c r="A34" s="90" t="s">
        <v>159</v>
      </c>
      <c r="B34" s="168" t="s">
        <v>901</v>
      </c>
      <c r="C34" s="90" t="s">
        <v>170</v>
      </c>
      <c r="D34" s="31" t="s">
        <v>908</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t="s">
        <v>967</v>
      </c>
      <c r="Q34" s="90"/>
    </row>
    <row r="35" spans="1:17" ht="180">
      <c r="A35" s="90" t="s">
        <v>159</v>
      </c>
      <c r="B35" s="168" t="s">
        <v>902</v>
      </c>
      <c r="C35" s="90" t="s">
        <v>170</v>
      </c>
      <c r="D35" s="31" t="s">
        <v>909</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t="s">
        <v>968</v>
      </c>
      <c r="Q35" s="90"/>
    </row>
    <row r="36" spans="1:17" ht="168.75">
      <c r="A36" s="90" t="s">
        <v>159</v>
      </c>
      <c r="B36" s="168" t="s">
        <v>903</v>
      </c>
      <c r="C36" s="90" t="s">
        <v>170</v>
      </c>
      <c r="D36" s="31" t="s">
        <v>910</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t="s">
        <v>969</v>
      </c>
      <c r="Q36" s="90"/>
    </row>
    <row r="37" spans="1:17" ht="202.5">
      <c r="A37" s="90" t="s">
        <v>159</v>
      </c>
      <c r="B37" s="168" t="s">
        <v>914</v>
      </c>
      <c r="C37" s="90" t="s">
        <v>170</v>
      </c>
      <c r="D37" s="169" t="s">
        <v>911</v>
      </c>
      <c r="E37" s="90" t="s">
        <v>160</v>
      </c>
      <c r="F37" s="91" t="str">
        <f>IF(CasoPrueba[[#This Row],[Estado Testing]]=Resumen!$P$28,"OK",IF(CasoPrueba[[#This Row],[Estado Testing]]=Resumen!$P$29,"NO OK",IF((CasoPrueba[[#This Row],[Estado Testing]]=Resumen!$P$30)+(CasoPrueba[[#This Row],[Estado Testing]]=Resumen!$P$31),"OBSERVADO","")))</f>
        <v>NO OK</v>
      </c>
      <c r="G37" s="92" t="s">
        <v>20</v>
      </c>
      <c r="H37" s="90" t="s">
        <v>28</v>
      </c>
      <c r="I37" s="92" t="s">
        <v>28</v>
      </c>
      <c r="J37" s="90" t="s">
        <v>47</v>
      </c>
      <c r="K37" s="168"/>
      <c r="L37" s="172">
        <f>General!$A$10</f>
        <v>0</v>
      </c>
      <c r="M37" s="172"/>
      <c r="N37" s="168"/>
      <c r="O37" s="168"/>
      <c r="P37" s="171" t="s">
        <v>1038</v>
      </c>
      <c r="Q37" s="168"/>
    </row>
    <row r="38" spans="1:17" ht="202.5">
      <c r="A38" s="90" t="s">
        <v>159</v>
      </c>
      <c r="B38" s="168" t="s">
        <v>915</v>
      </c>
      <c r="C38" s="90" t="s">
        <v>170</v>
      </c>
      <c r="D38" s="169" t="s">
        <v>912</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t="s">
        <v>1039</v>
      </c>
      <c r="Q38" s="168" t="str">
        <f>CONCATENATE(General!$B$7," ",General!$B$6)</f>
        <v>Nicolay García José Ramos Ramírez</v>
      </c>
    </row>
    <row r="39" spans="1:17" ht="90">
      <c r="A39" s="90" t="s">
        <v>159</v>
      </c>
      <c r="B39" s="168" t="s">
        <v>916</v>
      </c>
      <c r="C39" s="90" t="s">
        <v>170</v>
      </c>
      <c r="D39" s="169" t="s">
        <v>913</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t="s">
        <v>1040</v>
      </c>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361"/>
  <sheetViews>
    <sheetView tabSelected="1" zoomScale="85" zoomScaleNormal="85" workbookViewId="0">
      <selection activeCell="J332" sqref="J332"/>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226</v>
      </c>
      <c r="J3" s="34" t="s">
        <v>227</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425</v>
      </c>
      <c r="J7" s="164" t="s">
        <v>1051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201</v>
      </c>
      <c r="B8" s="164" t="s">
        <v>88</v>
      </c>
      <c r="C8" s="34" t="str">
        <f>VLOOKUP(Observaciones[Caso de Prueba],CasoPrueba[[#All],[Código CP]:[Prioridad]],7,TRUE)</f>
        <v>Alta</v>
      </c>
      <c r="D8" s="164" t="s">
        <v>30</v>
      </c>
      <c r="E8" s="34" t="s">
        <v>49</v>
      </c>
      <c r="F8" s="165">
        <v>40793</v>
      </c>
      <c r="G8" s="73">
        <v>40796</v>
      </c>
      <c r="H8" s="167" t="s">
        <v>132</v>
      </c>
      <c r="I8" s="164" t="s">
        <v>202</v>
      </c>
      <c r="J8" s="164" t="s">
        <v>203</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204</v>
      </c>
      <c r="B9" s="164" t="s">
        <v>88</v>
      </c>
      <c r="C9" s="34" t="str">
        <f>VLOOKUP(Observaciones[Caso de Prueba],CasoPrueba[[#All],[Código CP]:[Prioridad]],7,TRUE)</f>
        <v>Alta</v>
      </c>
      <c r="D9" s="164" t="s">
        <v>29</v>
      </c>
      <c r="E9" s="34" t="s">
        <v>49</v>
      </c>
      <c r="F9" s="165">
        <v>40784</v>
      </c>
      <c r="G9" s="73">
        <v>40796</v>
      </c>
      <c r="H9" s="167" t="s">
        <v>132</v>
      </c>
      <c r="I9" s="164" t="s">
        <v>205</v>
      </c>
      <c r="J9" s="164" t="s">
        <v>206</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207</v>
      </c>
      <c r="B10" s="164" t="s">
        <v>88</v>
      </c>
      <c r="C10" s="34" t="str">
        <f>VLOOKUP(Observaciones[Caso de Prueba],CasoPrueba[[#All],[Código CP]:[Prioridad]],7,TRUE)</f>
        <v>Alta</v>
      </c>
      <c r="D10" s="164" t="s">
        <v>29</v>
      </c>
      <c r="E10" s="34" t="s">
        <v>49</v>
      </c>
      <c r="F10" s="165">
        <v>40784</v>
      </c>
      <c r="G10" s="73">
        <v>40796</v>
      </c>
      <c r="H10" s="167" t="s">
        <v>132</v>
      </c>
      <c r="I10" s="164" t="s">
        <v>208</v>
      </c>
      <c r="J10" s="164" t="s">
        <v>209</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210</v>
      </c>
      <c r="B11" s="164" t="s">
        <v>88</v>
      </c>
      <c r="C11" s="34" t="str">
        <f>VLOOKUP(Observaciones[Caso de Prueba],CasoPrueba[[#All],[Código CP]:[Prioridad]],7,TRUE)</f>
        <v>Alta</v>
      </c>
      <c r="D11" s="164" t="s">
        <v>29</v>
      </c>
      <c r="E11" s="34" t="s">
        <v>49</v>
      </c>
      <c r="F11" s="165">
        <v>40784</v>
      </c>
      <c r="G11" s="73">
        <v>40796</v>
      </c>
      <c r="H11" s="167" t="s">
        <v>132</v>
      </c>
      <c r="I11" s="164" t="s">
        <v>211</v>
      </c>
      <c r="J11" s="164" t="s">
        <v>212</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213</v>
      </c>
      <c r="B12" s="164" t="s">
        <v>88</v>
      </c>
      <c r="C12" s="34" t="str">
        <f>VLOOKUP(Observaciones[Caso de Prueba],CasoPrueba[[#All],[Código CP]:[Prioridad]],7,TRUE)</f>
        <v>Alta</v>
      </c>
      <c r="D12" s="164" t="s">
        <v>29</v>
      </c>
      <c r="E12" s="34" t="s">
        <v>49</v>
      </c>
      <c r="F12" s="165">
        <v>40784</v>
      </c>
      <c r="G12" s="73">
        <v>40796</v>
      </c>
      <c r="H12" s="167" t="s">
        <v>132</v>
      </c>
      <c r="I12" s="164" t="s">
        <v>214</v>
      </c>
      <c r="J12" s="164" t="s">
        <v>215</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216</v>
      </c>
      <c r="B13" s="164" t="s">
        <v>88</v>
      </c>
      <c r="C13" s="34" t="str">
        <f>VLOOKUP(Observaciones[Caso de Prueba],CasoPrueba[[#All],[Código CP]:[Prioridad]],7,TRUE)</f>
        <v>Alta</v>
      </c>
      <c r="D13" s="164" t="s">
        <v>29</v>
      </c>
      <c r="E13" s="34" t="s">
        <v>49</v>
      </c>
      <c r="F13" s="165">
        <v>40784</v>
      </c>
      <c r="G13" s="73">
        <v>40796</v>
      </c>
      <c r="H13" s="167" t="s">
        <v>132</v>
      </c>
      <c r="I13" s="164" t="s">
        <v>217</v>
      </c>
      <c r="J13" s="164" t="s">
        <v>218</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219</v>
      </c>
      <c r="B14" s="164" t="s">
        <v>88</v>
      </c>
      <c r="C14" s="34" t="str">
        <f>VLOOKUP(Observaciones[Caso de Prueba],CasoPrueba[[#All],[Código CP]:[Prioridad]],7,TRUE)</f>
        <v>Alta</v>
      </c>
      <c r="D14" s="164" t="s">
        <v>30</v>
      </c>
      <c r="E14" s="34" t="s">
        <v>49</v>
      </c>
      <c r="F14" s="165">
        <v>40784</v>
      </c>
      <c r="G14" s="73">
        <v>40796</v>
      </c>
      <c r="H14" s="167" t="s">
        <v>132</v>
      </c>
      <c r="I14" s="164" t="s">
        <v>220</v>
      </c>
      <c r="J14" s="164" t="s">
        <v>221</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222</v>
      </c>
      <c r="B15" s="164" t="s">
        <v>88</v>
      </c>
      <c r="C15" s="34" t="str">
        <f>VLOOKUP(Observaciones[Caso de Prueba],CasoPrueba[[#All],[Código CP]:[Prioridad]],7,TRUE)</f>
        <v>Alta</v>
      </c>
      <c r="D15" s="164" t="s">
        <v>30</v>
      </c>
      <c r="E15" s="34" t="s">
        <v>49</v>
      </c>
      <c r="F15" s="165">
        <v>40784</v>
      </c>
      <c r="G15" s="73">
        <v>40796</v>
      </c>
      <c r="H15" s="167" t="s">
        <v>132</v>
      </c>
      <c r="I15" s="164" t="s">
        <v>223</v>
      </c>
      <c r="J15" s="164" t="s">
        <v>224</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225</v>
      </c>
      <c r="B16" s="164" t="s">
        <v>151</v>
      </c>
      <c r="C16" s="34" t="str">
        <f>VLOOKUP(Observaciones[Caso de Prueba],CasoPrueba[[#All],[Código CP]:[Prioridad]],7,TRUE)</f>
        <v>Alta</v>
      </c>
      <c r="D16" s="164" t="s">
        <v>30</v>
      </c>
      <c r="E16" s="34" t="s">
        <v>49</v>
      </c>
      <c r="F16" s="165">
        <v>40786</v>
      </c>
      <c r="G16" s="73">
        <v>40796</v>
      </c>
      <c r="H16" s="167" t="s">
        <v>132</v>
      </c>
      <c r="I16" s="164" t="s">
        <v>226</v>
      </c>
      <c r="J16" s="164" t="s">
        <v>227</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228</v>
      </c>
      <c r="B17" s="164" t="s">
        <v>151</v>
      </c>
      <c r="C17" s="34" t="str">
        <f>VLOOKUP(Observaciones[Caso de Prueba],CasoPrueba[[#All],[Código CP]:[Prioridad]],7,TRUE)</f>
        <v>Alta</v>
      </c>
      <c r="D17" s="164" t="s">
        <v>162</v>
      </c>
      <c r="E17" s="34" t="s">
        <v>49</v>
      </c>
      <c r="F17" s="165">
        <v>40786</v>
      </c>
      <c r="G17" s="73">
        <v>40796</v>
      </c>
      <c r="H17" s="167" t="s">
        <v>132</v>
      </c>
      <c r="I17" s="164" t="s">
        <v>229</v>
      </c>
      <c r="J17" s="164" t="s">
        <v>230</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231</v>
      </c>
      <c r="B18" s="164" t="s">
        <v>151</v>
      </c>
      <c r="C18" s="34" t="str">
        <f>VLOOKUP(Observaciones[Caso de Prueba],CasoPrueba[[#All],[Código CP]:[Prioridad]],7,TRUE)</f>
        <v>Alta</v>
      </c>
      <c r="D18" s="164" t="s">
        <v>162</v>
      </c>
      <c r="E18" s="34" t="s">
        <v>49</v>
      </c>
      <c r="F18" s="165">
        <v>40786</v>
      </c>
      <c r="G18" s="73">
        <v>40796</v>
      </c>
      <c r="H18" s="167" t="s">
        <v>132</v>
      </c>
      <c r="I18" s="164" t="s">
        <v>232</v>
      </c>
      <c r="J18" s="164" t="s">
        <v>233</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234</v>
      </c>
      <c r="B19" s="164" t="s">
        <v>151</v>
      </c>
      <c r="C19" s="34" t="str">
        <f>VLOOKUP(Observaciones[Caso de Prueba],CasoPrueba[[#All],[Código CP]:[Prioridad]],7,TRUE)</f>
        <v>Alta</v>
      </c>
      <c r="D19" s="164" t="s">
        <v>30</v>
      </c>
      <c r="E19" s="34" t="s">
        <v>49</v>
      </c>
      <c r="F19" s="165">
        <v>40793</v>
      </c>
      <c r="G19" s="73">
        <v>40796</v>
      </c>
      <c r="H19" s="167" t="s">
        <v>132</v>
      </c>
      <c r="I19" s="164" t="s">
        <v>235</v>
      </c>
      <c r="J19" s="164" t="s">
        <v>236</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237</v>
      </c>
      <c r="B20" s="164" t="s">
        <v>151</v>
      </c>
      <c r="C20" s="34" t="str">
        <f>VLOOKUP(Observaciones[Caso de Prueba],CasoPrueba[[#All],[Código CP]:[Prioridad]],7,TRUE)</f>
        <v>Alta</v>
      </c>
      <c r="D20" s="164" t="s">
        <v>29</v>
      </c>
      <c r="E20" s="34" t="s">
        <v>49</v>
      </c>
      <c r="F20" s="165">
        <v>40786</v>
      </c>
      <c r="G20" s="73">
        <v>40796</v>
      </c>
      <c r="H20" s="167" t="s">
        <v>132</v>
      </c>
      <c r="I20" s="164" t="s">
        <v>238</v>
      </c>
      <c r="J20" s="164" t="s">
        <v>239</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240</v>
      </c>
      <c r="B21" s="164" t="s">
        <v>151</v>
      </c>
      <c r="C21" s="34" t="str">
        <f>VLOOKUP(Observaciones[Caso de Prueba],CasoPrueba[[#All],[Código CP]:[Prioridad]],7,TRUE)</f>
        <v>Alta</v>
      </c>
      <c r="D21" s="164" t="s">
        <v>29</v>
      </c>
      <c r="E21" s="34" t="s">
        <v>49</v>
      </c>
      <c r="F21" s="165">
        <v>40786</v>
      </c>
      <c r="G21" s="73">
        <v>40796</v>
      </c>
      <c r="H21" s="167" t="s">
        <v>132</v>
      </c>
      <c r="I21" s="164" t="s">
        <v>241</v>
      </c>
      <c r="J21" s="164" t="s">
        <v>242</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243</v>
      </c>
      <c r="B22" s="164" t="s">
        <v>151</v>
      </c>
      <c r="C22" s="34" t="str">
        <f>VLOOKUP(Observaciones[Caso de Prueba],CasoPrueba[[#All],[Código CP]:[Prioridad]],7,TRUE)</f>
        <v>Alta</v>
      </c>
      <c r="D22" s="164" t="s">
        <v>29</v>
      </c>
      <c r="E22" s="34" t="s">
        <v>49</v>
      </c>
      <c r="F22" s="165">
        <v>40786</v>
      </c>
      <c r="G22" s="73">
        <v>40796</v>
      </c>
      <c r="H22" s="167" t="s">
        <v>132</v>
      </c>
      <c r="I22" s="164" t="s">
        <v>244</v>
      </c>
      <c r="J22" s="164" t="s">
        <v>245</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246</v>
      </c>
      <c r="B23" s="164" t="s">
        <v>151</v>
      </c>
      <c r="C23" s="34" t="str">
        <f>VLOOKUP(Observaciones[Caso de Prueba],CasoPrueba[[#All],[Código CP]:[Prioridad]],7,TRUE)</f>
        <v>Alta</v>
      </c>
      <c r="D23" s="164" t="s">
        <v>162</v>
      </c>
      <c r="E23" s="34" t="s">
        <v>49</v>
      </c>
      <c r="F23" s="165">
        <v>40786</v>
      </c>
      <c r="G23" s="73">
        <v>40796</v>
      </c>
      <c r="H23" s="167" t="s">
        <v>132</v>
      </c>
      <c r="I23" s="164" t="s">
        <v>247</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248</v>
      </c>
      <c r="B24" s="164" t="s">
        <v>151</v>
      </c>
      <c r="C24" s="34" t="str">
        <f>VLOOKUP(Observaciones[Caso de Prueba],CasoPrueba[[#All],[Código CP]:[Prioridad]],7,TRUE)</f>
        <v>Alta</v>
      </c>
      <c r="D24" s="164" t="s">
        <v>28</v>
      </c>
      <c r="E24" s="34" t="s">
        <v>49</v>
      </c>
      <c r="F24" s="165">
        <v>40786</v>
      </c>
      <c r="G24" s="73">
        <v>40796</v>
      </c>
      <c r="H24" s="167" t="s">
        <v>132</v>
      </c>
      <c r="I24" s="164" t="s">
        <v>249</v>
      </c>
      <c r="J24" s="164" t="s">
        <v>250</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251</v>
      </c>
      <c r="B25" s="164" t="s">
        <v>152</v>
      </c>
      <c r="C25" s="34" t="str">
        <f>VLOOKUP(Observaciones[Caso de Prueba],CasoPrueba[[#All],[Código CP]:[Prioridad]],7,TRUE)</f>
        <v>Alta</v>
      </c>
      <c r="D25" s="164" t="s">
        <v>30</v>
      </c>
      <c r="E25" s="34" t="s">
        <v>49</v>
      </c>
      <c r="F25" s="165">
        <v>40786</v>
      </c>
      <c r="G25" s="73">
        <v>40796</v>
      </c>
      <c r="H25" s="167" t="s">
        <v>132</v>
      </c>
      <c r="I25" s="164" t="s">
        <v>252</v>
      </c>
      <c r="J25" s="164" t="s">
        <v>227</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253</v>
      </c>
      <c r="B26" s="164" t="s">
        <v>152</v>
      </c>
      <c r="C26" s="34" t="str">
        <f>VLOOKUP(Observaciones[Caso de Prueba],CasoPrueba[[#All],[Código CP]:[Prioridad]],7,TRUE)</f>
        <v>Alta</v>
      </c>
      <c r="D26" s="164" t="s">
        <v>30</v>
      </c>
      <c r="E26" s="164" t="s">
        <v>49</v>
      </c>
      <c r="F26" s="165">
        <v>40793</v>
      </c>
      <c r="G26" s="73">
        <v>40796</v>
      </c>
      <c r="H26" s="167" t="s">
        <v>132</v>
      </c>
      <c r="I26" s="164" t="s">
        <v>235</v>
      </c>
      <c r="J26" s="164" t="s">
        <v>254</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255</v>
      </c>
      <c r="B27" s="164" t="s">
        <v>152</v>
      </c>
      <c r="C27" s="34" t="str">
        <f>VLOOKUP(Observaciones[Caso de Prueba],CasoPrueba[[#All],[Código CP]:[Prioridad]],7,TRUE)</f>
        <v>Alta</v>
      </c>
      <c r="D27" s="164" t="s">
        <v>29</v>
      </c>
      <c r="E27" s="164" t="s">
        <v>49</v>
      </c>
      <c r="F27" s="165">
        <v>40786</v>
      </c>
      <c r="G27" s="73">
        <v>40796</v>
      </c>
      <c r="H27" s="167" t="s">
        <v>132</v>
      </c>
      <c r="I27" s="164" t="s">
        <v>256</v>
      </c>
      <c r="J27" s="164" t="s">
        <v>257</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258</v>
      </c>
      <c r="B28" s="164" t="s">
        <v>152</v>
      </c>
      <c r="C28" s="34" t="str">
        <f>VLOOKUP(Observaciones[Caso de Prueba],CasoPrueba[[#All],[Código CP]:[Prioridad]],7,TRUE)</f>
        <v>Alta</v>
      </c>
      <c r="D28" s="164" t="s">
        <v>29</v>
      </c>
      <c r="E28" s="164" t="s">
        <v>49</v>
      </c>
      <c r="F28" s="165">
        <v>40786</v>
      </c>
      <c r="G28" s="73">
        <v>40796</v>
      </c>
      <c r="H28" s="167" t="s">
        <v>132</v>
      </c>
      <c r="I28" s="164" t="s">
        <v>259</v>
      </c>
      <c r="J28" s="164" t="s">
        <v>260</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261</v>
      </c>
      <c r="B29" s="164" t="s">
        <v>152</v>
      </c>
      <c r="C29" s="34" t="str">
        <f>VLOOKUP(Observaciones[Caso de Prueba],CasoPrueba[[#All],[Código CP]:[Prioridad]],7,TRUE)</f>
        <v>Alta</v>
      </c>
      <c r="D29" s="164" t="s">
        <v>162</v>
      </c>
      <c r="E29" s="164" t="s">
        <v>49</v>
      </c>
      <c r="F29" s="165">
        <v>40786</v>
      </c>
      <c r="G29" s="73">
        <v>40796</v>
      </c>
      <c r="H29" s="167" t="s">
        <v>132</v>
      </c>
      <c r="I29" s="164" t="s">
        <v>262</v>
      </c>
      <c r="J29" s="164" t="s">
        <v>263</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264</v>
      </c>
      <c r="B30" s="164" t="s">
        <v>152</v>
      </c>
      <c r="C30" s="34" t="str">
        <f>VLOOKUP(Observaciones[Caso de Prueba],CasoPrueba[[#All],[Código CP]:[Prioridad]],7,TRUE)</f>
        <v>Alta</v>
      </c>
      <c r="D30" s="164" t="s">
        <v>28</v>
      </c>
      <c r="E30" s="164" t="s">
        <v>49</v>
      </c>
      <c r="F30" s="165">
        <v>40793</v>
      </c>
      <c r="G30" s="73">
        <v>40796</v>
      </c>
      <c r="H30" s="167" t="s">
        <v>132</v>
      </c>
      <c r="I30" s="164" t="s">
        <v>249</v>
      </c>
      <c r="J30" s="164" t="s">
        <v>265</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266</v>
      </c>
      <c r="B31" s="164" t="s">
        <v>153</v>
      </c>
      <c r="C31" s="34" t="str">
        <f>VLOOKUP(Observaciones[Caso de Prueba],CasoPrueba[[#All],[Código CP]:[Prioridad]],7,TRUE)</f>
        <v>Alta</v>
      </c>
      <c r="D31" s="164" t="s">
        <v>30</v>
      </c>
      <c r="E31" s="164" t="s">
        <v>49</v>
      </c>
      <c r="F31" s="165">
        <v>40788</v>
      </c>
      <c r="G31" s="73">
        <v>40796</v>
      </c>
      <c r="H31" s="167" t="s">
        <v>132</v>
      </c>
      <c r="I31" s="164" t="s">
        <v>267</v>
      </c>
      <c r="J31" s="164" t="s">
        <v>268</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269</v>
      </c>
      <c r="B32" s="164" t="s">
        <v>153</v>
      </c>
      <c r="C32" s="34" t="str">
        <f>VLOOKUP(Observaciones[Caso de Prueba],CasoPrueba[[#All],[Código CP]:[Prioridad]],7,TRUE)</f>
        <v>Alta</v>
      </c>
      <c r="D32" s="164" t="s">
        <v>30</v>
      </c>
      <c r="E32" s="164" t="s">
        <v>49</v>
      </c>
      <c r="F32" s="165">
        <v>40788</v>
      </c>
      <c r="G32" s="73">
        <v>40796</v>
      </c>
      <c r="H32" s="167" t="s">
        <v>132</v>
      </c>
      <c r="I32" s="164" t="s">
        <v>252</v>
      </c>
      <c r="J32" s="164" t="s">
        <v>227</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270</v>
      </c>
      <c r="B33" s="164" t="s">
        <v>153</v>
      </c>
      <c r="C33" s="34" t="str">
        <f>VLOOKUP(Observaciones[Caso de Prueba],CasoPrueba[[#All],[Código CP]:[Prioridad]],7,TRUE)</f>
        <v>Alta</v>
      </c>
      <c r="D33" s="164" t="s">
        <v>30</v>
      </c>
      <c r="E33" s="164" t="s">
        <v>49</v>
      </c>
      <c r="F33" s="165">
        <v>40793</v>
      </c>
      <c r="G33" s="73">
        <v>40796</v>
      </c>
      <c r="H33" s="167" t="s">
        <v>132</v>
      </c>
      <c r="I33" s="164" t="s">
        <v>235</v>
      </c>
      <c r="J33" s="164" t="s">
        <v>271</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272</v>
      </c>
      <c r="B34" s="164" t="s">
        <v>153</v>
      </c>
      <c r="C34" s="34" t="str">
        <f>VLOOKUP(Observaciones[Caso de Prueba],CasoPrueba[[#All],[Código CP]:[Prioridad]],7,TRUE)</f>
        <v>Alta</v>
      </c>
      <c r="D34" s="164" t="s">
        <v>29</v>
      </c>
      <c r="E34" s="164" t="s">
        <v>49</v>
      </c>
      <c r="F34" s="165">
        <v>40788</v>
      </c>
      <c r="G34" s="73">
        <v>40796</v>
      </c>
      <c r="H34" s="167" t="s">
        <v>132</v>
      </c>
      <c r="I34" s="164" t="s">
        <v>205</v>
      </c>
      <c r="J34" s="164" t="s">
        <v>273</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274</v>
      </c>
      <c r="B35" s="164" t="s">
        <v>153</v>
      </c>
      <c r="C35" s="34" t="str">
        <f>VLOOKUP(Observaciones[Caso de Prueba],CasoPrueba[[#All],[Código CP]:[Prioridad]],7,TRUE)</f>
        <v>Alta</v>
      </c>
      <c r="D35" s="164" t="s">
        <v>30</v>
      </c>
      <c r="E35" s="164" t="s">
        <v>49</v>
      </c>
      <c r="F35" s="165">
        <v>40788</v>
      </c>
      <c r="G35" s="73">
        <v>40796</v>
      </c>
      <c r="H35" s="167" t="s">
        <v>132</v>
      </c>
      <c r="I35" s="164" t="s">
        <v>275</v>
      </c>
      <c r="J35" s="164" t="s">
        <v>276</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277</v>
      </c>
      <c r="B36" s="164" t="s">
        <v>153</v>
      </c>
      <c r="C36" s="34" t="str">
        <f>VLOOKUP(Observaciones[Caso de Prueba],CasoPrueba[[#All],[Código CP]:[Prioridad]],7,TRUE)</f>
        <v>Alta</v>
      </c>
      <c r="D36" s="164" t="s">
        <v>29</v>
      </c>
      <c r="E36" s="164" t="s">
        <v>49</v>
      </c>
      <c r="F36" s="165">
        <v>40788</v>
      </c>
      <c r="G36" s="73">
        <v>40796</v>
      </c>
      <c r="H36" s="167" t="s">
        <v>132</v>
      </c>
      <c r="I36" s="164" t="s">
        <v>278</v>
      </c>
      <c r="J36" s="164" t="s">
        <v>279</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280</v>
      </c>
      <c r="B37" s="164" t="s">
        <v>153</v>
      </c>
      <c r="C37" s="34" t="str">
        <f>VLOOKUP(Observaciones[Caso de Prueba],CasoPrueba[[#All],[Código CP]:[Prioridad]],7,TRUE)</f>
        <v>Alta</v>
      </c>
      <c r="D37" s="164" t="s">
        <v>29</v>
      </c>
      <c r="E37" s="164" t="s">
        <v>49</v>
      </c>
      <c r="F37" s="165">
        <v>40788</v>
      </c>
      <c r="G37" s="73">
        <v>40796</v>
      </c>
      <c r="H37" s="167" t="s">
        <v>132</v>
      </c>
      <c r="I37" s="164" t="s">
        <v>281</v>
      </c>
      <c r="J37" s="164" t="s">
        <v>282</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283</v>
      </c>
      <c r="B38" s="164" t="s">
        <v>153</v>
      </c>
      <c r="C38" s="34" t="str">
        <f>VLOOKUP(Observaciones[Caso de Prueba],CasoPrueba[[#All],[Código CP]:[Prioridad]],7,TRUE)</f>
        <v>Alta</v>
      </c>
      <c r="D38" s="164" t="s">
        <v>29</v>
      </c>
      <c r="E38" s="164" t="s">
        <v>49</v>
      </c>
      <c r="F38" s="165">
        <v>40788</v>
      </c>
      <c r="G38" s="73">
        <v>40796</v>
      </c>
      <c r="H38" s="167" t="s">
        <v>132</v>
      </c>
      <c r="I38" s="164" t="s">
        <v>284</v>
      </c>
      <c r="J38" s="164" t="s">
        <v>285</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286</v>
      </c>
      <c r="B39" s="164" t="s">
        <v>153</v>
      </c>
      <c r="C39" s="34" t="str">
        <f>VLOOKUP(Observaciones[Caso de Prueba],CasoPrueba[[#All],[Código CP]:[Prioridad]],7,TRUE)</f>
        <v>Alta</v>
      </c>
      <c r="D39" s="164" t="s">
        <v>29</v>
      </c>
      <c r="E39" s="164" t="s">
        <v>49</v>
      </c>
      <c r="F39" s="165">
        <v>40788</v>
      </c>
      <c r="G39" s="73">
        <v>40796</v>
      </c>
      <c r="H39" s="167" t="s">
        <v>132</v>
      </c>
      <c r="I39" s="164" t="s">
        <v>287</v>
      </c>
      <c r="J39" s="164" t="s">
        <v>288</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289</v>
      </c>
      <c r="B40" s="164" t="s">
        <v>153</v>
      </c>
      <c r="C40" s="34" t="str">
        <f>VLOOKUP(Observaciones[Caso de Prueba],CasoPrueba[[#All],[Código CP]:[Prioridad]],7,TRUE)</f>
        <v>Alta</v>
      </c>
      <c r="D40" s="164" t="s">
        <v>162</v>
      </c>
      <c r="E40" s="164" t="s">
        <v>49</v>
      </c>
      <c r="F40" s="165">
        <v>40788</v>
      </c>
      <c r="G40" s="73">
        <v>40796</v>
      </c>
      <c r="H40" s="167" t="s">
        <v>132</v>
      </c>
      <c r="I40" s="164" t="s">
        <v>290</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291</v>
      </c>
      <c r="B41" s="164" t="s">
        <v>153</v>
      </c>
      <c r="C41" s="34" t="str">
        <f>VLOOKUP(Observaciones[Caso de Prueba],CasoPrueba[[#All],[Código CP]:[Prioridad]],7,TRUE)</f>
        <v>Alta</v>
      </c>
      <c r="D41" s="164" t="s">
        <v>30</v>
      </c>
      <c r="E41" s="164" t="s">
        <v>49</v>
      </c>
      <c r="F41" s="165">
        <v>40788</v>
      </c>
      <c r="G41" s="73">
        <v>40796</v>
      </c>
      <c r="H41" s="167" t="s">
        <v>132</v>
      </c>
      <c r="I41" s="164" t="s">
        <v>292</v>
      </c>
      <c r="J41" s="164" t="s">
        <v>293</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294</v>
      </c>
      <c r="B42" s="164" t="s">
        <v>153</v>
      </c>
      <c r="C42" s="34" t="str">
        <f>VLOOKUP(Observaciones[Caso de Prueba],CasoPrueba[[#All],[Código CP]:[Prioridad]],7,TRUE)</f>
        <v>Alta</v>
      </c>
      <c r="D42" s="164" t="s">
        <v>29</v>
      </c>
      <c r="E42" s="164" t="s">
        <v>49</v>
      </c>
      <c r="F42" s="165">
        <v>40788</v>
      </c>
      <c r="G42" s="73">
        <v>40796</v>
      </c>
      <c r="H42" s="167" t="s">
        <v>132</v>
      </c>
      <c r="I42" s="164" t="s">
        <v>295</v>
      </c>
      <c r="J42" s="164" t="s">
        <v>296</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297</v>
      </c>
      <c r="B43" s="164" t="s">
        <v>154</v>
      </c>
      <c r="C43" s="34" t="str">
        <f>VLOOKUP(Observaciones[Caso de Prueba],CasoPrueba[[#All],[Código CP]:[Prioridad]],7,TRUE)</f>
        <v>Alta</v>
      </c>
      <c r="D43" s="164" t="s">
        <v>30</v>
      </c>
      <c r="E43" s="164" t="s">
        <v>49</v>
      </c>
      <c r="F43" s="165">
        <v>40788</v>
      </c>
      <c r="G43" s="73">
        <v>40796</v>
      </c>
      <c r="H43" s="167" t="s">
        <v>132</v>
      </c>
      <c r="I43" s="164" t="s">
        <v>252</v>
      </c>
      <c r="J43" s="164" t="s">
        <v>227</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298</v>
      </c>
      <c r="B44" s="164" t="s">
        <v>154</v>
      </c>
      <c r="C44" s="34" t="str">
        <f>VLOOKUP(Observaciones[Caso de Prueba],CasoPrueba[[#All],[Código CP]:[Prioridad]],7,TRUE)</f>
        <v>Alta</v>
      </c>
      <c r="D44" s="164" t="s">
        <v>30</v>
      </c>
      <c r="E44" s="164" t="s">
        <v>49</v>
      </c>
      <c r="F44" s="165">
        <v>40793</v>
      </c>
      <c r="G44" s="73">
        <v>40796</v>
      </c>
      <c r="H44" s="167" t="s">
        <v>132</v>
      </c>
      <c r="I44" s="164" t="s">
        <v>235</v>
      </c>
      <c r="J44" s="164" t="s">
        <v>254</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299</v>
      </c>
      <c r="B45" s="164" t="s">
        <v>154</v>
      </c>
      <c r="C45" s="34" t="str">
        <f>VLOOKUP(Observaciones[Caso de Prueba],CasoPrueba[[#All],[Código CP]:[Prioridad]],7,TRUE)</f>
        <v>Alta</v>
      </c>
      <c r="D45" s="164" t="s">
        <v>29</v>
      </c>
      <c r="E45" s="164" t="s">
        <v>49</v>
      </c>
      <c r="F45" s="165">
        <v>40788</v>
      </c>
      <c r="G45" s="73">
        <v>40796</v>
      </c>
      <c r="H45" s="167" t="s">
        <v>132</v>
      </c>
      <c r="I45" s="164" t="s">
        <v>300</v>
      </c>
      <c r="J45" s="164" t="s">
        <v>257</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301</v>
      </c>
      <c r="B46" s="164" t="s">
        <v>154</v>
      </c>
      <c r="C46" s="34" t="str">
        <f>VLOOKUP(Observaciones[Caso de Prueba],CasoPrueba[[#All],[Código CP]:[Prioridad]],7,TRUE)</f>
        <v>Alta</v>
      </c>
      <c r="D46" s="164" t="s">
        <v>29</v>
      </c>
      <c r="E46" s="164" t="s">
        <v>49</v>
      </c>
      <c r="F46" s="165">
        <v>40788</v>
      </c>
      <c r="G46" s="73">
        <v>40796</v>
      </c>
      <c r="H46" s="167" t="s">
        <v>132</v>
      </c>
      <c r="I46" s="164" t="s">
        <v>302</v>
      </c>
      <c r="J46" s="164" t="s">
        <v>260</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303</v>
      </c>
      <c r="B47" s="164" t="s">
        <v>154</v>
      </c>
      <c r="C47" s="34" t="str">
        <f>VLOOKUP(Observaciones[Caso de Prueba],CasoPrueba[[#All],[Código CP]:[Prioridad]],7,TRUE)</f>
        <v>Alta</v>
      </c>
      <c r="D47" s="164" t="s">
        <v>28</v>
      </c>
      <c r="E47" s="164" t="s">
        <v>49</v>
      </c>
      <c r="F47" s="165">
        <v>40793</v>
      </c>
      <c r="G47" s="73">
        <v>40796</v>
      </c>
      <c r="H47" s="167" t="s">
        <v>132</v>
      </c>
      <c r="I47" s="164" t="s">
        <v>249</v>
      </c>
      <c r="J47" s="164" t="s">
        <v>304</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305</v>
      </c>
      <c r="B48" s="164" t="s">
        <v>155</v>
      </c>
      <c r="C48" s="34" t="str">
        <f>VLOOKUP(Observaciones[Caso de Prueba],CasoPrueba[[#All],[Código CP]:[Prioridad]],7,TRUE)</f>
        <v>Alta</v>
      </c>
      <c r="D48" s="164" t="s">
        <v>30</v>
      </c>
      <c r="E48" s="164" t="s">
        <v>49</v>
      </c>
      <c r="F48" s="165">
        <v>40788</v>
      </c>
      <c r="G48" s="73">
        <v>40796</v>
      </c>
      <c r="H48" s="167" t="s">
        <v>132</v>
      </c>
      <c r="I48" s="164" t="s">
        <v>252</v>
      </c>
      <c r="J48" s="164" t="s">
        <v>227</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306</v>
      </c>
      <c r="B49" s="164" t="s">
        <v>155</v>
      </c>
      <c r="C49" s="34" t="str">
        <f>VLOOKUP(Observaciones[Caso de Prueba],CasoPrueba[[#All],[Código CP]:[Prioridad]],7,TRUE)</f>
        <v>Alta</v>
      </c>
      <c r="D49" s="164" t="s">
        <v>30</v>
      </c>
      <c r="E49" s="164" t="s">
        <v>49</v>
      </c>
      <c r="F49" s="165">
        <v>40793</v>
      </c>
      <c r="G49" s="73">
        <v>40796</v>
      </c>
      <c r="H49" s="167" t="s">
        <v>132</v>
      </c>
      <c r="I49" s="164" t="s">
        <v>235</v>
      </c>
      <c r="J49" s="164" t="s">
        <v>254</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307</v>
      </c>
      <c r="B50" s="164" t="s">
        <v>155</v>
      </c>
      <c r="C50" s="34" t="str">
        <f>VLOOKUP(Observaciones[Caso de Prueba],CasoPrueba[[#All],[Código CP]:[Prioridad]],7,TRUE)</f>
        <v>Alta</v>
      </c>
      <c r="D50" s="164" t="s">
        <v>29</v>
      </c>
      <c r="E50" s="164" t="s">
        <v>49</v>
      </c>
      <c r="F50" s="165">
        <v>40788</v>
      </c>
      <c r="G50" s="73">
        <v>40796</v>
      </c>
      <c r="H50" s="167" t="s">
        <v>132</v>
      </c>
      <c r="I50" s="164" t="s">
        <v>300</v>
      </c>
      <c r="J50" s="164" t="s">
        <v>257</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308</v>
      </c>
      <c r="B51" s="164" t="s">
        <v>156</v>
      </c>
      <c r="C51" s="34" t="str">
        <f>VLOOKUP(Observaciones[Caso de Prueba],CasoPrueba[[#All],[Código CP]:[Prioridad]],7,TRUE)</f>
        <v>Alta</v>
      </c>
      <c r="D51" s="164" t="s">
        <v>30</v>
      </c>
      <c r="E51" s="164" t="s">
        <v>49</v>
      </c>
      <c r="F51" s="165">
        <v>40789</v>
      </c>
      <c r="G51" s="73">
        <v>40796</v>
      </c>
      <c r="H51" s="167" t="s">
        <v>132</v>
      </c>
      <c r="I51" s="164" t="s">
        <v>252</v>
      </c>
      <c r="J51" s="164" t="s">
        <v>227</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309</v>
      </c>
      <c r="B52" s="164" t="s">
        <v>156</v>
      </c>
      <c r="C52" s="34" t="str">
        <f>VLOOKUP(Observaciones[Caso de Prueba],CasoPrueba[[#All],[Código CP]:[Prioridad]],7,TRUE)</f>
        <v>Alta</v>
      </c>
      <c r="D52" s="164" t="s">
        <v>30</v>
      </c>
      <c r="E52" s="164" t="s">
        <v>49</v>
      </c>
      <c r="F52" s="165">
        <v>40793</v>
      </c>
      <c r="G52" s="73">
        <v>40796</v>
      </c>
      <c r="H52" s="167" t="s">
        <v>132</v>
      </c>
      <c r="I52" s="164" t="s">
        <v>235</v>
      </c>
      <c r="J52" s="164" t="s">
        <v>254</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310</v>
      </c>
      <c r="B53" s="164" t="s">
        <v>156</v>
      </c>
      <c r="C53" s="34" t="str">
        <f>VLOOKUP(Observaciones[Caso de Prueba],CasoPrueba[[#All],[Código CP]:[Prioridad]],7,TRUE)</f>
        <v>Alta</v>
      </c>
      <c r="D53" s="164" t="s">
        <v>30</v>
      </c>
      <c r="E53" s="164" t="s">
        <v>49</v>
      </c>
      <c r="F53" s="165">
        <v>40789</v>
      </c>
      <c r="G53" s="73">
        <v>40796</v>
      </c>
      <c r="H53" s="167" t="s">
        <v>132</v>
      </c>
      <c r="I53" s="164" t="s">
        <v>311</v>
      </c>
      <c r="J53" s="164" t="s">
        <v>312</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313</v>
      </c>
      <c r="B54" s="164" t="s">
        <v>156</v>
      </c>
      <c r="C54" s="34" t="str">
        <f>VLOOKUP(Observaciones[Caso de Prueba],CasoPrueba[[#All],[Código CP]:[Prioridad]],7,TRUE)</f>
        <v>Alta</v>
      </c>
      <c r="D54" s="164" t="s">
        <v>29</v>
      </c>
      <c r="E54" s="164" t="s">
        <v>49</v>
      </c>
      <c r="F54" s="165">
        <v>40789</v>
      </c>
      <c r="G54" s="73">
        <v>40796</v>
      </c>
      <c r="H54" s="167" t="s">
        <v>132</v>
      </c>
      <c r="I54" s="164" t="s">
        <v>314</v>
      </c>
      <c r="J54" s="164" t="s">
        <v>260</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315</v>
      </c>
      <c r="B55" s="164" t="s">
        <v>156</v>
      </c>
      <c r="C55" s="34" t="str">
        <f>VLOOKUP(Observaciones[Caso de Prueba],CasoPrueba[[#All],[Código CP]:[Prioridad]],7,TRUE)</f>
        <v>Alta</v>
      </c>
      <c r="D55" s="164" t="s">
        <v>30</v>
      </c>
      <c r="E55" s="164" t="s">
        <v>49</v>
      </c>
      <c r="F55" s="165">
        <v>40793</v>
      </c>
      <c r="G55" s="73">
        <v>40796</v>
      </c>
      <c r="H55" s="167" t="s">
        <v>132</v>
      </c>
      <c r="I55" s="164" t="s">
        <v>316</v>
      </c>
      <c r="J55" s="164" t="s">
        <v>317</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318</v>
      </c>
      <c r="B56" s="164" t="s">
        <v>156</v>
      </c>
      <c r="C56" s="34" t="str">
        <f>VLOOKUP(Observaciones[Caso de Prueba],CasoPrueba[[#All],[Código CP]:[Prioridad]],7,TRUE)</f>
        <v>Alta</v>
      </c>
      <c r="D56" s="164" t="s">
        <v>30</v>
      </c>
      <c r="E56" s="164" t="s">
        <v>49</v>
      </c>
      <c r="F56" s="165">
        <v>40789</v>
      </c>
      <c r="G56" s="73">
        <v>40796</v>
      </c>
      <c r="H56" s="167" t="s">
        <v>132</v>
      </c>
      <c r="I56" s="164" t="s">
        <v>319</v>
      </c>
      <c r="J56" s="164" t="s">
        <v>320</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321</v>
      </c>
      <c r="B57" s="164" t="s">
        <v>156</v>
      </c>
      <c r="C57" s="34" t="str">
        <f>VLOOKUP(Observaciones[Caso de Prueba],CasoPrueba[[#All],[Código CP]:[Prioridad]],7,TRUE)</f>
        <v>Alta</v>
      </c>
      <c r="D57" s="164" t="s">
        <v>29</v>
      </c>
      <c r="E57" s="164" t="s">
        <v>49</v>
      </c>
      <c r="F57" s="165">
        <v>40789</v>
      </c>
      <c r="G57" s="73">
        <v>40796</v>
      </c>
      <c r="H57" s="167" t="s">
        <v>132</v>
      </c>
      <c r="I57" s="164" t="s">
        <v>322</v>
      </c>
      <c r="J57" s="164" t="s">
        <v>323</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324</v>
      </c>
      <c r="B58" s="164" t="s">
        <v>157</v>
      </c>
      <c r="C58" s="34" t="str">
        <f>VLOOKUP(Observaciones[Caso de Prueba],CasoPrueba[[#All],[Código CP]:[Prioridad]],7,TRUE)</f>
        <v>Alta</v>
      </c>
      <c r="D58" s="164" t="s">
        <v>30</v>
      </c>
      <c r="E58" s="164" t="s">
        <v>49</v>
      </c>
      <c r="F58" s="165">
        <v>40789</v>
      </c>
      <c r="G58" s="73">
        <v>40796</v>
      </c>
      <c r="H58" s="167" t="s">
        <v>132</v>
      </c>
      <c r="I58" s="164" t="s">
        <v>252</v>
      </c>
      <c r="J58" s="164" t="s">
        <v>227</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325</v>
      </c>
      <c r="B59" s="164" t="s">
        <v>157</v>
      </c>
      <c r="C59" s="34" t="str">
        <f>VLOOKUP(Observaciones[Caso de Prueba],CasoPrueba[[#All],[Código CP]:[Prioridad]],7,TRUE)</f>
        <v>Alta</v>
      </c>
      <c r="D59" s="164" t="s">
        <v>30</v>
      </c>
      <c r="E59" s="164" t="s">
        <v>49</v>
      </c>
      <c r="F59" s="165">
        <v>40793</v>
      </c>
      <c r="G59" s="73">
        <v>40796</v>
      </c>
      <c r="H59" s="167" t="s">
        <v>132</v>
      </c>
      <c r="I59" s="164" t="s">
        <v>235</v>
      </c>
      <c r="J59" s="164" t="s">
        <v>271</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326</v>
      </c>
      <c r="B60" s="164" t="s">
        <v>157</v>
      </c>
      <c r="C60" s="34" t="str">
        <f>VLOOKUP(Observaciones[Caso de Prueba],CasoPrueba[[#All],[Código CP]:[Prioridad]],7,TRUE)</f>
        <v>Alta</v>
      </c>
      <c r="D60" s="164" t="s">
        <v>162</v>
      </c>
      <c r="E60" s="164" t="s">
        <v>49</v>
      </c>
      <c r="F60" s="165">
        <v>40789</v>
      </c>
      <c r="G60" s="73">
        <v>40796</v>
      </c>
      <c r="H60" s="167" t="s">
        <v>132</v>
      </c>
      <c r="I60" s="164" t="s">
        <v>327</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328</v>
      </c>
      <c r="B61" s="164" t="s">
        <v>157</v>
      </c>
      <c r="C61" s="34" t="str">
        <f>VLOOKUP(Observaciones[Caso de Prueba],CasoPrueba[[#All],[Código CP]:[Prioridad]],7,TRUE)</f>
        <v>Alta</v>
      </c>
      <c r="D61" s="164" t="s">
        <v>29</v>
      </c>
      <c r="E61" s="164" t="s">
        <v>49</v>
      </c>
      <c r="F61" s="165">
        <v>40789</v>
      </c>
      <c r="G61" s="73">
        <v>40796</v>
      </c>
      <c r="H61" s="167" t="s">
        <v>132</v>
      </c>
      <c r="I61" s="164" t="s">
        <v>329</v>
      </c>
      <c r="J61" s="164" t="s">
        <v>330</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331</v>
      </c>
      <c r="B62" s="164" t="s">
        <v>157</v>
      </c>
      <c r="C62" s="34" t="str">
        <f>VLOOKUP(Observaciones[Caso de Prueba],CasoPrueba[[#All],[Código CP]:[Prioridad]],7,TRUE)</f>
        <v>Alta</v>
      </c>
      <c r="D62" s="164" t="s">
        <v>29</v>
      </c>
      <c r="E62" s="164" t="s">
        <v>49</v>
      </c>
      <c r="F62" s="165">
        <v>40789</v>
      </c>
      <c r="G62" s="73">
        <v>40796</v>
      </c>
      <c r="H62" s="167" t="s">
        <v>132</v>
      </c>
      <c r="I62" s="164" t="s">
        <v>332</v>
      </c>
      <c r="J62" s="164" t="s">
        <v>279</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333</v>
      </c>
      <c r="B63" s="164" t="s">
        <v>157</v>
      </c>
      <c r="C63" s="34" t="str">
        <f>VLOOKUP(Observaciones[Caso de Prueba],CasoPrueba[[#All],[Código CP]:[Prioridad]],7,TRUE)</f>
        <v>Alta</v>
      </c>
      <c r="D63" s="164" t="s">
        <v>28</v>
      </c>
      <c r="E63" s="164" t="s">
        <v>49</v>
      </c>
      <c r="F63" s="165">
        <v>40793</v>
      </c>
      <c r="G63" s="73">
        <v>40796</v>
      </c>
      <c r="H63" s="167" t="s">
        <v>132</v>
      </c>
      <c r="I63" s="164" t="s">
        <v>249</v>
      </c>
      <c r="J63" s="164" t="s">
        <v>334</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335</v>
      </c>
      <c r="B64" s="164" t="s">
        <v>158</v>
      </c>
      <c r="C64" s="34" t="str">
        <f>VLOOKUP(Observaciones[Caso de Prueba],CasoPrueba[[#All],[Código CP]:[Prioridad]],7,TRUE)</f>
        <v>Alta</v>
      </c>
      <c r="D64" s="164" t="s">
        <v>30</v>
      </c>
      <c r="E64" s="164" t="s">
        <v>49</v>
      </c>
      <c r="F64" s="165">
        <v>40791</v>
      </c>
      <c r="G64" s="73">
        <v>40796</v>
      </c>
      <c r="H64" s="167" t="s">
        <v>132</v>
      </c>
      <c r="I64" s="164" t="s">
        <v>252</v>
      </c>
      <c r="J64" s="164" t="s">
        <v>227</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336</v>
      </c>
      <c r="B65" s="164" t="s">
        <v>158</v>
      </c>
      <c r="C65" s="34" t="str">
        <f>VLOOKUP(Observaciones[Caso de Prueba],CasoPrueba[[#All],[Código CP]:[Prioridad]],7,TRUE)</f>
        <v>Alta</v>
      </c>
      <c r="D65" s="164" t="s">
        <v>30</v>
      </c>
      <c r="E65" s="164" t="s">
        <v>49</v>
      </c>
      <c r="F65" s="165">
        <v>40793</v>
      </c>
      <c r="G65" s="73">
        <v>40796</v>
      </c>
      <c r="H65" s="167" t="s">
        <v>132</v>
      </c>
      <c r="I65" s="164" t="s">
        <v>235</v>
      </c>
      <c r="J65" s="164" t="s">
        <v>254</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337</v>
      </c>
      <c r="B66" s="164" t="s">
        <v>158</v>
      </c>
      <c r="C66" s="34" t="str">
        <f>VLOOKUP(Observaciones[Caso de Prueba],CasoPrueba[[#All],[Código CP]:[Prioridad]],7,TRUE)</f>
        <v>Alta</v>
      </c>
      <c r="D66" s="164" t="s">
        <v>30</v>
      </c>
      <c r="E66" s="164" t="s">
        <v>49</v>
      </c>
      <c r="F66" s="165">
        <v>40793</v>
      </c>
      <c r="G66" s="73">
        <v>40796</v>
      </c>
      <c r="H66" s="167" t="s">
        <v>132</v>
      </c>
      <c r="I66" s="164" t="s">
        <v>316</v>
      </c>
      <c r="J66" s="164" t="s">
        <v>317</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338</v>
      </c>
      <c r="B67" s="164" t="s">
        <v>158</v>
      </c>
      <c r="C67" s="34" t="str">
        <f>VLOOKUP(Observaciones[Caso de Prueba],CasoPrueba[[#All],[Código CP]:[Prioridad]],7,TRUE)</f>
        <v>Alta</v>
      </c>
      <c r="D67" s="164" t="s">
        <v>29</v>
      </c>
      <c r="E67" s="164" t="s">
        <v>49</v>
      </c>
      <c r="F67" s="165">
        <v>40791</v>
      </c>
      <c r="G67" s="73">
        <v>40796</v>
      </c>
      <c r="H67" s="167" t="s">
        <v>132</v>
      </c>
      <c r="I67" s="164" t="s">
        <v>339</v>
      </c>
      <c r="J67" s="164" t="s">
        <v>260</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340</v>
      </c>
      <c r="B68" s="164" t="s">
        <v>158</v>
      </c>
      <c r="C68" s="34" t="str">
        <f>VLOOKUP(Observaciones[Caso de Prueba],CasoPrueba[[#All],[Código CP]:[Prioridad]],7,TRUE)</f>
        <v>Alta</v>
      </c>
      <c r="D68" s="164" t="s">
        <v>162</v>
      </c>
      <c r="E68" s="164" t="s">
        <v>49</v>
      </c>
      <c r="F68" s="165">
        <v>40791</v>
      </c>
      <c r="G68" s="73">
        <v>40796</v>
      </c>
      <c r="H68" s="167" t="s">
        <v>132</v>
      </c>
      <c r="I68" s="164" t="s">
        <v>341</v>
      </c>
      <c r="J68" s="164" t="s">
        <v>263</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342</v>
      </c>
      <c r="B69" s="164" t="s">
        <v>158</v>
      </c>
      <c r="C69" s="34" t="str">
        <f>VLOOKUP(Observaciones[Caso de Prueba],CasoPrueba[[#All],[Código CP]:[Prioridad]],7,TRUE)</f>
        <v>Alta</v>
      </c>
      <c r="D69" s="164" t="s">
        <v>29</v>
      </c>
      <c r="E69" s="164" t="s">
        <v>49</v>
      </c>
      <c r="F69" s="165">
        <v>40791</v>
      </c>
      <c r="G69" s="73">
        <v>40796</v>
      </c>
      <c r="H69" s="167" t="s">
        <v>132</v>
      </c>
      <c r="I69" s="164" t="s">
        <v>322</v>
      </c>
      <c r="J69" s="164" t="s">
        <v>323</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343</v>
      </c>
      <c r="B70" s="164" t="s">
        <v>171</v>
      </c>
      <c r="C70" s="34" t="str">
        <f>VLOOKUP(Observaciones[Caso de Prueba],CasoPrueba[[#All],[Código CP]:[Prioridad]],7,TRUE)</f>
        <v>Alta</v>
      </c>
      <c r="D70" s="164" t="s">
        <v>30</v>
      </c>
      <c r="E70" s="164" t="s">
        <v>49</v>
      </c>
      <c r="F70" s="165">
        <v>40791</v>
      </c>
      <c r="G70" s="73">
        <v>40796</v>
      </c>
      <c r="H70" s="167" t="s">
        <v>132</v>
      </c>
      <c r="I70" s="164" t="s">
        <v>252</v>
      </c>
      <c r="J70" s="164" t="s">
        <v>227</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344</v>
      </c>
      <c r="B71" s="164" t="s">
        <v>171</v>
      </c>
      <c r="C71" s="34" t="str">
        <f>VLOOKUP(Observaciones[Caso de Prueba],CasoPrueba[[#All],[Código CP]:[Prioridad]],7,TRUE)</f>
        <v>Alta</v>
      </c>
      <c r="D71" s="164" t="s">
        <v>30</v>
      </c>
      <c r="E71" s="164" t="s">
        <v>49</v>
      </c>
      <c r="F71" s="165">
        <v>40793</v>
      </c>
      <c r="G71" s="73">
        <v>40796</v>
      </c>
      <c r="H71" s="167" t="s">
        <v>132</v>
      </c>
      <c r="I71" s="164" t="s">
        <v>235</v>
      </c>
      <c r="J71" s="164" t="s">
        <v>254</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345</v>
      </c>
      <c r="B72" s="164" t="s">
        <v>171</v>
      </c>
      <c r="C72" s="34" t="str">
        <f>VLOOKUP(Observaciones[Caso de Prueba],CasoPrueba[[#All],[Código CP]:[Prioridad]],7,TRUE)</f>
        <v>Alta</v>
      </c>
      <c r="D72" s="164" t="s">
        <v>29</v>
      </c>
      <c r="E72" s="164" t="s">
        <v>49</v>
      </c>
      <c r="F72" s="165">
        <v>40791</v>
      </c>
      <c r="G72" s="73">
        <v>40796</v>
      </c>
      <c r="H72" s="167" t="s">
        <v>132</v>
      </c>
      <c r="I72" s="164" t="s">
        <v>322</v>
      </c>
      <c r="J72" s="164" t="s">
        <v>323</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346</v>
      </c>
      <c r="B73" s="164" t="s">
        <v>171</v>
      </c>
      <c r="C73" s="34" t="str">
        <f>VLOOKUP(Observaciones[Caso de Prueba],CasoPrueba[[#All],[Código CP]:[Prioridad]],7,TRUE)</f>
        <v>Alta</v>
      </c>
      <c r="D73" s="164" t="s">
        <v>28</v>
      </c>
      <c r="E73" s="164" t="s">
        <v>49</v>
      </c>
      <c r="F73" s="165">
        <v>40793</v>
      </c>
      <c r="G73" s="73">
        <v>40796</v>
      </c>
      <c r="H73" s="167" t="s">
        <v>132</v>
      </c>
      <c r="I73" s="164" t="s">
        <v>249</v>
      </c>
      <c r="J73" s="164" t="s">
        <v>265</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347</v>
      </c>
      <c r="B74" s="164" t="s">
        <v>172</v>
      </c>
      <c r="C74" s="34" t="str">
        <f>VLOOKUP(Observaciones[Caso de Prueba],CasoPrueba[[#All],[Código CP]:[Prioridad]],7,TRUE)</f>
        <v>Alta</v>
      </c>
      <c r="D74" s="164" t="s">
        <v>162</v>
      </c>
      <c r="E74" s="164" t="s">
        <v>49</v>
      </c>
      <c r="F74" s="165">
        <v>40793</v>
      </c>
      <c r="G74" s="73">
        <v>40796</v>
      </c>
      <c r="H74" s="167" t="s">
        <v>132</v>
      </c>
      <c r="I74" s="164" t="s">
        <v>348</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349</v>
      </c>
      <c r="B75" s="164" t="s">
        <v>172</v>
      </c>
      <c r="C75" s="34" t="str">
        <f>VLOOKUP(Observaciones[Caso de Prueba],CasoPrueba[[#All],[Código CP]:[Prioridad]],7,TRUE)</f>
        <v>Alta</v>
      </c>
      <c r="D75" s="164" t="s">
        <v>162</v>
      </c>
      <c r="E75" s="164" t="s">
        <v>49</v>
      </c>
      <c r="F75" s="165">
        <v>40793</v>
      </c>
      <c r="G75" s="73">
        <v>40796</v>
      </c>
      <c r="H75" s="167" t="s">
        <v>132</v>
      </c>
      <c r="I75" s="164" t="s">
        <v>350</v>
      </c>
      <c r="J75" s="164" t="s">
        <v>351</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352</v>
      </c>
      <c r="B76" s="164" t="s">
        <v>172</v>
      </c>
      <c r="C76" s="34" t="str">
        <f>VLOOKUP(Observaciones[Caso de Prueba],CasoPrueba[[#All],[Código CP]:[Prioridad]],7,TRUE)</f>
        <v>Alta</v>
      </c>
      <c r="D76" s="164" t="s">
        <v>30</v>
      </c>
      <c r="E76" s="164" t="s">
        <v>49</v>
      </c>
      <c r="F76" s="165">
        <v>40793</v>
      </c>
      <c r="G76" s="73">
        <v>40796</v>
      </c>
      <c r="H76" s="167" t="s">
        <v>132</v>
      </c>
      <c r="I76" s="164" t="s">
        <v>353</v>
      </c>
      <c r="J76" s="164" t="s">
        <v>354</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355</v>
      </c>
      <c r="B77" s="164" t="s">
        <v>172</v>
      </c>
      <c r="C77" s="34" t="str">
        <f>VLOOKUP(Observaciones[Caso de Prueba],CasoPrueba[[#All],[Código CP]:[Prioridad]],7,TRUE)</f>
        <v>Alta</v>
      </c>
      <c r="D77" s="164" t="s">
        <v>28</v>
      </c>
      <c r="E77" s="164" t="s">
        <v>49</v>
      </c>
      <c r="F77" s="165">
        <v>40793</v>
      </c>
      <c r="G77" s="73">
        <v>40796</v>
      </c>
      <c r="H77" s="167" t="s">
        <v>132</v>
      </c>
      <c r="I77" s="164" t="s">
        <v>356</v>
      </c>
      <c r="J77" s="164" t="s">
        <v>357</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358</v>
      </c>
      <c r="B78" s="164" t="s">
        <v>172</v>
      </c>
      <c r="C78" s="34" t="str">
        <f>VLOOKUP(Observaciones[Caso de Prueba],CasoPrueba[[#All],[Código CP]:[Prioridad]],7,TRUE)</f>
        <v>Alta</v>
      </c>
      <c r="D78" s="164" t="s">
        <v>28</v>
      </c>
      <c r="E78" s="164" t="s">
        <v>49</v>
      </c>
      <c r="F78" s="165">
        <v>40793</v>
      </c>
      <c r="G78" s="73">
        <v>40796</v>
      </c>
      <c r="H78" s="167" t="s">
        <v>132</v>
      </c>
      <c r="I78" s="164" t="s">
        <v>249</v>
      </c>
      <c r="J78" s="164" t="s">
        <v>359</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360</v>
      </c>
      <c r="B79" s="164" t="s">
        <v>172</v>
      </c>
      <c r="C79" s="34" t="str">
        <f>VLOOKUP(Observaciones[Caso de Prueba],CasoPrueba[[#All],[Código CP]:[Prioridad]],7,TRUE)</f>
        <v>Alta</v>
      </c>
      <c r="D79" s="164" t="s">
        <v>29</v>
      </c>
      <c r="E79" s="164" t="s">
        <v>49</v>
      </c>
      <c r="F79" s="165">
        <v>40793</v>
      </c>
      <c r="G79" s="73">
        <v>40796</v>
      </c>
      <c r="H79" s="167" t="s">
        <v>132</v>
      </c>
      <c r="I79" s="164" t="s">
        <v>300</v>
      </c>
      <c r="J79" s="164" t="s">
        <v>361</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362</v>
      </c>
      <c r="B80" s="164" t="s">
        <v>172</v>
      </c>
      <c r="C80" s="34" t="str">
        <f>VLOOKUP(Observaciones[Caso de Prueba],CasoPrueba[[#All],[Código CP]:[Prioridad]],7,TRUE)</f>
        <v>Alta</v>
      </c>
      <c r="D80" s="164" t="s">
        <v>29</v>
      </c>
      <c r="E80" s="164" t="s">
        <v>49</v>
      </c>
      <c r="F80" s="165">
        <v>40793</v>
      </c>
      <c r="G80" s="73">
        <v>40796</v>
      </c>
      <c r="H80" s="167" t="s">
        <v>132</v>
      </c>
      <c r="I80" s="164" t="s">
        <v>363</v>
      </c>
      <c r="J80" s="164" t="s">
        <v>364</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365</v>
      </c>
      <c r="B81" s="164" t="s">
        <v>172</v>
      </c>
      <c r="C81" s="34" t="str">
        <f>VLOOKUP(Observaciones[Caso de Prueba],CasoPrueba[[#All],[Código CP]:[Prioridad]],7,TRUE)</f>
        <v>Alta</v>
      </c>
      <c r="D81" s="164" t="s">
        <v>30</v>
      </c>
      <c r="E81" s="164" t="s">
        <v>49</v>
      </c>
      <c r="F81" s="165">
        <v>40793</v>
      </c>
      <c r="G81" s="73">
        <v>40796</v>
      </c>
      <c r="H81" s="167" t="s">
        <v>132</v>
      </c>
      <c r="I81" s="164" t="s">
        <v>459</v>
      </c>
      <c r="J81" s="164" t="s">
        <v>366</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367</v>
      </c>
      <c r="B82" s="164" t="s">
        <v>172</v>
      </c>
      <c r="C82" s="34" t="str">
        <f>VLOOKUP(Observaciones[Caso de Prueba],CasoPrueba[[#All],[Código CP]:[Prioridad]],7,TRUE)</f>
        <v>Alta</v>
      </c>
      <c r="D82" s="164" t="s">
        <v>29</v>
      </c>
      <c r="E82" s="164" t="s">
        <v>49</v>
      </c>
      <c r="F82" s="165">
        <v>40793</v>
      </c>
      <c r="G82" s="73">
        <v>40796</v>
      </c>
      <c r="H82" s="167" t="s">
        <v>132</v>
      </c>
      <c r="I82" s="164" t="s">
        <v>368</v>
      </c>
      <c r="J82" s="164" t="s">
        <v>369</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370</v>
      </c>
      <c r="B83" s="164" t="s">
        <v>172</v>
      </c>
      <c r="C83" s="34" t="str">
        <f>VLOOKUP(Observaciones[Caso de Prueba],CasoPrueba[[#All],[Código CP]:[Prioridad]],7,TRUE)</f>
        <v>Alta</v>
      </c>
      <c r="D83" s="164" t="s">
        <v>29</v>
      </c>
      <c r="E83" s="164" t="s">
        <v>49</v>
      </c>
      <c r="F83" s="165">
        <v>40793</v>
      </c>
      <c r="G83" s="73">
        <v>40796</v>
      </c>
      <c r="H83" s="167" t="s">
        <v>132</v>
      </c>
      <c r="I83" s="164" t="s">
        <v>371</v>
      </c>
      <c r="J83" s="164" t="s">
        <v>369</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372</v>
      </c>
      <c r="B84" s="164" t="s">
        <v>172</v>
      </c>
      <c r="C84" s="34" t="str">
        <f>VLOOKUP(Observaciones[Caso de Prueba],CasoPrueba[[#All],[Código CP]:[Prioridad]],7,TRUE)</f>
        <v>Alta</v>
      </c>
      <c r="D84" s="164" t="s">
        <v>29</v>
      </c>
      <c r="E84" s="164" t="s">
        <v>49</v>
      </c>
      <c r="F84" s="165">
        <v>40793</v>
      </c>
      <c r="G84" s="73">
        <v>40796</v>
      </c>
      <c r="H84" s="167" t="s">
        <v>132</v>
      </c>
      <c r="I84" s="164" t="s">
        <v>373</v>
      </c>
      <c r="J84" s="164" t="s">
        <v>374</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375</v>
      </c>
      <c r="B85" s="164" t="s">
        <v>172</v>
      </c>
      <c r="C85" s="34" t="str">
        <f>VLOOKUP(Observaciones[Caso de Prueba],CasoPrueba[[#All],[Código CP]:[Prioridad]],7,TRUE)</f>
        <v>Alta</v>
      </c>
      <c r="D85" s="164" t="s">
        <v>29</v>
      </c>
      <c r="E85" s="164" t="s">
        <v>49</v>
      </c>
      <c r="F85" s="165">
        <v>40793</v>
      </c>
      <c r="G85" s="73">
        <v>40796</v>
      </c>
      <c r="H85" s="167" t="s">
        <v>132</v>
      </c>
      <c r="I85" s="164" t="s">
        <v>376</v>
      </c>
      <c r="J85" s="164" t="s">
        <v>377</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378</v>
      </c>
      <c r="B86" s="164" t="s">
        <v>172</v>
      </c>
      <c r="C86" s="34" t="str">
        <f>VLOOKUP(Observaciones[Caso de Prueba],CasoPrueba[[#All],[Código CP]:[Prioridad]],7,TRUE)</f>
        <v>Alta</v>
      </c>
      <c r="D86" s="164" t="s">
        <v>162</v>
      </c>
      <c r="E86" s="164" t="s">
        <v>49</v>
      </c>
      <c r="F86" s="165">
        <v>40793</v>
      </c>
      <c r="G86" s="73">
        <v>40796</v>
      </c>
      <c r="H86" s="167" t="s">
        <v>132</v>
      </c>
      <c r="I86" s="164" t="s">
        <v>379</v>
      </c>
      <c r="J86" s="164" t="s">
        <v>233</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380</v>
      </c>
      <c r="B87" s="164" t="s">
        <v>172</v>
      </c>
      <c r="C87" s="34" t="str">
        <f>VLOOKUP(Observaciones[Caso de Prueba],CasoPrueba[[#All],[Código CP]:[Prioridad]],7,TRUE)</f>
        <v>Alta</v>
      </c>
      <c r="D87" s="164" t="s">
        <v>29</v>
      </c>
      <c r="E87" s="164" t="s">
        <v>49</v>
      </c>
      <c r="F87" s="165">
        <v>40793</v>
      </c>
      <c r="G87" s="73">
        <v>40796</v>
      </c>
      <c r="H87" s="167" t="s">
        <v>132</v>
      </c>
      <c r="I87" s="164" t="s">
        <v>381</v>
      </c>
      <c r="J87" s="164" t="s">
        <v>382</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383</v>
      </c>
      <c r="B88" s="164" t="s">
        <v>173</v>
      </c>
      <c r="C88" s="34" t="str">
        <f>VLOOKUP(Observaciones[Caso de Prueba],CasoPrueba[[#All],[Código CP]:[Prioridad]],7,TRUE)</f>
        <v>Alta</v>
      </c>
      <c r="D88" s="164" t="s">
        <v>162</v>
      </c>
      <c r="E88" s="164" t="s">
        <v>49</v>
      </c>
      <c r="F88" s="165">
        <v>40795</v>
      </c>
      <c r="G88" s="73">
        <v>40796</v>
      </c>
      <c r="H88" s="167" t="s">
        <v>132</v>
      </c>
      <c r="I88" s="164" t="s">
        <v>384</v>
      </c>
      <c r="J88" s="164" t="s">
        <v>385</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386</v>
      </c>
      <c r="B89" s="164" t="s">
        <v>173</v>
      </c>
      <c r="C89" s="34" t="str">
        <f>VLOOKUP(Observaciones[Caso de Prueba],CasoPrueba[[#All],[Código CP]:[Prioridad]],7,TRUE)</f>
        <v>Alta</v>
      </c>
      <c r="D89" s="164" t="s">
        <v>162</v>
      </c>
      <c r="E89" s="164" t="s">
        <v>49</v>
      </c>
      <c r="F89" s="165">
        <v>40795</v>
      </c>
      <c r="G89" s="73">
        <v>40796</v>
      </c>
      <c r="H89" s="167" t="s">
        <v>132</v>
      </c>
      <c r="I89" s="164" t="s">
        <v>387</v>
      </c>
      <c r="J89" s="164" t="s">
        <v>388</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389</v>
      </c>
      <c r="B90" s="164" t="s">
        <v>173</v>
      </c>
      <c r="C90" s="34" t="str">
        <f>VLOOKUP(Observaciones[Caso de Prueba],CasoPrueba[[#All],[Código CP]:[Prioridad]],7,TRUE)</f>
        <v>Alta</v>
      </c>
      <c r="D90" s="164" t="s">
        <v>30</v>
      </c>
      <c r="E90" s="164" t="s">
        <v>49</v>
      </c>
      <c r="F90" s="165">
        <v>40795</v>
      </c>
      <c r="G90" s="73">
        <v>40796</v>
      </c>
      <c r="H90" s="167" t="s">
        <v>132</v>
      </c>
      <c r="I90" s="164" t="s">
        <v>353</v>
      </c>
      <c r="J90" s="164" t="s">
        <v>390</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391</v>
      </c>
      <c r="B91" s="164" t="s">
        <v>173</v>
      </c>
      <c r="C91" s="34" t="str">
        <f>VLOOKUP(Observaciones[Caso de Prueba],CasoPrueba[[#All],[Código CP]:[Prioridad]],7,TRUE)</f>
        <v>Alta</v>
      </c>
      <c r="D91" s="164" t="s">
        <v>28</v>
      </c>
      <c r="E91" s="164" t="s">
        <v>49</v>
      </c>
      <c r="F91" s="165">
        <v>40795</v>
      </c>
      <c r="G91" s="73">
        <v>40796</v>
      </c>
      <c r="H91" s="167" t="s">
        <v>132</v>
      </c>
      <c r="I91" s="164" t="s">
        <v>392</v>
      </c>
      <c r="J91" s="164" t="s">
        <v>393</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394</v>
      </c>
      <c r="B92" s="164" t="s">
        <v>173</v>
      </c>
      <c r="C92" s="34" t="str">
        <f>VLOOKUP(Observaciones[Caso de Prueba],CasoPrueba[[#All],[Código CP]:[Prioridad]],7,TRUE)</f>
        <v>Alta</v>
      </c>
      <c r="D92" s="164" t="s">
        <v>30</v>
      </c>
      <c r="E92" s="164" t="s">
        <v>49</v>
      </c>
      <c r="F92" s="165">
        <v>40795</v>
      </c>
      <c r="G92" s="73">
        <v>40796</v>
      </c>
      <c r="H92" s="167" t="s">
        <v>132</v>
      </c>
      <c r="I92" s="164" t="s">
        <v>395</v>
      </c>
      <c r="J92" s="164" t="s">
        <v>396</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397</v>
      </c>
      <c r="B93" s="164" t="s">
        <v>173</v>
      </c>
      <c r="C93" s="34" t="str">
        <f>VLOOKUP(Observaciones[Caso de Prueba],CasoPrueba[[#All],[Código CP]:[Prioridad]],7,TRUE)</f>
        <v>Alta</v>
      </c>
      <c r="D93" s="164" t="s">
        <v>30</v>
      </c>
      <c r="E93" s="164" t="s">
        <v>49</v>
      </c>
      <c r="F93" s="165">
        <v>40795</v>
      </c>
      <c r="G93" s="73">
        <v>40796</v>
      </c>
      <c r="H93" s="167" t="s">
        <v>132</v>
      </c>
      <c r="I93" s="164" t="s">
        <v>398</v>
      </c>
      <c r="J93" s="164" t="s">
        <v>399</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400</v>
      </c>
      <c r="B94" s="164" t="s">
        <v>173</v>
      </c>
      <c r="C94" s="34" t="str">
        <f>VLOOKUP(Observaciones[Caso de Prueba],CasoPrueba[[#All],[Código CP]:[Prioridad]],7,TRUE)</f>
        <v>Alta</v>
      </c>
      <c r="D94" s="164" t="s">
        <v>30</v>
      </c>
      <c r="E94" s="164" t="s">
        <v>49</v>
      </c>
      <c r="F94" s="165">
        <v>40795</v>
      </c>
      <c r="G94" s="73">
        <v>40796</v>
      </c>
      <c r="H94" s="167" t="s">
        <v>132</v>
      </c>
      <c r="I94" s="164" t="s">
        <v>401</v>
      </c>
      <c r="J94" s="164" t="s">
        <v>402</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403</v>
      </c>
      <c r="B95" s="164" t="s">
        <v>175</v>
      </c>
      <c r="C95" s="34" t="str">
        <f>VLOOKUP(Observaciones[Caso de Prueba],CasoPrueba[[#All],[Código CP]:[Prioridad]],7,TRUE)</f>
        <v>Alta</v>
      </c>
      <c r="D95" s="164" t="s">
        <v>162</v>
      </c>
      <c r="E95" s="164" t="s">
        <v>49</v>
      </c>
      <c r="F95" s="165">
        <v>40795</v>
      </c>
      <c r="G95" s="73">
        <v>40796</v>
      </c>
      <c r="H95" s="167" t="s">
        <v>132</v>
      </c>
      <c r="I95" s="164" t="s">
        <v>404</v>
      </c>
      <c r="J95" s="164" t="s">
        <v>405</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406</v>
      </c>
      <c r="B96" s="164" t="s">
        <v>175</v>
      </c>
      <c r="C96" s="34" t="str">
        <f>VLOOKUP(Observaciones[Caso de Prueba],CasoPrueba[[#All],[Código CP]:[Prioridad]],7,TRUE)</f>
        <v>Alta</v>
      </c>
      <c r="D96" s="164" t="s">
        <v>30</v>
      </c>
      <c r="E96" s="164" t="s">
        <v>49</v>
      </c>
      <c r="F96" s="165">
        <v>40795</v>
      </c>
      <c r="G96" s="73">
        <v>40796</v>
      </c>
      <c r="H96" s="167" t="s">
        <v>132</v>
      </c>
      <c r="I96" s="164" t="s">
        <v>353</v>
      </c>
      <c r="J96" s="164" t="s">
        <v>407</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408</v>
      </c>
      <c r="B97" s="164" t="s">
        <v>175</v>
      </c>
      <c r="C97" s="34" t="str">
        <f>VLOOKUP(Observaciones[Caso de Prueba],CasoPrueba[[#All],[Código CP]:[Prioridad]],7,TRUE)</f>
        <v>Alta</v>
      </c>
      <c r="D97" s="164" t="s">
        <v>162</v>
      </c>
      <c r="E97" s="164" t="s">
        <v>49</v>
      </c>
      <c r="F97" s="165">
        <v>40795</v>
      </c>
      <c r="G97" s="73">
        <v>40796</v>
      </c>
      <c r="H97" s="167" t="s">
        <v>132</v>
      </c>
      <c r="I97" s="164" t="s">
        <v>409</v>
      </c>
      <c r="J97" s="164" t="s">
        <v>410</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411</v>
      </c>
      <c r="B98" s="164" t="s">
        <v>175</v>
      </c>
      <c r="C98" s="34" t="str">
        <f>VLOOKUP(Observaciones[Caso de Prueba],CasoPrueba[[#All],[Código CP]:[Prioridad]],7,TRUE)</f>
        <v>Alta</v>
      </c>
      <c r="D98" s="164" t="s">
        <v>29</v>
      </c>
      <c r="E98" s="164" t="s">
        <v>49</v>
      </c>
      <c r="F98" s="165">
        <v>40795</v>
      </c>
      <c r="G98" s="73">
        <v>40796</v>
      </c>
      <c r="H98" s="167" t="s">
        <v>132</v>
      </c>
      <c r="I98" s="164" t="s">
        <v>412</v>
      </c>
      <c r="J98" s="164" t="s">
        <v>413</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414</v>
      </c>
      <c r="B99" s="164" t="s">
        <v>175</v>
      </c>
      <c r="C99" s="34" t="str">
        <f>VLOOKUP(Observaciones[Caso de Prueba],CasoPrueba[[#All],[Código CP]:[Prioridad]],7,TRUE)</f>
        <v>Alta</v>
      </c>
      <c r="D99" s="164" t="s">
        <v>30</v>
      </c>
      <c r="E99" s="164" t="s">
        <v>49</v>
      </c>
      <c r="F99" s="165">
        <v>40795</v>
      </c>
      <c r="G99" s="73">
        <v>40796</v>
      </c>
      <c r="H99" s="167" t="s">
        <v>132</v>
      </c>
      <c r="I99" s="164" t="s">
        <v>415</v>
      </c>
      <c r="J99" s="164" t="s">
        <v>416</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417</v>
      </c>
      <c r="B100" s="164" t="s">
        <v>175</v>
      </c>
      <c r="C100" s="34" t="str">
        <f>VLOOKUP(Observaciones[Caso de Prueba],CasoPrueba[[#All],[Código CP]:[Prioridad]],7,TRUE)</f>
        <v>Alta</v>
      </c>
      <c r="D100" s="164" t="s">
        <v>162</v>
      </c>
      <c r="E100" s="164" t="s">
        <v>49</v>
      </c>
      <c r="F100" s="165">
        <v>40795</v>
      </c>
      <c r="G100" s="73">
        <v>40796</v>
      </c>
      <c r="H100" s="167" t="s">
        <v>132</v>
      </c>
      <c r="I100" s="164" t="s">
        <v>418</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419</v>
      </c>
      <c r="B101" s="164" t="s">
        <v>176</v>
      </c>
      <c r="C101" s="34" t="str">
        <f>VLOOKUP(Observaciones[Caso de Prueba],CasoPrueba[[#All],[Código CP]:[Prioridad]],7,TRUE)</f>
        <v>Alta</v>
      </c>
      <c r="D101" s="164" t="s">
        <v>30</v>
      </c>
      <c r="E101" s="164" t="s">
        <v>49</v>
      </c>
      <c r="F101" s="165">
        <v>40795</v>
      </c>
      <c r="G101" s="73">
        <v>40796</v>
      </c>
      <c r="H101" s="167" t="s">
        <v>132</v>
      </c>
      <c r="I101" s="164" t="s">
        <v>353</v>
      </c>
      <c r="J101" s="164" t="s">
        <v>407</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420</v>
      </c>
      <c r="B102" s="164" t="s">
        <v>176</v>
      </c>
      <c r="C102" s="34" t="str">
        <f>VLOOKUP(Observaciones[Caso de Prueba],CasoPrueba[[#All],[Código CP]:[Prioridad]],7,TRUE)</f>
        <v>Alta</v>
      </c>
      <c r="D102" s="164" t="s">
        <v>29</v>
      </c>
      <c r="E102" s="164" t="s">
        <v>49</v>
      </c>
      <c r="F102" s="165">
        <v>40795</v>
      </c>
      <c r="G102" s="73">
        <v>40796</v>
      </c>
      <c r="H102" s="167" t="s">
        <v>132</v>
      </c>
      <c r="I102" s="164" t="s">
        <v>421</v>
      </c>
      <c r="J102" s="164" t="s">
        <v>361</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422</v>
      </c>
      <c r="B103" s="164" t="s">
        <v>176</v>
      </c>
      <c r="C103" s="34" t="str">
        <f>VLOOKUP(Observaciones[Caso de Prueba],CasoPrueba[[#All],[Código CP]:[Prioridad]],7,TRUE)</f>
        <v>Alta</v>
      </c>
      <c r="D103" s="164" t="s">
        <v>30</v>
      </c>
      <c r="E103" s="164" t="s">
        <v>49</v>
      </c>
      <c r="F103" s="165">
        <v>40795</v>
      </c>
      <c r="G103" s="73">
        <v>40796</v>
      </c>
      <c r="H103" s="167" t="s">
        <v>132</v>
      </c>
      <c r="I103" s="164" t="s">
        <v>423</v>
      </c>
      <c r="J103" s="164" t="s">
        <v>424</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426</v>
      </c>
      <c r="B104" s="34" t="s">
        <v>88</v>
      </c>
      <c r="C104" s="34" t="str">
        <f>VLOOKUP(Observaciones[Caso de Prueba],CasoPrueba[[#All],[Código CP]:[Prioridad]],7,TRUE)</f>
        <v>Alta</v>
      </c>
      <c r="D104" s="34" t="s">
        <v>162</v>
      </c>
      <c r="E104" s="34" t="s">
        <v>49</v>
      </c>
      <c r="F104" s="73">
        <v>40798</v>
      </c>
      <c r="G104" s="73">
        <v>40803</v>
      </c>
      <c r="H104" s="167" t="s">
        <v>132</v>
      </c>
      <c r="I104" s="34" t="s">
        <v>437</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427</v>
      </c>
      <c r="B105" s="34" t="s">
        <v>88</v>
      </c>
      <c r="C105" s="34" t="str">
        <f>VLOOKUP(Observaciones[Caso de Prueba],CasoPrueba[[#All],[Código CP]:[Prioridad]],7,TRUE)</f>
        <v>Alta</v>
      </c>
      <c r="D105" s="34" t="s">
        <v>29</v>
      </c>
      <c r="E105" s="34" t="s">
        <v>49</v>
      </c>
      <c r="F105" s="73">
        <v>40798</v>
      </c>
      <c r="G105" s="73">
        <v>40803</v>
      </c>
      <c r="H105" s="167" t="s">
        <v>132</v>
      </c>
      <c r="I105" s="34" t="s">
        <v>438</v>
      </c>
      <c r="J105" s="34" t="s">
        <v>474</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428</v>
      </c>
      <c r="B106" s="34" t="s">
        <v>88</v>
      </c>
      <c r="C106" s="34" t="str">
        <f>VLOOKUP(Observaciones[Caso de Prueba],CasoPrueba[[#All],[Código CP]:[Prioridad]],7,TRUE)</f>
        <v>Alta</v>
      </c>
      <c r="D106" s="34" t="s">
        <v>162</v>
      </c>
      <c r="E106" s="34" t="s">
        <v>49</v>
      </c>
      <c r="F106" s="73">
        <v>40798</v>
      </c>
      <c r="G106" s="73">
        <v>40803</v>
      </c>
      <c r="H106" s="167" t="s">
        <v>132</v>
      </c>
      <c r="I106" s="34" t="s">
        <v>439</v>
      </c>
      <c r="J106" s="34" t="s">
        <v>475</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429</v>
      </c>
      <c r="B107" s="34" t="s">
        <v>88</v>
      </c>
      <c r="C107" s="34" t="str">
        <f>VLOOKUP(Observaciones[Caso de Prueba],CasoPrueba[[#All],[Código CP]:[Prioridad]],7,TRUE)</f>
        <v>Alta</v>
      </c>
      <c r="D107" s="34" t="s">
        <v>30</v>
      </c>
      <c r="E107" s="34" t="s">
        <v>49</v>
      </c>
      <c r="F107" s="73">
        <v>40798</v>
      </c>
      <c r="G107" s="73">
        <v>40803</v>
      </c>
      <c r="H107" s="167" t="s">
        <v>132</v>
      </c>
      <c r="I107" s="34" t="s">
        <v>457</v>
      </c>
      <c r="J107" s="34" t="s">
        <v>476</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430</v>
      </c>
      <c r="B108" s="34" t="s">
        <v>151</v>
      </c>
      <c r="C108" s="34" t="str">
        <f>VLOOKUP(Observaciones[Caso de Prueba],CasoPrueba[[#All],[Código CP]:[Prioridad]],7,TRUE)</f>
        <v>Alta</v>
      </c>
      <c r="D108" s="34" t="s">
        <v>162</v>
      </c>
      <c r="E108" s="34" t="s">
        <v>49</v>
      </c>
      <c r="F108" s="73">
        <v>40798</v>
      </c>
      <c r="G108" s="73">
        <v>40803</v>
      </c>
      <c r="H108" s="167" t="s">
        <v>132</v>
      </c>
      <c r="I108" s="34" t="s">
        <v>440</v>
      </c>
      <c r="J108" s="34" t="s">
        <v>233</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431</v>
      </c>
      <c r="B109" s="34" t="s">
        <v>152</v>
      </c>
      <c r="C109" s="34" t="str">
        <f>VLOOKUP(Observaciones[Caso de Prueba],CasoPrueba[[#All],[Código CP]:[Prioridad]],7,TRUE)</f>
        <v>Alta</v>
      </c>
      <c r="D109" s="34" t="s">
        <v>29</v>
      </c>
      <c r="E109" s="34" t="s">
        <v>49</v>
      </c>
      <c r="F109" s="73">
        <v>40798</v>
      </c>
      <c r="G109" s="73">
        <v>40803</v>
      </c>
      <c r="H109" s="167" t="s">
        <v>132</v>
      </c>
      <c r="I109" s="34" t="s">
        <v>441</v>
      </c>
      <c r="J109" s="34" t="s">
        <v>477</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432</v>
      </c>
      <c r="B110" s="34" t="s">
        <v>153</v>
      </c>
      <c r="C110" s="34" t="str">
        <f>VLOOKUP(Observaciones[Caso de Prueba],CasoPrueba[[#All],[Código CP]:[Prioridad]],7,TRUE)</f>
        <v>Alta</v>
      </c>
      <c r="D110" s="34" t="s">
        <v>162</v>
      </c>
      <c r="E110" s="34" t="s">
        <v>49</v>
      </c>
      <c r="F110" s="73">
        <v>40800</v>
      </c>
      <c r="G110" s="73">
        <v>40803</v>
      </c>
      <c r="H110" s="94" t="s">
        <v>132</v>
      </c>
      <c r="I110" s="34" t="s">
        <v>442</v>
      </c>
      <c r="J110" s="34" t="s">
        <v>233</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433</v>
      </c>
      <c r="B111" s="34" t="s">
        <v>153</v>
      </c>
      <c r="C111" s="34" t="str">
        <f>VLOOKUP(Observaciones[Caso de Prueba],CasoPrueba[[#All],[Código CP]:[Prioridad]],7,TRUE)</f>
        <v>Alta</v>
      </c>
      <c r="D111" s="34" t="s">
        <v>162</v>
      </c>
      <c r="E111" s="34" t="s">
        <v>49</v>
      </c>
      <c r="F111" s="73">
        <v>40800</v>
      </c>
      <c r="G111" s="73">
        <v>40803</v>
      </c>
      <c r="H111" s="94" t="s">
        <v>132</v>
      </c>
      <c r="I111" s="34" t="s">
        <v>443</v>
      </c>
      <c r="J111" s="34" t="s">
        <v>233</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434</v>
      </c>
      <c r="B112" s="34" t="s">
        <v>153</v>
      </c>
      <c r="C112" s="34" t="str">
        <f>VLOOKUP(Observaciones[Caso de Prueba],CasoPrueba[[#All],[Código CP]:[Prioridad]],7,TRUE)</f>
        <v>Alta</v>
      </c>
      <c r="D112" s="34" t="s">
        <v>29</v>
      </c>
      <c r="E112" s="34" t="s">
        <v>49</v>
      </c>
      <c r="F112" s="73">
        <v>40800</v>
      </c>
      <c r="G112" s="73">
        <v>40803</v>
      </c>
      <c r="H112" s="94" t="s">
        <v>132</v>
      </c>
      <c r="I112" s="34" t="s">
        <v>445</v>
      </c>
      <c r="J112" s="34" t="s">
        <v>478</v>
      </c>
      <c r="K112" s="34"/>
      <c r="L112" s="34"/>
    </row>
    <row r="113" spans="1:12" ht="120" hidden="1">
      <c r="A113" s="166" t="s">
        <v>435</v>
      </c>
      <c r="B113" s="34" t="s">
        <v>154</v>
      </c>
      <c r="C113" s="34" t="str">
        <f>VLOOKUP(Observaciones[Caso de Prueba],CasoPrueba[[#All],[Código CP]:[Prioridad]],7,TRUE)</f>
        <v>Alta</v>
      </c>
      <c r="D113" s="34" t="s">
        <v>30</v>
      </c>
      <c r="E113" s="34" t="s">
        <v>49</v>
      </c>
      <c r="F113" s="73">
        <v>40800</v>
      </c>
      <c r="G113" s="73">
        <v>40803</v>
      </c>
      <c r="H113" s="94" t="s">
        <v>132</v>
      </c>
      <c r="I113" s="34" t="s">
        <v>444</v>
      </c>
      <c r="J113" s="34" t="s">
        <v>479</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436</v>
      </c>
      <c r="B114" s="34" t="s">
        <v>154</v>
      </c>
      <c r="C114" s="34" t="str">
        <f>VLOOKUP(Observaciones[Caso de Prueba],CasoPrueba[[#All],[Código CP]:[Prioridad]],7,TRUE)</f>
        <v>Alta</v>
      </c>
      <c r="D114" s="34" t="s">
        <v>29</v>
      </c>
      <c r="E114" s="34" t="s">
        <v>49</v>
      </c>
      <c r="F114" s="73">
        <v>40800</v>
      </c>
      <c r="G114" s="73">
        <v>40803</v>
      </c>
      <c r="H114" s="94" t="s">
        <v>132</v>
      </c>
      <c r="I114" s="34" t="s">
        <v>454</v>
      </c>
      <c r="J114" s="34" t="s">
        <v>480</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446</v>
      </c>
      <c r="B115" s="34" t="s">
        <v>156</v>
      </c>
      <c r="C115" s="34" t="str">
        <f>VLOOKUP(Observaciones[Caso de Prueba],CasoPrueba[[#All],[Código CP]:[Prioridad]],7,TRUE)</f>
        <v>Alta</v>
      </c>
      <c r="D115" s="34" t="s">
        <v>30</v>
      </c>
      <c r="E115" s="34" t="s">
        <v>49</v>
      </c>
      <c r="F115" s="73">
        <v>40800</v>
      </c>
      <c r="G115" s="73">
        <v>40803</v>
      </c>
      <c r="H115" s="94" t="s">
        <v>132</v>
      </c>
      <c r="I115" s="34" t="s">
        <v>455</v>
      </c>
      <c r="J115" s="34" t="s">
        <v>479</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447</v>
      </c>
      <c r="B116" s="34" t="s">
        <v>156</v>
      </c>
      <c r="C116" s="34" t="str">
        <f>VLOOKUP(Observaciones[Caso de Prueba],CasoPrueba[[#All],[Código CP]:[Prioridad]],7,TRUE)</f>
        <v>Alta</v>
      </c>
      <c r="D116" s="34" t="s">
        <v>29</v>
      </c>
      <c r="E116" s="34" t="s">
        <v>49</v>
      </c>
      <c r="F116" s="73">
        <v>40800</v>
      </c>
      <c r="G116" s="73">
        <v>40803</v>
      </c>
      <c r="H116" s="94" t="s">
        <v>132</v>
      </c>
      <c r="I116" s="34" t="s">
        <v>456</v>
      </c>
      <c r="J116" s="34" t="s">
        <v>481</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448</v>
      </c>
      <c r="B117" s="34" t="s">
        <v>158</v>
      </c>
      <c r="C117" s="34" t="str">
        <f>VLOOKUP(Observaciones[Caso de Prueba],CasoPrueba[[#All],[Código CP]:[Prioridad]],7,TRUE)</f>
        <v>Alta</v>
      </c>
      <c r="D117" s="34" t="s">
        <v>30</v>
      </c>
      <c r="E117" s="34" t="s">
        <v>49</v>
      </c>
      <c r="F117" s="73">
        <v>40800</v>
      </c>
      <c r="G117" s="73">
        <v>40803</v>
      </c>
      <c r="H117" s="94" t="s">
        <v>132</v>
      </c>
      <c r="I117" s="34" t="s">
        <v>455</v>
      </c>
      <c r="J117" s="34" t="s">
        <v>479</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449</v>
      </c>
      <c r="B118" s="34" t="s">
        <v>172</v>
      </c>
      <c r="C118" s="34" t="str">
        <f>VLOOKUP(Observaciones[Caso de Prueba],CasoPrueba[[#All],[Código CP]:[Prioridad]],7,TRUE)</f>
        <v>Alta</v>
      </c>
      <c r="D118" s="34" t="s">
        <v>28</v>
      </c>
      <c r="E118" s="34" t="s">
        <v>49</v>
      </c>
      <c r="F118" s="73">
        <v>40800</v>
      </c>
      <c r="G118" s="73">
        <v>40803</v>
      </c>
      <c r="H118" s="94" t="s">
        <v>132</v>
      </c>
      <c r="I118" s="34" t="s">
        <v>458</v>
      </c>
      <c r="J118" s="34" t="s">
        <v>476</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450</v>
      </c>
      <c r="B119" s="34" t="s">
        <v>172</v>
      </c>
      <c r="C119" s="34" t="str">
        <f>VLOOKUP(Observaciones[Caso de Prueba],CasoPrueba[[#All],[Código CP]:[Prioridad]],7,TRUE)</f>
        <v>Alta</v>
      </c>
      <c r="D119" s="34" t="s">
        <v>29</v>
      </c>
      <c r="E119" s="34" t="s">
        <v>49</v>
      </c>
      <c r="F119" s="73">
        <v>40800</v>
      </c>
      <c r="G119" s="73">
        <v>40803</v>
      </c>
      <c r="H119" s="94" t="s">
        <v>132</v>
      </c>
      <c r="I119" s="34" t="s">
        <v>485</v>
      </c>
      <c r="J119" s="34" t="s">
        <v>482</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451</v>
      </c>
      <c r="B120" s="34" t="s">
        <v>172</v>
      </c>
      <c r="C120" s="34" t="str">
        <f>VLOOKUP(Observaciones[Caso de Prueba],CasoPrueba[[#All],[Código CP]:[Prioridad]],7,TRUE)</f>
        <v>Alta</v>
      </c>
      <c r="D120" s="34" t="s">
        <v>29</v>
      </c>
      <c r="E120" s="34" t="s">
        <v>49</v>
      </c>
      <c r="F120" s="73">
        <v>40800</v>
      </c>
      <c r="G120" s="73">
        <v>40803</v>
      </c>
      <c r="H120" s="94" t="s">
        <v>132</v>
      </c>
      <c r="I120" s="34" t="s">
        <v>486</v>
      </c>
      <c r="J120" s="34" t="s">
        <v>483</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452</v>
      </c>
      <c r="B121" s="34" t="s">
        <v>173</v>
      </c>
      <c r="C121" s="34" t="str">
        <f>VLOOKUP(Observaciones[Caso de Prueba],CasoPrueba[[#All],[Código CP]:[Prioridad]],7,TRUE)</f>
        <v>Alta</v>
      </c>
      <c r="D121" s="34" t="s">
        <v>28</v>
      </c>
      <c r="E121" s="34" t="s">
        <v>49</v>
      </c>
      <c r="F121" s="73">
        <v>40800</v>
      </c>
      <c r="G121" s="73">
        <v>40803</v>
      </c>
      <c r="H121" s="94" t="s">
        <v>132</v>
      </c>
      <c r="I121" s="34" t="s">
        <v>460</v>
      </c>
      <c r="J121" s="34" t="s">
        <v>265</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453</v>
      </c>
      <c r="B122" s="34" t="s">
        <v>174</v>
      </c>
      <c r="C122" s="34" t="str">
        <f>VLOOKUP(Observaciones[Caso de Prueba],CasoPrueba[[#All],[Código CP]:[Prioridad]],7,TRUE)</f>
        <v>Alta</v>
      </c>
      <c r="D122" s="34" t="s">
        <v>30</v>
      </c>
      <c r="E122" s="34" t="s">
        <v>49</v>
      </c>
      <c r="F122" s="73">
        <v>40800</v>
      </c>
      <c r="G122" s="73">
        <v>40803</v>
      </c>
      <c r="H122" s="94" t="s">
        <v>132</v>
      </c>
      <c r="I122" s="34" t="s">
        <v>461</v>
      </c>
      <c r="J122" s="34" t="s">
        <v>484</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487</v>
      </c>
      <c r="B123" s="34" t="s">
        <v>173</v>
      </c>
      <c r="C123" s="34" t="str">
        <f>VLOOKUP(Observaciones[Caso de Prueba],CasoPrueba[[#All],[Código CP]:[Prioridad]],7,TRUE)</f>
        <v>Alta</v>
      </c>
      <c r="D123" s="34" t="s">
        <v>162</v>
      </c>
      <c r="E123" s="34" t="s">
        <v>49</v>
      </c>
      <c r="F123" s="73">
        <v>40802</v>
      </c>
      <c r="G123" s="73">
        <v>40805</v>
      </c>
      <c r="H123" s="94" t="s">
        <v>132</v>
      </c>
      <c r="I123" s="34" t="s">
        <v>493</v>
      </c>
      <c r="J123" s="34" t="s">
        <v>503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488</v>
      </c>
      <c r="B124" s="34" t="s">
        <v>173</v>
      </c>
      <c r="C124" s="34" t="str">
        <f>VLOOKUP(Observaciones[Caso de Prueba],CasoPrueba[[#All],[Código CP]:[Prioridad]],7,TRUE)</f>
        <v>Alta</v>
      </c>
      <c r="D124" s="34" t="s">
        <v>29</v>
      </c>
      <c r="E124" s="34" t="s">
        <v>49</v>
      </c>
      <c r="F124" s="73">
        <v>40802</v>
      </c>
      <c r="G124" s="73">
        <v>40805</v>
      </c>
      <c r="H124" s="94" t="s">
        <v>132</v>
      </c>
      <c r="I124" s="34" t="s">
        <v>494</v>
      </c>
      <c r="J124" s="34" t="s">
        <v>504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489</v>
      </c>
      <c r="B125" s="34" t="s">
        <v>173</v>
      </c>
      <c r="C125" s="34" t="str">
        <f>VLOOKUP(Observaciones[Caso de Prueba],CasoPrueba[[#All],[Código CP]:[Prioridad]],7,TRUE)</f>
        <v>Alta</v>
      </c>
      <c r="D125" s="34" t="s">
        <v>29</v>
      </c>
      <c r="E125" s="34" t="s">
        <v>49</v>
      </c>
      <c r="F125" s="73">
        <v>40802</v>
      </c>
      <c r="G125" s="73">
        <v>40805</v>
      </c>
      <c r="H125" s="94" t="s">
        <v>132</v>
      </c>
      <c r="I125" s="34" t="s">
        <v>495</v>
      </c>
      <c r="J125" s="34" t="s">
        <v>505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490</v>
      </c>
      <c r="B126" s="34" t="s">
        <v>497</v>
      </c>
      <c r="C126" s="34" t="str">
        <f>VLOOKUP(Observaciones[Caso de Prueba],CasoPrueba[[#All],[Código CP]:[Prioridad]],7,TRUE)</f>
        <v>Alta</v>
      </c>
      <c r="D126" s="34" t="s">
        <v>162</v>
      </c>
      <c r="E126" s="34" t="s">
        <v>49</v>
      </c>
      <c r="F126" s="73">
        <v>40805</v>
      </c>
      <c r="G126" s="73">
        <v>40831</v>
      </c>
      <c r="H126" s="94" t="s">
        <v>132</v>
      </c>
      <c r="I126" s="34" t="s">
        <v>634</v>
      </c>
      <c r="J126" s="34" t="s">
        <v>826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491</v>
      </c>
      <c r="B127" s="34" t="s">
        <v>497</v>
      </c>
      <c r="C127" s="34" t="str">
        <f>VLOOKUP(Observaciones[Caso de Prueba],CasoPrueba[[#All],[Código CP]:[Prioridad]],7,TRUE)</f>
        <v>Alta</v>
      </c>
      <c r="D127" s="34" t="s">
        <v>30</v>
      </c>
      <c r="E127" s="34" t="s">
        <v>49</v>
      </c>
      <c r="F127" s="73">
        <v>40805</v>
      </c>
      <c r="G127" s="73">
        <v>40831</v>
      </c>
      <c r="H127" s="94" t="s">
        <v>132</v>
      </c>
      <c r="I127" s="34" t="s">
        <v>609</v>
      </c>
      <c r="J127" s="34" t="s">
        <v>827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492</v>
      </c>
      <c r="B128" s="34" t="s">
        <v>497</v>
      </c>
      <c r="C128" s="34" t="str">
        <f>VLOOKUP(Observaciones[Caso de Prueba],CasoPrueba[[#All],[Código CP]:[Prioridad]],7,TRUE)</f>
        <v>Alta</v>
      </c>
      <c r="D128" s="34" t="s">
        <v>29</v>
      </c>
      <c r="E128" s="34" t="s">
        <v>49</v>
      </c>
      <c r="F128" s="73">
        <v>40805</v>
      </c>
      <c r="G128" s="73">
        <v>40831</v>
      </c>
      <c r="H128" s="94" t="s">
        <v>132</v>
      </c>
      <c r="I128" s="34" t="s">
        <v>593</v>
      </c>
      <c r="J128" s="34" t="s">
        <v>828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506</v>
      </c>
      <c r="B129" s="34" t="s">
        <v>497</v>
      </c>
      <c r="C129" s="34" t="str">
        <f>VLOOKUP(Observaciones[Caso de Prueba],CasoPrueba[[#All],[Código CP]:[Prioridad]],7,TRUE)</f>
        <v>Alta</v>
      </c>
      <c r="D129" s="34" t="s">
        <v>28</v>
      </c>
      <c r="E129" s="34" t="s">
        <v>49</v>
      </c>
      <c r="F129" s="73">
        <v>40805</v>
      </c>
      <c r="G129" s="73">
        <v>40831</v>
      </c>
      <c r="H129" s="94" t="s">
        <v>132</v>
      </c>
      <c r="I129" s="34" t="s">
        <v>594</v>
      </c>
      <c r="J129" s="34" t="s">
        <v>829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507</v>
      </c>
      <c r="B130" s="34" t="s">
        <v>497</v>
      </c>
      <c r="C130" s="34" t="str">
        <f>VLOOKUP(Observaciones[Caso de Prueba],CasoPrueba[[#All],[Código CP]:[Prioridad]],7,TRUE)</f>
        <v>Alta</v>
      </c>
      <c r="D130" s="34" t="s">
        <v>30</v>
      </c>
      <c r="E130" s="34" t="s">
        <v>49</v>
      </c>
      <c r="F130" s="73">
        <v>40805</v>
      </c>
      <c r="G130" s="73">
        <v>40831</v>
      </c>
      <c r="H130" s="94" t="s">
        <v>132</v>
      </c>
      <c r="I130" s="34" t="s">
        <v>595</v>
      </c>
      <c r="J130" s="34" t="s">
        <v>830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508</v>
      </c>
      <c r="B131" s="34" t="s">
        <v>497</v>
      </c>
      <c r="C131" s="34" t="str">
        <f>VLOOKUP(Observaciones[Caso de Prueba],CasoPrueba[[#All],[Código CP]:[Prioridad]],7,TRUE)</f>
        <v>Alta</v>
      </c>
      <c r="D131" s="34" t="s">
        <v>29</v>
      </c>
      <c r="E131" s="34" t="s">
        <v>49</v>
      </c>
      <c r="F131" s="73">
        <v>40805</v>
      </c>
      <c r="G131" s="73">
        <v>40831</v>
      </c>
      <c r="H131" s="94" t="s">
        <v>132</v>
      </c>
      <c r="I131" s="34" t="s">
        <v>596</v>
      </c>
      <c r="J131" s="34" t="s">
        <v>831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509</v>
      </c>
      <c r="B132" s="34" t="s">
        <v>497</v>
      </c>
      <c r="C132" s="34" t="str">
        <f>VLOOKUP(Observaciones[Caso de Prueba],CasoPrueba[[#All],[Código CP]:[Prioridad]],7,TRUE)</f>
        <v>Alta</v>
      </c>
      <c r="D132" s="34" t="s">
        <v>30</v>
      </c>
      <c r="E132" s="34" t="s">
        <v>49</v>
      </c>
      <c r="F132" s="73">
        <v>40805</v>
      </c>
      <c r="G132" s="73">
        <v>40831</v>
      </c>
      <c r="H132" s="94" t="s">
        <v>132</v>
      </c>
      <c r="I132" s="34" t="s">
        <v>636</v>
      </c>
      <c r="J132" s="34" t="s">
        <v>832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510</v>
      </c>
      <c r="B133" s="34" t="s">
        <v>497</v>
      </c>
      <c r="C133" s="34" t="str">
        <f>VLOOKUP(Observaciones[Caso de Prueba],CasoPrueba[[#All],[Código CP]:[Prioridad]],7,TRUE)</f>
        <v>Alta</v>
      </c>
      <c r="D133" s="34" t="s">
        <v>162</v>
      </c>
      <c r="E133" s="34" t="s">
        <v>49</v>
      </c>
      <c r="F133" s="73">
        <v>40805</v>
      </c>
      <c r="G133" s="73">
        <v>40831</v>
      </c>
      <c r="H133" s="94" t="s">
        <v>132</v>
      </c>
      <c r="I133" s="34" t="s">
        <v>597</v>
      </c>
      <c r="J133" s="34" t="s">
        <v>833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511</v>
      </c>
      <c r="B134" s="34" t="s">
        <v>497</v>
      </c>
      <c r="C134" s="34" t="str">
        <f>VLOOKUP(Observaciones[Caso de Prueba],CasoPrueba[[#All],[Código CP]:[Prioridad]],7,TRUE)</f>
        <v>Alta</v>
      </c>
      <c r="D134" s="34" t="s">
        <v>29</v>
      </c>
      <c r="E134" s="34" t="s">
        <v>49</v>
      </c>
      <c r="F134" s="73">
        <v>40805</v>
      </c>
      <c r="G134" s="73">
        <v>40831</v>
      </c>
      <c r="H134" s="94" t="s">
        <v>132</v>
      </c>
      <c r="I134" s="34" t="s">
        <v>598</v>
      </c>
      <c r="J134" s="34" t="s">
        <v>834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512</v>
      </c>
      <c r="B135" s="34" t="s">
        <v>497</v>
      </c>
      <c r="C135" s="34" t="str">
        <f>VLOOKUP(Observaciones[Caso de Prueba],CasoPrueba[[#All],[Código CP]:[Prioridad]],7,TRUE)</f>
        <v>Alta</v>
      </c>
      <c r="D135" s="34" t="s">
        <v>29</v>
      </c>
      <c r="E135" s="34" t="s">
        <v>49</v>
      </c>
      <c r="F135" s="73">
        <v>40805</v>
      </c>
      <c r="G135" s="73">
        <v>40831</v>
      </c>
      <c r="H135" s="94" t="s">
        <v>132</v>
      </c>
      <c r="I135" s="34" t="s">
        <v>599</v>
      </c>
      <c r="J135" s="34" t="s">
        <v>835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513</v>
      </c>
      <c r="B136" s="34" t="s">
        <v>497</v>
      </c>
      <c r="C136" s="34" t="str">
        <f>VLOOKUP(Observaciones[Caso de Prueba],CasoPrueba[[#All],[Código CP]:[Prioridad]],7,TRUE)</f>
        <v>Alta</v>
      </c>
      <c r="D136" s="34" t="s">
        <v>29</v>
      </c>
      <c r="E136" s="34" t="s">
        <v>49</v>
      </c>
      <c r="F136" s="73">
        <v>40805</v>
      </c>
      <c r="G136" s="73">
        <v>40831</v>
      </c>
      <c r="H136" s="94" t="s">
        <v>132</v>
      </c>
      <c r="I136" s="34" t="s">
        <v>600</v>
      </c>
      <c r="J136" s="34" t="s">
        <v>836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514</v>
      </c>
      <c r="B137" s="34" t="s">
        <v>497</v>
      </c>
      <c r="C137" s="34" t="str">
        <f>VLOOKUP(Observaciones[Caso de Prueba],CasoPrueba[[#All],[Código CP]:[Prioridad]],7,TRUE)</f>
        <v>Alta</v>
      </c>
      <c r="D137" s="34" t="s">
        <v>29</v>
      </c>
      <c r="E137" s="34" t="s">
        <v>49</v>
      </c>
      <c r="F137" s="73">
        <v>40805</v>
      </c>
      <c r="G137" s="73">
        <v>40831</v>
      </c>
      <c r="H137" s="94" t="s">
        <v>132</v>
      </c>
      <c r="I137" s="34" t="s">
        <v>601</v>
      </c>
      <c r="J137" s="34" t="s">
        <v>837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515</v>
      </c>
      <c r="B138" s="34" t="s">
        <v>497</v>
      </c>
      <c r="C138" s="34" t="str">
        <f>VLOOKUP(Observaciones[Caso de Prueba],CasoPrueba[[#All],[Código CP]:[Prioridad]],7,TRUE)</f>
        <v>Alta</v>
      </c>
      <c r="D138" s="34" t="s">
        <v>162</v>
      </c>
      <c r="E138" s="34" t="s">
        <v>49</v>
      </c>
      <c r="F138" s="73">
        <v>40805</v>
      </c>
      <c r="G138" s="73">
        <v>40831</v>
      </c>
      <c r="H138" s="94" t="s">
        <v>132</v>
      </c>
      <c r="I138" s="34" t="s">
        <v>602</v>
      </c>
      <c r="J138" s="34" t="s">
        <v>233</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516</v>
      </c>
      <c r="B139" s="34" t="s">
        <v>497</v>
      </c>
      <c r="C139" s="34" t="str">
        <f>VLOOKUP(Observaciones[Caso de Prueba],CasoPrueba[[#All],[Código CP]:[Prioridad]],7,TRUE)</f>
        <v>Alta</v>
      </c>
      <c r="D139" s="34" t="s">
        <v>29</v>
      </c>
      <c r="E139" s="34" t="s">
        <v>49</v>
      </c>
      <c r="F139" s="73">
        <v>40805</v>
      </c>
      <c r="G139" s="73">
        <v>40831</v>
      </c>
      <c r="H139" s="94" t="s">
        <v>132</v>
      </c>
      <c r="I139" s="34" t="s">
        <v>603</v>
      </c>
      <c r="J139" s="34" t="s">
        <v>838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517</v>
      </c>
      <c r="B140" s="34" t="s">
        <v>497</v>
      </c>
      <c r="C140" s="34" t="str">
        <f>VLOOKUP(Observaciones[Caso de Prueba],CasoPrueba[[#All],[Código CP]:[Prioridad]],7,TRUE)</f>
        <v>Alta</v>
      </c>
      <c r="D140" s="34" t="s">
        <v>30</v>
      </c>
      <c r="E140" s="34" t="s">
        <v>49</v>
      </c>
      <c r="F140" s="73">
        <v>40805</v>
      </c>
      <c r="G140" s="73">
        <v>40831</v>
      </c>
      <c r="H140" s="94" t="s">
        <v>132</v>
      </c>
      <c r="I140" s="34" t="s">
        <v>604</v>
      </c>
      <c r="J140" s="34" t="s">
        <v>839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518</v>
      </c>
      <c r="B141" s="34" t="s">
        <v>497</v>
      </c>
      <c r="C141" s="34" t="str">
        <f>VLOOKUP(Observaciones[Caso de Prueba],CasoPrueba[[#All],[Código CP]:[Prioridad]],7,TRUE)</f>
        <v>Alta</v>
      </c>
      <c r="D141" s="34" t="s">
        <v>162</v>
      </c>
      <c r="E141" s="34" t="s">
        <v>49</v>
      </c>
      <c r="F141" s="73">
        <v>40805</v>
      </c>
      <c r="G141" s="73">
        <v>40831</v>
      </c>
      <c r="H141" s="94" t="s">
        <v>132</v>
      </c>
      <c r="I141" s="34" t="s">
        <v>605</v>
      </c>
      <c r="J141" s="34" t="s">
        <v>833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519</v>
      </c>
      <c r="B142" s="34" t="s">
        <v>497</v>
      </c>
      <c r="C142" s="34" t="str">
        <f>VLOOKUP(Observaciones[Caso de Prueba],CasoPrueba[[#All],[Código CP]:[Prioridad]],7,TRUE)</f>
        <v>Alta</v>
      </c>
      <c r="D142" s="34" t="s">
        <v>29</v>
      </c>
      <c r="E142" s="34" t="s">
        <v>49</v>
      </c>
      <c r="F142" s="73">
        <v>40805</v>
      </c>
      <c r="G142" s="73">
        <v>40831</v>
      </c>
      <c r="H142" s="94" t="s">
        <v>132</v>
      </c>
      <c r="I142" s="34" t="s">
        <v>606</v>
      </c>
      <c r="J142" s="34" t="s">
        <v>836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520</v>
      </c>
      <c r="B143" s="34" t="s">
        <v>498</v>
      </c>
      <c r="C143" s="34" t="str">
        <f>VLOOKUP(Observaciones[Caso de Prueba],CasoPrueba[[#All],[Código CP]:[Prioridad]],7,TRUE)</f>
        <v>Alta</v>
      </c>
      <c r="D143" s="34" t="s">
        <v>29</v>
      </c>
      <c r="E143" s="34" t="s">
        <v>49</v>
      </c>
      <c r="F143" s="73">
        <v>40805</v>
      </c>
      <c r="G143" s="73">
        <v>40831</v>
      </c>
      <c r="H143" s="94" t="s">
        <v>132</v>
      </c>
      <c r="I143" s="34" t="s">
        <v>607</v>
      </c>
      <c r="J143" s="34" t="s">
        <v>840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521</v>
      </c>
      <c r="B144" s="34" t="s">
        <v>498</v>
      </c>
      <c r="C144" s="34" t="str">
        <f>VLOOKUP(Observaciones[Caso de Prueba],CasoPrueba[[#All],[Código CP]:[Prioridad]],7,TRUE)</f>
        <v>Alta</v>
      </c>
      <c r="D144" s="34" t="s">
        <v>162</v>
      </c>
      <c r="E144" s="34" t="s">
        <v>49</v>
      </c>
      <c r="F144" s="73">
        <v>40805</v>
      </c>
      <c r="G144" s="73">
        <v>40831</v>
      </c>
      <c r="H144" s="94" t="s">
        <v>132</v>
      </c>
      <c r="I144" s="34" t="s">
        <v>608</v>
      </c>
      <c r="J144" s="34" t="s">
        <v>841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522</v>
      </c>
      <c r="B145" s="34" t="s">
        <v>498</v>
      </c>
      <c r="C145" s="34" t="str">
        <f>VLOOKUP(Observaciones[Caso de Prueba],CasoPrueba[[#All],[Código CP]:[Prioridad]],7,TRUE)</f>
        <v>Alta</v>
      </c>
      <c r="D145" s="34" t="s">
        <v>28</v>
      </c>
      <c r="E145" s="34" t="s">
        <v>49</v>
      </c>
      <c r="F145" s="73">
        <v>40805</v>
      </c>
      <c r="G145" s="73">
        <v>40831</v>
      </c>
      <c r="H145" s="94" t="s">
        <v>132</v>
      </c>
      <c r="I145" s="34" t="s">
        <v>594</v>
      </c>
      <c r="J145" s="34" t="s">
        <v>842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523</v>
      </c>
      <c r="B146" s="34" t="s">
        <v>498</v>
      </c>
      <c r="C146" s="34" t="str">
        <f>VLOOKUP(Observaciones[Caso de Prueba],CasoPrueba[[#All],[Código CP]:[Prioridad]],7,TRUE)</f>
        <v>Alta</v>
      </c>
      <c r="D146" s="34" t="s">
        <v>30</v>
      </c>
      <c r="E146" s="34" t="s">
        <v>49</v>
      </c>
      <c r="F146" s="73">
        <v>40805</v>
      </c>
      <c r="G146" s="73">
        <v>40831</v>
      </c>
      <c r="H146" s="94" t="s">
        <v>132</v>
      </c>
      <c r="I146" s="34" t="s">
        <v>609</v>
      </c>
      <c r="J146" s="34" t="s">
        <v>827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524</v>
      </c>
      <c r="B147" s="34" t="s">
        <v>498</v>
      </c>
      <c r="C147" s="34" t="str">
        <f>VLOOKUP(Observaciones[Caso de Prueba],CasoPrueba[[#All],[Código CP]:[Prioridad]],7,TRUE)</f>
        <v>Alta</v>
      </c>
      <c r="D147" s="34" t="s">
        <v>30</v>
      </c>
      <c r="E147" s="34" t="s">
        <v>49</v>
      </c>
      <c r="F147" s="73">
        <v>40805</v>
      </c>
      <c r="G147" s="73">
        <v>40831</v>
      </c>
      <c r="H147" s="94" t="s">
        <v>132</v>
      </c>
      <c r="I147" s="34" t="s">
        <v>610</v>
      </c>
      <c r="J147" s="34" t="s">
        <v>843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525</v>
      </c>
      <c r="B148" s="34" t="s">
        <v>498</v>
      </c>
      <c r="C148" s="34" t="str">
        <f>VLOOKUP(Observaciones[Caso de Prueba],CasoPrueba[[#All],[Código CP]:[Prioridad]],7,TRUE)</f>
        <v>Alta</v>
      </c>
      <c r="D148" s="34" t="s">
        <v>28</v>
      </c>
      <c r="E148" s="34" t="s">
        <v>49</v>
      </c>
      <c r="F148" s="73">
        <v>40805</v>
      </c>
      <c r="G148" s="73">
        <v>40831</v>
      </c>
      <c r="H148" s="94" t="s">
        <v>132</v>
      </c>
      <c r="I148" s="34" t="s">
        <v>611</v>
      </c>
      <c r="J148" s="34" t="s">
        <v>844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526</v>
      </c>
      <c r="B149" s="34" t="s">
        <v>498</v>
      </c>
      <c r="C149" s="34" t="str">
        <f>VLOOKUP(Observaciones[Caso de Prueba],CasoPrueba[[#All],[Código CP]:[Prioridad]],7,TRUE)</f>
        <v>Alta</v>
      </c>
      <c r="D149" s="34" t="s">
        <v>29</v>
      </c>
      <c r="E149" s="34" t="s">
        <v>49</v>
      </c>
      <c r="F149" s="73">
        <v>40805</v>
      </c>
      <c r="G149" s="73">
        <v>40831</v>
      </c>
      <c r="H149" s="94" t="s">
        <v>132</v>
      </c>
      <c r="I149" s="34" t="s">
        <v>612</v>
      </c>
      <c r="J149" s="34" t="s">
        <v>845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527</v>
      </c>
      <c r="B150" s="34" t="s">
        <v>498</v>
      </c>
      <c r="C150" s="34" t="str">
        <f>VLOOKUP(Observaciones[Caso de Prueba],CasoPrueba[[#All],[Código CP]:[Prioridad]],7,TRUE)</f>
        <v>Alta</v>
      </c>
      <c r="D150" s="34" t="s">
        <v>162</v>
      </c>
      <c r="E150" s="34" t="s">
        <v>49</v>
      </c>
      <c r="F150" s="73">
        <v>40805</v>
      </c>
      <c r="G150" s="73">
        <v>40831</v>
      </c>
      <c r="H150" s="94" t="s">
        <v>132</v>
      </c>
      <c r="I150" s="34" t="s">
        <v>613</v>
      </c>
      <c r="J150" s="34" t="s">
        <v>233</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528</v>
      </c>
      <c r="B151" s="34" t="s">
        <v>498</v>
      </c>
      <c r="C151" s="34" t="str">
        <f>VLOOKUP(Observaciones[Caso de Prueba],CasoPrueba[[#All],[Código CP]:[Prioridad]],7,TRUE)</f>
        <v>Alta</v>
      </c>
      <c r="D151" s="34" t="s">
        <v>162</v>
      </c>
      <c r="E151" s="34" t="s">
        <v>49</v>
      </c>
      <c r="F151" s="73">
        <v>40805</v>
      </c>
      <c r="G151" s="73">
        <v>40831</v>
      </c>
      <c r="H151" s="94" t="s">
        <v>132</v>
      </c>
      <c r="I151" s="34" t="s">
        <v>614</v>
      </c>
      <c r="J151" s="34" t="s">
        <v>233</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529</v>
      </c>
      <c r="B152" s="34" t="s">
        <v>498</v>
      </c>
      <c r="C152" s="34" t="str">
        <f>VLOOKUP(Observaciones[Caso de Prueba],CasoPrueba[[#All],[Código CP]:[Prioridad]],7,TRUE)</f>
        <v>Alta</v>
      </c>
      <c r="D152" s="34" t="s">
        <v>162</v>
      </c>
      <c r="E152" s="34" t="s">
        <v>49</v>
      </c>
      <c r="F152" s="73">
        <v>40805</v>
      </c>
      <c r="G152" s="73">
        <v>40831</v>
      </c>
      <c r="H152" s="94" t="s">
        <v>132</v>
      </c>
      <c r="I152" s="34" t="s">
        <v>605</v>
      </c>
      <c r="J152" s="34" t="s">
        <v>233</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530</v>
      </c>
      <c r="B153" s="34" t="s">
        <v>499</v>
      </c>
      <c r="C153" s="34" t="str">
        <f>VLOOKUP(Observaciones[Caso de Prueba],CasoPrueba[[#All],[Código CP]:[Prioridad]],7,TRUE)</f>
        <v>Alta</v>
      </c>
      <c r="D153" s="34" t="s">
        <v>29</v>
      </c>
      <c r="E153" s="34" t="s">
        <v>49</v>
      </c>
      <c r="F153" s="73">
        <v>40807</v>
      </c>
      <c r="G153" s="73">
        <v>40831</v>
      </c>
      <c r="H153" s="94" t="s">
        <v>132</v>
      </c>
      <c r="I153" s="34" t="s">
        <v>607</v>
      </c>
      <c r="J153" s="34" t="s">
        <v>840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531</v>
      </c>
      <c r="B154" s="34" t="s">
        <v>499</v>
      </c>
      <c r="C154" s="34" t="str">
        <f>VLOOKUP(Observaciones[Caso de Prueba],CasoPrueba[[#All],[Código CP]:[Prioridad]],7,TRUE)</f>
        <v>Alta</v>
      </c>
      <c r="D154" s="34" t="s">
        <v>28</v>
      </c>
      <c r="E154" s="34" t="s">
        <v>49</v>
      </c>
      <c r="F154" s="73">
        <v>40807</v>
      </c>
      <c r="G154" s="73">
        <v>40831</v>
      </c>
      <c r="H154" s="94" t="s">
        <v>132</v>
      </c>
      <c r="I154" s="34" t="s">
        <v>594</v>
      </c>
      <c r="J154" s="34" t="s">
        <v>842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532</v>
      </c>
      <c r="B155" s="34" t="s">
        <v>499</v>
      </c>
      <c r="C155" s="34" t="str">
        <f>VLOOKUP(Observaciones[Caso de Prueba],CasoPrueba[[#All],[Código CP]:[Prioridad]],7,TRUE)</f>
        <v>Alta</v>
      </c>
      <c r="D155" s="34" t="s">
        <v>162</v>
      </c>
      <c r="E155" s="34" t="s">
        <v>49</v>
      </c>
      <c r="F155" s="73">
        <v>40807</v>
      </c>
      <c r="G155" s="73">
        <v>40831</v>
      </c>
      <c r="H155" s="94" t="s">
        <v>132</v>
      </c>
      <c r="I155" s="34" t="s">
        <v>615</v>
      </c>
      <c r="J155" s="34" t="s">
        <v>846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533</v>
      </c>
      <c r="B156" s="34" t="s">
        <v>499</v>
      </c>
      <c r="C156" s="34" t="str">
        <f>VLOOKUP(Observaciones[Caso de Prueba],CasoPrueba[[#All],[Código CP]:[Prioridad]],7,TRUE)</f>
        <v>Alta</v>
      </c>
      <c r="D156" s="34" t="s">
        <v>29</v>
      </c>
      <c r="E156" s="34" t="s">
        <v>49</v>
      </c>
      <c r="F156" s="73">
        <v>40807</v>
      </c>
      <c r="G156" s="73">
        <v>40831</v>
      </c>
      <c r="H156" s="94" t="s">
        <v>132</v>
      </c>
      <c r="I156" s="34" t="s">
        <v>616</v>
      </c>
      <c r="J156" s="34" t="s">
        <v>265</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534</v>
      </c>
      <c r="B157" s="34" t="s">
        <v>499</v>
      </c>
      <c r="C157" s="34" t="str">
        <f>VLOOKUP(Observaciones[Caso de Prueba],CasoPrueba[[#All],[Código CP]:[Prioridad]],7,TRUE)</f>
        <v>Alta</v>
      </c>
      <c r="D157" s="34" t="s">
        <v>29</v>
      </c>
      <c r="E157" s="34" t="s">
        <v>49</v>
      </c>
      <c r="F157" s="73">
        <v>40807</v>
      </c>
      <c r="G157" s="73">
        <v>40831</v>
      </c>
      <c r="H157" s="94" t="s">
        <v>132</v>
      </c>
      <c r="I157" s="34" t="s">
        <v>609</v>
      </c>
      <c r="J157" s="34" t="s">
        <v>827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535</v>
      </c>
      <c r="B158" s="34" t="s">
        <v>499</v>
      </c>
      <c r="C158" s="34" t="str">
        <f>VLOOKUP(Observaciones[Caso de Prueba],CasoPrueba[[#All],[Código CP]:[Prioridad]],7,TRUE)</f>
        <v>Alta</v>
      </c>
      <c r="D158" s="34" t="s">
        <v>30</v>
      </c>
      <c r="E158" s="34" t="s">
        <v>49</v>
      </c>
      <c r="F158" s="73">
        <v>40807</v>
      </c>
      <c r="G158" s="73">
        <v>40831</v>
      </c>
      <c r="H158" s="94" t="s">
        <v>132</v>
      </c>
      <c r="I158" s="34" t="s">
        <v>617</v>
      </c>
      <c r="J158" s="34" t="s">
        <v>847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536</v>
      </c>
      <c r="B159" s="34" t="s">
        <v>499</v>
      </c>
      <c r="C159" s="34" t="str">
        <f>VLOOKUP(Observaciones[Caso de Prueba],CasoPrueba[[#All],[Código CP]:[Prioridad]],7,TRUE)</f>
        <v>Alta</v>
      </c>
      <c r="D159" s="34" t="s">
        <v>29</v>
      </c>
      <c r="E159" s="34" t="s">
        <v>49</v>
      </c>
      <c r="F159" s="73">
        <v>40807</v>
      </c>
      <c r="G159" s="73">
        <v>40831</v>
      </c>
      <c r="H159" s="94" t="s">
        <v>132</v>
      </c>
      <c r="I159" s="34" t="s">
        <v>618</v>
      </c>
      <c r="J159" s="34" t="s">
        <v>848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537</v>
      </c>
      <c r="B160" s="34" t="s">
        <v>499</v>
      </c>
      <c r="C160" s="34" t="str">
        <f>VLOOKUP(Observaciones[Caso de Prueba],CasoPrueba[[#All],[Código CP]:[Prioridad]],7,TRUE)</f>
        <v>Alta</v>
      </c>
      <c r="D160" s="34" t="s">
        <v>28</v>
      </c>
      <c r="E160" s="34" t="s">
        <v>49</v>
      </c>
      <c r="F160" s="73">
        <v>40807</v>
      </c>
      <c r="G160" s="73">
        <v>40831</v>
      </c>
      <c r="H160" s="94" t="s">
        <v>132</v>
      </c>
      <c r="I160" s="34" t="s">
        <v>619</v>
      </c>
      <c r="J160" s="34" t="s">
        <v>265</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538</v>
      </c>
      <c r="B161" s="34" t="s">
        <v>499</v>
      </c>
      <c r="C161" s="34" t="str">
        <f>VLOOKUP(Observaciones[Caso de Prueba],CasoPrueba[[#All],[Código CP]:[Prioridad]],7,TRUE)</f>
        <v>Alta</v>
      </c>
      <c r="D161" s="34" t="s">
        <v>29</v>
      </c>
      <c r="E161" s="34" t="s">
        <v>49</v>
      </c>
      <c r="F161" s="73">
        <v>40807</v>
      </c>
      <c r="G161" s="73">
        <v>40831</v>
      </c>
      <c r="H161" s="94" t="s">
        <v>132</v>
      </c>
      <c r="I161" s="34" t="s">
        <v>620</v>
      </c>
      <c r="J161" s="34" t="s">
        <v>849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539</v>
      </c>
      <c r="B162" s="34" t="s">
        <v>499</v>
      </c>
      <c r="C162" s="34" t="str">
        <f>VLOOKUP(Observaciones[Caso de Prueba],CasoPrueba[[#All],[Código CP]:[Prioridad]],7,TRUE)</f>
        <v>Alta</v>
      </c>
      <c r="D162" s="34" t="s">
        <v>162</v>
      </c>
      <c r="E162" s="34" t="s">
        <v>49</v>
      </c>
      <c r="F162" s="73">
        <v>40807</v>
      </c>
      <c r="G162" s="73">
        <v>40831</v>
      </c>
      <c r="H162" s="94" t="s">
        <v>132</v>
      </c>
      <c r="I162" s="34" t="s">
        <v>621</v>
      </c>
      <c r="J162" s="34" t="s">
        <v>233</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540</v>
      </c>
      <c r="B163" s="34" t="s">
        <v>499</v>
      </c>
      <c r="C163" s="34" t="str">
        <f>VLOOKUP(Observaciones[Caso de Prueba],CasoPrueba[[#All],[Código CP]:[Prioridad]],7,TRUE)</f>
        <v>Alta</v>
      </c>
      <c r="D163" s="34" t="s">
        <v>29</v>
      </c>
      <c r="E163" s="34" t="s">
        <v>49</v>
      </c>
      <c r="F163" s="73">
        <v>40807</v>
      </c>
      <c r="G163" s="73">
        <v>40831</v>
      </c>
      <c r="H163" s="94" t="s">
        <v>132</v>
      </c>
      <c r="I163" s="34" t="s">
        <v>622</v>
      </c>
      <c r="J163" s="34" t="s">
        <v>265</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541</v>
      </c>
      <c r="B164" s="34" t="s">
        <v>499</v>
      </c>
      <c r="C164" s="34" t="str">
        <f>VLOOKUP(Observaciones[Caso de Prueba],CasoPrueba[[#All],[Código CP]:[Prioridad]],7,TRUE)</f>
        <v>Alta</v>
      </c>
      <c r="D164" s="34" t="s">
        <v>162</v>
      </c>
      <c r="E164" s="34" t="s">
        <v>49</v>
      </c>
      <c r="F164" s="73">
        <v>40807</v>
      </c>
      <c r="G164" s="73">
        <v>40831</v>
      </c>
      <c r="H164" s="94" t="s">
        <v>132</v>
      </c>
      <c r="I164" s="34" t="s">
        <v>623</v>
      </c>
      <c r="J164" s="34" t="s">
        <v>263</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542</v>
      </c>
      <c r="B165" s="34" t="s">
        <v>624</v>
      </c>
      <c r="C165" s="34" t="str">
        <f>VLOOKUP(Observaciones[Caso de Prueba],CasoPrueba[[#All],[Código CP]:[Prioridad]],7,TRUE)</f>
        <v>Alta</v>
      </c>
      <c r="D165" s="34" t="s">
        <v>162</v>
      </c>
      <c r="E165" s="34" t="s">
        <v>49</v>
      </c>
      <c r="F165" s="73">
        <v>40807</v>
      </c>
      <c r="G165" s="73">
        <v>40831</v>
      </c>
      <c r="H165" s="94" t="s">
        <v>132</v>
      </c>
      <c r="I165" s="34" t="s">
        <v>635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543</v>
      </c>
      <c r="B166" s="34" t="s">
        <v>624</v>
      </c>
      <c r="C166" s="34" t="str">
        <f>VLOOKUP(Observaciones[Caso de Prueba],CasoPrueba[[#All],[Código CP]:[Prioridad]],7,TRUE)</f>
        <v>Alta</v>
      </c>
      <c r="D166" s="34" t="s">
        <v>28</v>
      </c>
      <c r="E166" s="34" t="s">
        <v>49</v>
      </c>
      <c r="F166" s="73">
        <v>40807</v>
      </c>
      <c r="G166" s="73">
        <v>40831</v>
      </c>
      <c r="H166" s="94" t="s">
        <v>132</v>
      </c>
      <c r="I166" s="34" t="s">
        <v>594</v>
      </c>
      <c r="J166" s="34" t="s">
        <v>829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544</v>
      </c>
      <c r="B167" s="34" t="s">
        <v>624</v>
      </c>
      <c r="C167" s="34" t="str">
        <f>VLOOKUP(Observaciones[Caso de Prueba],CasoPrueba[[#All],[Código CP]:[Prioridad]],7,TRUE)</f>
        <v>Alta</v>
      </c>
      <c r="D167" s="34" t="s">
        <v>29</v>
      </c>
      <c r="E167" s="34" t="s">
        <v>49</v>
      </c>
      <c r="F167" s="73">
        <v>40807</v>
      </c>
      <c r="G167" s="73">
        <v>40831</v>
      </c>
      <c r="H167" s="94" t="s">
        <v>132</v>
      </c>
      <c r="I167" s="34" t="s">
        <v>609</v>
      </c>
      <c r="J167" s="34" t="s">
        <v>850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545</v>
      </c>
      <c r="B168" s="34" t="s">
        <v>624</v>
      </c>
      <c r="C168" s="34" t="str">
        <f>VLOOKUP(Observaciones[Caso de Prueba],CasoPrueba[[#All],[Código CP]:[Prioridad]],7,TRUE)</f>
        <v>Alta</v>
      </c>
      <c r="D168" s="34" t="s">
        <v>162</v>
      </c>
      <c r="E168" s="34" t="s">
        <v>49</v>
      </c>
      <c r="F168" s="73">
        <v>40807</v>
      </c>
      <c r="G168" s="73">
        <v>40831</v>
      </c>
      <c r="H168" s="94" t="s">
        <v>132</v>
      </c>
      <c r="I168" s="34" t="s">
        <v>644</v>
      </c>
      <c r="J168" s="34" t="s">
        <v>476</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546</v>
      </c>
      <c r="B169" s="34" t="s">
        <v>624</v>
      </c>
      <c r="C169" s="34" t="str">
        <f>VLOOKUP(Observaciones[Caso de Prueba],CasoPrueba[[#All],[Código CP]:[Prioridad]],7,TRUE)</f>
        <v>Alta</v>
      </c>
      <c r="D169" s="34" t="s">
        <v>30</v>
      </c>
      <c r="E169" s="34" t="s">
        <v>49</v>
      </c>
      <c r="F169" s="73">
        <v>40807</v>
      </c>
      <c r="G169" s="73">
        <v>40831</v>
      </c>
      <c r="H169" s="94" t="s">
        <v>132</v>
      </c>
      <c r="I169" s="34" t="s">
        <v>640</v>
      </c>
      <c r="J169" s="34" t="s">
        <v>851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547</v>
      </c>
      <c r="B170" s="34" t="s">
        <v>624</v>
      </c>
      <c r="C170" s="34" t="str">
        <f>VLOOKUP(Observaciones[Caso de Prueba],CasoPrueba[[#All],[Código CP]:[Prioridad]],7,TRUE)</f>
        <v>Alta</v>
      </c>
      <c r="D170" s="34" t="s">
        <v>162</v>
      </c>
      <c r="E170" s="34" t="s">
        <v>49</v>
      </c>
      <c r="F170" s="73">
        <v>40807</v>
      </c>
      <c r="G170" s="73">
        <v>40831</v>
      </c>
      <c r="H170" s="94" t="s">
        <v>132</v>
      </c>
      <c r="I170" s="34" t="s">
        <v>637</v>
      </c>
      <c r="J170" s="34" t="s">
        <v>852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548</v>
      </c>
      <c r="B171" s="34" t="s">
        <v>624</v>
      </c>
      <c r="C171" s="34" t="str">
        <f>VLOOKUP(Observaciones[Caso de Prueba],CasoPrueba[[#All],[Código CP]:[Prioridad]],7,TRUE)</f>
        <v>Alta</v>
      </c>
      <c r="D171" s="34" t="s">
        <v>162</v>
      </c>
      <c r="E171" s="34" t="s">
        <v>49</v>
      </c>
      <c r="F171" s="73">
        <v>40807</v>
      </c>
      <c r="G171" s="73">
        <v>40831</v>
      </c>
      <c r="H171" s="94" t="s">
        <v>132</v>
      </c>
      <c r="I171" s="34" t="s">
        <v>638</v>
      </c>
      <c r="J171" s="34" t="s">
        <v>476</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549</v>
      </c>
      <c r="B172" s="34" t="s">
        <v>624</v>
      </c>
      <c r="C172" s="34" t="str">
        <f>VLOOKUP(Observaciones[Caso de Prueba],CasoPrueba[[#All],[Código CP]:[Prioridad]],7,TRUE)</f>
        <v>Alta</v>
      </c>
      <c r="D172" s="34" t="s">
        <v>162</v>
      </c>
      <c r="E172" s="34" t="s">
        <v>49</v>
      </c>
      <c r="F172" s="73">
        <v>40807</v>
      </c>
      <c r="G172" s="73">
        <v>40831</v>
      </c>
      <c r="H172" s="94" t="s">
        <v>132</v>
      </c>
      <c r="I172" s="34" t="s">
        <v>639</v>
      </c>
      <c r="J172" s="34" t="s">
        <v>476</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550</v>
      </c>
      <c r="B173" s="34" t="s">
        <v>624</v>
      </c>
      <c r="C173" s="34" t="str">
        <f>VLOOKUP(Observaciones[Caso de Prueba],CasoPrueba[[#All],[Código CP]:[Prioridad]],7,TRUE)</f>
        <v>Alta</v>
      </c>
      <c r="D173" s="34" t="s">
        <v>162</v>
      </c>
      <c r="E173" s="34" t="s">
        <v>49</v>
      </c>
      <c r="F173" s="73">
        <v>40807</v>
      </c>
      <c r="G173" s="73">
        <v>40831</v>
      </c>
      <c r="H173" s="94" t="s">
        <v>132</v>
      </c>
      <c r="I173" s="34" t="s">
        <v>641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551</v>
      </c>
      <c r="B174" s="34" t="s">
        <v>624</v>
      </c>
      <c r="C174" s="34" t="str">
        <f>VLOOKUP(Observaciones[Caso de Prueba],CasoPrueba[[#All],[Código CP]:[Prioridad]],7,TRUE)</f>
        <v>Alta</v>
      </c>
      <c r="D174" s="34" t="s">
        <v>29</v>
      </c>
      <c r="E174" s="34" t="s">
        <v>49</v>
      </c>
      <c r="F174" s="73">
        <v>40807</v>
      </c>
      <c r="G174" s="73">
        <v>40831</v>
      </c>
      <c r="H174" s="94" t="s">
        <v>132</v>
      </c>
      <c r="I174" s="34" t="s">
        <v>642</v>
      </c>
      <c r="J174" s="34" t="s">
        <v>853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552</v>
      </c>
      <c r="B175" s="34" t="s">
        <v>624</v>
      </c>
      <c r="C175" s="34" t="str">
        <f>VLOOKUP(Observaciones[Caso de Prueba],CasoPrueba[[#All],[Código CP]:[Prioridad]],7,TRUE)</f>
        <v>Alta</v>
      </c>
      <c r="D175" s="34" t="s">
        <v>29</v>
      </c>
      <c r="E175" s="34" t="s">
        <v>49</v>
      </c>
      <c r="F175" s="73">
        <v>40807</v>
      </c>
      <c r="G175" s="73">
        <v>40831</v>
      </c>
      <c r="H175" s="94" t="s">
        <v>132</v>
      </c>
      <c r="I175" s="34" t="s">
        <v>643</v>
      </c>
      <c r="J175" s="34" t="s">
        <v>854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553</v>
      </c>
      <c r="B176" s="34" t="s">
        <v>626</v>
      </c>
      <c r="C176" s="34" t="str">
        <f>VLOOKUP(Observaciones[Caso de Prueba],CasoPrueba[[#All],[Código CP]:[Prioridad]],7,TRUE)</f>
        <v>Alta</v>
      </c>
      <c r="D176" s="34" t="s">
        <v>29</v>
      </c>
      <c r="E176" s="34" t="s">
        <v>49</v>
      </c>
      <c r="F176" s="73">
        <v>40826</v>
      </c>
      <c r="G176" s="73">
        <v>40831</v>
      </c>
      <c r="H176" s="94" t="s">
        <v>132</v>
      </c>
      <c r="I176" s="34" t="s">
        <v>607</v>
      </c>
      <c r="J176" s="34" t="s">
        <v>840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554</v>
      </c>
      <c r="B177" s="34" t="s">
        <v>626</v>
      </c>
      <c r="C177" s="34" t="str">
        <f>VLOOKUP(Observaciones[Caso de Prueba],CasoPrueba[[#All],[Código CP]:[Prioridad]],7,TRUE)</f>
        <v>Alta</v>
      </c>
      <c r="D177" s="34" t="s">
        <v>28</v>
      </c>
      <c r="E177" s="34" t="s">
        <v>49</v>
      </c>
      <c r="F177" s="73">
        <v>40826</v>
      </c>
      <c r="G177" s="73">
        <v>40831</v>
      </c>
      <c r="H177" s="94" t="s">
        <v>132</v>
      </c>
      <c r="I177" s="34" t="s">
        <v>594</v>
      </c>
      <c r="J177" s="34" t="s">
        <v>842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555</v>
      </c>
      <c r="B178" s="34" t="s">
        <v>626</v>
      </c>
      <c r="C178" s="34" t="str">
        <f>VLOOKUP(Observaciones[Caso de Prueba],CasoPrueba[[#All],[Código CP]:[Prioridad]],7,TRUE)</f>
        <v>Alta</v>
      </c>
      <c r="D178" s="34" t="s">
        <v>28</v>
      </c>
      <c r="E178" s="34" t="s">
        <v>49</v>
      </c>
      <c r="F178" s="73">
        <v>40826</v>
      </c>
      <c r="G178" s="73">
        <v>40831</v>
      </c>
      <c r="H178" s="94" t="s">
        <v>132</v>
      </c>
      <c r="I178" s="34" t="s">
        <v>645</v>
      </c>
      <c r="J178" s="34" t="s">
        <v>855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556</v>
      </c>
      <c r="B179" s="34" t="s">
        <v>626</v>
      </c>
      <c r="C179" s="34" t="str">
        <f>VLOOKUP(Observaciones[Caso de Prueba],CasoPrueba[[#All],[Código CP]:[Prioridad]],7,TRUE)</f>
        <v>Alta</v>
      </c>
      <c r="D179" s="34" t="s">
        <v>30</v>
      </c>
      <c r="E179" s="34" t="s">
        <v>49</v>
      </c>
      <c r="F179" s="73">
        <v>40826</v>
      </c>
      <c r="G179" s="73">
        <v>40831</v>
      </c>
      <c r="H179" s="94" t="s">
        <v>132</v>
      </c>
      <c r="I179" s="34" t="s">
        <v>646</v>
      </c>
      <c r="J179" s="34" t="s">
        <v>856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557</v>
      </c>
      <c r="B180" s="34" t="s">
        <v>626</v>
      </c>
      <c r="C180" s="34" t="str">
        <f>VLOOKUP(Observaciones[Caso de Prueba],CasoPrueba[[#All],[Código CP]:[Prioridad]],7,TRUE)</f>
        <v>Alta</v>
      </c>
      <c r="D180" s="34" t="s">
        <v>29</v>
      </c>
      <c r="E180" s="34" t="s">
        <v>49</v>
      </c>
      <c r="F180" s="73">
        <v>40826</v>
      </c>
      <c r="G180" s="73">
        <v>40831</v>
      </c>
      <c r="H180" s="94" t="s">
        <v>132</v>
      </c>
      <c r="I180" s="34" t="s">
        <v>647</v>
      </c>
      <c r="J180" s="34" t="s">
        <v>857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558</v>
      </c>
      <c r="B181" s="34" t="s">
        <v>626</v>
      </c>
      <c r="C181" s="34" t="str">
        <f>VLOOKUP(Observaciones[Caso de Prueba],CasoPrueba[[#All],[Código CP]:[Prioridad]],7,TRUE)</f>
        <v>Alta</v>
      </c>
      <c r="D181" s="34" t="s">
        <v>30</v>
      </c>
      <c r="E181" s="34" t="s">
        <v>49</v>
      </c>
      <c r="F181" s="73">
        <v>40826</v>
      </c>
      <c r="G181" s="73">
        <v>40831</v>
      </c>
      <c r="H181" s="94" t="s">
        <v>132</v>
      </c>
      <c r="I181" s="34" t="s">
        <v>648</v>
      </c>
      <c r="J181" s="34" t="s">
        <v>858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559</v>
      </c>
      <c r="B182" s="34" t="s">
        <v>626</v>
      </c>
      <c r="C182" s="34" t="str">
        <f>VLOOKUP(Observaciones[Caso de Prueba],CasoPrueba[[#All],[Código CP]:[Prioridad]],7,TRUE)</f>
        <v>Alta</v>
      </c>
      <c r="D182" s="34" t="s">
        <v>30</v>
      </c>
      <c r="E182" s="34" t="s">
        <v>49</v>
      </c>
      <c r="F182" s="73">
        <v>40826</v>
      </c>
      <c r="G182" s="73">
        <v>40831</v>
      </c>
      <c r="H182" s="94" t="s">
        <v>132</v>
      </c>
      <c r="I182" s="34" t="s">
        <v>649</v>
      </c>
      <c r="J182" s="34" t="s">
        <v>859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560</v>
      </c>
      <c r="B183" s="34" t="s">
        <v>626</v>
      </c>
      <c r="C183" s="34" t="str">
        <f>VLOOKUP(Observaciones[Caso de Prueba],CasoPrueba[[#All],[Código CP]:[Prioridad]],7,TRUE)</f>
        <v>Alta</v>
      </c>
      <c r="D183" s="34" t="s">
        <v>29</v>
      </c>
      <c r="E183" s="34" t="s">
        <v>49</v>
      </c>
      <c r="F183" s="73">
        <v>40828</v>
      </c>
      <c r="G183" s="73">
        <v>40831</v>
      </c>
      <c r="H183" s="94" t="s">
        <v>132</v>
      </c>
      <c r="I183" s="34" t="s">
        <v>650</v>
      </c>
      <c r="J183" s="34" t="s">
        <v>860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561</v>
      </c>
      <c r="B184" s="34" t="s">
        <v>627</v>
      </c>
      <c r="C184" s="34" t="str">
        <f>VLOOKUP(Observaciones[Caso de Prueba],CasoPrueba[[#All],[Código CP]:[Prioridad]],7,TRUE)</f>
        <v>Alta</v>
      </c>
      <c r="D184" s="34" t="s">
        <v>29</v>
      </c>
      <c r="E184" s="34" t="s">
        <v>49</v>
      </c>
      <c r="F184" s="73">
        <v>40828</v>
      </c>
      <c r="G184" s="73">
        <v>40831</v>
      </c>
      <c r="H184" s="94" t="s">
        <v>132</v>
      </c>
      <c r="I184" s="34" t="s">
        <v>607</v>
      </c>
      <c r="J184" s="34" t="s">
        <v>840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562</v>
      </c>
      <c r="B185" s="34" t="s">
        <v>627</v>
      </c>
      <c r="C185" s="34" t="str">
        <f>VLOOKUP(Observaciones[Caso de Prueba],CasoPrueba[[#All],[Código CP]:[Prioridad]],7,TRUE)</f>
        <v>Alta</v>
      </c>
      <c r="D185" s="34" t="s">
        <v>162</v>
      </c>
      <c r="E185" s="34" t="s">
        <v>49</v>
      </c>
      <c r="F185" s="73">
        <v>40828</v>
      </c>
      <c r="G185" s="73">
        <v>40831</v>
      </c>
      <c r="H185" s="94" t="s">
        <v>132</v>
      </c>
      <c r="I185" s="34" t="s">
        <v>651</v>
      </c>
      <c r="J185" s="34" t="s">
        <v>861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563</v>
      </c>
      <c r="B186" s="34" t="s">
        <v>627</v>
      </c>
      <c r="C186" s="34" t="str">
        <f>VLOOKUP(Observaciones[Caso de Prueba],CasoPrueba[[#All],[Código CP]:[Prioridad]],7,TRUE)</f>
        <v>Alta</v>
      </c>
      <c r="D186" s="34" t="s">
        <v>29</v>
      </c>
      <c r="E186" s="34" t="s">
        <v>49</v>
      </c>
      <c r="F186" s="73">
        <v>40828</v>
      </c>
      <c r="G186" s="73">
        <v>40831</v>
      </c>
      <c r="H186" s="94" t="s">
        <v>132</v>
      </c>
      <c r="I186" s="34" t="s">
        <v>654</v>
      </c>
      <c r="J186" s="34" t="s">
        <v>862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564</v>
      </c>
      <c r="B187" s="34" t="s">
        <v>627</v>
      </c>
      <c r="C187" s="34" t="str">
        <f>VLOOKUP(Observaciones[Caso de Prueba],CasoPrueba[[#All],[Código CP]:[Prioridad]],7,TRUE)</f>
        <v>Alta</v>
      </c>
      <c r="D187" s="34" t="s">
        <v>29</v>
      </c>
      <c r="E187" s="34" t="s">
        <v>49</v>
      </c>
      <c r="F187" s="73">
        <v>40828</v>
      </c>
      <c r="G187" s="73">
        <v>40831</v>
      </c>
      <c r="H187" s="94" t="s">
        <v>132</v>
      </c>
      <c r="I187" s="34" t="s">
        <v>652</v>
      </c>
      <c r="J187" s="34" t="s">
        <v>863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565</v>
      </c>
      <c r="B188" s="34" t="s">
        <v>627</v>
      </c>
      <c r="C188" s="34" t="str">
        <f>VLOOKUP(Observaciones[Caso de Prueba],CasoPrueba[[#All],[Código CP]:[Prioridad]],7,TRUE)</f>
        <v>Alta</v>
      </c>
      <c r="D188" s="34" t="s">
        <v>29</v>
      </c>
      <c r="E188" s="34" t="s">
        <v>49</v>
      </c>
      <c r="F188" s="73">
        <v>40828</v>
      </c>
      <c r="G188" s="73">
        <v>40831</v>
      </c>
      <c r="H188" s="94" t="s">
        <v>132</v>
      </c>
      <c r="I188" s="34" t="s">
        <v>653</v>
      </c>
      <c r="J188" s="34" t="s">
        <v>864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566</v>
      </c>
      <c r="B189" s="34" t="s">
        <v>627</v>
      </c>
      <c r="C189" s="34" t="str">
        <f>VLOOKUP(Observaciones[Caso de Prueba],CasoPrueba[[#All],[Código CP]:[Prioridad]],7,TRUE)</f>
        <v>Alta</v>
      </c>
      <c r="D189" s="34" t="s">
        <v>29</v>
      </c>
      <c r="E189" s="34" t="s">
        <v>49</v>
      </c>
      <c r="F189" s="73">
        <v>40828</v>
      </c>
      <c r="G189" s="73">
        <v>40831</v>
      </c>
      <c r="H189" s="94" t="s">
        <v>132</v>
      </c>
      <c r="I189" s="34" t="s">
        <v>655</v>
      </c>
      <c r="J189" s="34" t="s">
        <v>865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567</v>
      </c>
      <c r="B190" s="34" t="s">
        <v>628</v>
      </c>
      <c r="C190" s="34" t="str">
        <f>VLOOKUP(Observaciones[Caso de Prueba],CasoPrueba[[#All],[Código CP]:[Prioridad]],7,TRUE)</f>
        <v>Alta</v>
      </c>
      <c r="D190" s="34" t="s">
        <v>29</v>
      </c>
      <c r="E190" s="34" t="s">
        <v>49</v>
      </c>
      <c r="F190" s="73">
        <v>40828</v>
      </c>
      <c r="G190" s="73">
        <v>40831</v>
      </c>
      <c r="H190" s="94" t="s">
        <v>132</v>
      </c>
      <c r="I190" s="34" t="s">
        <v>607</v>
      </c>
      <c r="J190" s="34" t="s">
        <v>840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568</v>
      </c>
      <c r="B191" s="34" t="s">
        <v>628</v>
      </c>
      <c r="C191" s="34" t="str">
        <f>VLOOKUP(Observaciones[Caso de Prueba],CasoPrueba[[#All],[Código CP]:[Prioridad]],7,TRUE)</f>
        <v>Alta</v>
      </c>
      <c r="D191" s="34" t="s">
        <v>30</v>
      </c>
      <c r="E191" s="34" t="s">
        <v>49</v>
      </c>
      <c r="F191" s="73">
        <v>40828</v>
      </c>
      <c r="G191" s="73">
        <v>40831</v>
      </c>
      <c r="H191" s="94" t="s">
        <v>132</v>
      </c>
      <c r="I191" s="34" t="s">
        <v>656</v>
      </c>
      <c r="J191" s="34" t="s">
        <v>866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569</v>
      </c>
      <c r="B192" s="34" t="s">
        <v>628</v>
      </c>
      <c r="C192" s="34" t="str">
        <f>VLOOKUP(Observaciones[Caso de Prueba],CasoPrueba[[#All],[Código CP]:[Prioridad]],7,TRUE)</f>
        <v>Alta</v>
      </c>
      <c r="D192" s="34" t="s">
        <v>29</v>
      </c>
      <c r="E192" s="34" t="s">
        <v>49</v>
      </c>
      <c r="F192" s="73">
        <v>40828</v>
      </c>
      <c r="G192" s="73">
        <v>40831</v>
      </c>
      <c r="H192" s="94" t="s">
        <v>132</v>
      </c>
      <c r="I192" s="34" t="s">
        <v>658</v>
      </c>
      <c r="J192" s="34" t="s">
        <v>477</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570</v>
      </c>
      <c r="B193" s="34" t="s">
        <v>628</v>
      </c>
      <c r="C193" s="34" t="str">
        <f>VLOOKUP(Observaciones[Caso de Prueba],CasoPrueba[[#All],[Código CP]:[Prioridad]],7,TRUE)</f>
        <v>Alta</v>
      </c>
      <c r="D193" s="34" t="s">
        <v>28</v>
      </c>
      <c r="E193" s="34" t="s">
        <v>49</v>
      </c>
      <c r="F193" s="73">
        <v>40828</v>
      </c>
      <c r="G193" s="73">
        <v>40831</v>
      </c>
      <c r="H193" s="94" t="s">
        <v>132</v>
      </c>
      <c r="I193" s="34" t="s">
        <v>659</v>
      </c>
      <c r="J193" s="34" t="s">
        <v>867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571</v>
      </c>
      <c r="B194" s="34" t="s">
        <v>629</v>
      </c>
      <c r="C194" s="34" t="str">
        <f>VLOOKUP(Observaciones[Caso de Prueba],CasoPrueba[[#All],[Código CP]:[Prioridad]],7,TRUE)</f>
        <v>Alta</v>
      </c>
      <c r="D194" s="34" t="s">
        <v>29</v>
      </c>
      <c r="E194" s="34" t="s">
        <v>49</v>
      </c>
      <c r="F194" s="73">
        <v>40828</v>
      </c>
      <c r="G194" s="73">
        <v>40831</v>
      </c>
      <c r="H194" s="94" t="s">
        <v>132</v>
      </c>
      <c r="I194" s="34" t="s">
        <v>607</v>
      </c>
      <c r="J194" s="34" t="s">
        <v>840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572</v>
      </c>
      <c r="B195" s="34" t="s">
        <v>629</v>
      </c>
      <c r="C195" s="34" t="str">
        <f>VLOOKUP(Observaciones[Caso de Prueba],CasoPrueba[[#All],[Código CP]:[Prioridad]],7,TRUE)</f>
        <v>Alta</v>
      </c>
      <c r="D195" s="34" t="s">
        <v>162</v>
      </c>
      <c r="E195" s="34" t="s">
        <v>49</v>
      </c>
      <c r="F195" s="73">
        <v>40828</v>
      </c>
      <c r="G195" s="73">
        <v>40831</v>
      </c>
      <c r="H195" s="94" t="s">
        <v>132</v>
      </c>
      <c r="I195" s="34" t="s">
        <v>657</v>
      </c>
      <c r="J195" s="34" t="s">
        <v>385</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573</v>
      </c>
      <c r="B196" s="34" t="s">
        <v>629</v>
      </c>
      <c r="C196" s="34" t="str">
        <f>VLOOKUP(Observaciones[Caso de Prueba],CasoPrueba[[#All],[Código CP]:[Prioridad]],7,TRUE)</f>
        <v>Alta</v>
      </c>
      <c r="D196" s="34" t="s">
        <v>28</v>
      </c>
      <c r="E196" s="34" t="s">
        <v>49</v>
      </c>
      <c r="F196" s="73">
        <v>40828</v>
      </c>
      <c r="G196" s="73">
        <v>40831</v>
      </c>
      <c r="H196" s="94" t="s">
        <v>132</v>
      </c>
      <c r="I196" s="34" t="s">
        <v>660</v>
      </c>
      <c r="J196" s="34" t="s">
        <v>867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574</v>
      </c>
      <c r="B197" s="34" t="s">
        <v>629</v>
      </c>
      <c r="C197" s="34" t="str">
        <f>VLOOKUP(Observaciones[Caso de Prueba],CasoPrueba[[#All],[Código CP]:[Prioridad]],7,TRUE)</f>
        <v>Alta</v>
      </c>
      <c r="D197" s="34" t="s">
        <v>29</v>
      </c>
      <c r="E197" s="34" t="s">
        <v>49</v>
      </c>
      <c r="F197" s="73">
        <v>40828</v>
      </c>
      <c r="G197" s="73">
        <v>40831</v>
      </c>
      <c r="H197" s="94" t="s">
        <v>132</v>
      </c>
      <c r="I197" s="34" t="s">
        <v>661</v>
      </c>
      <c r="J197" s="34" t="s">
        <v>868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575</v>
      </c>
      <c r="B198" s="34" t="s">
        <v>629</v>
      </c>
      <c r="C198" s="34" t="str">
        <f>VLOOKUP(Observaciones[Caso de Prueba],CasoPrueba[[#All],[Código CP]:[Prioridad]],7,TRUE)</f>
        <v>Alta</v>
      </c>
      <c r="D198" s="34" t="s">
        <v>29</v>
      </c>
      <c r="E198" s="34" t="s">
        <v>49</v>
      </c>
      <c r="F198" s="73">
        <v>40828</v>
      </c>
      <c r="G198" s="73">
        <v>40831</v>
      </c>
      <c r="H198" s="94" t="s">
        <v>132</v>
      </c>
      <c r="I198" s="34" t="s">
        <v>609</v>
      </c>
      <c r="J198" s="34" t="s">
        <v>827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576</v>
      </c>
      <c r="B199" s="34" t="s">
        <v>629</v>
      </c>
      <c r="C199" s="34" t="str">
        <f>VLOOKUP(Observaciones[Caso de Prueba],CasoPrueba[[#All],[Código CP]:[Prioridad]],7,TRUE)</f>
        <v>Alta</v>
      </c>
      <c r="D199" s="34" t="s">
        <v>162</v>
      </c>
      <c r="E199" s="34" t="s">
        <v>49</v>
      </c>
      <c r="F199" s="73">
        <v>40828</v>
      </c>
      <c r="G199" s="73">
        <v>40831</v>
      </c>
      <c r="H199" s="94" t="s">
        <v>132</v>
      </c>
      <c r="I199" s="34" t="s">
        <v>662</v>
      </c>
      <c r="J199" s="34" t="s">
        <v>833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577</v>
      </c>
      <c r="B200" s="34" t="s">
        <v>663</v>
      </c>
      <c r="C200" s="34" t="str">
        <f>VLOOKUP(Observaciones[Caso de Prueba],CasoPrueba[[#All],[Código CP]:[Prioridad]],7,TRUE)</f>
        <v>Alta</v>
      </c>
      <c r="D200" s="34" t="s">
        <v>162</v>
      </c>
      <c r="E200" s="34" t="s">
        <v>49</v>
      </c>
      <c r="F200" s="73">
        <v>40829</v>
      </c>
      <c r="G200" s="73">
        <v>40831</v>
      </c>
      <c r="H200" s="94" t="s">
        <v>132</v>
      </c>
      <c r="I200" s="34" t="s">
        <v>813</v>
      </c>
      <c r="J200" s="34" t="s">
        <v>869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578</v>
      </c>
      <c r="B201" s="34" t="s">
        <v>663</v>
      </c>
      <c r="C201" s="34" t="str">
        <f>VLOOKUP(Observaciones[Caso de Prueba],CasoPrueba[[#All],[Código CP]:[Prioridad]],7,TRUE)</f>
        <v>Alta</v>
      </c>
      <c r="D201" s="34" t="s">
        <v>28</v>
      </c>
      <c r="E201" s="34" t="s">
        <v>49</v>
      </c>
      <c r="F201" s="73">
        <v>40829</v>
      </c>
      <c r="G201" s="73">
        <v>40831</v>
      </c>
      <c r="H201" s="94" t="s">
        <v>132</v>
      </c>
      <c r="I201" s="34" t="s">
        <v>594</v>
      </c>
      <c r="J201" s="34" t="s">
        <v>870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579</v>
      </c>
      <c r="B202" s="34" t="s">
        <v>663</v>
      </c>
      <c r="C202" s="34" t="str">
        <f>VLOOKUP(Observaciones[Caso de Prueba],CasoPrueba[[#All],[Código CP]:[Prioridad]],7,TRUE)</f>
        <v>Alta</v>
      </c>
      <c r="D202" s="34" t="s">
        <v>29</v>
      </c>
      <c r="E202" s="34" t="s">
        <v>49</v>
      </c>
      <c r="F202" s="73">
        <v>40829</v>
      </c>
      <c r="G202" s="73">
        <v>40831</v>
      </c>
      <c r="H202" s="94" t="s">
        <v>132</v>
      </c>
      <c r="I202" s="34" t="s">
        <v>814</v>
      </c>
      <c r="J202" s="34" t="s">
        <v>871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580</v>
      </c>
      <c r="B203" s="34" t="s">
        <v>663</v>
      </c>
      <c r="C203" s="34" t="str">
        <f>VLOOKUP(Observaciones[Caso de Prueba],CasoPrueba[[#All],[Código CP]:[Prioridad]],7,TRUE)</f>
        <v>Alta</v>
      </c>
      <c r="D203" s="34" t="s">
        <v>29</v>
      </c>
      <c r="E203" s="34" t="s">
        <v>49</v>
      </c>
      <c r="F203" s="73">
        <v>40829</v>
      </c>
      <c r="G203" s="73">
        <v>40831</v>
      </c>
      <c r="H203" s="94" t="s">
        <v>132</v>
      </c>
      <c r="I203" s="34" t="s">
        <v>815</v>
      </c>
      <c r="J203" s="34" t="s">
        <v>872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581</v>
      </c>
      <c r="B204" s="34" t="s">
        <v>663</v>
      </c>
      <c r="C204" s="34" t="str">
        <f>VLOOKUP(Observaciones[Caso de Prueba],CasoPrueba[[#All],[Código CP]:[Prioridad]],7,TRUE)</f>
        <v>Alta</v>
      </c>
      <c r="D204" s="34" t="s">
        <v>30</v>
      </c>
      <c r="E204" s="34" t="s">
        <v>49</v>
      </c>
      <c r="F204" s="73">
        <v>40829</v>
      </c>
      <c r="G204" s="73">
        <v>40831</v>
      </c>
      <c r="H204" s="94" t="s">
        <v>132</v>
      </c>
      <c r="I204" s="34" t="s">
        <v>816</v>
      </c>
      <c r="J204" s="34" t="s">
        <v>873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582</v>
      </c>
      <c r="B205" s="34" t="s">
        <v>663</v>
      </c>
      <c r="C205" s="34" t="str">
        <f>VLOOKUP(Observaciones[Caso de Prueba],CasoPrueba[[#All],[Código CP]:[Prioridad]],7,TRUE)</f>
        <v>Alta</v>
      </c>
      <c r="D205" s="34" t="s">
        <v>162</v>
      </c>
      <c r="E205" s="34" t="s">
        <v>49</v>
      </c>
      <c r="F205" s="73">
        <v>40829</v>
      </c>
      <c r="G205" s="73">
        <v>40831</v>
      </c>
      <c r="H205" s="94" t="s">
        <v>132</v>
      </c>
      <c r="I205" s="34" t="s">
        <v>817</v>
      </c>
      <c r="J205" s="34" t="s">
        <v>476</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583</v>
      </c>
      <c r="B206" s="34" t="s">
        <v>663</v>
      </c>
      <c r="C206" s="34" t="str">
        <f>VLOOKUP(Observaciones[Caso de Prueba],CasoPrueba[[#All],[Código CP]:[Prioridad]],7,TRUE)</f>
        <v>Alta</v>
      </c>
      <c r="D206" s="34" t="s">
        <v>29</v>
      </c>
      <c r="E206" s="34" t="s">
        <v>49</v>
      </c>
      <c r="F206" s="73">
        <v>40829</v>
      </c>
      <c r="G206" s="73">
        <v>40831</v>
      </c>
      <c r="H206" s="94" t="s">
        <v>132</v>
      </c>
      <c r="I206" s="34" t="s">
        <v>889</v>
      </c>
      <c r="J206" s="34" t="s">
        <v>874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584</v>
      </c>
      <c r="B207" s="34" t="s">
        <v>663</v>
      </c>
      <c r="C207" s="34" t="str">
        <f>VLOOKUP(Observaciones[Caso de Prueba],CasoPrueba[[#All],[Código CP]:[Prioridad]],7,TRUE)</f>
        <v>Alta</v>
      </c>
      <c r="D207" s="34" t="s">
        <v>29</v>
      </c>
      <c r="E207" s="34" t="s">
        <v>49</v>
      </c>
      <c r="F207" s="73">
        <v>40829</v>
      </c>
      <c r="G207" s="73">
        <v>40831</v>
      </c>
      <c r="H207" s="94" t="s">
        <v>132</v>
      </c>
      <c r="I207" s="34" t="s">
        <v>818</v>
      </c>
      <c r="J207" s="34" t="s">
        <v>875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585</v>
      </c>
      <c r="B208" s="34" t="s">
        <v>663</v>
      </c>
      <c r="C208" s="34" t="str">
        <f>VLOOKUP(Observaciones[Caso de Prueba],CasoPrueba[[#All],[Código CP]:[Prioridad]],7,TRUE)</f>
        <v>Alta</v>
      </c>
      <c r="D208" s="34" t="s">
        <v>162</v>
      </c>
      <c r="E208" s="34" t="s">
        <v>49</v>
      </c>
      <c r="F208" s="73">
        <v>40829</v>
      </c>
      <c r="G208" s="73">
        <v>40831</v>
      </c>
      <c r="H208" s="94" t="s">
        <v>132</v>
      </c>
      <c r="I208" s="34" t="s">
        <v>819</v>
      </c>
      <c r="J208" s="34" t="s">
        <v>476</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586</v>
      </c>
      <c r="B209" s="34" t="s">
        <v>663</v>
      </c>
      <c r="C209" s="34" t="str">
        <f>VLOOKUP(Observaciones[Caso de Prueba],CasoPrueba[[#All],[Código CP]:[Prioridad]],7,TRUE)</f>
        <v>Alta</v>
      </c>
      <c r="D209" s="34" t="s">
        <v>30</v>
      </c>
      <c r="E209" s="34" t="s">
        <v>49</v>
      </c>
      <c r="F209" s="73">
        <v>40829</v>
      </c>
      <c r="G209" s="73">
        <v>40831</v>
      </c>
      <c r="H209" s="94" t="s">
        <v>132</v>
      </c>
      <c r="I209" s="34" t="s">
        <v>890</v>
      </c>
      <c r="J209" s="34" t="s">
        <v>876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587</v>
      </c>
      <c r="B210" s="34" t="s">
        <v>663</v>
      </c>
      <c r="C210" s="34" t="str">
        <f>VLOOKUP(Observaciones[Caso de Prueba],CasoPrueba[[#All],[Código CP]:[Prioridad]],7,TRUE)</f>
        <v>Alta</v>
      </c>
      <c r="D210" s="34" t="s">
        <v>30</v>
      </c>
      <c r="E210" s="34" t="s">
        <v>49</v>
      </c>
      <c r="F210" s="73">
        <v>40829</v>
      </c>
      <c r="G210" s="73">
        <v>40831</v>
      </c>
      <c r="H210" s="94" t="s">
        <v>132</v>
      </c>
      <c r="I210" s="34" t="s">
        <v>820</v>
      </c>
      <c r="J210" s="34" t="s">
        <v>877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588</v>
      </c>
      <c r="B211" s="34" t="s">
        <v>663</v>
      </c>
      <c r="C211" s="34" t="str">
        <f>VLOOKUP(Observaciones[Caso de Prueba],CasoPrueba[[#All],[Código CP]:[Prioridad]],7,TRUE)</f>
        <v>Alta</v>
      </c>
      <c r="D211" s="34" t="s">
        <v>162</v>
      </c>
      <c r="E211" s="34" t="s">
        <v>49</v>
      </c>
      <c r="F211" s="73">
        <v>40829</v>
      </c>
      <c r="G211" s="73">
        <v>40831</v>
      </c>
      <c r="H211" s="94" t="s">
        <v>132</v>
      </c>
      <c r="I211" s="34" t="s">
        <v>821</v>
      </c>
      <c r="J211" s="34" t="s">
        <v>476</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589</v>
      </c>
      <c r="B212" s="34" t="s">
        <v>664</v>
      </c>
      <c r="C212" s="34" t="str">
        <f>VLOOKUP(Observaciones[Caso de Prueba],CasoPrueba[[#All],[Código CP]:[Prioridad]],7,TRUE)</f>
        <v>Alta</v>
      </c>
      <c r="D212" s="34" t="s">
        <v>29</v>
      </c>
      <c r="E212" s="34" t="s">
        <v>49</v>
      </c>
      <c r="F212" s="73">
        <v>40830</v>
      </c>
      <c r="G212" s="73">
        <v>40831</v>
      </c>
      <c r="H212" s="94" t="s">
        <v>132</v>
      </c>
      <c r="I212" s="34" t="s">
        <v>607</v>
      </c>
      <c r="J212" s="34" t="s">
        <v>840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590</v>
      </c>
      <c r="B213" s="34" t="s">
        <v>664</v>
      </c>
      <c r="C213" s="34" t="str">
        <f>VLOOKUP(Observaciones[Caso de Prueba],CasoPrueba[[#All],[Código CP]:[Prioridad]],7,TRUE)</f>
        <v>Alta</v>
      </c>
      <c r="D213" s="34" t="s">
        <v>28</v>
      </c>
      <c r="E213" s="34" t="s">
        <v>49</v>
      </c>
      <c r="F213" s="73">
        <v>40830</v>
      </c>
      <c r="G213" s="73">
        <v>40831</v>
      </c>
      <c r="H213" s="94" t="s">
        <v>132</v>
      </c>
      <c r="I213" s="34" t="s">
        <v>594</v>
      </c>
      <c r="J213" s="34" t="s">
        <v>842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591</v>
      </c>
      <c r="B214" s="34" t="s">
        <v>664</v>
      </c>
      <c r="C214" s="34" t="str">
        <f>VLOOKUP(Observaciones[Caso de Prueba],CasoPrueba[[#All],[Código CP]:[Prioridad]],7,TRUE)</f>
        <v>Alta</v>
      </c>
      <c r="D214" s="34" t="s">
        <v>29</v>
      </c>
      <c r="E214" s="34" t="s">
        <v>49</v>
      </c>
      <c r="F214" s="73">
        <v>40830</v>
      </c>
      <c r="G214" s="73">
        <v>40831</v>
      </c>
      <c r="H214" s="94" t="s">
        <v>132</v>
      </c>
      <c r="I214" s="34" t="s">
        <v>822</v>
      </c>
      <c r="J214" s="34" t="s">
        <v>878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592</v>
      </c>
      <c r="B215" s="34" t="s">
        <v>664</v>
      </c>
      <c r="C215" s="34" t="str">
        <f>VLOOKUP(Observaciones[Caso de Prueba],CasoPrueba[[#All],[Código CP]:[Prioridad]],7,TRUE)</f>
        <v>Alta</v>
      </c>
      <c r="D215" s="34" t="s">
        <v>29</v>
      </c>
      <c r="E215" s="34" t="s">
        <v>49</v>
      </c>
      <c r="F215" s="73">
        <v>40830</v>
      </c>
      <c r="G215" s="73">
        <v>40831</v>
      </c>
      <c r="H215" s="94" t="s">
        <v>132</v>
      </c>
      <c r="I215" s="34" t="s">
        <v>823</v>
      </c>
      <c r="J215" s="34" t="s">
        <v>879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667</v>
      </c>
      <c r="B216" s="34" t="s">
        <v>664</v>
      </c>
      <c r="C216" s="34" t="str">
        <f>VLOOKUP(Observaciones[Caso de Prueba],CasoPrueba[[#All],[Código CP]:[Prioridad]],7,TRUE)</f>
        <v>Alta</v>
      </c>
      <c r="D216" s="34" t="s">
        <v>162</v>
      </c>
      <c r="E216" s="34" t="s">
        <v>49</v>
      </c>
      <c r="F216" s="73">
        <v>40830</v>
      </c>
      <c r="G216" s="73">
        <v>40831</v>
      </c>
      <c r="H216" s="94" t="s">
        <v>132</v>
      </c>
      <c r="I216" s="34" t="s">
        <v>824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668</v>
      </c>
      <c r="B217" s="34" t="s">
        <v>664</v>
      </c>
      <c r="C217" s="34" t="str">
        <f>VLOOKUP(Observaciones[Caso de Prueba],CasoPrueba[[#All],[Código CP]:[Prioridad]],7,TRUE)</f>
        <v>Alta</v>
      </c>
      <c r="D217" s="34" t="s">
        <v>162</v>
      </c>
      <c r="E217" s="34" t="s">
        <v>49</v>
      </c>
      <c r="F217" s="73">
        <v>40830</v>
      </c>
      <c r="G217" s="73">
        <v>40831</v>
      </c>
      <c r="H217" s="94" t="s">
        <v>132</v>
      </c>
      <c r="I217" s="34" t="s">
        <v>825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669</v>
      </c>
      <c r="B218" s="34" t="s">
        <v>497</v>
      </c>
      <c r="C218" s="34" t="str">
        <f>VLOOKUP(Observaciones[Caso de Prueba],CasoPrueba[[#All],[Código CP]:[Prioridad]],7,TRUE)</f>
        <v>Alta</v>
      </c>
      <c r="D218" s="34" t="s">
        <v>28</v>
      </c>
      <c r="E218" s="34" t="s">
        <v>49</v>
      </c>
      <c r="F218" s="73">
        <v>40835</v>
      </c>
      <c r="G218" s="73">
        <v>40843</v>
      </c>
      <c r="H218" s="94" t="s">
        <v>132</v>
      </c>
      <c r="I218" s="34" t="s">
        <v>880</v>
      </c>
      <c r="J218" s="34" t="s">
        <v>970</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670</v>
      </c>
      <c r="B219" s="34" t="s">
        <v>498</v>
      </c>
      <c r="C219" s="34" t="str">
        <f>VLOOKUP(Observaciones[Caso de Prueba],CasoPrueba[[#All],[Código CP]:[Prioridad]],7,TRUE)</f>
        <v>Alta</v>
      </c>
      <c r="D219" s="34" t="s">
        <v>28</v>
      </c>
      <c r="E219" s="34" t="s">
        <v>49</v>
      </c>
      <c r="F219" s="73">
        <v>40835</v>
      </c>
      <c r="G219" s="73">
        <v>40843</v>
      </c>
      <c r="H219" s="94" t="s">
        <v>132</v>
      </c>
      <c r="I219" s="34" t="s">
        <v>607</v>
      </c>
      <c r="J219" s="34" t="s">
        <v>971</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671</v>
      </c>
      <c r="B220" s="34" t="s">
        <v>498</v>
      </c>
      <c r="C220" s="34" t="str">
        <f>VLOOKUP(Observaciones[Caso de Prueba],CasoPrueba[[#All],[Código CP]:[Prioridad]],7,TRUE)</f>
        <v>Alta</v>
      </c>
      <c r="D220" s="34" t="s">
        <v>28</v>
      </c>
      <c r="E220" s="34" t="s">
        <v>49</v>
      </c>
      <c r="F220" s="73">
        <v>40835</v>
      </c>
      <c r="G220" s="73">
        <v>40843</v>
      </c>
      <c r="H220" s="94" t="s">
        <v>132</v>
      </c>
      <c r="I220" s="34" t="s">
        <v>881</v>
      </c>
      <c r="J220" s="34" t="s">
        <v>970</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672</v>
      </c>
      <c r="B221" s="34" t="s">
        <v>499</v>
      </c>
      <c r="C221" s="34" t="str">
        <f>VLOOKUP(Observaciones[Caso de Prueba],CasoPrueba[[#All],[Código CP]:[Prioridad]],7,TRUE)</f>
        <v>Alta</v>
      </c>
      <c r="D221" s="34" t="s">
        <v>28</v>
      </c>
      <c r="E221" s="34" t="s">
        <v>49</v>
      </c>
      <c r="F221" s="73">
        <v>40835</v>
      </c>
      <c r="G221" s="73">
        <v>40843</v>
      </c>
      <c r="H221" s="94" t="s">
        <v>132</v>
      </c>
      <c r="I221" s="34" t="s">
        <v>607</v>
      </c>
      <c r="J221" s="34" t="s">
        <v>972</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673</v>
      </c>
      <c r="B222" s="34" t="s">
        <v>499</v>
      </c>
      <c r="C222" s="34" t="str">
        <f>VLOOKUP(Observaciones[Caso de Prueba],CasoPrueba[[#All],[Código CP]:[Prioridad]],7,TRUE)</f>
        <v>Alta</v>
      </c>
      <c r="D222" s="34" t="s">
        <v>28</v>
      </c>
      <c r="E222" s="34" t="s">
        <v>49</v>
      </c>
      <c r="F222" s="73">
        <v>40835</v>
      </c>
      <c r="G222" s="73">
        <v>40843</v>
      </c>
      <c r="H222" s="94" t="s">
        <v>132</v>
      </c>
      <c r="I222" s="34" t="s">
        <v>881</v>
      </c>
      <c r="J222" s="34" t="s">
        <v>970</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674</v>
      </c>
      <c r="B223" s="34" t="s">
        <v>624</v>
      </c>
      <c r="C223" s="34" t="str">
        <f>VLOOKUP(Observaciones[Caso de Prueba],CasoPrueba[[#All],[Código CP]:[Prioridad]],7,TRUE)</f>
        <v>Alta</v>
      </c>
      <c r="D223" s="34" t="s">
        <v>28</v>
      </c>
      <c r="E223" s="34" t="s">
        <v>49</v>
      </c>
      <c r="F223" s="73">
        <v>40835</v>
      </c>
      <c r="G223" s="73">
        <v>40843</v>
      </c>
      <c r="H223" s="94" t="s">
        <v>132</v>
      </c>
      <c r="I223" s="34" t="s">
        <v>881</v>
      </c>
      <c r="J223" s="34" t="s">
        <v>1001</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675</v>
      </c>
      <c r="B224" s="34" t="s">
        <v>626</v>
      </c>
      <c r="C224" s="34" t="str">
        <f>VLOOKUP(Observaciones[Caso de Prueba],CasoPrueba[[#All],[Código CP]:[Prioridad]],7,TRUE)</f>
        <v>Alta</v>
      </c>
      <c r="D224" s="34" t="s">
        <v>28</v>
      </c>
      <c r="E224" s="34" t="s">
        <v>49</v>
      </c>
      <c r="F224" s="73">
        <v>40835</v>
      </c>
      <c r="G224" s="73">
        <v>40843</v>
      </c>
      <c r="H224" s="94" t="s">
        <v>132</v>
      </c>
      <c r="I224" s="34" t="s">
        <v>881</v>
      </c>
      <c r="J224" s="34" t="s">
        <v>1001</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676</v>
      </c>
      <c r="B225" s="34" t="s">
        <v>626</v>
      </c>
      <c r="C225" s="34" t="str">
        <f>VLOOKUP(Observaciones[Caso de Prueba],CasoPrueba[[#All],[Código CP]:[Prioridad]],7,TRUE)</f>
        <v>Alta</v>
      </c>
      <c r="D225" s="34" t="s">
        <v>28</v>
      </c>
      <c r="E225" s="34" t="s">
        <v>49</v>
      </c>
      <c r="F225" s="73">
        <v>40835</v>
      </c>
      <c r="G225" s="73">
        <v>40843</v>
      </c>
      <c r="H225" s="94" t="s">
        <v>132</v>
      </c>
      <c r="I225" s="34" t="s">
        <v>882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677</v>
      </c>
      <c r="B226" s="34" t="s">
        <v>626</v>
      </c>
      <c r="C226" s="34" t="str">
        <f>VLOOKUP(Observaciones[Caso de Prueba],CasoPrueba[[#All],[Código CP]:[Prioridad]],7,TRUE)</f>
        <v>Alta</v>
      </c>
      <c r="D226" s="34" t="s">
        <v>29</v>
      </c>
      <c r="E226" s="34" t="s">
        <v>49</v>
      </c>
      <c r="F226" s="73">
        <v>40835</v>
      </c>
      <c r="G226" s="73">
        <v>40843</v>
      </c>
      <c r="H226" s="94" t="s">
        <v>132</v>
      </c>
      <c r="I226" s="34" t="s">
        <v>609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678</v>
      </c>
      <c r="B227" s="34" t="s">
        <v>627</v>
      </c>
      <c r="C227" s="34" t="str">
        <f>VLOOKUP(Observaciones[Caso de Prueba],CasoPrueba[[#All],[Código CP]:[Prioridad]],7,TRUE)</f>
        <v>Alta</v>
      </c>
      <c r="D227" s="34" t="s">
        <v>28</v>
      </c>
      <c r="E227" s="34" t="s">
        <v>49</v>
      </c>
      <c r="F227" s="73">
        <v>40835</v>
      </c>
      <c r="G227" s="73">
        <v>40843</v>
      </c>
      <c r="H227" s="94" t="s">
        <v>132</v>
      </c>
      <c r="I227" s="34" t="s">
        <v>607</v>
      </c>
      <c r="J227" s="34" t="s">
        <v>979</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679</v>
      </c>
      <c r="B228" s="34" t="s">
        <v>628</v>
      </c>
      <c r="C228" s="34" t="str">
        <f>VLOOKUP(Observaciones[Caso de Prueba],CasoPrueba[[#All],[Código CP]:[Prioridad]],7,TRUE)</f>
        <v>Alta</v>
      </c>
      <c r="D228" s="34" t="s">
        <v>28</v>
      </c>
      <c r="E228" s="34" t="s">
        <v>49</v>
      </c>
      <c r="F228" s="73">
        <v>40835</v>
      </c>
      <c r="G228" s="73">
        <v>40843</v>
      </c>
      <c r="H228" s="94" t="s">
        <v>132</v>
      </c>
      <c r="I228" s="34" t="s">
        <v>607</v>
      </c>
      <c r="J228" s="34" t="s">
        <v>980</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680</v>
      </c>
      <c r="B229" s="34" t="s">
        <v>629</v>
      </c>
      <c r="C229" s="34" t="str">
        <f>VLOOKUP(Observaciones[Caso de Prueba],CasoPrueba[[#All],[Código CP]:[Prioridad]],7,TRUE)</f>
        <v>Alta</v>
      </c>
      <c r="D229" s="34" t="s">
        <v>28</v>
      </c>
      <c r="E229" s="34" t="s">
        <v>49</v>
      </c>
      <c r="F229" s="73">
        <v>40835</v>
      </c>
      <c r="G229" s="73">
        <v>40843</v>
      </c>
      <c r="H229" s="94" t="s">
        <v>132</v>
      </c>
      <c r="I229" s="34" t="s">
        <v>607</v>
      </c>
      <c r="J229" s="34" t="s">
        <v>978</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681</v>
      </c>
      <c r="B230" s="34" t="s">
        <v>629</v>
      </c>
      <c r="C230" s="34" t="str">
        <f>VLOOKUP(Observaciones[Caso de Prueba],CasoPrueba[[#All],[Código CP]:[Prioridad]],7,TRUE)</f>
        <v>Alta</v>
      </c>
      <c r="D230" s="34" t="s">
        <v>29</v>
      </c>
      <c r="E230" s="34" t="s">
        <v>49</v>
      </c>
      <c r="F230" s="73">
        <v>40835</v>
      </c>
      <c r="G230" s="73">
        <v>40843</v>
      </c>
      <c r="H230" s="94" t="s">
        <v>132</v>
      </c>
      <c r="I230" s="34" t="s">
        <v>883</v>
      </c>
      <c r="J230" s="34" t="s">
        <v>973</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682</v>
      </c>
      <c r="B231" s="34" t="s">
        <v>629</v>
      </c>
      <c r="C231" s="34" t="str">
        <f>VLOOKUP(Observaciones[Caso de Prueba],CasoPrueba[[#All],[Código CP]:[Prioridad]],7,TRUE)</f>
        <v>Alta</v>
      </c>
      <c r="D231" s="34" t="s">
        <v>29</v>
      </c>
      <c r="E231" s="34" t="s">
        <v>49</v>
      </c>
      <c r="F231" s="73">
        <v>40835</v>
      </c>
      <c r="G231" s="73">
        <v>40843</v>
      </c>
      <c r="H231" s="94" t="s">
        <v>132</v>
      </c>
      <c r="I231" s="34" t="s">
        <v>884</v>
      </c>
      <c r="J231" s="34" t="s">
        <v>974</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683</v>
      </c>
      <c r="B232" s="34" t="s">
        <v>629</v>
      </c>
      <c r="C232" s="34" t="str">
        <f>VLOOKUP(Observaciones[Caso de Prueba],CasoPrueba[[#All],[Código CP]:[Prioridad]],7,TRUE)</f>
        <v>Alta</v>
      </c>
      <c r="D232" s="34" t="s">
        <v>29</v>
      </c>
      <c r="E232" s="34" t="s">
        <v>49</v>
      </c>
      <c r="F232" s="73">
        <v>40835</v>
      </c>
      <c r="G232" s="73">
        <v>40843</v>
      </c>
      <c r="H232" s="94" t="s">
        <v>132</v>
      </c>
      <c r="I232" s="34" t="s">
        <v>885</v>
      </c>
      <c r="J232" s="34" t="s">
        <v>396</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684</v>
      </c>
      <c r="B233" s="34" t="s">
        <v>629</v>
      </c>
      <c r="C233" s="34" t="str">
        <f>VLOOKUP(Observaciones[Caso de Prueba],CasoPrueba[[#All],[Código CP]:[Prioridad]],7,TRUE)</f>
        <v>Alta</v>
      </c>
      <c r="D233" s="34" t="s">
        <v>29</v>
      </c>
      <c r="E233" s="34" t="s">
        <v>49</v>
      </c>
      <c r="F233" s="73">
        <v>40835</v>
      </c>
      <c r="G233" s="73">
        <v>40843</v>
      </c>
      <c r="H233" s="94" t="s">
        <v>132</v>
      </c>
      <c r="I233" s="34" t="s">
        <v>886</v>
      </c>
      <c r="J233" s="34" t="s">
        <v>975</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685</v>
      </c>
      <c r="B234" s="34" t="s">
        <v>629</v>
      </c>
      <c r="C234" s="34" t="str">
        <f>VLOOKUP(Observaciones[Caso de Prueba],CasoPrueba[[#All],[Código CP]:[Prioridad]],7,TRUE)</f>
        <v>Alta</v>
      </c>
      <c r="D234" s="34" t="s">
        <v>29</v>
      </c>
      <c r="E234" s="34" t="s">
        <v>49</v>
      </c>
      <c r="F234" s="73">
        <v>40835</v>
      </c>
      <c r="G234" s="73">
        <v>40843</v>
      </c>
      <c r="H234" s="94" t="s">
        <v>132</v>
      </c>
      <c r="I234" s="34" t="s">
        <v>887</v>
      </c>
      <c r="J234" s="34" t="s">
        <v>976</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686</v>
      </c>
      <c r="B235" s="34" t="s">
        <v>629</v>
      </c>
      <c r="C235" s="34" t="str">
        <f>VLOOKUP(Observaciones[Caso de Prueba],CasoPrueba[[#All],[Código CP]:[Prioridad]],7,TRUE)</f>
        <v>Alta</v>
      </c>
      <c r="D235" s="34" t="s">
        <v>29</v>
      </c>
      <c r="E235" s="34" t="s">
        <v>49</v>
      </c>
      <c r="F235" s="73">
        <v>40835</v>
      </c>
      <c r="G235" s="73">
        <v>40843</v>
      </c>
      <c r="H235" s="94" t="s">
        <v>132</v>
      </c>
      <c r="I235" s="34" t="s">
        <v>888</v>
      </c>
      <c r="J235" s="34" t="s">
        <v>977</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687</v>
      </c>
      <c r="B236" s="34" t="s">
        <v>663</v>
      </c>
      <c r="C236" s="34" t="str">
        <f>VLOOKUP(Observaciones[Caso de Prueba],CasoPrueba[[#All],[Código CP]:[Prioridad]],7,TRUE)</f>
        <v>Alta</v>
      </c>
      <c r="D236" s="34" t="s">
        <v>28</v>
      </c>
      <c r="E236" s="34" t="s">
        <v>49</v>
      </c>
      <c r="F236" s="73">
        <v>40835</v>
      </c>
      <c r="G236" s="73">
        <v>40843</v>
      </c>
      <c r="H236" s="94" t="s">
        <v>132</v>
      </c>
      <c r="I236" s="34" t="s">
        <v>881</v>
      </c>
      <c r="J236" s="34" t="s">
        <v>1001</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688</v>
      </c>
      <c r="B237" s="34" t="s">
        <v>664</v>
      </c>
      <c r="C237" s="34" t="str">
        <f>VLOOKUP(Observaciones[Caso de Prueba],CasoPrueba[[#All],[Código CP]:[Prioridad]],7,TRUE)</f>
        <v>Alta</v>
      </c>
      <c r="D237" s="34" t="s">
        <v>28</v>
      </c>
      <c r="E237" s="34" t="s">
        <v>49</v>
      </c>
      <c r="F237" s="73">
        <v>40835</v>
      </c>
      <c r="G237" s="73">
        <v>40843</v>
      </c>
      <c r="H237" s="94" t="s">
        <v>132</v>
      </c>
      <c r="I237" s="34" t="s">
        <v>607</v>
      </c>
      <c r="J237" s="34" t="s">
        <v>1001</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689</v>
      </c>
      <c r="B238" s="34" t="s">
        <v>664</v>
      </c>
      <c r="C238" s="34" t="str">
        <f>VLOOKUP(Observaciones[Caso de Prueba],CasoPrueba[[#All],[Código CP]:[Prioridad]],7,TRUE)</f>
        <v>Alta</v>
      </c>
      <c r="D238" s="34" t="s">
        <v>28</v>
      </c>
      <c r="E238" s="34" t="s">
        <v>49</v>
      </c>
      <c r="F238" s="73">
        <v>40835</v>
      </c>
      <c r="G238" s="73">
        <v>40843</v>
      </c>
      <c r="H238" s="94" t="s">
        <v>132</v>
      </c>
      <c r="I238" s="34" t="s">
        <v>881</v>
      </c>
      <c r="J238" s="34" t="s">
        <v>1001</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690</v>
      </c>
      <c r="B239" s="34" t="s">
        <v>897</v>
      </c>
      <c r="C239" s="34" t="str">
        <f>VLOOKUP(Observaciones[Caso de Prueba],CasoPrueba[[#All],[Código CP]:[Prioridad]],7,TRUE)</f>
        <v>Alta</v>
      </c>
      <c r="D239" s="34" t="s">
        <v>162</v>
      </c>
      <c r="E239" s="164" t="s">
        <v>47</v>
      </c>
      <c r="F239" s="73">
        <v>40838</v>
      </c>
      <c r="G239" s="73">
        <v>40843</v>
      </c>
      <c r="H239" s="94" t="s">
        <v>132</v>
      </c>
      <c r="I239" s="34" t="s">
        <v>917</v>
      </c>
      <c r="J239" s="34" t="s">
        <v>981</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30" hidden="1">
      <c r="A240" s="166" t="s">
        <v>691</v>
      </c>
      <c r="B240" s="34" t="s">
        <v>897</v>
      </c>
      <c r="C240" s="34" t="str">
        <f>VLOOKUP(Observaciones[Caso de Prueba],CasoPrueba[[#All],[Código CP]:[Prioridad]],7,TRUE)</f>
        <v>Alta</v>
      </c>
      <c r="D240" s="34" t="s">
        <v>162</v>
      </c>
      <c r="E240" s="164" t="s">
        <v>47</v>
      </c>
      <c r="F240" s="73">
        <v>40838</v>
      </c>
      <c r="G240" s="73">
        <v>40843</v>
      </c>
      <c r="H240" s="94" t="s">
        <v>132</v>
      </c>
      <c r="I240" s="34" t="s">
        <v>918</v>
      </c>
      <c r="J240" s="34" t="s">
        <v>982</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692</v>
      </c>
      <c r="B241" s="34" t="s">
        <v>897</v>
      </c>
      <c r="C241" s="34" t="str">
        <f>VLOOKUP(Observaciones[Caso de Prueba],CasoPrueba[[#All],[Código CP]:[Prioridad]],7,TRUE)</f>
        <v>Alta</v>
      </c>
      <c r="D241" s="34" t="s">
        <v>162</v>
      </c>
      <c r="E241" s="164" t="s">
        <v>47</v>
      </c>
      <c r="F241" s="73">
        <v>40838</v>
      </c>
      <c r="G241" s="73">
        <v>40843</v>
      </c>
      <c r="H241" s="94" t="s">
        <v>132</v>
      </c>
      <c r="I241" s="34" t="s">
        <v>919</v>
      </c>
      <c r="J241" s="34" t="s">
        <v>983</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693</v>
      </c>
      <c r="B242" s="34" t="s">
        <v>897</v>
      </c>
      <c r="C242" s="34" t="str">
        <f>VLOOKUP(Observaciones[Caso de Prueba],CasoPrueba[[#All],[Código CP]:[Prioridad]],7,TRUE)</f>
        <v>Alta</v>
      </c>
      <c r="D242" s="34" t="s">
        <v>162</v>
      </c>
      <c r="E242" s="164" t="s">
        <v>47</v>
      </c>
      <c r="F242" s="73">
        <v>40838</v>
      </c>
      <c r="G242" s="73">
        <v>40843</v>
      </c>
      <c r="H242" s="94" t="s">
        <v>132</v>
      </c>
      <c r="I242" s="34" t="s">
        <v>928</v>
      </c>
      <c r="J242" s="34" t="s">
        <v>984</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694</v>
      </c>
      <c r="B243" s="34" t="s">
        <v>897</v>
      </c>
      <c r="C243" s="34" t="str">
        <f>VLOOKUP(Observaciones[Caso de Prueba],CasoPrueba[[#All],[Código CP]:[Prioridad]],7,TRUE)</f>
        <v>Alta</v>
      </c>
      <c r="D243" s="34" t="s">
        <v>28</v>
      </c>
      <c r="E243" s="164" t="s">
        <v>47</v>
      </c>
      <c r="F243" s="73">
        <v>40838</v>
      </c>
      <c r="G243" s="73">
        <v>40843</v>
      </c>
      <c r="H243" s="94" t="s">
        <v>132</v>
      </c>
      <c r="I243" s="34" t="s">
        <v>607</v>
      </c>
      <c r="J243" s="34" t="s">
        <v>985</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695</v>
      </c>
      <c r="B244" s="34" t="s">
        <v>897</v>
      </c>
      <c r="C244" s="34" t="str">
        <f>VLOOKUP(Observaciones[Caso de Prueba],CasoPrueba[[#All],[Código CP]:[Prioridad]],7,TRUE)</f>
        <v>Alta</v>
      </c>
      <c r="D244" s="34" t="s">
        <v>29</v>
      </c>
      <c r="E244" s="164" t="s">
        <v>47</v>
      </c>
      <c r="F244" s="73">
        <v>40838</v>
      </c>
      <c r="G244" s="73">
        <v>40843</v>
      </c>
      <c r="H244" s="94" t="s">
        <v>132</v>
      </c>
      <c r="I244" s="34" t="s">
        <v>609</v>
      </c>
      <c r="J244" s="34" t="s">
        <v>827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696</v>
      </c>
      <c r="B245" s="34" t="s">
        <v>897</v>
      </c>
      <c r="C245" s="34" t="str">
        <f>VLOOKUP(Observaciones[Caso de Prueba],CasoPrueba[[#All],[Código CP]:[Prioridad]],7,TRUE)</f>
        <v>Alta</v>
      </c>
      <c r="D245" s="34" t="s">
        <v>162</v>
      </c>
      <c r="E245" s="164" t="s">
        <v>47</v>
      </c>
      <c r="F245" s="73">
        <v>40838</v>
      </c>
      <c r="G245" s="73">
        <v>40843</v>
      </c>
      <c r="H245" s="94" t="s">
        <v>132</v>
      </c>
      <c r="I245" s="34" t="s">
        <v>920</v>
      </c>
      <c r="J245" s="34" t="s">
        <v>986</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697</v>
      </c>
      <c r="B246" s="34" t="s">
        <v>897</v>
      </c>
      <c r="C246" s="34" t="str">
        <f>VLOOKUP(Observaciones[Caso de Prueba],CasoPrueba[[#All],[Código CP]:[Prioridad]],7,TRUE)</f>
        <v>Alta</v>
      </c>
      <c r="D246" s="34" t="s">
        <v>29</v>
      </c>
      <c r="E246" s="164" t="s">
        <v>47</v>
      </c>
      <c r="F246" s="73">
        <v>40838</v>
      </c>
      <c r="G246" s="73">
        <v>40843</v>
      </c>
      <c r="H246" s="94" t="s">
        <v>132</v>
      </c>
      <c r="I246" s="34" t="s">
        <v>921</v>
      </c>
      <c r="J246" s="34" t="s">
        <v>987</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698</v>
      </c>
      <c r="B247" s="34" t="s">
        <v>897</v>
      </c>
      <c r="C247" s="34" t="str">
        <f>VLOOKUP(Observaciones[Caso de Prueba],CasoPrueba[[#All],[Código CP]:[Prioridad]],7,TRUE)</f>
        <v>Alta</v>
      </c>
      <c r="D247" s="34" t="s">
        <v>162</v>
      </c>
      <c r="E247" s="164" t="s">
        <v>47</v>
      </c>
      <c r="F247" s="73">
        <v>40838</v>
      </c>
      <c r="G247" s="73">
        <v>40843</v>
      </c>
      <c r="H247" s="94" t="s">
        <v>132</v>
      </c>
      <c r="I247" s="34" t="s">
        <v>922</v>
      </c>
      <c r="J247" s="34" t="s">
        <v>983</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699</v>
      </c>
      <c r="B248" s="34" t="s">
        <v>897</v>
      </c>
      <c r="C248" s="34" t="str">
        <f>VLOOKUP(Observaciones[Caso de Prueba],CasoPrueba[[#All],[Código CP]:[Prioridad]],7,TRUE)</f>
        <v>Alta</v>
      </c>
      <c r="D248" s="34" t="s">
        <v>29</v>
      </c>
      <c r="E248" s="164" t="s">
        <v>47</v>
      </c>
      <c r="F248" s="73">
        <v>40838</v>
      </c>
      <c r="G248" s="73">
        <v>40843</v>
      </c>
      <c r="H248" s="94" t="s">
        <v>132</v>
      </c>
      <c r="I248" s="34" t="s">
        <v>923</v>
      </c>
      <c r="J248" s="34" t="s">
        <v>845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700</v>
      </c>
      <c r="B249" s="34" t="s">
        <v>897</v>
      </c>
      <c r="C249" s="34" t="str">
        <f>VLOOKUP(Observaciones[Caso de Prueba],CasoPrueba[[#All],[Código CP]:[Prioridad]],7,TRUE)</f>
        <v>Alta</v>
      </c>
      <c r="D249" s="34" t="s">
        <v>29</v>
      </c>
      <c r="E249" s="164" t="s">
        <v>47</v>
      </c>
      <c r="F249" s="73">
        <v>40838</v>
      </c>
      <c r="G249" s="73">
        <v>40843</v>
      </c>
      <c r="H249" s="94" t="s">
        <v>132</v>
      </c>
      <c r="I249" s="34" t="s">
        <v>924</v>
      </c>
      <c r="J249" s="34" t="s">
        <v>988</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701</v>
      </c>
      <c r="B250" s="34" t="s">
        <v>897</v>
      </c>
      <c r="C250" s="34" t="str">
        <f>VLOOKUP(Observaciones[Caso de Prueba],CasoPrueba[[#All],[Código CP]:[Prioridad]],7,TRUE)</f>
        <v>Alta</v>
      </c>
      <c r="D250" s="34" t="s">
        <v>162</v>
      </c>
      <c r="E250" s="164" t="s">
        <v>47</v>
      </c>
      <c r="F250" s="73">
        <v>40838</v>
      </c>
      <c r="G250" s="73">
        <v>40843</v>
      </c>
      <c r="H250" s="94" t="s">
        <v>132</v>
      </c>
      <c r="I250" s="34" t="s">
        <v>925</v>
      </c>
      <c r="J250" s="34" t="s">
        <v>983</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702</v>
      </c>
      <c r="B251" s="34" t="s">
        <v>897</v>
      </c>
      <c r="C251" s="34" t="str">
        <f>VLOOKUP(Observaciones[Caso de Prueba],CasoPrueba[[#All],[Código CP]:[Prioridad]],7,TRUE)</f>
        <v>Alta</v>
      </c>
      <c r="D251" s="34" t="s">
        <v>162</v>
      </c>
      <c r="E251" s="164" t="s">
        <v>47</v>
      </c>
      <c r="F251" s="73">
        <v>40838</v>
      </c>
      <c r="G251" s="73">
        <v>40843</v>
      </c>
      <c r="H251" s="94" t="s">
        <v>132</v>
      </c>
      <c r="I251" s="34" t="s">
        <v>926</v>
      </c>
      <c r="J251" s="34" t="s">
        <v>983</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703</v>
      </c>
      <c r="B252" s="34" t="s">
        <v>897</v>
      </c>
      <c r="C252" s="34" t="str">
        <f>VLOOKUP(Observaciones[Caso de Prueba],CasoPrueba[[#All],[Código CP]:[Prioridad]],7,TRUE)</f>
        <v>Alta</v>
      </c>
      <c r="D252" s="34" t="s">
        <v>29</v>
      </c>
      <c r="E252" s="164" t="s">
        <v>47</v>
      </c>
      <c r="F252" s="73">
        <v>40838</v>
      </c>
      <c r="G252" s="73">
        <v>40843</v>
      </c>
      <c r="H252" s="94" t="s">
        <v>132</v>
      </c>
      <c r="I252" s="34" t="s">
        <v>927</v>
      </c>
      <c r="J252" s="34" t="s">
        <v>989</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704</v>
      </c>
      <c r="B253" s="34" t="s">
        <v>898</v>
      </c>
      <c r="C253" s="34" t="str">
        <f>VLOOKUP(Observaciones[Caso de Prueba],CasoPrueba[[#All],[Código CP]:[Prioridad]],7,TRUE)</f>
        <v>Alta</v>
      </c>
      <c r="D253" s="34" t="s">
        <v>28</v>
      </c>
      <c r="E253" s="164" t="s">
        <v>47</v>
      </c>
      <c r="F253" s="73">
        <v>40838</v>
      </c>
      <c r="G253" s="73">
        <v>40843</v>
      </c>
      <c r="H253" s="94" t="s">
        <v>132</v>
      </c>
      <c r="I253" s="34" t="s">
        <v>607</v>
      </c>
      <c r="J253" s="34" t="s">
        <v>990</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705</v>
      </c>
      <c r="B254" s="34" t="s">
        <v>898</v>
      </c>
      <c r="C254" s="34" t="str">
        <f>VLOOKUP(Observaciones[Caso de Prueba],CasoPrueba[[#All],[Código CP]:[Prioridad]],7,TRUE)</f>
        <v>Alta</v>
      </c>
      <c r="D254" s="34" t="s">
        <v>162</v>
      </c>
      <c r="E254" s="164" t="s">
        <v>47</v>
      </c>
      <c r="F254" s="73">
        <v>40838</v>
      </c>
      <c r="G254" s="73">
        <v>40843</v>
      </c>
      <c r="H254" s="94" t="s">
        <v>132</v>
      </c>
      <c r="I254" s="34" t="s">
        <v>929</v>
      </c>
      <c r="J254" s="34" t="s">
        <v>233</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706</v>
      </c>
      <c r="B255" s="34" t="s">
        <v>898</v>
      </c>
      <c r="C255" s="34" t="str">
        <f>VLOOKUP(Observaciones[Caso de Prueba],CasoPrueba[[#All],[Código CP]:[Prioridad]],7,TRUE)</f>
        <v>Alta</v>
      </c>
      <c r="D255" s="34" t="s">
        <v>162</v>
      </c>
      <c r="E255" s="164" t="s">
        <v>47</v>
      </c>
      <c r="F255" s="73">
        <v>40838</v>
      </c>
      <c r="G255" s="73">
        <v>40843</v>
      </c>
      <c r="H255" s="94" t="s">
        <v>132</v>
      </c>
      <c r="I255" s="34" t="s">
        <v>930</v>
      </c>
      <c r="J255" s="34" t="s">
        <v>991</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707</v>
      </c>
      <c r="B256" s="34" t="s">
        <v>898</v>
      </c>
      <c r="C256" s="34" t="str">
        <f>VLOOKUP(Observaciones[Caso de Prueba],CasoPrueba[[#All],[Código CP]:[Prioridad]],7,TRUE)</f>
        <v>Alta</v>
      </c>
      <c r="D256" s="34" t="s">
        <v>29</v>
      </c>
      <c r="E256" s="164" t="s">
        <v>47</v>
      </c>
      <c r="F256" s="73">
        <v>40838</v>
      </c>
      <c r="G256" s="73">
        <v>40843</v>
      </c>
      <c r="H256" s="94" t="s">
        <v>132</v>
      </c>
      <c r="I256" s="34" t="s">
        <v>609</v>
      </c>
      <c r="J256" s="34" t="s">
        <v>996</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708</v>
      </c>
      <c r="B257" s="34" t="s">
        <v>898</v>
      </c>
      <c r="C257" s="34" t="str">
        <f>VLOOKUP(Observaciones[Caso de Prueba],CasoPrueba[[#All],[Código CP]:[Prioridad]],7,TRUE)</f>
        <v>Alta</v>
      </c>
      <c r="D257" s="34" t="s">
        <v>28</v>
      </c>
      <c r="E257" s="164" t="s">
        <v>47</v>
      </c>
      <c r="F257" s="73">
        <v>40838</v>
      </c>
      <c r="G257" s="73">
        <v>40843</v>
      </c>
      <c r="H257" s="94" t="s">
        <v>132</v>
      </c>
      <c r="I257" s="34" t="s">
        <v>881</v>
      </c>
      <c r="J257" s="34" t="s">
        <v>992</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709</v>
      </c>
      <c r="B258" s="34" t="s">
        <v>898</v>
      </c>
      <c r="C258" s="34" t="str">
        <f>VLOOKUP(Observaciones[Caso de Prueba],CasoPrueba[[#All],[Código CP]:[Prioridad]],7,TRUE)</f>
        <v>Alta</v>
      </c>
      <c r="D258" s="34" t="s">
        <v>28</v>
      </c>
      <c r="E258" s="164" t="s">
        <v>47</v>
      </c>
      <c r="F258" s="73">
        <v>40838</v>
      </c>
      <c r="G258" s="73">
        <v>40843</v>
      </c>
      <c r="H258" s="94" t="s">
        <v>132</v>
      </c>
      <c r="I258" s="34" t="s">
        <v>931</v>
      </c>
      <c r="J258" s="34" t="s">
        <v>997</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710</v>
      </c>
      <c r="B259" s="34" t="s">
        <v>898</v>
      </c>
      <c r="C259" s="34" t="str">
        <f>VLOOKUP(Observaciones[Caso de Prueba],CasoPrueba[[#All],[Código CP]:[Prioridad]],7,TRUE)</f>
        <v>Alta</v>
      </c>
      <c r="D259" s="34" t="s">
        <v>29</v>
      </c>
      <c r="E259" s="164" t="s">
        <v>47</v>
      </c>
      <c r="F259" s="73">
        <v>40838</v>
      </c>
      <c r="G259" s="73">
        <v>40843</v>
      </c>
      <c r="H259" s="94" t="s">
        <v>132</v>
      </c>
      <c r="I259" s="34" t="s">
        <v>932</v>
      </c>
      <c r="J259" s="34" t="s">
        <v>993</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711</v>
      </c>
      <c r="B260" s="34" t="s">
        <v>898</v>
      </c>
      <c r="C260" s="34" t="str">
        <f>VLOOKUP(Observaciones[Caso de Prueba],CasoPrueba[[#All],[Código CP]:[Prioridad]],7,TRUE)</f>
        <v>Alta</v>
      </c>
      <c r="D260" s="34" t="s">
        <v>29</v>
      </c>
      <c r="E260" s="164" t="s">
        <v>47</v>
      </c>
      <c r="F260" s="73">
        <v>40838</v>
      </c>
      <c r="G260" s="73">
        <v>40843</v>
      </c>
      <c r="H260" s="94" t="s">
        <v>132</v>
      </c>
      <c r="I260" s="34" t="s">
        <v>933</v>
      </c>
      <c r="J260" s="34" t="s">
        <v>833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712</v>
      </c>
      <c r="B261" s="34" t="s">
        <v>898</v>
      </c>
      <c r="C261" s="34" t="str">
        <f>VLOOKUP(Observaciones[Caso de Prueba],CasoPrueba[[#All],[Código CP]:[Prioridad]],7,TRUE)</f>
        <v>Alta</v>
      </c>
      <c r="D261" s="34" t="s">
        <v>162</v>
      </c>
      <c r="E261" s="164" t="s">
        <v>47</v>
      </c>
      <c r="F261" s="73">
        <v>40838</v>
      </c>
      <c r="G261" s="73">
        <v>40843</v>
      </c>
      <c r="H261" s="94" t="s">
        <v>132</v>
      </c>
      <c r="I261" s="34" t="s">
        <v>934</v>
      </c>
      <c r="J261" s="34" t="s">
        <v>833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713</v>
      </c>
      <c r="B262" s="34" t="s">
        <v>898</v>
      </c>
      <c r="C262" s="34" t="str">
        <f>VLOOKUP(Observaciones[Caso de Prueba],CasoPrueba[[#All],[Código CP]:[Prioridad]],7,TRUE)</f>
        <v>Alta</v>
      </c>
      <c r="D262" s="34" t="s">
        <v>29</v>
      </c>
      <c r="E262" s="164" t="s">
        <v>47</v>
      </c>
      <c r="F262" s="73">
        <v>40838</v>
      </c>
      <c r="G262" s="73">
        <v>40843</v>
      </c>
      <c r="H262" s="94" t="s">
        <v>132</v>
      </c>
      <c r="I262" s="34" t="s">
        <v>936</v>
      </c>
      <c r="J262" s="34" t="s">
        <v>994</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714</v>
      </c>
      <c r="B263" s="34" t="s">
        <v>898</v>
      </c>
      <c r="C263" s="34" t="str">
        <f>VLOOKUP(Observaciones[Caso de Prueba],CasoPrueba[[#All],[Código CP]:[Prioridad]],7,TRUE)</f>
        <v>Alta</v>
      </c>
      <c r="D263" s="34" t="s">
        <v>29</v>
      </c>
      <c r="E263" s="164" t="s">
        <v>47</v>
      </c>
      <c r="F263" s="73">
        <v>40838</v>
      </c>
      <c r="G263" s="73">
        <v>40843</v>
      </c>
      <c r="H263" s="94" t="s">
        <v>132</v>
      </c>
      <c r="I263" s="34" t="s">
        <v>935</v>
      </c>
      <c r="J263" s="34" t="s">
        <v>995</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715</v>
      </c>
      <c r="B264" s="34" t="s">
        <v>899</v>
      </c>
      <c r="C264" s="34" t="str">
        <f>VLOOKUP(Observaciones[Caso de Prueba],CasoPrueba[[#All],[Código CP]:[Prioridad]],7,TRUE)</f>
        <v>Alta</v>
      </c>
      <c r="D264" s="34" t="s">
        <v>162</v>
      </c>
      <c r="E264" s="164" t="s">
        <v>47</v>
      </c>
      <c r="F264" s="73">
        <v>40838</v>
      </c>
      <c r="G264" s="73">
        <v>40843</v>
      </c>
      <c r="H264" s="94" t="s">
        <v>132</v>
      </c>
      <c r="I264" s="34" t="s">
        <v>937</v>
      </c>
      <c r="J264" s="34" t="s">
        <v>1002</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716</v>
      </c>
      <c r="B265" s="34" t="s">
        <v>899</v>
      </c>
      <c r="C265" s="34" t="str">
        <f>VLOOKUP(Observaciones[Caso de Prueba],CasoPrueba[[#All],[Código CP]:[Prioridad]],7,TRUE)</f>
        <v>Alta</v>
      </c>
      <c r="D265" s="34" t="s">
        <v>162</v>
      </c>
      <c r="E265" s="164" t="s">
        <v>47</v>
      </c>
      <c r="F265" s="73">
        <v>40838</v>
      </c>
      <c r="G265" s="73">
        <v>40843</v>
      </c>
      <c r="H265" s="94" t="s">
        <v>132</v>
      </c>
      <c r="I265" s="34" t="s">
        <v>942</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717</v>
      </c>
      <c r="B266" s="34" t="s">
        <v>899</v>
      </c>
      <c r="C266" s="34" t="str">
        <f>VLOOKUP(Observaciones[Caso de Prueba],CasoPrueba[[#All],[Código CP]:[Prioridad]],7,TRUE)</f>
        <v>Alta</v>
      </c>
      <c r="D266" s="34" t="s">
        <v>30</v>
      </c>
      <c r="E266" s="164" t="s">
        <v>47</v>
      </c>
      <c r="F266" s="73">
        <v>40838</v>
      </c>
      <c r="G266" s="73">
        <v>40843</v>
      </c>
      <c r="H266" s="94" t="s">
        <v>132</v>
      </c>
      <c r="I266" s="34" t="s">
        <v>943</v>
      </c>
      <c r="J266" s="34" t="s">
        <v>1005</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718</v>
      </c>
      <c r="B267" s="34" t="s">
        <v>899</v>
      </c>
      <c r="C267" s="34" t="str">
        <f>VLOOKUP(Observaciones[Caso de Prueba],CasoPrueba[[#All],[Código CP]:[Prioridad]],7,TRUE)</f>
        <v>Alta</v>
      </c>
      <c r="D267" s="34" t="s">
        <v>162</v>
      </c>
      <c r="E267" s="164" t="s">
        <v>47</v>
      </c>
      <c r="F267" s="73">
        <v>40838</v>
      </c>
      <c r="G267" s="73">
        <v>40843</v>
      </c>
      <c r="H267" s="94" t="s">
        <v>132</v>
      </c>
      <c r="I267" s="34" t="s">
        <v>938</v>
      </c>
      <c r="J267" s="34" t="s">
        <v>1003</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719</v>
      </c>
      <c r="B268" s="34" t="s">
        <v>899</v>
      </c>
      <c r="C268" s="34" t="str">
        <f>VLOOKUP(Observaciones[Caso de Prueba],CasoPrueba[[#All],[Código CP]:[Prioridad]],7,TRUE)</f>
        <v>Alta</v>
      </c>
      <c r="D268" s="34" t="s">
        <v>29</v>
      </c>
      <c r="E268" s="164" t="s">
        <v>47</v>
      </c>
      <c r="F268" s="73">
        <v>40838</v>
      </c>
      <c r="G268" s="73">
        <v>40843</v>
      </c>
      <c r="H268" s="94" t="s">
        <v>132</v>
      </c>
      <c r="I268" s="34" t="s">
        <v>609</v>
      </c>
      <c r="J268" s="34" t="s">
        <v>850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720</v>
      </c>
      <c r="B269" s="34" t="s">
        <v>899</v>
      </c>
      <c r="C269" s="34" t="str">
        <f>VLOOKUP(Observaciones[Caso de Prueba],CasoPrueba[[#All],[Código CP]:[Prioridad]],7,TRUE)</f>
        <v>Alta</v>
      </c>
      <c r="D269" s="34" t="s">
        <v>28</v>
      </c>
      <c r="E269" s="164" t="s">
        <v>47</v>
      </c>
      <c r="F269" s="73">
        <v>40838</v>
      </c>
      <c r="G269" s="73">
        <v>40843</v>
      </c>
      <c r="H269" s="94" t="s">
        <v>132</v>
      </c>
      <c r="I269" s="34" t="s">
        <v>881</v>
      </c>
      <c r="J269" s="34" t="s">
        <v>1001</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721</v>
      </c>
      <c r="B270" s="34" t="s">
        <v>899</v>
      </c>
      <c r="C270" s="34" t="str">
        <f>VLOOKUP(Observaciones[Caso de Prueba],CasoPrueba[[#All],[Código CP]:[Prioridad]],7,TRUE)</f>
        <v>Alta</v>
      </c>
      <c r="D270" s="34" t="s">
        <v>28</v>
      </c>
      <c r="E270" s="164" t="s">
        <v>47</v>
      </c>
      <c r="F270" s="73">
        <v>40838</v>
      </c>
      <c r="G270" s="73">
        <v>40843</v>
      </c>
      <c r="H270" s="94" t="s">
        <v>132</v>
      </c>
      <c r="I270" s="34" t="s">
        <v>939</v>
      </c>
      <c r="J270" s="34" t="s">
        <v>1010</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722</v>
      </c>
      <c r="B271" s="34" t="s">
        <v>899</v>
      </c>
      <c r="C271" s="34" t="str">
        <f>VLOOKUP(Observaciones[Caso de Prueba],CasoPrueba[[#All],[Código CP]:[Prioridad]],7,TRUE)</f>
        <v>Alta</v>
      </c>
      <c r="D271" s="34" t="s">
        <v>29</v>
      </c>
      <c r="E271" s="164" t="s">
        <v>47</v>
      </c>
      <c r="F271" s="73">
        <v>40838</v>
      </c>
      <c r="G271" s="73">
        <v>40843</v>
      </c>
      <c r="H271" s="94" t="s">
        <v>132</v>
      </c>
      <c r="I271" s="34" t="s">
        <v>940</v>
      </c>
      <c r="J271" s="34" t="s">
        <v>1007</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723</v>
      </c>
      <c r="B272" s="34" t="s">
        <v>899</v>
      </c>
      <c r="C272" s="34" t="str">
        <f>VLOOKUP(Observaciones[Caso de Prueba],CasoPrueba[[#All],[Código CP]:[Prioridad]],7,TRUE)</f>
        <v>Alta</v>
      </c>
      <c r="D272" s="34" t="s">
        <v>29</v>
      </c>
      <c r="E272" s="164" t="s">
        <v>47</v>
      </c>
      <c r="F272" s="73">
        <v>40838</v>
      </c>
      <c r="G272" s="73">
        <v>40843</v>
      </c>
      <c r="H272" s="94" t="s">
        <v>132</v>
      </c>
      <c r="I272" s="34" t="s">
        <v>941</v>
      </c>
      <c r="J272" s="34" t="s">
        <v>1008</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724</v>
      </c>
      <c r="B273" s="34" t="s">
        <v>899</v>
      </c>
      <c r="C273" s="34" t="str">
        <f>VLOOKUP(Observaciones[Caso de Prueba],CasoPrueba[[#All],[Código CP]:[Prioridad]],7,TRUE)</f>
        <v>Alta</v>
      </c>
      <c r="D273" s="34" t="s">
        <v>30</v>
      </c>
      <c r="E273" s="164" t="s">
        <v>47</v>
      </c>
      <c r="F273" s="73">
        <v>40838</v>
      </c>
      <c r="G273" s="73">
        <v>40843</v>
      </c>
      <c r="H273" s="94" t="s">
        <v>132</v>
      </c>
      <c r="I273" s="34" t="s">
        <v>944</v>
      </c>
      <c r="J273" s="34" t="s">
        <v>1006</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725</v>
      </c>
      <c r="B274" s="34" t="s">
        <v>899</v>
      </c>
      <c r="C274" s="34" t="str">
        <f>VLOOKUP(Observaciones[Caso de Prueba],CasoPrueba[[#All],[Código CP]:[Prioridad]],7,TRUE)</f>
        <v>Alta</v>
      </c>
      <c r="D274" s="34" t="s">
        <v>29</v>
      </c>
      <c r="E274" s="164" t="s">
        <v>47</v>
      </c>
      <c r="F274" s="73">
        <v>40838</v>
      </c>
      <c r="G274" s="73">
        <v>40843</v>
      </c>
      <c r="H274" s="94" t="s">
        <v>132</v>
      </c>
      <c r="I274" s="34" t="s">
        <v>945</v>
      </c>
      <c r="J274" s="34" t="s">
        <v>1009</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726</v>
      </c>
      <c r="B275" s="34" t="s">
        <v>899</v>
      </c>
      <c r="C275" s="34" t="str">
        <f>VLOOKUP(Observaciones[Caso de Prueba],CasoPrueba[[#All],[Código CP]:[Prioridad]],7,TRUE)</f>
        <v>Alta</v>
      </c>
      <c r="D275" s="34" t="s">
        <v>30</v>
      </c>
      <c r="E275" s="164" t="s">
        <v>47</v>
      </c>
      <c r="F275" s="73">
        <v>40838</v>
      </c>
      <c r="G275" s="73">
        <v>40843</v>
      </c>
      <c r="H275" s="94" t="s">
        <v>132</v>
      </c>
      <c r="I275" s="34" t="s">
        <v>946</v>
      </c>
      <c r="J275" s="34" t="s">
        <v>1006</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727</v>
      </c>
      <c r="B276" s="34" t="s">
        <v>899</v>
      </c>
      <c r="C276" s="34" t="str">
        <f>VLOOKUP(Observaciones[Caso de Prueba],CasoPrueba[[#All],[Código CP]:[Prioridad]],7,TRUE)</f>
        <v>Alta</v>
      </c>
      <c r="D276" s="34" t="s">
        <v>162</v>
      </c>
      <c r="E276" s="164" t="s">
        <v>47</v>
      </c>
      <c r="F276" s="73">
        <v>40838</v>
      </c>
      <c r="G276" s="73">
        <v>40843</v>
      </c>
      <c r="H276" s="94" t="s">
        <v>132</v>
      </c>
      <c r="I276" s="34" t="s">
        <v>947</v>
      </c>
      <c r="J276" s="34" t="s">
        <v>1004</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728</v>
      </c>
      <c r="B277" s="34" t="s">
        <v>900</v>
      </c>
      <c r="C277" s="34" t="str">
        <f>VLOOKUP(Observaciones[Caso de Prueba],CasoPrueba[[#All],[Código CP]:[Prioridad]],7,TRUE)</f>
        <v>Alta</v>
      </c>
      <c r="D277" s="34" t="s">
        <v>28</v>
      </c>
      <c r="E277" s="164" t="s">
        <v>47</v>
      </c>
      <c r="F277" s="73">
        <v>40838</v>
      </c>
      <c r="G277" s="73">
        <v>40843</v>
      </c>
      <c r="H277" s="94" t="s">
        <v>132</v>
      </c>
      <c r="I277" s="34" t="s">
        <v>607</v>
      </c>
      <c r="J277" s="34" t="s">
        <v>1001</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729</v>
      </c>
      <c r="B278" s="34" t="s">
        <v>900</v>
      </c>
      <c r="C278" s="34" t="str">
        <f>VLOOKUP(Observaciones[Caso de Prueba],CasoPrueba[[#All],[Código CP]:[Prioridad]],7,TRUE)</f>
        <v>Alta</v>
      </c>
      <c r="D278" s="34" t="s">
        <v>162</v>
      </c>
      <c r="E278" s="164" t="s">
        <v>47</v>
      </c>
      <c r="F278" s="73">
        <v>40838</v>
      </c>
      <c r="G278" s="73">
        <v>40843</v>
      </c>
      <c r="H278" s="94" t="s">
        <v>132</v>
      </c>
      <c r="I278" s="34" t="s">
        <v>937</v>
      </c>
      <c r="J278" s="34" t="s">
        <v>1002</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730</v>
      </c>
      <c r="B279" s="34" t="s">
        <v>900</v>
      </c>
      <c r="C279" s="34" t="str">
        <f>VLOOKUP(Observaciones[Caso de Prueba],CasoPrueba[[#All],[Código CP]:[Prioridad]],7,TRUE)</f>
        <v>Alta</v>
      </c>
      <c r="D279" s="34" t="s">
        <v>29</v>
      </c>
      <c r="E279" s="164" t="s">
        <v>47</v>
      </c>
      <c r="F279" s="73">
        <v>40838</v>
      </c>
      <c r="G279" s="73">
        <v>40843</v>
      </c>
      <c r="H279" s="94" t="s">
        <v>132</v>
      </c>
      <c r="I279" s="34" t="s">
        <v>609</v>
      </c>
      <c r="J279" s="34" t="s">
        <v>1011</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731</v>
      </c>
      <c r="B280" s="34" t="s">
        <v>900</v>
      </c>
      <c r="C280" s="34" t="str">
        <f>VLOOKUP(Observaciones[Caso de Prueba],CasoPrueba[[#All],[Código CP]:[Prioridad]],7,TRUE)</f>
        <v>Alta</v>
      </c>
      <c r="D280" s="34" t="s">
        <v>28</v>
      </c>
      <c r="E280" s="164" t="s">
        <v>47</v>
      </c>
      <c r="F280" s="73">
        <v>40838</v>
      </c>
      <c r="G280" s="73">
        <v>40843</v>
      </c>
      <c r="H280" s="94" t="s">
        <v>132</v>
      </c>
      <c r="I280" s="34" t="s">
        <v>881</v>
      </c>
      <c r="J280" s="34" t="s">
        <v>1013</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732</v>
      </c>
      <c r="B281" s="34" t="s">
        <v>900</v>
      </c>
      <c r="C281" s="34" t="str">
        <f>VLOOKUP(Observaciones[Caso de Prueba],CasoPrueba[[#All],[Código CP]:[Prioridad]],7,TRUE)</f>
        <v>Alta</v>
      </c>
      <c r="D281" s="34" t="s">
        <v>162</v>
      </c>
      <c r="E281" s="164" t="s">
        <v>47</v>
      </c>
      <c r="F281" s="73">
        <v>40840</v>
      </c>
      <c r="G281" s="73">
        <v>40843</v>
      </c>
      <c r="H281" s="94" t="s">
        <v>132</v>
      </c>
      <c r="I281" s="34" t="s">
        <v>951</v>
      </c>
      <c r="J281" s="34" t="s">
        <v>282</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733</v>
      </c>
      <c r="B282" s="34" t="s">
        <v>900</v>
      </c>
      <c r="C282" s="34" t="str">
        <f>VLOOKUP(Observaciones[Caso de Prueba],CasoPrueba[[#All],[Código CP]:[Prioridad]],7,TRUE)</f>
        <v>Alta</v>
      </c>
      <c r="D282" s="34" t="s">
        <v>29</v>
      </c>
      <c r="E282" s="164" t="s">
        <v>47</v>
      </c>
      <c r="F282" s="73">
        <v>40840</v>
      </c>
      <c r="G282" s="73">
        <v>40843</v>
      </c>
      <c r="H282" s="94" t="s">
        <v>132</v>
      </c>
      <c r="I282" s="34" t="s">
        <v>952</v>
      </c>
      <c r="J282" s="34" t="s">
        <v>1012</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734</v>
      </c>
      <c r="B283" s="34" t="s">
        <v>901</v>
      </c>
      <c r="C283" s="34" t="str">
        <f>VLOOKUP(Observaciones[Caso de Prueba],CasoPrueba[[#All],[Código CP]:[Prioridad]],7,TRUE)</f>
        <v>Alta</v>
      </c>
      <c r="D283" s="34" t="s">
        <v>28</v>
      </c>
      <c r="E283" s="164" t="s">
        <v>47</v>
      </c>
      <c r="F283" s="73">
        <v>40840</v>
      </c>
      <c r="G283" s="73">
        <v>40843</v>
      </c>
      <c r="H283" s="94" t="s">
        <v>132</v>
      </c>
      <c r="I283" s="34" t="s">
        <v>607</v>
      </c>
      <c r="J283" s="34" t="s">
        <v>1017</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735</v>
      </c>
      <c r="B284" s="34" t="s">
        <v>901</v>
      </c>
      <c r="C284" s="34" t="str">
        <f>VLOOKUP(Observaciones[Caso de Prueba],CasoPrueba[[#All],[Código CP]:[Prioridad]],7,TRUE)</f>
        <v>Alta</v>
      </c>
      <c r="D284" s="34" t="s">
        <v>162</v>
      </c>
      <c r="E284" s="164" t="s">
        <v>47</v>
      </c>
      <c r="F284" s="73">
        <v>40840</v>
      </c>
      <c r="G284" s="73">
        <v>40843</v>
      </c>
      <c r="H284" s="94" t="s">
        <v>132</v>
      </c>
      <c r="I284" s="34" t="s">
        <v>937</v>
      </c>
      <c r="J284" s="34" t="s">
        <v>1002</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736</v>
      </c>
      <c r="B285" s="34" t="s">
        <v>901</v>
      </c>
      <c r="C285" s="34" t="str">
        <f>VLOOKUP(Observaciones[Caso de Prueba],CasoPrueba[[#All],[Código CP]:[Prioridad]],7,TRUE)</f>
        <v>Alta</v>
      </c>
      <c r="D285" s="34" t="s">
        <v>29</v>
      </c>
      <c r="E285" s="164" t="s">
        <v>47</v>
      </c>
      <c r="F285" s="73">
        <v>40840</v>
      </c>
      <c r="G285" s="73">
        <v>40843</v>
      </c>
      <c r="H285" s="94" t="s">
        <v>132</v>
      </c>
      <c r="I285" s="34" t="s">
        <v>609</v>
      </c>
      <c r="J285" s="34" t="s">
        <v>1011</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737</v>
      </c>
      <c r="B286" s="34" t="s">
        <v>901</v>
      </c>
      <c r="C286" s="34" t="str">
        <f>VLOOKUP(Observaciones[Caso de Prueba],CasoPrueba[[#All],[Código CP]:[Prioridad]],7,TRUE)</f>
        <v>Alta</v>
      </c>
      <c r="D286" s="34" t="s">
        <v>28</v>
      </c>
      <c r="E286" s="164" t="s">
        <v>47</v>
      </c>
      <c r="F286" s="73">
        <v>40840</v>
      </c>
      <c r="G286" s="73">
        <v>40843</v>
      </c>
      <c r="H286" s="94" t="s">
        <v>132</v>
      </c>
      <c r="I286" s="34" t="s">
        <v>881</v>
      </c>
      <c r="J286" s="34" t="s">
        <v>1016</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738</v>
      </c>
      <c r="B287" s="34" t="s">
        <v>901</v>
      </c>
      <c r="C287" s="34" t="str">
        <f>VLOOKUP(Observaciones[Caso de Prueba],CasoPrueba[[#All],[Código CP]:[Prioridad]],7,TRUE)</f>
        <v>Alta</v>
      </c>
      <c r="D287" s="34" t="s">
        <v>162</v>
      </c>
      <c r="E287" s="164" t="s">
        <v>47</v>
      </c>
      <c r="F287" s="73">
        <v>40840</v>
      </c>
      <c r="G287" s="73">
        <v>40843</v>
      </c>
      <c r="H287" s="94" t="s">
        <v>132</v>
      </c>
      <c r="I287" s="34" t="s">
        <v>953</v>
      </c>
      <c r="J287" s="34" t="s">
        <v>233</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739</v>
      </c>
      <c r="B288" s="34" t="s">
        <v>901</v>
      </c>
      <c r="C288" s="34" t="str">
        <f>VLOOKUP(Observaciones[Caso de Prueba],CasoPrueba[[#All],[Código CP]:[Prioridad]],7,TRUE)</f>
        <v>Alta</v>
      </c>
      <c r="D288" s="34" t="s">
        <v>162</v>
      </c>
      <c r="E288" s="164" t="s">
        <v>47</v>
      </c>
      <c r="F288" s="73">
        <v>40840</v>
      </c>
      <c r="G288" s="73">
        <v>40843</v>
      </c>
      <c r="H288" s="94" t="s">
        <v>132</v>
      </c>
      <c r="I288" s="34" t="s">
        <v>954</v>
      </c>
      <c r="J288" s="34" t="s">
        <v>997</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740</v>
      </c>
      <c r="B289" s="34" t="s">
        <v>901</v>
      </c>
      <c r="C289" s="34" t="str">
        <f>VLOOKUP(Observaciones[Caso de Prueba],CasoPrueba[[#All],[Código CP]:[Prioridad]],7,TRUE)</f>
        <v>Alta</v>
      </c>
      <c r="D289" s="34" t="s">
        <v>162</v>
      </c>
      <c r="E289" s="164" t="s">
        <v>47</v>
      </c>
      <c r="F289" s="73">
        <v>40840</v>
      </c>
      <c r="G289" s="73">
        <v>40843</v>
      </c>
      <c r="H289" s="94" t="s">
        <v>132</v>
      </c>
      <c r="I289" s="34" t="s">
        <v>955</v>
      </c>
      <c r="J289" s="34" t="s">
        <v>1014</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741</v>
      </c>
      <c r="B290" s="34" t="s">
        <v>901</v>
      </c>
      <c r="C290" s="34" t="str">
        <f>VLOOKUP(Observaciones[Caso de Prueba],CasoPrueba[[#All],[Código CP]:[Prioridad]],7,TRUE)</f>
        <v>Alta</v>
      </c>
      <c r="D290" s="34" t="s">
        <v>29</v>
      </c>
      <c r="E290" s="164" t="s">
        <v>47</v>
      </c>
      <c r="F290" s="73">
        <v>40840</v>
      </c>
      <c r="G290" s="73">
        <v>40843</v>
      </c>
      <c r="H290" s="94" t="s">
        <v>132</v>
      </c>
      <c r="I290" s="34" t="s">
        <v>956</v>
      </c>
      <c r="J290" s="34" t="s">
        <v>1015</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742</v>
      </c>
      <c r="B291" s="34" t="s">
        <v>902</v>
      </c>
      <c r="C291" s="34" t="str">
        <f>VLOOKUP(Observaciones[Caso de Prueba],CasoPrueba[[#All],[Código CP]:[Prioridad]],7,TRUE)</f>
        <v>Alta</v>
      </c>
      <c r="D291" s="34" t="s">
        <v>162</v>
      </c>
      <c r="E291" s="164" t="s">
        <v>47</v>
      </c>
      <c r="F291" s="73">
        <v>40840</v>
      </c>
      <c r="G291" s="73">
        <v>40843</v>
      </c>
      <c r="H291" s="94" t="s">
        <v>132</v>
      </c>
      <c r="I291" s="34" t="s">
        <v>957</v>
      </c>
      <c r="J291" s="34" t="s">
        <v>991</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743</v>
      </c>
      <c r="B292" s="34" t="s">
        <v>902</v>
      </c>
      <c r="C292" s="34" t="str">
        <f>VLOOKUP(Observaciones[Caso de Prueba],CasoPrueba[[#All],[Código CP]:[Prioridad]],7,TRUE)</f>
        <v>Alta</v>
      </c>
      <c r="D292" s="34" t="s">
        <v>162</v>
      </c>
      <c r="E292" s="164" t="s">
        <v>47</v>
      </c>
      <c r="F292" s="73">
        <v>40840</v>
      </c>
      <c r="G292" s="73">
        <v>40843</v>
      </c>
      <c r="H292" s="94" t="s">
        <v>132</v>
      </c>
      <c r="I292" s="34" t="s">
        <v>958</v>
      </c>
      <c r="J292" s="34" t="s">
        <v>991</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744</v>
      </c>
      <c r="B293" s="34" t="s">
        <v>902</v>
      </c>
      <c r="C293" s="34" t="str">
        <f>VLOOKUP(Observaciones[Caso de Prueba],CasoPrueba[[#All],[Código CP]:[Prioridad]],7,TRUE)</f>
        <v>Alta</v>
      </c>
      <c r="D293" s="34" t="s">
        <v>29</v>
      </c>
      <c r="E293" s="164" t="s">
        <v>47</v>
      </c>
      <c r="F293" s="73">
        <v>40840</v>
      </c>
      <c r="G293" s="73">
        <v>40843</v>
      </c>
      <c r="H293" s="94" t="s">
        <v>132</v>
      </c>
      <c r="I293" s="34" t="s">
        <v>609</v>
      </c>
      <c r="J293" s="34" t="s">
        <v>827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745</v>
      </c>
      <c r="B294" s="34" t="s">
        <v>902</v>
      </c>
      <c r="C294" s="34" t="str">
        <f>VLOOKUP(Observaciones[Caso de Prueba],CasoPrueba[[#All],[Código CP]:[Prioridad]],7,TRUE)</f>
        <v>Alta</v>
      </c>
      <c r="D294" s="34" t="s">
        <v>28</v>
      </c>
      <c r="E294" s="164" t="s">
        <v>47</v>
      </c>
      <c r="F294" s="73">
        <v>40840</v>
      </c>
      <c r="G294" s="73">
        <v>40843</v>
      </c>
      <c r="H294" s="94" t="s">
        <v>132</v>
      </c>
      <c r="I294" s="34" t="s">
        <v>881</v>
      </c>
      <c r="J294" s="34" t="s">
        <v>992</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746</v>
      </c>
      <c r="B295" s="34" t="s">
        <v>902</v>
      </c>
      <c r="C295" s="34" t="str">
        <f>VLOOKUP(Observaciones[Caso de Prueba],CasoPrueba[[#All],[Código CP]:[Prioridad]],7,TRUE)</f>
        <v>Alta</v>
      </c>
      <c r="D295" s="34" t="s">
        <v>30</v>
      </c>
      <c r="E295" s="164" t="s">
        <v>47</v>
      </c>
      <c r="F295" s="73">
        <v>40840</v>
      </c>
      <c r="G295" s="73">
        <v>40843</v>
      </c>
      <c r="H295" s="94" t="s">
        <v>132</v>
      </c>
      <c r="I295" s="34" t="s">
        <v>959</v>
      </c>
      <c r="J295" s="34" t="s">
        <v>260</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747</v>
      </c>
      <c r="B296" s="34" t="s">
        <v>902</v>
      </c>
      <c r="C296" s="34" t="str">
        <f>VLOOKUP(Observaciones[Caso de Prueba],CasoPrueba[[#All],[Código CP]:[Prioridad]],7,TRUE)</f>
        <v>Alta</v>
      </c>
      <c r="D296" s="34" t="s">
        <v>28</v>
      </c>
      <c r="E296" s="164" t="s">
        <v>47</v>
      </c>
      <c r="F296" s="73">
        <v>40840</v>
      </c>
      <c r="G296" s="73">
        <v>40843</v>
      </c>
      <c r="H296" s="94" t="s">
        <v>132</v>
      </c>
      <c r="I296" s="34" t="s">
        <v>960</v>
      </c>
      <c r="J296" s="34" t="s">
        <v>998</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748</v>
      </c>
      <c r="B297" s="34" t="s">
        <v>902</v>
      </c>
      <c r="C297" s="34" t="str">
        <f>VLOOKUP(Observaciones[Caso de Prueba],CasoPrueba[[#All],[Código CP]:[Prioridad]],7,TRUE)</f>
        <v>Alta</v>
      </c>
      <c r="D297" s="34" t="s">
        <v>162</v>
      </c>
      <c r="E297" s="164" t="s">
        <v>47</v>
      </c>
      <c r="F297" s="73">
        <v>40840</v>
      </c>
      <c r="G297" s="73">
        <v>40843</v>
      </c>
      <c r="H297" s="94" t="s">
        <v>132</v>
      </c>
      <c r="I297" s="34" t="s">
        <v>961</v>
      </c>
      <c r="J297" s="34" t="s">
        <v>983</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749</v>
      </c>
      <c r="B298" s="34" t="s">
        <v>902</v>
      </c>
      <c r="C298" s="34" t="str">
        <f>VLOOKUP(Observaciones[Caso de Prueba],CasoPrueba[[#All],[Código CP]:[Prioridad]],7,TRUE)</f>
        <v>Alta</v>
      </c>
      <c r="D298" s="34" t="s">
        <v>162</v>
      </c>
      <c r="E298" s="164" t="s">
        <v>47</v>
      </c>
      <c r="F298" s="73">
        <v>40840</v>
      </c>
      <c r="G298" s="73">
        <v>40843</v>
      </c>
      <c r="H298" s="94" t="s">
        <v>132</v>
      </c>
      <c r="I298" s="34" t="s">
        <v>962</v>
      </c>
      <c r="J298" s="34" t="s">
        <v>983</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750</v>
      </c>
      <c r="B299" s="34" t="s">
        <v>903</v>
      </c>
      <c r="C299" s="34" t="str">
        <f>VLOOKUP(Observaciones[Caso de Prueba],CasoPrueba[[#All],[Código CP]:[Prioridad]],7,TRUE)</f>
        <v>Alta</v>
      </c>
      <c r="D299" s="34" t="s">
        <v>28</v>
      </c>
      <c r="E299" s="164" t="s">
        <v>47</v>
      </c>
      <c r="F299" s="73">
        <v>40838</v>
      </c>
      <c r="G299" s="73">
        <v>40843</v>
      </c>
      <c r="H299" s="94" t="s">
        <v>132</v>
      </c>
      <c r="I299" s="34" t="s">
        <v>607</v>
      </c>
      <c r="J299" s="34" t="s">
        <v>999</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751</v>
      </c>
      <c r="B300" s="34" t="s">
        <v>903</v>
      </c>
      <c r="C300" s="34" t="str">
        <f>VLOOKUP(Observaciones[Caso de Prueba],CasoPrueba[[#All],[Código CP]:[Prioridad]],7,TRUE)</f>
        <v>Alta</v>
      </c>
      <c r="D300" s="34" t="s">
        <v>30</v>
      </c>
      <c r="E300" s="164" t="s">
        <v>47</v>
      </c>
      <c r="F300" s="73">
        <v>40838</v>
      </c>
      <c r="G300" s="73">
        <v>40843</v>
      </c>
      <c r="H300" s="94" t="s">
        <v>132</v>
      </c>
      <c r="I300" s="34" t="s">
        <v>963</v>
      </c>
      <c r="J300" s="34" t="s">
        <v>984</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752</v>
      </c>
      <c r="B301" s="34" t="s">
        <v>903</v>
      </c>
      <c r="C301" s="34" t="str">
        <f>VLOOKUP(Observaciones[Caso de Prueba],CasoPrueba[[#All],[Código CP]:[Prioridad]],7,TRUE)</f>
        <v>Alta</v>
      </c>
      <c r="D301" s="34" t="s">
        <v>29</v>
      </c>
      <c r="E301" s="164" t="s">
        <v>47</v>
      </c>
      <c r="F301" s="73">
        <v>40840</v>
      </c>
      <c r="G301" s="73">
        <v>40843</v>
      </c>
      <c r="H301" s="94" t="s">
        <v>132</v>
      </c>
      <c r="I301" s="34" t="s">
        <v>609</v>
      </c>
      <c r="J301" s="34" t="s">
        <v>996</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753</v>
      </c>
      <c r="B302" s="34" t="s">
        <v>903</v>
      </c>
      <c r="C302" s="34" t="str">
        <f>VLOOKUP(Observaciones[Caso de Prueba],CasoPrueba[[#All],[Código CP]:[Prioridad]],7,TRUE)</f>
        <v>Alta</v>
      </c>
      <c r="D302" s="34" t="s">
        <v>28</v>
      </c>
      <c r="E302" s="164" t="s">
        <v>47</v>
      </c>
      <c r="F302" s="73">
        <v>40840</v>
      </c>
      <c r="G302" s="73">
        <v>40843</v>
      </c>
      <c r="H302" s="94" t="s">
        <v>132</v>
      </c>
      <c r="I302" s="34" t="s">
        <v>881</v>
      </c>
      <c r="J302" s="34" t="s">
        <v>992</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754</v>
      </c>
      <c r="B303" s="34" t="s">
        <v>903</v>
      </c>
      <c r="C303" s="34" t="str">
        <f>VLOOKUP(Observaciones[Caso de Prueba],CasoPrueba[[#All],[Código CP]:[Prioridad]],7,TRUE)</f>
        <v>Alta</v>
      </c>
      <c r="D303" s="34" t="s">
        <v>30</v>
      </c>
      <c r="E303" s="164" t="s">
        <v>47</v>
      </c>
      <c r="F303" s="73">
        <v>40840</v>
      </c>
      <c r="G303" s="73">
        <v>40843</v>
      </c>
      <c r="H303" s="94" t="s">
        <v>132</v>
      </c>
      <c r="I303" s="34" t="s">
        <v>964</v>
      </c>
      <c r="J303" s="34" t="s">
        <v>1000</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755</v>
      </c>
      <c r="B304" s="34" t="s">
        <v>903</v>
      </c>
      <c r="C304" s="34" t="str">
        <f>VLOOKUP(Observaciones[Caso de Prueba],CasoPrueba[[#All],[Código CP]:[Prioridad]],7,TRUE)</f>
        <v>Alta</v>
      </c>
      <c r="D304" s="34" t="s">
        <v>162</v>
      </c>
      <c r="E304" s="164" t="s">
        <v>47</v>
      </c>
      <c r="F304" s="73">
        <v>40840</v>
      </c>
      <c r="G304" s="73">
        <v>40843</v>
      </c>
      <c r="H304" s="94" t="s">
        <v>132</v>
      </c>
      <c r="I304" s="34" t="s">
        <v>965</v>
      </c>
      <c r="J304" s="34" t="s">
        <v>983</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756</v>
      </c>
      <c r="B305" s="164" t="s">
        <v>914</v>
      </c>
      <c r="C305" s="164" t="str">
        <f>VLOOKUP(Observaciones[Caso de Prueba],CasoPrueba[[#All],[Código CP]:[Prioridad]],7,TRUE)</f>
        <v>Alta</v>
      </c>
      <c r="D305" s="164" t="s">
        <v>162</v>
      </c>
      <c r="E305" s="164" t="s">
        <v>47</v>
      </c>
      <c r="F305" s="165">
        <v>40845</v>
      </c>
      <c r="G305" s="165"/>
      <c r="H305" s="94" t="s">
        <v>132</v>
      </c>
      <c r="I305" s="164" t="s">
        <v>1018</v>
      </c>
      <c r="J305" s="164" t="s">
        <v>1055</v>
      </c>
      <c r="K305" s="164">
        <f>IF((Observaciones[[#This Row],[Fecha Levantamiento]]-Observaciones[[#This Row],[Fecha Detección]])&gt;=0,Observaciones[[#This Row],[Fecha Levantamiento]]-Observaciones[[#This Row],[Fecha Detección]]+1,0)</f>
        <v>0</v>
      </c>
      <c r="L305" s="164" t="str">
        <f>LOOKUP(Observaciones[[#This Row],[Caso de Prueba]],CasoPrueba[Código CP],CasoPrueba[Código de REQ])</f>
        <v>INSPECCIÓN</v>
      </c>
    </row>
    <row r="306" spans="1:12" ht="45" hidden="1">
      <c r="A306" s="166" t="s">
        <v>757</v>
      </c>
      <c r="B306" s="164" t="s">
        <v>914</v>
      </c>
      <c r="C306" s="164" t="str">
        <f>VLOOKUP(Observaciones[Caso de Prueba],CasoPrueba[[#All],[Código CP]:[Prioridad]],7,TRUE)</f>
        <v>Alta</v>
      </c>
      <c r="D306" s="34" t="s">
        <v>28</v>
      </c>
      <c r="E306" s="164" t="s">
        <v>47</v>
      </c>
      <c r="F306" s="165">
        <v>40845</v>
      </c>
      <c r="H306" s="94" t="s">
        <v>132</v>
      </c>
      <c r="I306" s="34" t="s">
        <v>881</v>
      </c>
      <c r="J306" s="164" t="s">
        <v>1001</v>
      </c>
      <c r="K306" s="164">
        <f>IF((Observaciones[[#This Row],[Fecha Levantamiento]]-Observaciones[[#This Row],[Fecha Detección]])&gt;=0,Observaciones[[#This Row],[Fecha Levantamiento]]-Observaciones[[#This Row],[Fecha Detección]]+1,0)</f>
        <v>0</v>
      </c>
      <c r="L306" s="164" t="str">
        <f>LOOKUP(Observaciones[[#This Row],[Caso de Prueba]],CasoPrueba[Código CP],CasoPrueba[Código de REQ])</f>
        <v>INSPECCIÓN</v>
      </c>
    </row>
    <row r="307" spans="1:12" ht="45" hidden="1">
      <c r="A307" s="166" t="s">
        <v>758</v>
      </c>
      <c r="B307" s="164" t="s">
        <v>914</v>
      </c>
      <c r="C307" s="164" t="str">
        <f>VLOOKUP(Observaciones[Caso de Prueba],CasoPrueba[[#All],[Código CP]:[Prioridad]],7,TRUE)</f>
        <v>Alta</v>
      </c>
      <c r="D307" s="164" t="s">
        <v>29</v>
      </c>
      <c r="E307" s="164" t="s">
        <v>47</v>
      </c>
      <c r="F307" s="165">
        <v>40845</v>
      </c>
      <c r="H307" s="94" t="s">
        <v>132</v>
      </c>
      <c r="I307" s="164" t="s">
        <v>1019</v>
      </c>
      <c r="J307" s="164" t="s">
        <v>1056</v>
      </c>
      <c r="K307" s="164">
        <f>IF((Observaciones[[#This Row],[Fecha Levantamiento]]-Observaciones[[#This Row],[Fecha Detección]])&gt;=0,Observaciones[[#This Row],[Fecha Levantamiento]]-Observaciones[[#This Row],[Fecha Detección]]+1,0)</f>
        <v>0</v>
      </c>
      <c r="L307" s="164" t="str">
        <f>LOOKUP(Observaciones[[#This Row],[Caso de Prueba]],CasoPrueba[Código CP],CasoPrueba[Código de REQ])</f>
        <v>INSPECCIÓN</v>
      </c>
    </row>
    <row r="308" spans="1:12" ht="30" hidden="1">
      <c r="A308" s="166" t="s">
        <v>759</v>
      </c>
      <c r="B308" s="164" t="s">
        <v>914</v>
      </c>
      <c r="C308" s="164" t="str">
        <f>VLOOKUP(Observaciones[Caso de Prueba],CasoPrueba[[#All],[Código CP]:[Prioridad]],7,TRUE)</f>
        <v>Alta</v>
      </c>
      <c r="D308" s="164" t="s">
        <v>162</v>
      </c>
      <c r="E308" s="164" t="s">
        <v>47</v>
      </c>
      <c r="F308" s="165">
        <v>40845</v>
      </c>
      <c r="H308" s="94" t="s">
        <v>132</v>
      </c>
      <c r="I308" s="164" t="s">
        <v>1020</v>
      </c>
      <c r="J308" s="164" t="s">
        <v>1057</v>
      </c>
      <c r="K308" s="164">
        <f>IF((Observaciones[[#This Row],[Fecha Levantamiento]]-Observaciones[[#This Row],[Fecha Detección]])&gt;=0,Observaciones[[#This Row],[Fecha Levantamiento]]-Observaciones[[#This Row],[Fecha Detección]]+1,0)</f>
        <v>0</v>
      </c>
      <c r="L308" s="164" t="str">
        <f>LOOKUP(Observaciones[[#This Row],[Caso de Prueba]],CasoPrueba[Código CP],CasoPrueba[Código de REQ])</f>
        <v>INSPECCIÓN</v>
      </c>
    </row>
    <row r="309" spans="1:12" ht="60" hidden="1">
      <c r="A309" s="166" t="s">
        <v>760</v>
      </c>
      <c r="B309" s="164" t="s">
        <v>914</v>
      </c>
      <c r="C309" s="164" t="str">
        <f>VLOOKUP(Observaciones[Caso de Prueba],CasoPrueba[[#All],[Código CP]:[Prioridad]],7,TRUE)</f>
        <v>Alta</v>
      </c>
      <c r="D309" s="164" t="s">
        <v>30</v>
      </c>
      <c r="E309" s="164" t="s">
        <v>47</v>
      </c>
      <c r="F309" s="165">
        <v>40845</v>
      </c>
      <c r="H309" s="94" t="s">
        <v>132</v>
      </c>
      <c r="I309" s="164" t="s">
        <v>1021</v>
      </c>
      <c r="J309" s="164" t="s">
        <v>1058</v>
      </c>
      <c r="K309" s="164">
        <f>IF((Observaciones[[#This Row],[Fecha Levantamiento]]-Observaciones[[#This Row],[Fecha Detección]])&gt;=0,Observaciones[[#This Row],[Fecha Levantamiento]]-Observaciones[[#This Row],[Fecha Detección]]+1,0)</f>
        <v>0</v>
      </c>
      <c r="L309" s="164" t="str">
        <f>LOOKUP(Observaciones[[#This Row],[Caso de Prueba]],CasoPrueba[Código CP],CasoPrueba[Código de REQ])</f>
        <v>INSPECCIÓN</v>
      </c>
    </row>
    <row r="310" spans="1:12" ht="30" hidden="1">
      <c r="A310" s="166" t="s">
        <v>761</v>
      </c>
      <c r="B310" s="164" t="s">
        <v>914</v>
      </c>
      <c r="C310" s="164" t="str">
        <f>VLOOKUP(Observaciones[Caso de Prueba],CasoPrueba[[#All],[Código CP]:[Prioridad]],7,TRUE)</f>
        <v>Alta</v>
      </c>
      <c r="D310" s="164" t="s">
        <v>162</v>
      </c>
      <c r="E310" s="164" t="s">
        <v>47</v>
      </c>
      <c r="F310" s="165">
        <v>40845</v>
      </c>
      <c r="H310" s="94" t="s">
        <v>132</v>
      </c>
      <c r="I310" s="164" t="s">
        <v>1022</v>
      </c>
      <c r="J310" s="164" t="s">
        <v>833</v>
      </c>
      <c r="K310" s="164">
        <f>IF((Observaciones[[#This Row],[Fecha Levantamiento]]-Observaciones[[#This Row],[Fecha Detección]])&gt;=0,Observaciones[[#This Row],[Fecha Levantamiento]]-Observaciones[[#This Row],[Fecha Detección]]+1,0)</f>
        <v>0</v>
      </c>
      <c r="L310" s="164" t="str">
        <f>LOOKUP(Observaciones[[#This Row],[Caso de Prueba]],CasoPrueba[Código CP],CasoPrueba[Código de REQ])</f>
        <v>INSPECCIÓN</v>
      </c>
    </row>
    <row r="311" spans="1:12" ht="45" hidden="1">
      <c r="A311" s="166" t="s">
        <v>762</v>
      </c>
      <c r="B311" s="164" t="s">
        <v>914</v>
      </c>
      <c r="C311" s="164" t="str">
        <f>VLOOKUP(Observaciones[Caso de Prueba],CasoPrueba[[#All],[Código CP]:[Prioridad]],7,TRUE)</f>
        <v>Alta</v>
      </c>
      <c r="D311" s="164" t="s">
        <v>29</v>
      </c>
      <c r="E311" s="164" t="s">
        <v>47</v>
      </c>
      <c r="F311" s="165">
        <v>40845</v>
      </c>
      <c r="H311" s="94" t="s">
        <v>132</v>
      </c>
      <c r="I311" s="164" t="s">
        <v>1023</v>
      </c>
      <c r="J311" s="164" t="s">
        <v>1059</v>
      </c>
      <c r="K311" s="164">
        <f>IF((Observaciones[[#This Row],[Fecha Levantamiento]]-Observaciones[[#This Row],[Fecha Detección]])&gt;=0,Observaciones[[#This Row],[Fecha Levantamiento]]-Observaciones[[#This Row],[Fecha Detección]]+1,0)</f>
        <v>0</v>
      </c>
      <c r="L311" s="164" t="str">
        <f>LOOKUP(Observaciones[[#This Row],[Caso de Prueba]],CasoPrueba[Código CP],CasoPrueba[Código de REQ])</f>
        <v>INSPECCIÓN</v>
      </c>
    </row>
    <row r="312" spans="1:12" ht="30.75" hidden="1" customHeight="1">
      <c r="A312" s="166" t="s">
        <v>763</v>
      </c>
      <c r="B312" s="164" t="s">
        <v>914</v>
      </c>
      <c r="C312" s="164" t="str">
        <f>VLOOKUP(Observaciones[Caso de Prueba],CasoPrueba[[#All],[Código CP]:[Prioridad]],7,TRUE)</f>
        <v>Alta</v>
      </c>
      <c r="D312" s="164" t="s">
        <v>162</v>
      </c>
      <c r="E312" s="164" t="s">
        <v>47</v>
      </c>
      <c r="F312" s="165">
        <v>40845</v>
      </c>
      <c r="H312" s="94" t="s">
        <v>132</v>
      </c>
      <c r="I312" s="164" t="s">
        <v>1024</v>
      </c>
      <c r="J312" s="164" t="s">
        <v>1060</v>
      </c>
      <c r="K312" s="164">
        <f>IF((Observaciones[[#This Row],[Fecha Levantamiento]]-Observaciones[[#This Row],[Fecha Detección]])&gt;=0,Observaciones[[#This Row],[Fecha Levantamiento]]-Observaciones[[#This Row],[Fecha Detección]]+1,0)</f>
        <v>0</v>
      </c>
      <c r="L312" s="164" t="str">
        <f>LOOKUP(Observaciones[[#This Row],[Caso de Prueba]],CasoPrueba[Código CP],CasoPrueba[Código de REQ])</f>
        <v>INSPECCIÓN</v>
      </c>
    </row>
    <row r="313" spans="1:12" ht="45" hidden="1">
      <c r="A313" s="166" t="s">
        <v>764</v>
      </c>
      <c r="B313" s="164" t="s">
        <v>914</v>
      </c>
      <c r="C313" s="164" t="str">
        <f>VLOOKUP(Observaciones[Caso de Prueba],CasoPrueba[[#All],[Código CP]:[Prioridad]],7,TRUE)</f>
        <v>Alta</v>
      </c>
      <c r="D313" s="164" t="s">
        <v>162</v>
      </c>
      <c r="E313" s="164" t="s">
        <v>47</v>
      </c>
      <c r="F313" s="165">
        <v>40845</v>
      </c>
      <c r="H313" s="94" t="s">
        <v>132</v>
      </c>
      <c r="I313" s="164" t="s">
        <v>1025</v>
      </c>
      <c r="J313" s="164" t="s">
        <v>833</v>
      </c>
      <c r="K313" s="164">
        <f>IF((Observaciones[[#This Row],[Fecha Levantamiento]]-Observaciones[[#This Row],[Fecha Detección]])&gt;=0,Observaciones[[#This Row],[Fecha Levantamiento]]-Observaciones[[#This Row],[Fecha Detección]]+1,0)</f>
        <v>0</v>
      </c>
      <c r="L313" s="164" t="str">
        <f>LOOKUP(Observaciones[[#This Row],[Caso de Prueba]],CasoPrueba[Código CP],CasoPrueba[Código de REQ])</f>
        <v>INSPECCIÓN</v>
      </c>
    </row>
    <row r="314" spans="1:12" ht="30" hidden="1">
      <c r="A314" s="166" t="s">
        <v>765</v>
      </c>
      <c r="B314" s="164" t="s">
        <v>914</v>
      </c>
      <c r="C314" s="34" t="str">
        <f>VLOOKUP(Observaciones[Caso de Prueba],CasoPrueba[[#All],[Código CP]:[Prioridad]],7,TRUE)</f>
        <v>Alta</v>
      </c>
      <c r="D314" s="34" t="s">
        <v>30</v>
      </c>
      <c r="E314" s="164" t="s">
        <v>47</v>
      </c>
      <c r="F314" s="165">
        <v>40845</v>
      </c>
      <c r="H314" s="94" t="s">
        <v>132</v>
      </c>
      <c r="I314" s="34" t="s">
        <v>1026</v>
      </c>
      <c r="J314" s="34" t="s">
        <v>845</v>
      </c>
      <c r="K314" s="34">
        <f>IF((Observaciones[[#This Row],[Fecha Levantamiento]]-Observaciones[[#This Row],[Fecha Detección]])&gt;=0,Observaciones[[#This Row],[Fecha Levantamiento]]-Observaciones[[#This Row],[Fecha Detección]]+1,0)</f>
        <v>0</v>
      </c>
      <c r="L314" s="34" t="str">
        <f>LOOKUP(Observaciones[[#This Row],[Caso de Prueba]],CasoPrueba[Código CP],CasoPrueba[Código de REQ])</f>
        <v>INSPECCIÓN</v>
      </c>
    </row>
    <row r="315" spans="1:12" ht="45" hidden="1">
      <c r="A315" s="166" t="s">
        <v>766</v>
      </c>
      <c r="B315" s="164" t="s">
        <v>915</v>
      </c>
      <c r="C315" s="34" t="str">
        <f>VLOOKUP(Observaciones[Caso de Prueba],CasoPrueba[[#All],[Código CP]:[Prioridad]],7,TRUE)</f>
        <v>Alta</v>
      </c>
      <c r="D315" s="34" t="s">
        <v>28</v>
      </c>
      <c r="E315" s="164" t="s">
        <v>47</v>
      </c>
      <c r="F315" s="165">
        <v>40845</v>
      </c>
      <c r="H315" s="94" t="s">
        <v>132</v>
      </c>
      <c r="I315" s="34" t="s">
        <v>607</v>
      </c>
      <c r="J315" s="34" t="s">
        <v>1061</v>
      </c>
      <c r="K315" s="34">
        <f>IF((Observaciones[[#This Row],[Fecha Levantamiento]]-Observaciones[[#This Row],[Fecha Detección]])&gt;=0,Observaciones[[#This Row],[Fecha Levantamiento]]-Observaciones[[#This Row],[Fecha Detección]]+1,0)</f>
        <v>0</v>
      </c>
      <c r="L315" s="34" t="str">
        <f>LOOKUP(Observaciones[[#This Row],[Caso de Prueba]],CasoPrueba[Código CP],CasoPrueba[Código de REQ])</f>
        <v>INSPECCIÓN</v>
      </c>
    </row>
    <row r="316" spans="1:12" ht="30" hidden="1">
      <c r="A316" s="166" t="s">
        <v>767</v>
      </c>
      <c r="B316" s="164" t="s">
        <v>915</v>
      </c>
      <c r="C316" s="34" t="str">
        <f>VLOOKUP(Observaciones[Caso de Prueba],CasoPrueba[[#All],[Código CP]:[Prioridad]],7,TRUE)</f>
        <v>Alta</v>
      </c>
      <c r="D316" s="164" t="s">
        <v>162</v>
      </c>
      <c r="E316" s="164" t="s">
        <v>47</v>
      </c>
      <c r="F316" s="165">
        <v>40845</v>
      </c>
      <c r="H316" s="94" t="s">
        <v>132</v>
      </c>
      <c r="I316" s="34" t="s">
        <v>1027</v>
      </c>
      <c r="J316" s="34" t="s">
        <v>1062</v>
      </c>
      <c r="K316" s="34">
        <f>IF((Observaciones[[#This Row],[Fecha Levantamiento]]-Observaciones[[#This Row],[Fecha Detección]])&gt;=0,Observaciones[[#This Row],[Fecha Levantamiento]]-Observaciones[[#This Row],[Fecha Detección]]+1,0)</f>
        <v>0</v>
      </c>
      <c r="L316" s="34" t="str">
        <f>LOOKUP(Observaciones[[#This Row],[Caso de Prueba]],CasoPrueba[Código CP],CasoPrueba[Código de REQ])</f>
        <v>INSPECCIÓN</v>
      </c>
    </row>
    <row r="317" spans="1:12" ht="45" hidden="1">
      <c r="A317" s="166" t="s">
        <v>768</v>
      </c>
      <c r="B317" s="164" t="s">
        <v>915</v>
      </c>
      <c r="C317" s="34" t="str">
        <f>VLOOKUP(Observaciones[Caso de Prueba],CasoPrueba[[#All],[Código CP]:[Prioridad]],7,TRUE)</f>
        <v>Alta</v>
      </c>
      <c r="D317" s="34" t="s">
        <v>28</v>
      </c>
      <c r="E317" s="164" t="s">
        <v>47</v>
      </c>
      <c r="F317" s="165">
        <v>40845</v>
      </c>
      <c r="H317" s="94" t="s">
        <v>132</v>
      </c>
      <c r="I317" s="34" t="s">
        <v>1030</v>
      </c>
      <c r="J317" s="34" t="s">
        <v>1063</v>
      </c>
      <c r="K317" s="34">
        <f>IF((Observaciones[[#This Row],[Fecha Levantamiento]]-Observaciones[[#This Row],[Fecha Detección]])&gt;=0,Observaciones[[#This Row],[Fecha Levantamiento]]-Observaciones[[#This Row],[Fecha Detección]]+1,0)</f>
        <v>0</v>
      </c>
      <c r="L317" s="34" t="str">
        <f>LOOKUP(Observaciones[[#This Row],[Caso de Prueba]],CasoPrueba[Código CP],CasoPrueba[Código de REQ])</f>
        <v>INSPECCIÓN</v>
      </c>
    </row>
    <row r="318" spans="1:12" ht="75" hidden="1">
      <c r="A318" s="166" t="s">
        <v>769</v>
      </c>
      <c r="B318" s="164" t="s">
        <v>915</v>
      </c>
      <c r="C318" s="34" t="str">
        <f>VLOOKUP(Observaciones[Caso de Prueba],CasoPrueba[[#All],[Código CP]:[Prioridad]],7,TRUE)</f>
        <v>Alta</v>
      </c>
      <c r="D318" s="34" t="s">
        <v>29</v>
      </c>
      <c r="E318" s="164" t="s">
        <v>47</v>
      </c>
      <c r="F318" s="165">
        <v>40845</v>
      </c>
      <c r="H318" s="94" t="s">
        <v>132</v>
      </c>
      <c r="I318" s="34" t="s">
        <v>1035</v>
      </c>
      <c r="J318" s="34" t="s">
        <v>996</v>
      </c>
      <c r="K318" s="34">
        <f>IF((Observaciones[[#This Row],[Fecha Levantamiento]]-Observaciones[[#This Row],[Fecha Detección]])&gt;=0,Observaciones[[#This Row],[Fecha Levantamiento]]-Observaciones[[#This Row],[Fecha Detección]]+1,0)</f>
        <v>0</v>
      </c>
      <c r="L318" s="34" t="str">
        <f>LOOKUP(Observaciones[[#This Row],[Caso de Prueba]],CasoPrueba[Código CP],CasoPrueba[Código de REQ])</f>
        <v>INSPECCIÓN</v>
      </c>
    </row>
    <row r="319" spans="1:12" ht="60" hidden="1">
      <c r="A319" s="166" t="s">
        <v>770</v>
      </c>
      <c r="B319" s="164" t="s">
        <v>915</v>
      </c>
      <c r="C319" s="34" t="str">
        <f>VLOOKUP(Observaciones[Caso de Prueba],CasoPrueba[[#All],[Código CP]:[Prioridad]],7,TRUE)</f>
        <v>Alta</v>
      </c>
      <c r="D319" s="34" t="s">
        <v>28</v>
      </c>
      <c r="E319" s="164" t="s">
        <v>47</v>
      </c>
      <c r="F319" s="165">
        <v>40845</v>
      </c>
      <c r="H319" s="94" t="s">
        <v>132</v>
      </c>
      <c r="I319" s="34" t="s">
        <v>1028</v>
      </c>
      <c r="J319" s="34" t="s">
        <v>1064</v>
      </c>
      <c r="K319" s="34">
        <f>IF((Observaciones[[#This Row],[Fecha Levantamiento]]-Observaciones[[#This Row],[Fecha Detección]])&gt;=0,Observaciones[[#This Row],[Fecha Levantamiento]]-Observaciones[[#This Row],[Fecha Detección]]+1,0)</f>
        <v>0</v>
      </c>
      <c r="L319" s="34" t="str">
        <f>LOOKUP(Observaciones[[#This Row],[Caso de Prueba]],CasoPrueba[Código CP],CasoPrueba[Código de REQ])</f>
        <v>INSPECCIÓN</v>
      </c>
    </row>
    <row r="320" spans="1:12" ht="30" hidden="1">
      <c r="A320" s="166" t="s">
        <v>771</v>
      </c>
      <c r="B320" s="164" t="s">
        <v>915</v>
      </c>
      <c r="C320" s="34" t="str">
        <f>VLOOKUP(Observaciones[Caso de Prueba],CasoPrueba[[#All],[Código CP]:[Prioridad]],7,TRUE)</f>
        <v>Alta</v>
      </c>
      <c r="D320" s="34" t="s">
        <v>30</v>
      </c>
      <c r="E320" s="164" t="s">
        <v>47</v>
      </c>
      <c r="F320" s="165">
        <v>40845</v>
      </c>
      <c r="H320" s="94" t="s">
        <v>132</v>
      </c>
      <c r="I320" s="34" t="s">
        <v>1029</v>
      </c>
      <c r="J320" s="34" t="s">
        <v>1065</v>
      </c>
      <c r="K320" s="34">
        <f>IF((Observaciones[[#This Row],[Fecha Levantamiento]]-Observaciones[[#This Row],[Fecha Detección]])&gt;=0,Observaciones[[#This Row],[Fecha Levantamiento]]-Observaciones[[#This Row],[Fecha Detección]]+1,0)</f>
        <v>0</v>
      </c>
      <c r="L320" s="34" t="str">
        <f>LOOKUP(Observaciones[[#This Row],[Caso de Prueba]],CasoPrueba[Código CP],CasoPrueba[Código de REQ])</f>
        <v>INSPECCIÓN</v>
      </c>
    </row>
    <row r="321" spans="1:12" ht="30" hidden="1">
      <c r="A321" s="166" t="s">
        <v>772</v>
      </c>
      <c r="B321" s="164" t="s">
        <v>915</v>
      </c>
      <c r="C321" s="34" t="str">
        <f>VLOOKUP(Observaciones[Caso de Prueba],CasoPrueba[[#All],[Código CP]:[Prioridad]],7,TRUE)</f>
        <v>Alta</v>
      </c>
      <c r="D321" s="34" t="s">
        <v>162</v>
      </c>
      <c r="E321" s="164" t="s">
        <v>47</v>
      </c>
      <c r="F321" s="165">
        <v>40845</v>
      </c>
      <c r="H321" s="94" t="s">
        <v>132</v>
      </c>
      <c r="I321" s="34" t="s">
        <v>1031</v>
      </c>
      <c r="J321" s="34" t="s">
        <v>1066</v>
      </c>
      <c r="K321" s="34">
        <f>IF((Observaciones[[#This Row],[Fecha Levantamiento]]-Observaciones[[#This Row],[Fecha Detección]])&gt;=0,Observaciones[[#This Row],[Fecha Levantamiento]]-Observaciones[[#This Row],[Fecha Detección]]+1,0)</f>
        <v>0</v>
      </c>
      <c r="L321" s="34" t="str">
        <f>LOOKUP(Observaciones[[#This Row],[Caso de Prueba]],CasoPrueba[Código CP],CasoPrueba[Código de REQ])</f>
        <v>INSPECCIÓN</v>
      </c>
    </row>
    <row r="322" spans="1:12" ht="75" hidden="1">
      <c r="A322" s="166" t="s">
        <v>773</v>
      </c>
      <c r="B322" s="164" t="s">
        <v>915</v>
      </c>
      <c r="C322" s="34" t="str">
        <f>VLOOKUP(Observaciones[Caso de Prueba],CasoPrueba[[#All],[Código CP]:[Prioridad]],7,TRUE)</f>
        <v>Alta</v>
      </c>
      <c r="D322" s="34" t="s">
        <v>29</v>
      </c>
      <c r="E322" s="164" t="s">
        <v>47</v>
      </c>
      <c r="F322" s="165">
        <v>40845</v>
      </c>
      <c r="H322" s="94" t="s">
        <v>132</v>
      </c>
      <c r="I322" s="34" t="s">
        <v>1032</v>
      </c>
      <c r="J322" s="34" t="s">
        <v>1067</v>
      </c>
      <c r="K322" s="34">
        <f>IF((Observaciones[[#This Row],[Fecha Levantamiento]]-Observaciones[[#This Row],[Fecha Detección]])&gt;=0,Observaciones[[#This Row],[Fecha Levantamiento]]-Observaciones[[#This Row],[Fecha Detección]]+1,0)</f>
        <v>0</v>
      </c>
      <c r="L322" s="34" t="str">
        <f>LOOKUP(Observaciones[[#This Row],[Caso de Prueba]],CasoPrueba[Código CP],CasoPrueba[Código de REQ])</f>
        <v>INSPECCIÓN</v>
      </c>
    </row>
    <row r="323" spans="1:12" ht="30" hidden="1">
      <c r="A323" s="166" t="s">
        <v>774</v>
      </c>
      <c r="B323" s="164" t="s">
        <v>915</v>
      </c>
      <c r="C323" s="34" t="str">
        <f>VLOOKUP(Observaciones[Caso de Prueba],CasoPrueba[[#All],[Código CP]:[Prioridad]],7,TRUE)</f>
        <v>Alta</v>
      </c>
      <c r="D323" s="34" t="s">
        <v>162</v>
      </c>
      <c r="E323" s="164" t="s">
        <v>47</v>
      </c>
      <c r="F323" s="165">
        <v>40845</v>
      </c>
      <c r="H323" s="94" t="s">
        <v>132</v>
      </c>
      <c r="I323" s="34" t="s">
        <v>1033</v>
      </c>
      <c r="J323" s="34" t="s">
        <v>1068</v>
      </c>
      <c r="K323" s="34">
        <f>IF((Observaciones[[#This Row],[Fecha Levantamiento]]-Observaciones[[#This Row],[Fecha Detección]])&gt;=0,Observaciones[[#This Row],[Fecha Levantamiento]]-Observaciones[[#This Row],[Fecha Detección]]+1,0)</f>
        <v>0</v>
      </c>
      <c r="L323" s="34" t="str">
        <f>LOOKUP(Observaciones[[#This Row],[Caso de Prueba]],CasoPrueba[Código CP],CasoPrueba[Código de REQ])</f>
        <v>INSPECCIÓN</v>
      </c>
    </row>
    <row r="324" spans="1:12" ht="45" hidden="1">
      <c r="A324" s="166" t="s">
        <v>775</v>
      </c>
      <c r="B324" s="164" t="s">
        <v>916</v>
      </c>
      <c r="C324" s="34" t="str">
        <f>VLOOKUP(Observaciones[Caso de Prueba],CasoPrueba[[#All],[Código CP]:[Prioridad]],7,TRUE)</f>
        <v>Alta</v>
      </c>
      <c r="D324" s="34" t="s">
        <v>28</v>
      </c>
      <c r="E324" s="34" t="s">
        <v>47</v>
      </c>
      <c r="F324" s="165">
        <v>40845</v>
      </c>
      <c r="H324" s="94" t="s">
        <v>132</v>
      </c>
      <c r="I324" s="34" t="s">
        <v>607</v>
      </c>
      <c r="J324" s="34" t="s">
        <v>1069</v>
      </c>
      <c r="K324" s="34">
        <f>IF((Observaciones[[#This Row],[Fecha Levantamiento]]-Observaciones[[#This Row],[Fecha Detección]])&gt;=0,Observaciones[[#This Row],[Fecha Levantamiento]]-Observaciones[[#This Row],[Fecha Detección]]+1,0)</f>
        <v>0</v>
      </c>
      <c r="L324" s="34" t="str">
        <f>LOOKUP(Observaciones[[#This Row],[Caso de Prueba]],CasoPrueba[Código CP],CasoPrueba[Código de REQ])</f>
        <v>INSPECCIÓN</v>
      </c>
    </row>
    <row r="325" spans="1:12" ht="30" hidden="1">
      <c r="A325" s="166" t="s">
        <v>776</v>
      </c>
      <c r="B325" s="164" t="s">
        <v>916</v>
      </c>
      <c r="C325" s="34" t="str">
        <f>VLOOKUP(Observaciones[Caso de Prueba],CasoPrueba[[#All],[Código CP]:[Prioridad]],7,TRUE)</f>
        <v>Alta</v>
      </c>
      <c r="D325" s="164" t="s">
        <v>162</v>
      </c>
      <c r="E325" s="34" t="s">
        <v>47</v>
      </c>
      <c r="F325" s="165">
        <v>40845</v>
      </c>
      <c r="H325" s="94" t="s">
        <v>132</v>
      </c>
      <c r="I325" s="34" t="s">
        <v>1027</v>
      </c>
      <c r="J325" s="34" t="s">
        <v>1062</v>
      </c>
      <c r="K325" s="34">
        <f>IF((Observaciones[[#This Row],[Fecha Levantamiento]]-Observaciones[[#This Row],[Fecha Detección]])&gt;=0,Observaciones[[#This Row],[Fecha Levantamiento]]-Observaciones[[#This Row],[Fecha Detección]]+1,0)</f>
        <v>0</v>
      </c>
      <c r="L325" s="34" t="str">
        <f>LOOKUP(Observaciones[[#This Row],[Caso de Prueba]],CasoPrueba[Código CP],CasoPrueba[Código de REQ])</f>
        <v>INSPECCIÓN</v>
      </c>
    </row>
    <row r="326" spans="1:12" ht="60" hidden="1">
      <c r="A326" s="166" t="s">
        <v>777</v>
      </c>
      <c r="B326" s="164" t="s">
        <v>916</v>
      </c>
      <c r="C326" s="34" t="str">
        <f>VLOOKUP(Observaciones[Caso de Prueba],CasoPrueba[[#All],[Código CP]:[Prioridad]],7,TRUE)</f>
        <v>Alta</v>
      </c>
      <c r="D326" s="34" t="s">
        <v>28</v>
      </c>
      <c r="E326" s="34" t="s">
        <v>47</v>
      </c>
      <c r="F326" s="165">
        <v>40845</v>
      </c>
      <c r="H326" s="94" t="s">
        <v>132</v>
      </c>
      <c r="I326" s="34" t="s">
        <v>1034</v>
      </c>
      <c r="J326" s="34" t="s">
        <v>992</v>
      </c>
      <c r="K326" s="34">
        <f>IF((Observaciones[[#This Row],[Fecha Levantamiento]]-Observaciones[[#This Row],[Fecha Detección]])&gt;=0,Observaciones[[#This Row],[Fecha Levantamiento]]-Observaciones[[#This Row],[Fecha Detección]]+1,0)</f>
        <v>0</v>
      </c>
      <c r="L326" s="34" t="str">
        <f>LOOKUP(Observaciones[[#This Row],[Caso de Prueba]],CasoPrueba[Código CP],CasoPrueba[Código de REQ])</f>
        <v>INSPECCIÓN</v>
      </c>
    </row>
    <row r="327" spans="1:12" ht="30" hidden="1">
      <c r="A327" s="166" t="s">
        <v>778</v>
      </c>
      <c r="B327" s="164" t="s">
        <v>916</v>
      </c>
      <c r="C327" s="34" t="str">
        <f>VLOOKUP(Observaciones[Caso de Prueba],CasoPrueba[[#All],[Código CP]:[Prioridad]],7,TRUE)</f>
        <v>Alta</v>
      </c>
      <c r="D327" s="34" t="s">
        <v>162</v>
      </c>
      <c r="E327" s="34" t="s">
        <v>47</v>
      </c>
      <c r="F327" s="165">
        <v>40845</v>
      </c>
      <c r="H327" s="94" t="s">
        <v>132</v>
      </c>
      <c r="I327" s="34" t="s">
        <v>1036</v>
      </c>
      <c r="J327" s="34" t="s">
        <v>1070</v>
      </c>
      <c r="K327" s="34">
        <f>IF((Observaciones[[#This Row],[Fecha Levantamiento]]-Observaciones[[#This Row],[Fecha Detección]])&gt;=0,Observaciones[[#This Row],[Fecha Levantamiento]]-Observaciones[[#This Row],[Fecha Detección]]+1,0)</f>
        <v>0</v>
      </c>
      <c r="L327" s="34" t="str">
        <f>LOOKUP(Observaciones[[#This Row],[Caso de Prueba]],CasoPrueba[Código CP],CasoPrueba[Código de REQ])</f>
        <v>INSPECCIÓN</v>
      </c>
    </row>
    <row r="328" spans="1:12" ht="30" hidden="1">
      <c r="A328" s="166" t="s">
        <v>779</v>
      </c>
      <c r="B328" s="164" t="s">
        <v>916</v>
      </c>
      <c r="C328" s="34" t="str">
        <f>VLOOKUP(Observaciones[Caso de Prueba],CasoPrueba[[#All],[Código CP]:[Prioridad]],7,TRUE)</f>
        <v>Alta</v>
      </c>
      <c r="D328" s="34" t="s">
        <v>29</v>
      </c>
      <c r="E328" s="34" t="s">
        <v>47</v>
      </c>
      <c r="F328" s="165">
        <v>40845</v>
      </c>
      <c r="H328" s="94" t="s">
        <v>132</v>
      </c>
      <c r="I328" s="34" t="s">
        <v>1037</v>
      </c>
      <c r="J328" s="34" t="s">
        <v>1071</v>
      </c>
      <c r="K328" s="34">
        <f>IF((Observaciones[[#This Row],[Fecha Levantamiento]]-Observaciones[[#This Row],[Fecha Detección]])&gt;=0,Observaciones[[#This Row],[Fecha Levantamiento]]-Observaciones[[#This Row],[Fecha Detección]]+1,0)</f>
        <v>0</v>
      </c>
      <c r="L328" s="34" t="str">
        <f>LOOKUP(Observaciones[[#This Row],[Caso de Prueba]],CasoPrueba[Código CP],CasoPrueba[Código de REQ])</f>
        <v>INSPECCIÓN</v>
      </c>
    </row>
    <row r="329" spans="1:12" ht="30">
      <c r="A329" s="166" t="s">
        <v>780</v>
      </c>
      <c r="B329" s="164" t="s">
        <v>499</v>
      </c>
      <c r="C329" s="34" t="str">
        <f>VLOOKUP(Observaciones[Caso de Prueba],CasoPrueba[[#All],[Código CP]:[Prioridad]],7,TRUE)</f>
        <v>Alta</v>
      </c>
      <c r="D329" s="34" t="s">
        <v>30</v>
      </c>
      <c r="E329" s="34" t="s">
        <v>47</v>
      </c>
      <c r="F329" s="165">
        <v>40847</v>
      </c>
      <c r="H329" s="94" t="s">
        <v>132</v>
      </c>
      <c r="I329" s="34" t="s">
        <v>1029</v>
      </c>
      <c r="J329" s="34" t="s">
        <v>1052</v>
      </c>
      <c r="K329" s="34">
        <f>IF((Observaciones[[#This Row],[Fecha Levantamiento]]-Observaciones[[#This Row],[Fecha Detección]])&gt;=0,Observaciones[[#This Row],[Fecha Levantamiento]]-Observaciones[[#This Row],[Fecha Detección]]+1,0)</f>
        <v>0</v>
      </c>
      <c r="L329" s="34" t="str">
        <f>LOOKUP(Observaciones[[#This Row],[Caso de Prueba]],CasoPrueba[Código CP],CasoPrueba[Código de REQ])</f>
        <v>INSPECCIÓN</v>
      </c>
    </row>
    <row r="330" spans="1:12" ht="30">
      <c r="A330" s="166" t="s">
        <v>781</v>
      </c>
      <c r="B330" s="164" t="s">
        <v>499</v>
      </c>
      <c r="C330" s="34" t="str">
        <f>VLOOKUP(Observaciones[Caso de Prueba],CasoPrueba[[#All],[Código CP]:[Prioridad]],7,TRUE)</f>
        <v>Alta</v>
      </c>
      <c r="D330" s="34" t="s">
        <v>162</v>
      </c>
      <c r="E330" s="34" t="s">
        <v>47</v>
      </c>
      <c r="F330" s="165">
        <v>40847</v>
      </c>
      <c r="H330" s="94" t="s">
        <v>132</v>
      </c>
      <c r="I330" s="34" t="s">
        <v>1041</v>
      </c>
      <c r="J330" s="34" t="s">
        <v>199</v>
      </c>
      <c r="K330" s="34">
        <f>IF((Observaciones[[#This Row],[Fecha Levantamiento]]-Observaciones[[#This Row],[Fecha Detección]])&gt;=0,Observaciones[[#This Row],[Fecha Levantamiento]]-Observaciones[[#This Row],[Fecha Detección]]+1,0)</f>
        <v>0</v>
      </c>
      <c r="L330" s="34" t="str">
        <f>LOOKUP(Observaciones[[#This Row],[Caso de Prueba]],CasoPrueba[Código CP],CasoPrueba[Código de REQ])</f>
        <v>INSPECCIÓN</v>
      </c>
    </row>
    <row r="331" spans="1:12" ht="45">
      <c r="A331" s="166" t="s">
        <v>782</v>
      </c>
      <c r="B331" s="164" t="s">
        <v>624</v>
      </c>
      <c r="C331" s="34" t="str">
        <f>VLOOKUP(Observaciones[Caso de Prueba],CasoPrueba[[#All],[Código CP]:[Prioridad]],7,TRUE)</f>
        <v>Alta</v>
      </c>
      <c r="D331" s="34" t="s">
        <v>30</v>
      </c>
      <c r="E331" s="34" t="s">
        <v>47</v>
      </c>
      <c r="F331" s="165">
        <v>40847</v>
      </c>
      <c r="H331" s="94" t="s">
        <v>132</v>
      </c>
      <c r="I331" s="34" t="s">
        <v>1042</v>
      </c>
      <c r="J331" s="34" t="s">
        <v>828</v>
      </c>
      <c r="K331" s="34">
        <f>IF((Observaciones[[#This Row],[Fecha Levantamiento]]-Observaciones[[#This Row],[Fecha Detección]])&gt;=0,Observaciones[[#This Row],[Fecha Levantamiento]]-Observaciones[[#This Row],[Fecha Detección]]+1,0)</f>
        <v>0</v>
      </c>
      <c r="L331" s="34" t="str">
        <f>LOOKUP(Observaciones[[#This Row],[Caso de Prueba]],CasoPrueba[Código CP],CasoPrueba[Código de REQ])</f>
        <v>INSPECCIÓN</v>
      </c>
    </row>
    <row r="332" spans="1:12" ht="60">
      <c r="A332" s="166" t="s">
        <v>783</v>
      </c>
      <c r="B332" s="34" t="s">
        <v>629</v>
      </c>
      <c r="C332" s="34" t="str">
        <f>VLOOKUP(Observaciones[Caso de Prueba],CasoPrueba[[#All],[Código CP]:[Prioridad]],7,TRUE)</f>
        <v>Alta</v>
      </c>
      <c r="D332" s="34" t="s">
        <v>30</v>
      </c>
      <c r="E332" s="34" t="s">
        <v>47</v>
      </c>
      <c r="F332" s="165">
        <v>40847</v>
      </c>
      <c r="H332" s="94" t="s">
        <v>132</v>
      </c>
      <c r="I332" s="34" t="s">
        <v>1043</v>
      </c>
      <c r="J332" s="34" t="s">
        <v>1054</v>
      </c>
      <c r="K332" s="34">
        <f>IF((Observaciones[[#This Row],[Fecha Levantamiento]]-Observaciones[[#This Row],[Fecha Detección]])&gt;=0,Observaciones[[#This Row],[Fecha Levantamiento]]-Observaciones[[#This Row],[Fecha Detección]]+1,0)</f>
        <v>0</v>
      </c>
      <c r="L332" s="34" t="str">
        <f>LOOKUP(Observaciones[[#This Row],[Caso de Prueba]],CasoPrueba[Código CP],CasoPrueba[Código de REQ])</f>
        <v>INSPECCIÓN</v>
      </c>
    </row>
    <row r="333" spans="1:12" ht="30">
      <c r="A333" s="166" t="s">
        <v>784</v>
      </c>
      <c r="B333" s="34" t="s">
        <v>629</v>
      </c>
      <c r="C333" s="34" t="str">
        <f>VLOOKUP(Observaciones[Caso de Prueba],CasoPrueba[[#All],[Código CP]:[Prioridad]],7,TRUE)</f>
        <v>Alta</v>
      </c>
      <c r="D333" s="34" t="s">
        <v>162</v>
      </c>
      <c r="E333" s="34" t="s">
        <v>47</v>
      </c>
      <c r="F333" s="165">
        <v>40847</v>
      </c>
      <c r="H333" s="94" t="s">
        <v>132</v>
      </c>
      <c r="I333" s="34" t="s">
        <v>1044</v>
      </c>
      <c r="J333" s="34" t="s">
        <v>1053</v>
      </c>
      <c r="K333" s="34">
        <f>IF((Observaciones[[#This Row],[Fecha Levantamiento]]-Observaciones[[#This Row],[Fecha Detección]])&gt;=0,Observaciones[[#This Row],[Fecha Levantamiento]]-Observaciones[[#This Row],[Fecha Detección]]+1,0)</f>
        <v>0</v>
      </c>
      <c r="L333" s="34" t="str">
        <f>LOOKUP(Observaciones[[#This Row],[Caso de Prueba]],CasoPrueba[Código CP],CasoPrueba[Código de REQ])</f>
        <v>INSPECCIÓN</v>
      </c>
    </row>
    <row r="334" spans="1:12" ht="60">
      <c r="A334" s="166" t="s">
        <v>785</v>
      </c>
      <c r="B334" s="34" t="s">
        <v>663</v>
      </c>
      <c r="C334" s="34" t="str">
        <f>VLOOKUP(Observaciones[Caso de Prueba],CasoPrueba[[#All],[Código CP]:[Prioridad]],7,TRUE)</f>
        <v>Alta</v>
      </c>
      <c r="D334" s="34" t="s">
        <v>29</v>
      </c>
      <c r="E334" s="34" t="s">
        <v>47</v>
      </c>
      <c r="F334" s="165">
        <v>40847</v>
      </c>
      <c r="H334" s="94" t="s">
        <v>132</v>
      </c>
      <c r="I334" s="34" t="s">
        <v>1045</v>
      </c>
      <c r="J334" s="34" t="s">
        <v>265</v>
      </c>
      <c r="K334" s="34">
        <f>IF((Observaciones[[#This Row],[Fecha Levantamiento]]-Observaciones[[#This Row],[Fecha Detección]])&gt;=0,Observaciones[[#This Row],[Fecha Levantamiento]]-Observaciones[[#This Row],[Fecha Detección]]+1,0)</f>
        <v>0</v>
      </c>
      <c r="L334" s="34" t="str">
        <f>LOOKUP(Observaciones[[#This Row],[Caso de Prueba]],CasoPrueba[Código CP],CasoPrueba[Código de REQ])</f>
        <v>INSPECCIÓN</v>
      </c>
    </row>
    <row r="335" spans="1:12" ht="30">
      <c r="A335" s="166" t="s">
        <v>786</v>
      </c>
      <c r="B335" s="34" t="s">
        <v>663</v>
      </c>
      <c r="C335" s="34" t="str">
        <f>VLOOKUP(Observaciones[Caso de Prueba],CasoPrueba[[#All],[Código CP]:[Prioridad]],7,TRUE)</f>
        <v>Alta</v>
      </c>
      <c r="D335" s="34" t="s">
        <v>29</v>
      </c>
      <c r="E335" s="34" t="s">
        <v>47</v>
      </c>
      <c r="F335" s="165">
        <v>40847</v>
      </c>
      <c r="H335" s="94" t="s">
        <v>132</v>
      </c>
      <c r="I335" s="34" t="s">
        <v>1046</v>
      </c>
      <c r="J335" s="34" t="s">
        <v>265</v>
      </c>
      <c r="K335" s="34">
        <f>IF((Observaciones[[#This Row],[Fecha Levantamiento]]-Observaciones[[#This Row],[Fecha Detección]])&gt;=0,Observaciones[[#This Row],[Fecha Levantamiento]]-Observaciones[[#This Row],[Fecha Detección]]+1,0)</f>
        <v>0</v>
      </c>
      <c r="L335" s="34" t="str">
        <f>LOOKUP(Observaciones[[#This Row],[Caso de Prueba]],CasoPrueba[Código CP],CasoPrueba[Código de REQ])</f>
        <v>INSPECCIÓN</v>
      </c>
    </row>
    <row r="336" spans="1:12" hidden="1">
      <c r="A336" s="166" t="s">
        <v>787</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788</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789</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790</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791</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792</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793</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794</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795</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796</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797</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798</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799</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800</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801</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802</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803</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804</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805</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806</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807</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808</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809</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810</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811</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812</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473</v>
      </c>
      <c r="C3" s="34" t="str">
        <f>VLOOKUP(Consultas[[#This Row],[Caso de Prueba]],CasoPrueba[[#All],[Código CP]:[Prioridad]],7,TRUE)</f>
        <v>Alta</v>
      </c>
      <c r="D3" s="31" t="s">
        <v>49</v>
      </c>
      <c r="E3" s="31" t="s">
        <v>147</v>
      </c>
      <c r="F3" s="32">
        <v>40800</v>
      </c>
      <c r="H3" s="31" t="s">
        <v>472</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2"/>
  <sheetViews>
    <sheetView zoomScale="85" zoomScaleNormal="85" workbookViewId="0">
      <selection activeCell="I16" sqref="I16"/>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2011-11-01T16:33:37Z</dcterms:modified>
</cp:coreProperties>
</file>