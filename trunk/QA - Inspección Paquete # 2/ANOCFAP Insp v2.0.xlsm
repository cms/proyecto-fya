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846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O8" i="6" l="1"/>
  <c r="J8" i="6"/>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<sst xmlns="http://schemas.openxmlformats.org/spreadsheetml/2006/main" count="2116" uniqueCount="895">
  <si>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</si>
  <si>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</si>
  <si>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</si>
  <si>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</si>
  <si>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</si>
  <si>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</si>
  <si>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</si>
  <si>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</si>
  <si>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</si>
  <si>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</si>
  <si>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</si>
  <si>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</si>
  <si>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</si>
  <si>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</si>
  <si>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</si>
  <si>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</si>
  <si>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</si>
  <si>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</si>
  <si>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</si>
  <si>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</si>
  <si>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</si>
  <si>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</si>
  <si>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</si>
  <si>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</si>
  <si>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</si>
  <si>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</si>
  <si>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</si>
  <si>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</si>
  <si>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</si>
  <si>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</si>
  <si>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</si>
  <si>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</si>
  <si>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</si>
  <si>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</si>
  <si>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</si>
  <si>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</si>
  <si>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</si>
  <si>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</si>
  <si>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</si>
  <si>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</si>
  <si>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</si>
  <si>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</si>
  <si>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</si>
  <si>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</si>
  <si>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</si>
  <si>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</si>
  <si>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</si>
  <si>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</si>
  <si>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</si>
  <si>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</si>
  <si>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</si>
  <si>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</si>
  <si>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</si>
  <si>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</si>
  <si>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</si>
  <si>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</si>
  <si>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</si>
  <si>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</si>
  <si>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</si>
  <si>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</si>
  <si>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</si>
  <si>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</si>
  <si>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</si>
  <si>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</si>
  <si>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</si>
  <si>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</si>
  <si>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</si>
  <si>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</si>
  <si>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</si>
  <si>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</si>
  <si>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</si>
  <si>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</si>
  <si>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</si>
  <si>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</si>
  <si>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</si>
  <si>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</si>
  <si>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</si>
  <si>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</si>
  <si>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</si>
  <si>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</si>
  <si>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</si>
  <si>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</si>
  <si>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</si>
  <si>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</si>
  <si>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</si>
  <si>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</si>
  <si>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</si>
  <si>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</si>
  <si>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</si>
  <si>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</si>
  <si>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</si>
  <si>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</si>
  <si>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</si>
  <si>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</si>
  <si>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</si>
  <si>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</si>
  <si>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</si>
  <si>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</si>
  <si>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</si>
  <si>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</si>
  <si>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</si>
  <si>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</si>
  <si>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</si>
  <si>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</si>
  <si>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</si>
  <si>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</si>
  <si>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</si>
  <si>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</si>
  <si>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</si>
  <si>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</si>
  <si>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</si>
  <si>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</si>
  <si>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</si>
  <si>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</si>
  <si>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</si>
  <si>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</si>
  <si>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</si>
  <si>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</si>
  <si>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</si>
  <si>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</si>
  <si>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</si>
  <si>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</si>
  <si>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</si>
  <si>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</si>
  <si>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</si>
  <si>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</si>
  <si>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</si>
  <si>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</si>
  <si>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</si>
  <si>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</si>
  <si>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</si>
  <si>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</si>
  <si>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</si>
  <si>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</si>
  <si>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</si>
  <si>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</si>
  <si>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</si>
  <si>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</si>
  <si>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</si>
  <si>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</si>
  <si>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</si>
  <si>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</si>
  <si>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</si>
  <si>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</si>
  <si>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</si>
  <si>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</si>
  <si>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</si>
  <si>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</si>
  <si>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</si>
  <si>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</si>
  <si>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</si>
  <si>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</si>
  <si>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</si>
  <si>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</si>
  <si>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</si>
  <si>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</si>
  <si>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</si>
  <si>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</si>
  <si>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</si>
  <si>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</si>
  <si>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</si>
  <si>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</si>
  <si>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</si>
  <si>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</si>
  <si>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</si>
  <si>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</si>
  <si>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</si>
  <si>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</si>
  <si>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</si>
  <si>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</si>
  <si>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</si>
  <si>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</si>
  <si>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</si>
  <si>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</si>
  <si>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</si>
  <si>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</si>
  <si>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</si>
  <si>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</si>
  <si>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</si>
  <si>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</si>
  <si>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</si>
  <si>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</si>
  <si>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</si>
  <si>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</si>
  <si>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</si>
  <si>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</si>
  <si>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</si>
  <si>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</si>
  <si>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</si>
  <si>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</si>
  <si>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</si>
  <si>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</si>
  <si>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</si>
  <si>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</si>
  <si>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</si>
  <si>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</si>
  <si>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</si>
  <si>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</si>
  <si>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</si>
  <si>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</si>
  <si>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</si>
  <si>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</si>
  <si>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</si>
  <si>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</si>
  <si>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</si>
  <si>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</si>
  <si>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</si>
  <si>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</si>
  <si>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</si>
  <si>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</si>
  <si>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</si>
  <si>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</si>
  <si>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</si>
  <si>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</si>
  <si>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</si>
  <si>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</si>
  <si>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</si>
  <si>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</si>
  <si>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</si>
  <si>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</si>
  <si>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</si>
  <si>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</si>
  <si>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</si>
  <si>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</si>
  <si>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</si>
  <si>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</si>
  <si>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</si>
  <si>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</si>
  <si>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</si>
  <si>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</si>
  <si>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</si>
  <si>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</si>
  <si>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</si>
  <si>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</si>
  <si>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</si>
  <si>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</si>
  <si>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</si>
  <si>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</si>
  <si>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</si>
  <si>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</si>
  <si>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</si>
  <si>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</si>
  <si>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</si>
  <si>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</si>
  <si>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</si>
  <si>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</si>
  <si>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</si>
  <si>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</si>
  <si>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</si>
  <si>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</si>
  <si>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</si>
  <si>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</si>
  <si>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</si>
  <si>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</si>
  <si>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</si>
  <si>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</si>
  <si>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</si>
  <si>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</si>
  <si>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</si>
  <si>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</si>
  <si>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</si>
  <si>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</si>
  <si>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</si>
  <si>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</si>
  <si>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</si>
  <si>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</si>
  <si>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</si>
  <si>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</si>
  <si>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</si>
  <si>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</si>
  <si>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</si>
  <si>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</si>
  <si>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</si>
  <si>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</si>
  <si>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</si>
  <si>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</si>
  <si>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</si>
  <si>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</si>
  <si>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</si>
  <si>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</si>
  <si>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</si>
  <si>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</si>
  <si>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</si>
  <si>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</si>
  <si>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</si>
  <si>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</si>
  <si>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</si>
  <si>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</si>
  <si>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</si>
  <si>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</si>
  <si>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</si>
  <si>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</si>
  <si>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</si>
  <si>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</si>
  <si>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</si>
  <si>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</si>
  <si>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</si>
  <si>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</si>
  <si>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</si>
  <si>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</si>
  <si>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</si>
  <si>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</si>
  <si>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</si>
  <si>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</si>
  <si>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</si>
  <si>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</si>
  <si>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</si>
  <si>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</si>
  <si>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</si>
  <si>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</si>
  <si>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</si>
  <si>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</si>
  <si>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</si>
  <si>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</si>
  <si>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</si>
  <si>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</si>
  <si>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</si>
  <si>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</si>
  <si>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</si>
  <si>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</si>
  <si>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</si>
  <si>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</si>
  <si>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</si>
  <si>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</si>
  <si>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</si>
  <si>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</si>
  <si>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</si>
  <si>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</si>
  <si>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</si>
  <si>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</si>
  <si>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</si>
  <si>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</si>
  <si>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</si>
  <si>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</si>
  <si>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</si>
  <si>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</si>
  <si>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</si>
  <si>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</si>
  <si>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</si>
  <si>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</si>
  <si>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</si>
  <si>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</si>
  <si>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</si>
  <si>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</si>
  <si>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</si>
  <si>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</si>
  <si>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</si>
  <si>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</si>
  <si>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</si>
  <si>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</si>
  <si>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</si>
  <si>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</si>
  <si>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</si>
  <si>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</si>
  <si>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</si>
  <si>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</si>
  <si>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</si>
  <si>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</si>
  <si>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</si>
  <si>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</si>
  <si>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</si>
  <si>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</si>
  <si>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</si>
  <si>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</si>
  <si>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</si>
  <si>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</si>
  <si>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</si>
  <si>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</si>
  <si>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</si>
  <si>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</si>
  <si>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</si>
  <si>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</si>
  <si>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</si>
  <si>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</si>
  <si>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</si>
  <si>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</si>
  <si>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</si>
  <si>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</si>
  <si>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</si>
  <si>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</si>
  <si>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</si>
  <si>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</si>
  <si>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</si>
  <si>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</si>
  <si>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</si>
  <si>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</si>
  <si>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</si>
  <si>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</si>
  <si>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</si>
  <si>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</si>
  <si>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</si>
  <si>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</si>
  <si>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</si>
  <si>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</si>
  <si>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</si>
  <si>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</si>
  <si>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</si>
  <si>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</si>
  <si>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</si>
  <si>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</si>
  <si>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</si>
  <si>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</si>
  <si>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</si>
  <si>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</si>
  <si>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</si>
  <si>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</si>
  <si>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</si>
  <si>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</si>
  <si>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</si>
  <si>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</si>
  <si>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</si>
  <si>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</si>
  <si>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</si>
  <si>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</si>
  <si>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</si>
  <si>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</si>
  <si>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</si>
  <si>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</si>
  <si>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</si>
  <si>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</si>
  <si>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</si>
  <si>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</si>
  <si>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</si>
  <si>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</si>
  <si>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</si>
  <si>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</si>
  <si>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</si>
  <si>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</si>
  <si>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</si>
  <si>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</si>
  <si>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</si>
  <si>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</si>
  <si>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</si>
  <si>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</si>
  <si>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</si>
  <si>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</si>
  <si>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</si>
  <si>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</si>
  <si>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</si>
  <si>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</si>
  <si>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</si>
  <si>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</si>
  <si>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</si>
  <si>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</si>
  <si>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</si>
  <si>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</si>
  <si>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</si>
  <si>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</si>
  <si>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</si>
  <si>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</si>
  <si>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</si>
  <si>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</si>
  <si>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</si>
  <si>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</si>
  <si>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</si>
  <si>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</si>
  <si>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</si>
  <si>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</si>
  <si>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</si>
  <si>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</si>
  <si>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</si>
  <si>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</si>
  <si>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</si>
  <si>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</si>
  <si>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</si>
  <si>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</si>
  <si>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</si>
  <si>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</si>
  <si>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</si>
  <si>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</si>
  <si>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</si>
  <si>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</si>
  <si>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</si>
  <si>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</si>
  <si>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</si>
  <si>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</si>
  <si>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</si>
  <si>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</si>
  <si>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</si>
  <si>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</si>
  <si>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</si>
  <si>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</si>
  <si>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</si>
  <si>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</si>
  <si>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</si>
  <si>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</si>
  <si>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</si>
  <si>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</si>
  <si>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</si>
  <si>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</si>
  <si>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</si>
  <si>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</si>
  <si>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</si>
  <si>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</si>
  <si>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</si>
  <si>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</si>
  <si>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</si>
  <si>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</si>
  <si>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</si>
  <si>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</si>
  <si>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</si>
  <si>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</si>
  <si>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</si>
  <si>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</si>
  <si>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</si>
  <si>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</si>
  <si>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</si>
  <si>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</si>
  <si>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</si>
  <si>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</si>
  <si>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</si>
  <si>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</si>
  <si>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</si>
  <si>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</si>
  <si>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</si>
  <si>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</si>
  <si>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</si>
  <si>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</si>
  <si>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</si>
  <si>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</si>
  <si>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</si>
  <si>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</si>
  <si>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</si>
  <si>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</si>
  <si>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</si>
  <si>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</si>
  <si>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</si>
  <si>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</si>
  <si>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</si>
  <si>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</si>
  <si>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</si>
  <si>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</si>
  <si>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</si>
  <si>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</si>
  <si>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</si>
  <si>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</si>
  <si>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</si>
  <si>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</si>
  <si>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</si>
  <si>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</si>
  <si>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</si>
  <si>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</si>
  <si>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</si>
  <si>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</si>
  <si>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</si>
  <si>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</si>
  <si>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</si>
  <si>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</si>
  <si>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</si>
  <si>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</si>
  <si>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</si>
  <si>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</si>
  <si>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</si>
  <si>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</si>
  <si>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</si>
  <si>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</si>
  <si>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</si>
  <si>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</si>
  <si>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</si>
  <si>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</si>
  <si>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</si>
  <si>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</si>
  <si>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</si>
  <si>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</si>
  <si>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</si>
  <si>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</si>
  <si>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</si>
  <si>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</si>
  <si>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</si>
  <si>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</si>
  <si>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</si>
  <si>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</si>
  <si>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</si>
  <si>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</si>
  <si>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</si>
  <si>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</si>
  <si>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</si>
  <si>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</si>
  <si>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</si>
  <si>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</si>
  <si>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</si>
  <si>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</si>
  <si>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</si>
  <si>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</si>
  <si>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</si>
  <si>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</si>
  <si>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</si>
  <si>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</si>
  <si>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</si>
  <si>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</si>
  <si>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</si>
  <si>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</si>
  <si>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</si>
  <si>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</si>
  <si>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</si>
  <si>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</si>
  <si>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</si>
  <si>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</si>
  <si>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</si>
  <si>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</si>
  <si>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</si>
  <si>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</si>
  <si>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</si>
  <si>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</si>
  <si>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</si>
  <si>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</si>
  <si>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</si>
  <si>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</si>
  <si>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</si>
  <si>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</si>
  <si>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</si>
  <si>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</si>
  <si>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</si>
  <si>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</si>
  <si>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</si>
  <si>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</si>
  <si>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</si>
  <si>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</si>
  <si>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</si>
  <si>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</si>
  <si>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</si>
  <si>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</si>
  <si>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</si>
  <si>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</si>
  <si>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</si>
  <si>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</si>
  <si>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</si>
  <si>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</si>
  <si>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</si>
  <si>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</si>
  <si>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</si>
  <si>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</si>
  <si>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</si>
  <si>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</si>
  <si>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</si>
  <si>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</si>
  <si>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</si>
  <si>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</si>
  <si>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</si>
  <si>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</si>
  <si>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</si>
  <si>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</si>
  <si>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</si>
  <si>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</si>
  <si>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</si>
  <si>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</si>
  <si>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</si>
  <si>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</si>
  <si>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</si>
  <si>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</si>
  <si>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</si>
  <si>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</si>
  <si>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</si>
  <si>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</si>
  <si>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</si>
  <si>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</si>
  <si>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</si>
  <si>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</si>
  <si>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</si>
  <si>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</si>
  <si>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</si>
  <si>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</si>
  <si>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</si>
  <si>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</si>
  <si>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</si>
  <si>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CP026</t>
  </si>
  <si>
    <t>MacroProceso - Gestión de Abastecimiento</t>
  </si>
  <si>
    <t>Proceso - Inventariado de Talleres de Educación Técnica</t>
  </si>
  <si>
    <t xml:space="preserve">[OBS124]En el primer parrafo del documento, propósito y alcance hay un error de tipeo  con "macroproceso", es junto._x000D_
[OBS125]Es una buena práctica caracterizar según el flujo total, no solo del principal. El fin debería ser lo último que se caracteriza al igual que procesos que tienen datos de salida que son datos de entrada de otro proceso se caracterizan primero._x000D_
[OBS126]En el diagrama no se aprecia la punta del conector entre el proceso 3 y el proceso 17._x000D_
[OBS127]Todas las actividades deben empezar con un verbo en infinitivo (-ar, -er, -ir)._x000D_
[OBS128]El nombre de la actividad 2 no coincide con el del diagrama._x000D_
[OBS129]Los datos de entrada de la actividad 3 deben ser al menos la cantidad de flechas que apuntan hacia dicha actividad. Faltan entradas_x000D_
[OBS130]El dato de salida de las actividades 4, 5, 6, 7 y 8 bajo el nombre "No faltan actividades" o "No existen actividades faltantes" no parece ser un artefacto._x000D_
[OBS131]En la descripción de la actividad 4 hay un error de tipeo en la primera vez que se menciona "Anual"._x000D_
[OBS132]El "Plan Operativo Anual del departamento de formación" debe ser un dato de salida de la actividad 4._x000D_
[OBS133]El "Plan Operativo Anual de Educación Técnica" debe ser un dato de salida de la actividad 5._x000D_
[OBS134]Para la actividad 6, debería tener como datos de entrada "Listado de Necesidad de Maquinaria" y "Cuadro de Necesidades" y debería tener como datos de salida "Plan Operativo Anual del departamento de Proyectos" y el "Plan de requerimientos institucionales"._x000D_
[OBS135]La actividad 7 debe tener como dato de salida el "Plan operativo anual del departamento de Donaciones e Imagen Institucional"._x000D_
[OBS136]En la descripción de las actividades 5, 6, 7 y 8 hay un error ortográfico con "despejará"_x000D_
[OBS137]Los datos de entrada y salida de la actividad 8 no coincide con lo que se observa en el diagrama. Debería tener al menos 3 entradas mas y también 2 datos de salida más._x000D_
[OBS138]El fin no tiene un responsable._x000D_
[OBS139]En la descripción de la actividad 11 la palabra "divida" esta fuera de contexto._x000D_
[OBS140]En el diagrama se aprecia que la actividad 18 tiene entradas que no se reflejan como datos de entrada en la caracterización._x000D_
</t>
  </si>
  <si>
    <t xml:space="preserve">[OBS141]El nombre de un proceso debe comenzar con un verbo en infinitivo, solo los nombres de los Macroprocesos no cumplen con esa regla._x000D_
[OBS142]En el primer parrafo "laborares" está fuera de contexto._x000D_
[OBS143]Todas las actividades deben empezar con un verbo en infinitivo (-ar, -er, -ir)._x000D_
[OBS144]Es una buena práctica caracterizar según el flujo total, no solo del principal. El fin debería ser lo último que se caracteriza al igual que procesos que tienen datos de salida que son datos de entrada de otro proceso se caracterizan primero._x000D_
[OBS145]El inicio no tiene una desccripción en la caracterización._x000D_
[OBS146]No se han detallado todas las entradas ni las salidas de la actividad 4, todo conector que interactúe con dicha actividad debe tener un dato que se detalle en la caracterización._x000D_
[OBS147]El dato de entrada de las actividades 9, 10. 12, 13 y 14 "soluciones" no se muestra en ningún dato de salida de la caracterización._x000D_
[OBS148]En la descripción de las actividades 9, 10, 13 y 14 hay un error ortográfico con "despejará"._x000D_
[OBS149]En la descripción de la actividad 10 hay un error ortográfico la primera vez que se menciona "Anual"._x000D_
[OBS150]En la descripción de la actividad 11 la palabra "divida" esta fuera de contexto._x000D_
</t>
  </si>
  <si>
    <t xml:space="preserve">[OBS151]El nombre de un proceso debe comenzar con un verbo en infinitivo, solo los nombres de los Macroprocesos no cumplen con esa regla._x000D_
[OBS152]Todas las actividades deben empezar con un verbo en infinitivo (-ar, -er, -ir)._x000D_
[OBS153]En el diagrama hay un error de tipeo en el Lane del "Jefe del Departamento de Proyecto"._x000D_
[OBS154]La actividad 6.1, actividad de compensación, no puede tener conectores de entrada o salida._x000D_
[OBS155]Es una buena práctica caracterizar según el flujo total, no solo del principal. El fin debería ser lo último que se caracteriza al igual que procesos que tienen datos de salida que son datos de entrada de otro proceso se caracterizan primero._x000D_
[OBS156]Los datos de entrada "Plan de requerimientos institucionales" y "Necesidades institucionales actualizadas" de la actividad 5 no se usan en ninguna actividad 5.x._x000D_
[OBS157]El dato de entrada "Resultado de análisis de Cartera de Proyecto" de las actividades 5.x no concuerda con el flujo descrito en las actividades 2,3 y 4 de la caracterización._x000D_
[OBS158]La actividad de compensación no es usada correctamente._x000D_
[OBS159]En base a la descripción de la actividad 10, el evento señal debe estar pintado ya que se está lanzando la alerta._x000D_
[OBS160]Error ortográfico en la descripción de la gateway 11, "ó" solo se usa entre números, no debe tener tilde._x000D_
[OBS161]El gateway 11 es innecesario, al ser una compuerta paralela significa que para iniciar necesita de las actividades previas, sin embargo las previas son exclusivas, esta actividad nunca se iniciaría._x000D_
[OBS162]En la caracterización de la actividad 15 se utiliza un "nos" , primera persona, se debe utilizar tercera persona._x000D_
</t>
  </si>
  <si>
    <t xml:space="preserve">[OBS163]En el propósito y en el alcance hay un error de tipeo  con "macroproceso", es junto._x000D_
[OBS164]Todas las actividades deben empezar con un verbo en infinitivo (-ar, -er, -ir)._x000D_
[OBS165]Es una buena práctica caracterizar según el flujo total, no solo del principal. El fin debería ser lo último que se caracteriza al igual que procesos que tienen datos de salida que son datos de entrada de otro proceso se caracterizan primero._x000D_
[OBS166]En el diagrama hay un error ortográfico con la actividad 23: "Recoger"._x000D_
[OBS167]El dato de las actividades 1 y 2 bajo el nombre "No faltan actividades" no parece ser un artefacto._x000D_
[OBS168]En la caracterización de la actividad 4 en "se identifica el tipo de campaña a la cual", el "a" está fuera de contexto_x000D_
[OBS169]En la caracterización de la actividad 4 hay un error ortográfico con "realizará"._x000D_
[OBS170]En la caracterización de la actividad 4 se menciona al proceo "Entrevista", sin embargo el proceso se llama "Entrevistar"._x000D_
[OBS171]En la caracterización de la actividad 11 hay un error de tipeo, "macroproceso" es junto._x000D_
[OBS172]Los datos de salida de la actividad 19 no concuerda con el diagrama, no existe relación hacia la actividad 6._x000D_
[OBS173]El dato de salida "Conjunto de cartas entregadas" de la actividad 6 no concuerda con la caracterización de la actividad 19, en todo caso primero sería un dato de entrada._x000D_
</t>
  </si>
  <si>
    <t xml:space="preserve">[OBS174]El nombre de un proceso debe comenzar con un verbo en infinitivo, solo los nombres de los Macroprocesos no cumplen con esa regla._x000D_
[OBS175]Todas las actividades deben empezar con un verbo en infinitivo (-ar, -er, -ir)._x000D_
[OBS176]Las actividades de compensación que se llaman en la actividad 5 y 8 están siendo mal utilizadas, ya que no existe un flujo alterno en caso de necesitar la compensación. El proceso se cancelaría totalmente._x000D_
[OBS177]La actividad de compensación de la actividad 5 y las actividades externas no tienen numeración._x000D_
[OBS178]Las actividades externas no se han caracterizado._x000D_
[OBS179]El dato de salida de la actividad 2.2 "Material estimado" no se vuelve a usar en la caracterización._x000D_
[OBS180]Las actividades de salida de la actividad 2 no concuerdan con la salida de la actividad 2.3._x000D_
[OBS181]La entrada de la actividad 6 no corresponde al flujo._x000D_
</t>
  </si>
  <si>
    <t xml:space="preserve">[OBS182]El nombre de un proceso debe comenzar con un verbo en infinitivo, solo los nombres de los Macroprocesos no cumplen con esa regla._x000D_
[OBS183]En el punto 5 del procedimiento, hay un error de tipeo con "Encargada de Donaciones"._x000D_
[OBS184]Hay un error con el conector entre la actividad 8 y 9. Debe ser un Message Flow._x000D_
[OBS185]El dato de salida de la actividad 4 no concuerda con el dato de entrada de la actividad 2._x000D_
[OBS186]El dato de entrada de la actividad 3 "Modelo de Carta a modificar" no cocuerda con el flujo._x000D_
[OBS187]El Fin debe estar en el pool principal._x000D_
</t>
  </si>
  <si>
    <t xml:space="preserve">[OBS188]El nombre de un proceso debe comenzar con un verbo en infinitivo, solo los nombres de los Macroprocesos no cumplen con esa regla._x000D_
[OBS189]La actividad 4, dado que es una actividad colavorativa, una caja negra, debería ser un subproceso._x000D_
[OBS190]Hay un error con el conector entre la actividad 3 y 4, 4 y 5, y 4 y 7. Debe ser un Message Flow._x000D_
[OBS191]La actividad 4 está rompiendo el flujo principal, debería interactuar solo con la actividad 3 y que está actividad tenga conectores con las actividades 5 y 7._x000D_
</t>
  </si>
  <si>
    <t xml:space="preserve">[OBS192]El nombre de un proceso debe comenzar con un verbo en infinitivo, solo los nombres de los Macroprocesos no cumplen con esa regla._x000D_
[OBS193]En el primer parrafo falta un artículo entre "efectiva" y "donación"._x000D_
[OBS194]El flujo principal debe estar en el pool principal y no ser dependiente de los colaboradores. Los pools colaboradores son cajas negras._x000D_
[OBS195]Los conectores entre los pools no es el correcto, debe usarse Message Flow._x000D_
[OBS196]Es una buena práctica caracterizar según el flujo total, no solo del principal. El fin debería ser lo último que se caracteriza al igual que procesos que tienen datos de salida que son datos de entrada de otro proceso se caracterizan primero._x000D_
[OBS197]La descripción de la actividad 20 no se entiende: "hace efectivo el bien donado por el donante"._x000D_
</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</si>
  <si>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</si>
  <si>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</si>
  <si>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</si>
  <si>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</si>
  <si>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</si>
  <si>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</si>
  <si>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</si>
  <si>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</si>
  <si>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</si>
  <si>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</si>
  <si>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</si>
  <si>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</si>
  <si>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</si>
  <si>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</si>
  <si>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</si>
  <si>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</si>
  <si>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</si>
  <si>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</si>
  <si>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</si>
  <si>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</si>
  <si>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</si>
  <si>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</si>
  <si>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</si>
  <si>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</si>
  <si>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</si>
  <si>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</si>
  <si>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</si>
  <si>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</si>
  <si>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</si>
  <si>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</si>
  <si>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</si>
  <si>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</si>
  <si>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</si>
  <si>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</si>
  <si>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</si>
  <si>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</si>
  <si>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</si>
  <si>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</si>
  <si>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</si>
  <si>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</si>
  <si>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</si>
  <si>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</si>
  <si>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</si>
  <si>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</si>
  <si>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</si>
  <si>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</si>
  <si>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</si>
  <si>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</si>
  <si>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</si>
  <si>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</si>
  <si>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</si>
  <si>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</si>
  <si>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</si>
  <si>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</si>
  <si>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</si>
  <si>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</si>
  <si>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</si>
  <si>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</si>
  <si>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</si>
  <si>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</si>
  <si>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</si>
  <si>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</si>
  <si>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</si>
  <si>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</si>
  <si>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</si>
  <si>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</si>
  <si>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</si>
  <si>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</si>
  <si>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</si>
  <si>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</si>
  <si>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</si>
  <si>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</si>
  <si>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</si>
  <si>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</si>
  <si>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</si>
  <si>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</si>
  <si>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</si>
  <si>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</si>
  <si>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</si>
  <si>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</si>
  <si>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</si>
  <si>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</si>
  <si>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</si>
  <si>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</si>
  <si>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</si>
  <si>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</si>
  <si>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</si>
  <si>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</si>
  <si>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</si>
  <si>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</si>
  <si>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</si>
  <si>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</si>
  <si>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</si>
  <si>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</si>
  <si>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</si>
  <si>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</si>
  <si>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</si>
  <si>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</si>
  <si>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</si>
  <si>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</si>
  <si>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</si>
  <si>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</si>
  <si>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</si>
  <si>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</si>
  <si>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</si>
  <si>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</si>
  <si>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</si>
  <si>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</si>
  <si>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</si>
  <si>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</si>
  <si>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</si>
  <si>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</si>
  <si>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</si>
  <si>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</si>
  <si>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</si>
  <si>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</si>
  <si>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</si>
  <si>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</si>
  <si>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</si>
  <si>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</si>
  <si>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</si>
  <si>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</si>
  <si>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</si>
  <si>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</si>
  <si>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</si>
  <si>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</si>
  <si>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</si>
  <si>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</si>
  <si>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</si>
  <si>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</si>
  <si>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</si>
  <si>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</si>
  <si>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</si>
  <si>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</si>
  <si>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</si>
  <si>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</si>
  <si>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</si>
  <si>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</si>
  <si>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</si>
  <si>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</si>
  <si>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</si>
  <si>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</si>
  <si>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</si>
  <si>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</si>
  <si>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</si>
  <si>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</si>
  <si>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</si>
  <si>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</si>
  <si>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</si>
  <si>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</si>
  <si>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</si>
  <si>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La descripción de la actividad no representa una "Evaluación" ni una "Entrega". El fin no tendría sentido.</t>
  </si>
  <si>
    <t>El dato de salida de la actividad 12 debe ser dato de entrada de la actividad 11.</t>
  </si>
  <si>
    <t>Error de tipeo al describir "una cotización" en la descripción de la actividad 11.</t>
  </si>
  <si>
    <t>La actividad 13 no debería tener una dato de salida ya que al no tener un conector, se perdería dicho dato. O en todo caso agregar un conector saliente.</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</si>
  <si>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</si>
  <si>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</si>
  <si>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</si>
  <si>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</si>
  <si>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</si>
  <si>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</si>
  <si>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 xml:space="preserve">[OBS198]De acuerdo a la OBS87, se usaría color azul para cuando se mencione, en el alcance, los procesos de otros macroprocesos._x000D_
[OBS199]Todas las actividades deben empezar con un verbo en infinitivo (-ar, -er, -ir)._x000D_
[OBS200]Los conectores no pueden comunicarse con las actividades que están dentro de un proceso expandido. _x000D_
[OBS201]Se está iniciando con un Timer, pero en la descripción no se menciona ningún tiempo._x000D_
[OBS202]En la entrada de la actividad 2 no se menciona "Necesidad de Inventario"._x000D_
[OBS203]En la descripción de la actividad 2, debería ir una "e" en vez de una "y" antes de "Inventariado de Talleres…"_x000D_
[OBS204]La descripción de la actividad no representa una "Evaluación" ni una "Entrega". El fin no tendría sentido._x000D_
[OBS205]El dato de salida de la actividad 12 debe ser dato de entrada de la actividad 11._x000D_
[OBS206]Error de tipeo al describir "una cotización" en la descripción de la actividad 11._x000D_
[OBS207]La actividad 13 no debería tener una dato de salida ya que al no tener un conector, se perdería dicho dato. O en todo caso agregar un conector saliente._x000D_
[OBS208]No existe la actividad 14, ni en el diagrama ni en la caracterización._x000D_
[OBS209]Error de formato en los datos de entrada del evento fin. _x000D_
</t>
  </si>
  <si>
    <t xml:space="preserve">[OBS210]El nombre de un proceso debe comenzar con un verbo en infinitivo, solo los nombres de los Macroprocesos no cumplen con esa regla._x000D_
[OBS211]Todas las actividades deben empezar con un verbo en infinitivo (-ar, -er, -ir)._x000D_
[OBS212]El "Informe de necesidades" está en el diagrama pero no aparece como datos de entrada o salida de las actividades 3 y 4._x000D_
[OBS213]No hay un dato que relacione la actividad 4 y 8 que sustente el conector que los une._x000D_
[OBS214]Error de tipeo en la descripción de la actividad 10 con "ambas" antes de "serán consolidadas en el cuestionario…"_x000D_
[OBS215]Error de genero con "enviada" en la descripción de la actividad 10._x000D_
</t>
  </si>
  <si>
    <t>Se modificaron las secciones indicadas.</t>
  </si>
  <si>
    <t>Se modificó el conector.</t>
  </si>
  <si>
    <t>Se modificó el nombre de la actividad en la caracterización.</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</si>
  <si>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</si>
  <si>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</si>
  <si>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</si>
  <si>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</si>
  <si>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</si>
  <si>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</si>
  <si>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</si>
  <si>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Se modificaron las salidas por la salida "Actividades completas".</t>
  </si>
  <si>
    <t>Se agregaron las entradas faltantes.</t>
  </si>
  <si>
    <t>Se modificó el orden de los procesos.</t>
  </si>
  <si>
    <t>-</t>
  </si>
  <si>
    <t>Se corrigió la palabra.</t>
  </si>
  <si>
    <t>Se agregaron descripción, responsable y tipo de actividad.</t>
  </si>
  <si>
    <t>Se agregaron la entrada y la salida correspondiente.</t>
  </si>
  <si>
    <t>Se agregó la salida correspondiente en la actividad 4.</t>
  </si>
  <si>
    <t>Se modificó el nombre del lane.</t>
  </si>
  <si>
    <t>Se modificó el evento.</t>
  </si>
  <si>
    <t>Se agregó como entrada de la actividad 5.1</t>
  </si>
  <si>
    <t>Se modificaron las descripciones de las actividades</t>
  </si>
  <si>
    <t>Se corrigió el error de tipeo</t>
  </si>
  <si>
    <t>Se modificó el tipo de conector</t>
  </si>
  <si>
    <t>Se colocó el fin en el lane "Encargada de Donaciones"</t>
  </si>
  <si>
    <t>Se agregó la salida de la actividad 4 como entrada de la actividad 2.</t>
  </si>
  <si>
    <t>Se eliminó dicha entrada como parte de las entradas de la actividad 3.</t>
  </si>
  <si>
    <t>La actividad 4, dado que es una actividad colaborativa, una caja negra, debería ser un subproceso.</t>
  </si>
  <si>
    <t>La actividad se convirtió en un subproceso.</t>
  </si>
  <si>
    <t>Se modificó el flujo del proceso.</t>
  </si>
  <si>
    <t>Se modificaron los conectores.</t>
  </si>
  <si>
    <t>En el Macroproceso no existen actividades.</t>
  </si>
  <si>
    <t>No se encuentra la incoherencia al leerlo.</t>
  </si>
  <si>
    <t>Se diagramó una flecha de la actividad 19 a la 6 para que exista un flujo de información.</t>
  </si>
  <si>
    <t>Se colocó la salida de la actividad 19 en el entrada de la actividad 6.</t>
  </si>
  <si>
    <t>No es necesario que los nombres de los procesos empiecen con infinitivos.</t>
  </si>
  <si>
    <t>Se corrigieron los nombres de las actividades del proceso.</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</si>
  <si>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</si>
  <si>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</si>
  <si>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</si>
  <si>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</si>
  <si>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</si>
  <si>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</si>
  <si>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cambió la numeración de los procesos.</t>
  </si>
  <si>
    <t>Se corrigieron las entradas y salidas de las actividesde señaladas.</t>
  </si>
  <si>
    <t>Se agregó el Informe de Necesidades en las entradas y salidas correspondientes.</t>
  </si>
  <si>
    <t>En la entrada de la actividad 8 se agregó "Listado de necesidades de maquinaria".</t>
  </si>
  <si>
    <t>No existen actividades en el Macroproceso.</t>
  </si>
  <si>
    <t>Se corrigió las entradas y salidas de los conectores.</t>
  </si>
  <si>
    <t>Se especificó el tiempo en el Timer señalado.</t>
  </si>
  <si>
    <t>Se agregó en la entrada de la actividad 2 la "Necesidad de Inventario".</t>
  </si>
  <si>
    <t>Se cambió el color a  azul en el alcance.</t>
  </si>
  <si>
    <t>Se corrigió la numeración.</t>
  </si>
  <si>
    <t>La actividad ya no tiene salida en la caracterización.</t>
  </si>
  <si>
    <t>Se caracterizó el fin del subproceso.</t>
  </si>
  <si>
    <t>Ya se corrigió la entrada y salida de las actividades en cuestión.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</si>
</sst>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6">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62"/>
          <c:y val="0.20151813899974841"/>
          <c:w val="0.501424941351347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c:v>
                </c:pt>
                <c:pt idx="1">
                  <c:v>0.4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HistoricoAvance!$B$4:$B$8</c:f>
              <c:numCache>
                <c:formatCode>m/d/yyyy</c:formatCode>
                <c:ptCount val="5"/>
                <c:pt idx="0">
                  <c:v>40791</c:v>
                </c:pt>
                <c:pt idx="1">
                  <c:v>40796</c:v>
                </c:pt>
                <c:pt idx="2">
                  <c:v>40800</c:v>
                </c:pt>
                <c:pt idx="3">
                  <c:v>40802</c:v>
                </c:pt>
                <c:pt idx="4">
                  <c:v>40830</c:v>
                </c:pt>
              </c:numCache>
            </c:numRef>
          </c:cat>
          <c:val>
            <c:numRef>
              <c:f>HistoricoAvance!$C$4:$C$8</c:f>
              <c:numCache>
                <c:formatCode>0</c:formatCode>
                <c:ptCount val="5"/>
                <c:pt idx="0">
                  <c:v>0</c:v>
                </c:pt>
                <c:pt idx="1">
                  <c:v>0</c:v>
                </c:pt>
                <c:pt idx="2">
                  <c:v>5</c:v>
                </c:pt>
                <c:pt idx="3">
                  <c:v>14</c:v>
                </c:pt>
                <c:pt idx="4">
                  <c:v>15</c:v>
                </c:pt>
              </c:numCache>
            </c:numRef>
          </c:val>
          <c:smooth val="0"/>
        </c:ser>
        <c:ser>
          <c:idx val="1"/>
          <c:order val="1"/>
          <c:tx>
            <c:strRef>
              <c:f>HistoricoAvance!$D$3</c:f>
              <c:strCache>
                <c:ptCount val="1"/>
                <c:pt idx="0">
                  <c:v>Fallos</c:v>
                </c:pt>
              </c:strCache>
            </c:strRef>
          </c:tx>
          <c:spPr>
            <a:ln w="50800"/>
          </c:spPr>
          <c:cat>
            <c:numRef>
              <c:f>HistoricoAvance!$B$4:$B$8</c:f>
              <c:numCache>
                <c:formatCode>m/d/yyyy</c:formatCode>
                <c:ptCount val="5"/>
                <c:pt idx="0">
                  <c:v>40791</c:v>
                </c:pt>
                <c:pt idx="1">
                  <c:v>40796</c:v>
                </c:pt>
                <c:pt idx="2">
                  <c:v>40800</c:v>
                </c:pt>
                <c:pt idx="3">
                  <c:v>40802</c:v>
                </c:pt>
                <c:pt idx="4">
                  <c:v>40830</c:v>
                </c:pt>
              </c:numCache>
            </c:numRef>
          </c:cat>
          <c:val>
            <c:numRef>
              <c:f>HistoricoAvance!$D$4:$D$8</c:f>
              <c:numCache>
                <c:formatCode>0</c:formatCode>
                <c:ptCount val="5"/>
                <c:pt idx="0">
                  <c:v>10</c:v>
                </c:pt>
                <c:pt idx="1">
                  <c:v>15</c:v>
                </c:pt>
                <c:pt idx="2">
                  <c:v>10</c:v>
                </c:pt>
                <c:pt idx="3">
                  <c:v>1</c:v>
                </c:pt>
                <c:pt idx="4">
                  <c:v>10</c:v>
                </c:pt>
              </c:numCache>
            </c:numRef>
          </c:val>
          <c:smooth val="0"/>
        </c:ser>
        <c:ser>
          <c:idx val="2"/>
          <c:order val="2"/>
          <c:tx>
            <c:strRef>
              <c:f>HistoricoAvance!$E$3</c:f>
              <c:strCache>
                <c:ptCount val="1"/>
                <c:pt idx="0">
                  <c:v>Bloqueado</c:v>
                </c:pt>
              </c:strCache>
            </c:strRef>
          </c:tx>
          <c:cat>
            <c:numRef>
              <c:f>HistoricoAvance!$B$4:$B$8</c:f>
              <c:numCache>
                <c:formatCode>m/d/yyyy</c:formatCode>
                <c:ptCount val="5"/>
                <c:pt idx="0">
                  <c:v>40791</c:v>
                </c:pt>
                <c:pt idx="1">
                  <c:v>40796</c:v>
                </c:pt>
                <c:pt idx="2">
                  <c:v>40800</c:v>
                </c:pt>
                <c:pt idx="3">
                  <c:v>40802</c:v>
                </c:pt>
                <c:pt idx="4">
                  <c:v>40830</c:v>
                </c:pt>
              </c:numCache>
            </c:numRef>
          </c:cat>
          <c:val>
            <c:numRef>
              <c:f>HistoricoAvance!$E$4:$E$8</c:f>
              <c:numCache>
                <c:formatCode>0</c:formatCode>
                <c:ptCount val="5"/>
                <c:pt idx="0">
                  <c:v>0</c:v>
                </c:pt>
                <c:pt idx="1">
                  <c:v>0</c:v>
                </c:pt>
                <c:pt idx="2">
                  <c:v>0</c:v>
                </c:pt>
                <c:pt idx="3">
                  <c:v>0</c:v>
                </c:pt>
                <c:pt idx="4">
                  <c:v>0</c:v>
                </c:pt>
              </c:numCache>
            </c:numRef>
          </c:val>
          <c:smooth val="0"/>
        </c:ser>
        <c:ser>
          <c:idx val="3"/>
          <c:order val="3"/>
          <c:tx>
            <c:strRef>
              <c:f>HistoricoAvance!$F$3</c:f>
              <c:strCache>
                <c:ptCount val="1"/>
                <c:pt idx="0">
                  <c:v>Pendiente</c:v>
                </c:pt>
              </c:strCache>
            </c:strRef>
          </c:tx>
          <c:cat>
            <c:numRef>
              <c:f>HistoricoAvance!$B$4:$B$8</c:f>
              <c:numCache>
                <c:formatCode>m/d/yyyy</c:formatCode>
                <c:ptCount val="5"/>
                <c:pt idx="0">
                  <c:v>40791</c:v>
                </c:pt>
                <c:pt idx="1">
                  <c:v>40796</c:v>
                </c:pt>
                <c:pt idx="2">
                  <c:v>40800</c:v>
                </c:pt>
                <c:pt idx="3">
                  <c:v>40802</c:v>
                </c:pt>
                <c:pt idx="4">
                  <c:v>40830</c:v>
                </c:pt>
              </c:numCache>
            </c:numRef>
          </c:cat>
          <c:val>
            <c:numRef>
              <c:f>HistoricoAvance!$F$4:$F$8</c:f>
              <c:numCache>
                <c:formatCode>0</c:formatCode>
                <c:ptCount val="5"/>
                <c:pt idx="0">
                  <c:v>0</c:v>
                </c:pt>
                <c:pt idx="1">
                  <c:v>0</c:v>
                </c:pt>
                <c:pt idx="2">
                  <c:v>0</c:v>
                </c:pt>
                <c:pt idx="3">
                  <c:v>0</c:v>
                </c:pt>
                <c:pt idx="4">
                  <c:v>0</c:v>
                </c:pt>
              </c:numCache>
            </c:numRef>
          </c:val>
          <c:smooth val="0"/>
        </c:ser>
        <c:ser>
          <c:idx val="4"/>
          <c:order val="4"/>
          <c:tx>
            <c:strRef>
              <c:f>HistoricoAvance!$G$3</c:f>
              <c:strCache>
                <c:ptCount val="1"/>
                <c:pt idx="0">
                  <c:v>No Aplica</c:v>
                </c:pt>
              </c:strCache>
            </c:strRef>
          </c:tx>
          <c:cat>
            <c:numRef>
              <c:f>HistoricoAvance!$B$4:$B$8</c:f>
              <c:numCache>
                <c:formatCode>m/d/yyyy</c:formatCode>
                <c:ptCount val="5"/>
                <c:pt idx="0">
                  <c:v>40791</c:v>
                </c:pt>
                <c:pt idx="1">
                  <c:v>40796</c:v>
                </c:pt>
                <c:pt idx="2">
                  <c:v>40800</c:v>
                </c:pt>
                <c:pt idx="3">
                  <c:v>40802</c:v>
                </c:pt>
                <c:pt idx="4">
                  <c:v>40830</c:v>
                </c:pt>
              </c:numCache>
            </c:numRef>
          </c:cat>
          <c:val>
            <c:numRef>
              <c:f>HistoricoAvance!$G$4:$G$8</c:f>
              <c:numCache>
                <c:formatCode>0</c:formatCode>
                <c:ptCount val="5"/>
                <c:pt idx="0">
                  <c:v>0</c:v>
                </c:pt>
                <c:pt idx="1">
                  <c:v>0</c:v>
                </c:pt>
                <c:pt idx="2">
                  <c:v>0</c:v>
                </c:pt>
                <c:pt idx="3">
                  <c:v>0</c:v>
                </c:pt>
                <c:pt idx="4">
                  <c:v>0</c:v>
                </c:pt>
              </c:numCache>
            </c:numRef>
          </c:val>
          <c:smooth val="0"/>
        </c:ser>
        <c:ser>
          <c:idx val="5"/>
          <c:order val="5"/>
          <c:tx>
            <c:strRef>
              <c:f>HistoricoAvance!$H$3</c:f>
              <c:strCache>
                <c:ptCount val="1"/>
                <c:pt idx="0">
                  <c:v>En Proceso</c:v>
                </c:pt>
              </c:strCache>
            </c:strRef>
          </c:tx>
          <c:cat>
            <c:numRef>
              <c:f>HistoricoAvance!$B$4:$B$8</c:f>
              <c:numCache>
                <c:formatCode>m/d/yyyy</c:formatCode>
                <c:ptCount val="5"/>
                <c:pt idx="0">
                  <c:v>40791</c:v>
                </c:pt>
                <c:pt idx="1">
                  <c:v>40796</c:v>
                </c:pt>
                <c:pt idx="2">
                  <c:v>40800</c:v>
                </c:pt>
                <c:pt idx="3">
                  <c:v>40802</c:v>
                </c:pt>
                <c:pt idx="4">
                  <c:v>40830</c:v>
                </c:pt>
              </c:numCache>
            </c:numRef>
          </c:cat>
          <c:val>
            <c:numRef>
              <c:f>HistoricoAvance!$H$4:$H$8</c:f>
              <c:numCache>
                <c:formatCode>0</c:formatCode>
                <c:ptCount val="5"/>
                <c:pt idx="0">
                  <c:v>0</c:v>
                </c:pt>
                <c:pt idx="1">
                  <c:v>0</c:v>
                </c:pt>
                <c:pt idx="2">
                  <c:v>0</c:v>
                </c:pt>
                <c:pt idx="3">
                  <c:v>0</c:v>
                </c:pt>
                <c:pt idx="4">
                  <c:v>0</c:v>
                </c:pt>
              </c:numCache>
            </c:numRef>
          </c:val>
          <c:smooth val="0"/>
        </c:ser>
        <c:ser>
          <c:idx val="6"/>
          <c:order val="6"/>
          <c:tx>
            <c:strRef>
              <c:f>HistoricoAvance!$I$3</c:f>
              <c:strCache>
                <c:ptCount val="1"/>
                <c:pt idx="0">
                  <c:v>Reejecuciones</c:v>
                </c:pt>
              </c:strCache>
            </c:strRef>
          </c:tx>
          <c:cat>
            <c:numRef>
              <c:f>HistoricoAvance!$B$4:$B$8</c:f>
              <c:numCache>
                <c:formatCode>m/d/yyyy</c:formatCode>
                <c:ptCount val="5"/>
                <c:pt idx="0">
                  <c:v>40791</c:v>
                </c:pt>
                <c:pt idx="1">
                  <c:v>40796</c:v>
                </c:pt>
                <c:pt idx="2">
                  <c:v>40800</c:v>
                </c:pt>
                <c:pt idx="3">
                  <c:v>40802</c:v>
                </c:pt>
                <c:pt idx="4">
                  <c:v>40830</c:v>
                </c:pt>
              </c:numCache>
            </c:numRef>
          </c:cat>
          <c:val>
            <c:numRef>
              <c:f>HistoricoAvance!$I$4:$I$8</c:f>
              <c:numCache>
                <c:formatCode>0</c:formatCode>
                <c:ptCount val="5"/>
                <c:pt idx="0">
                  <c:v>0</c:v>
                </c:pt>
                <c:pt idx="1">
                  <c:v>0</c:v>
                </c:pt>
                <c:pt idx="2">
                  <c:v>0</c:v>
                </c:pt>
                <c:pt idx="3">
                  <c:v>0</c:v>
                </c:pt>
                <c:pt idx="4">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HistoricoAvance!$B$4:$B$8</c:f>
              <c:numCache>
                <c:formatCode>m/d/yyyy</c:formatCode>
                <c:ptCount val="5"/>
                <c:pt idx="0">
                  <c:v>40791</c:v>
                </c:pt>
                <c:pt idx="1">
                  <c:v>40796</c:v>
                </c:pt>
                <c:pt idx="2">
                  <c:v>40800</c:v>
                </c:pt>
                <c:pt idx="3">
                  <c:v>40802</c:v>
                </c:pt>
                <c:pt idx="4">
                  <c:v>40830</c:v>
                </c:pt>
              </c:numCache>
            </c:numRef>
          </c:cat>
          <c:val>
            <c:numRef>
              <c:f>HistoricoAvance!$J$4:$J$8</c:f>
              <c:numCache>
                <c:formatCode>General</c:formatCode>
                <c:ptCount val="5"/>
                <c:pt idx="0">
                  <c:v>10</c:v>
                </c:pt>
                <c:pt idx="1">
                  <c:v>15</c:v>
                </c:pt>
                <c:pt idx="2">
                  <c:v>15</c:v>
                </c:pt>
                <c:pt idx="3">
                  <c:v>15</c:v>
                </c:pt>
                <c:pt idx="4">
                  <c:v>25</c:v>
                </c:pt>
              </c:numCache>
            </c:numRef>
          </c:val>
          <c:smooth val="0"/>
        </c:ser>
        <c:dLbls>
          <c:showLegendKey val="0"/>
          <c:showVal val="0"/>
          <c:showCatName val="0"/>
          <c:showSerName val="0"/>
          <c:showPercent val="0"/>
          <c:showBubbleSize val="0"/>
        </c:dLbls>
        <c:marker val="1"/>
        <c:smooth val="0"/>
        <c:axId val="81648256"/>
        <c:axId val="81654144"/>
      </c:lineChart>
      <c:dateAx>
        <c:axId val="81648256"/>
        <c:scaling>
          <c:orientation val="minMax"/>
        </c:scaling>
        <c:delete val="0"/>
        <c:axPos val="b"/>
        <c:numFmt formatCode="m/d/yyyy" sourceLinked="1"/>
        <c:majorTickMark val="out"/>
        <c:minorTickMark val="none"/>
        <c:tickLblPos val="nextTo"/>
        <c:txPr>
          <a:bodyPr/>
          <a:lstStyle/>
          <a:p>
            <a:pPr>
              <a:defRPr lang="es-ES"/>
            </a:pPr>
            <a:endParaRPr lang="es-PE"/>
          </a:p>
        </c:txPr>
        <c:crossAx val="81654144"/>
        <c:crosses val="autoZero"/>
        <c:auto val="1"/>
        <c:lblOffset val="100"/>
        <c:baseTimeUnit val="days"/>
      </c:dateAx>
      <c:valAx>
        <c:axId val="8165414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8164825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HistoricoAvance!$L$4:$L$8</c:f>
              <c:numCache>
                <c:formatCode>m/d/yyyy</c:formatCode>
                <c:ptCount val="5"/>
                <c:pt idx="0">
                  <c:v>40791</c:v>
                </c:pt>
                <c:pt idx="1">
                  <c:v>40796</c:v>
                </c:pt>
                <c:pt idx="2">
                  <c:v>40800</c:v>
                </c:pt>
                <c:pt idx="3">
                  <c:v>40802</c:v>
                </c:pt>
                <c:pt idx="4">
                  <c:v>40830</c:v>
                </c:pt>
              </c:numCache>
            </c:numRef>
          </c:cat>
          <c:val>
            <c:numRef>
              <c:f>HistoricoAvance!$M$4:$M$8</c:f>
              <c:numCache>
                <c:formatCode>0</c:formatCode>
                <c:ptCount val="5"/>
                <c:pt idx="0">
                  <c:v>55</c:v>
                </c:pt>
                <c:pt idx="1">
                  <c:v>101</c:v>
                </c:pt>
                <c:pt idx="2">
                  <c:v>19</c:v>
                </c:pt>
                <c:pt idx="3">
                  <c:v>3</c:v>
                </c:pt>
                <c:pt idx="4">
                  <c:v>92</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HistoricoAvance!$L$4:$L$8</c:f>
              <c:numCache>
                <c:formatCode>m/d/yyyy</c:formatCode>
                <c:ptCount val="5"/>
                <c:pt idx="0">
                  <c:v>40791</c:v>
                </c:pt>
                <c:pt idx="1">
                  <c:v>40796</c:v>
                </c:pt>
                <c:pt idx="2">
                  <c:v>40800</c:v>
                </c:pt>
                <c:pt idx="3">
                  <c:v>40802</c:v>
                </c:pt>
                <c:pt idx="4">
                  <c:v>40830</c:v>
                </c:pt>
              </c:numCache>
            </c:numRef>
          </c:cat>
          <c:val>
            <c:numRef>
              <c:f>HistoricoAvance!$N$4:$N$8</c:f>
              <c:numCache>
                <c:formatCode>0</c:formatCode>
                <c:ptCount val="5"/>
                <c:pt idx="0">
                  <c:v>0</c:v>
                </c:pt>
                <c:pt idx="1">
                  <c:v>0</c:v>
                </c:pt>
                <c:pt idx="2">
                  <c:v>101</c:v>
                </c:pt>
                <c:pt idx="3">
                  <c:v>120</c:v>
                </c:pt>
                <c:pt idx="4">
                  <c:v>123</c:v>
                </c:pt>
              </c:numCache>
            </c:numRef>
          </c:val>
          <c:smooth val="0"/>
        </c:ser>
        <c:ser>
          <c:idx val="2"/>
          <c:order val="2"/>
          <c:tx>
            <c:strRef>
              <c:f>HistoricoAvance!$O$3</c:f>
              <c:strCache>
                <c:ptCount val="1"/>
                <c:pt idx="0">
                  <c:v>Totales</c:v>
                </c:pt>
              </c:strCache>
            </c:strRef>
          </c:tx>
          <c:cat>
            <c:numRef>
              <c:f>HistoricoAvance!$L$4:$L$8</c:f>
              <c:numCache>
                <c:formatCode>m/d/yyyy</c:formatCode>
                <c:ptCount val="5"/>
                <c:pt idx="0">
                  <c:v>40791</c:v>
                </c:pt>
                <c:pt idx="1">
                  <c:v>40796</c:v>
                </c:pt>
                <c:pt idx="2">
                  <c:v>40800</c:v>
                </c:pt>
                <c:pt idx="3">
                  <c:v>40802</c:v>
                </c:pt>
                <c:pt idx="4">
                  <c:v>40830</c:v>
                </c:pt>
              </c:numCache>
            </c:numRef>
          </c:cat>
          <c:val>
            <c:numRef>
              <c:f>HistoricoAvance!$O$4:$O$8</c:f>
              <c:numCache>
                <c:formatCode>General</c:formatCode>
                <c:ptCount val="5"/>
                <c:pt idx="0">
                  <c:v>55</c:v>
                </c:pt>
                <c:pt idx="1">
                  <c:v>101</c:v>
                </c:pt>
                <c:pt idx="2">
                  <c:v>120</c:v>
                </c:pt>
                <c:pt idx="3">
                  <c:v>123</c:v>
                </c:pt>
                <c:pt idx="4">
                  <c:v>215</c:v>
                </c:pt>
              </c:numCache>
            </c:numRef>
          </c:val>
          <c:smooth val="0"/>
        </c:ser>
        <c:dLbls>
          <c:showLegendKey val="0"/>
          <c:showVal val="0"/>
          <c:showCatName val="0"/>
          <c:showSerName val="0"/>
          <c:showPercent val="0"/>
          <c:showBubbleSize val="0"/>
        </c:dLbls>
        <c:marker val="1"/>
        <c:smooth val="0"/>
        <c:axId val="81685504"/>
        <c:axId val="81687296"/>
      </c:lineChart>
      <c:dateAx>
        <c:axId val="81685504"/>
        <c:scaling>
          <c:orientation val="minMax"/>
        </c:scaling>
        <c:delete val="0"/>
        <c:axPos val="b"/>
        <c:numFmt formatCode="m/d/yyyy" sourceLinked="1"/>
        <c:majorTickMark val="out"/>
        <c:minorTickMark val="none"/>
        <c:tickLblPos val="nextTo"/>
        <c:txPr>
          <a:bodyPr/>
          <a:lstStyle/>
          <a:p>
            <a:pPr>
              <a:defRPr lang="es-ES"/>
            </a:pPr>
            <a:endParaRPr lang="es-PE"/>
          </a:p>
        </c:txPr>
        <c:crossAx val="81687296"/>
        <c:crosses val="autoZero"/>
        <c:auto val="1"/>
        <c:lblOffset val="100"/>
        <c:baseTimeUnit val="days"/>
      </c:dateAx>
      <c:valAx>
        <c:axId val="8168729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8168550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81712640"/>
        <c:axId val="81714176"/>
      </c:barChart>
      <c:catAx>
        <c:axId val="81712640"/>
        <c:scaling>
          <c:orientation val="minMax"/>
        </c:scaling>
        <c:delete val="0"/>
        <c:axPos val="b"/>
        <c:majorTickMark val="out"/>
        <c:minorTickMark val="none"/>
        <c:tickLblPos val="nextTo"/>
        <c:txPr>
          <a:bodyPr/>
          <a:lstStyle/>
          <a:p>
            <a:pPr>
              <a:defRPr lang="es-ES"/>
            </a:pPr>
            <a:endParaRPr lang="es-PE"/>
          </a:p>
        </c:txPr>
        <c:crossAx val="81714176"/>
        <c:crosses val="autoZero"/>
        <c:auto val="1"/>
        <c:lblAlgn val="ctr"/>
        <c:lblOffset val="100"/>
        <c:noMultiLvlLbl val="0"/>
      </c:catAx>
      <c:valAx>
        <c:axId val="817141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1712640"/>
        <c:crosses val="autoZero"/>
        <c:crossBetween val="between"/>
      </c:valAx>
    </c:plotArea>
    <c:plotVisOnly val="1"/>
    <c:dispBlanksAs val="gap"/>
    <c:showDLblsOverMax val="0"/>
  </c:chart>
  <c:printSettings>
    <c:headerFooter/>
    <c:pageMargins b="0.7500000000000081" l="0.70000000000000062" r="0.70000000000000062" t="0.750000000000008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81730944"/>
        <c:axId val="81753216"/>
      </c:barChart>
      <c:catAx>
        <c:axId val="81730944"/>
        <c:scaling>
          <c:orientation val="minMax"/>
        </c:scaling>
        <c:delete val="0"/>
        <c:axPos val="b"/>
        <c:majorTickMark val="out"/>
        <c:minorTickMark val="none"/>
        <c:tickLblPos val="nextTo"/>
        <c:txPr>
          <a:bodyPr/>
          <a:lstStyle/>
          <a:p>
            <a:pPr>
              <a:defRPr lang="es-ES"/>
            </a:pPr>
            <a:endParaRPr lang="es-PE"/>
          </a:p>
        </c:txPr>
        <c:crossAx val="81753216"/>
        <c:crosses val="autoZero"/>
        <c:auto val="1"/>
        <c:lblAlgn val="ctr"/>
        <c:lblOffset val="100"/>
        <c:noMultiLvlLbl val="0"/>
      </c:catAx>
      <c:valAx>
        <c:axId val="817532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1730944"/>
        <c:crosses val="autoZero"/>
        <c:crossBetween val="between"/>
      </c:valAx>
    </c:plotArea>
    <c:plotVisOnly val="1"/>
    <c:dispBlanksAs val="gap"/>
    <c:showDLblsOverMax val="0"/>
  </c:chart>
  <c:printSettings>
    <c:headerFooter/>
    <c:pageMargins b="0.7500000000000081" l="0.70000000000000062" r="0.70000000000000062" t="0.750000000000008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81856000"/>
        <c:axId val="81857536"/>
      </c:barChart>
      <c:catAx>
        <c:axId val="81856000"/>
        <c:scaling>
          <c:orientation val="minMax"/>
        </c:scaling>
        <c:delete val="0"/>
        <c:axPos val="b"/>
        <c:majorTickMark val="out"/>
        <c:minorTickMark val="none"/>
        <c:tickLblPos val="nextTo"/>
        <c:txPr>
          <a:bodyPr/>
          <a:lstStyle/>
          <a:p>
            <a:pPr>
              <a:defRPr lang="es-ES"/>
            </a:pPr>
            <a:endParaRPr lang="es-PE"/>
          </a:p>
        </c:txPr>
        <c:crossAx val="81857536"/>
        <c:crosses val="autoZero"/>
        <c:auto val="1"/>
        <c:lblAlgn val="ctr"/>
        <c:lblOffset val="100"/>
        <c:noMultiLvlLbl val="0"/>
      </c:catAx>
      <c:valAx>
        <c:axId val="818575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1856000"/>
        <c:crosses val="autoZero"/>
        <c:crossBetween val="between"/>
      </c:valAx>
    </c:plotArea>
    <c:plotVisOnly val="1"/>
    <c:dispBlanksAs val="gap"/>
    <c:showDLblsOverMax val="0"/>
  </c:chart>
  <c:printSettings>
    <c:headerFooter/>
    <c:pageMargins b="0.7500000000000081" l="0.70000000000000062" r="0.70000000000000062" t="0.750000000000008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81882112"/>
        <c:axId val="81896192"/>
      </c:barChart>
      <c:catAx>
        <c:axId val="81882112"/>
        <c:scaling>
          <c:orientation val="minMax"/>
        </c:scaling>
        <c:delete val="0"/>
        <c:axPos val="b"/>
        <c:majorTickMark val="out"/>
        <c:minorTickMark val="none"/>
        <c:tickLblPos val="nextTo"/>
        <c:txPr>
          <a:bodyPr/>
          <a:lstStyle/>
          <a:p>
            <a:pPr>
              <a:defRPr lang="es-ES"/>
            </a:pPr>
            <a:endParaRPr lang="es-PE"/>
          </a:p>
        </c:txPr>
        <c:crossAx val="81896192"/>
        <c:crosses val="autoZero"/>
        <c:auto val="1"/>
        <c:lblAlgn val="ctr"/>
        <c:lblOffset val="100"/>
        <c:noMultiLvlLbl val="0"/>
      </c:catAx>
      <c:valAx>
        <c:axId val="818961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1882112"/>
        <c:crosses val="autoZero"/>
        <c:crossBetween val="between"/>
      </c:valAx>
    </c:plotArea>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81910784"/>
        <c:axId val="82187008"/>
      </c:barChart>
      <c:catAx>
        <c:axId val="81910784"/>
        <c:scaling>
          <c:orientation val="minMax"/>
        </c:scaling>
        <c:delete val="0"/>
        <c:axPos val="b"/>
        <c:majorTickMark val="out"/>
        <c:minorTickMark val="none"/>
        <c:tickLblPos val="nextTo"/>
        <c:txPr>
          <a:bodyPr/>
          <a:lstStyle/>
          <a:p>
            <a:pPr>
              <a:defRPr lang="es-ES"/>
            </a:pPr>
            <a:endParaRPr lang="es-PE"/>
          </a:p>
        </c:txPr>
        <c:crossAx val="82187008"/>
        <c:crosses val="autoZero"/>
        <c:auto val="1"/>
        <c:lblAlgn val="ctr"/>
        <c:lblOffset val="100"/>
        <c:noMultiLvlLbl val="0"/>
      </c:catAx>
      <c:valAx>
        <c:axId val="821870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1910784"/>
        <c:crosses val="autoZero"/>
        <c:crossBetween val="between"/>
      </c:valAx>
    </c:plotArea>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82228736"/>
        <c:axId val="82230272"/>
      </c:barChart>
      <c:catAx>
        <c:axId val="82228736"/>
        <c:scaling>
          <c:orientation val="minMax"/>
        </c:scaling>
        <c:delete val="0"/>
        <c:axPos val="b"/>
        <c:majorTickMark val="out"/>
        <c:minorTickMark val="none"/>
        <c:tickLblPos val="nextTo"/>
        <c:txPr>
          <a:bodyPr/>
          <a:lstStyle/>
          <a:p>
            <a:pPr>
              <a:defRPr lang="es-ES"/>
            </a:pPr>
            <a:endParaRPr lang="es-PE"/>
          </a:p>
        </c:txPr>
        <c:crossAx val="82230272"/>
        <c:crosses val="autoZero"/>
        <c:auto val="1"/>
        <c:lblAlgn val="ctr"/>
        <c:lblOffset val="100"/>
        <c:noMultiLvlLbl val="0"/>
      </c:catAx>
      <c:valAx>
        <c:axId val="8223027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228736"/>
        <c:crosses val="autoZero"/>
        <c:crossBetween val="between"/>
      </c:valAx>
    </c:plotArea>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29" totalsRowShown="0" headerRowDxfId="68" dataDxfId="66" headerRowBorderDxfId="67" tableBorderDxfId="65">
  <autoFilter ref="A4:Q2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4">
      <filters>
        <filter val="Abierta"/>
      </filters>
    </filterColumn>
    <filterColumn colId="9">
      <filters blank="1"/>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8"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8"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25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25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10</v>
      </c>
      <c r="D13" s="74"/>
      <c r="E13" s="5">
        <f>COUNTIF(CasoPrueba[[#All],[Estado Testing]],$P$28)</f>
        <v>15</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v>
      </c>
      <c r="F14" s="15">
        <f t="shared" si="0"/>
        <v>0.4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15</v>
      </c>
      <c r="D18" s="45">
        <f>C18/$C$10</f>
        <v>0.6</v>
      </c>
      <c r="E18" s="46">
        <f>COUNTIFS(CasoPrueba[[#All],[Estado Testing]],$P$29,CasoPrueba[[#All],[Prioridad]],$P$17)</f>
        <v>10</v>
      </c>
      <c r="F18" s="47">
        <f>E18/$C$10</f>
        <v>0.4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15</v>
      </c>
      <c r="D21" s="63">
        <f t="shared" ref="D21:N21" si="2">SUM(D18:D20)</f>
        <v>0.6</v>
      </c>
      <c r="E21" s="62">
        <f t="shared" si="2"/>
        <v>10</v>
      </c>
      <c r="F21" s="63">
        <f t="shared" si="2"/>
        <v>0.4</v>
      </c>
      <c r="G21" s="62">
        <f t="shared" si="2"/>
        <v>0</v>
      </c>
      <c r="H21" s="63">
        <f t="shared" si="2"/>
        <v>0</v>
      </c>
      <c r="I21" s="62">
        <f t="shared" si="2"/>
        <v>0</v>
      </c>
      <c r="J21" s="63">
        <f t="shared" si="2"/>
        <v>0</v>
      </c>
      <c r="K21" s="62">
        <f>SUM(K18:K20)</f>
        <v>0</v>
      </c>
      <c r="L21" s="63">
        <f>SUM(L18:L20)</f>
        <v>0</v>
      </c>
      <c r="M21" s="62">
        <f t="shared" si="2"/>
        <v>10</v>
      </c>
      <c r="N21" s="63">
        <f t="shared" si="2"/>
        <v>0.4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12</v>
      </c>
      <c r="D30" s="124">
        <f>C30/$C$10</f>
        <v>0.48</v>
      </c>
      <c r="E30" s="125">
        <f>COUNTIFS(Observaciones[[#All],[Estado]],Resumen!$P$24,Observaciones[[#All],[Severidad]],Resumen!$P$11)</f>
        <v>10</v>
      </c>
      <c r="F30" s="124">
        <f>E30/$C$10</f>
        <v>0.4</v>
      </c>
      <c r="G30" s="119"/>
      <c r="H30" s="122" t="s">
        <v>33</v>
      </c>
      <c r="I30" s="126">
        <f>COUNTIFS(Observaciones[[#All],[Severidad]],Resumen!$P$11,Observaciones[[#All],[Prioridad]],Resumen!$P$17)</f>
        <v>22</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39</v>
      </c>
      <c r="D31" s="124">
        <f>C31/$C$10</f>
        <v>1.56</v>
      </c>
      <c r="E31" s="125">
        <f>COUNTIFS(Observaciones[[#All],[Estado]],Resumen!$P$24,Observaciones[[#All],[Severidad]],Resumen!$P$12)</f>
        <v>44</v>
      </c>
      <c r="F31" s="124">
        <f>E31/$C$10</f>
        <v>1.76</v>
      </c>
      <c r="G31" s="119"/>
      <c r="H31" s="122" t="s">
        <v>35</v>
      </c>
      <c r="I31" s="126">
        <f>COUNTIFS(Observaciones[[#All],[Severidad]],Resumen!$P$12,Observaciones[[#All],[Prioridad]],Resumen!$P$17)</f>
        <v>83</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15</v>
      </c>
      <c r="D32" s="124">
        <f>C32/$C$10</f>
        <v>0.6</v>
      </c>
      <c r="E32" s="125">
        <f>COUNTIFS(Observaciones[[#All],[Estado]],Resumen!$P$24,Observaciones[[#All],[Severidad]],Resumen!$P$13)</f>
        <v>45</v>
      </c>
      <c r="F32" s="124">
        <f>E32/$C$10</f>
        <v>1.8</v>
      </c>
      <c r="G32" s="119"/>
      <c r="H32" s="122" t="s">
        <v>37</v>
      </c>
      <c r="I32" s="126">
        <f>COUNTIFS(Observaciones[[#All],[Severidad]],Resumen!$P$13,Observaciones[[#All],[Prioridad]],Resumen!$P$17)</f>
        <v>60</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26</v>
      </c>
      <c r="D33" s="124">
        <f>C33/$C$10</f>
        <v>1.04</v>
      </c>
      <c r="E33" s="125">
        <f>COUNTIFS(Observaciones[[#All],[Estado]],Resumen!$P$24,Observaciones[[#All],[Severidad]],Resumen!$P$14)</f>
        <v>24</v>
      </c>
      <c r="F33" s="124">
        <f>E33/$C$10</f>
        <v>0.96</v>
      </c>
      <c r="G33" s="119"/>
      <c r="H33" s="122" t="s">
        <v>39</v>
      </c>
      <c r="I33" s="126">
        <f>COUNTIFS(Observaciones[[#All],[Severidad]],Resumen!$P$14,Observaciones[[#All],[Prioridad]],Resumen!$P$17)</f>
        <v>50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92</v>
      </c>
      <c r="D34" s="129">
        <f>SUM(D30:D33)</f>
        <v>3.68</v>
      </c>
      <c r="E34" s="128">
        <f>SUM(E30:E33)</f>
        <v>123</v>
      </c>
      <c r="F34" s="129">
        <f>SUM(F30:F33)</f>
        <v>4.92</v>
      </c>
      <c r="G34" s="119"/>
      <c r="H34" s="122" t="s">
        <v>72</v>
      </c>
      <c r="I34" s="130">
        <f>SUM(I30:I33)</f>
        <v>215</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9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2.6033519553072626</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29"/>
  <sheetViews>
    <sheetView topLeftCell="A29" zoomScaleNormal="100" workbookViewId="0">
      <selection activeCell="D29" sqref="D29"/>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409.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668</v>
      </c>
      <c r="Q20" s="90" t="str">
        <f>CONCATENATE(General!$B$7," ",General!$B$6)</f>
        <v>Nicolay García José Ramos Ramírez</v>
      </c>
    </row>
    <row r="21" spans="1:17" ht="247.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669</v>
      </c>
      <c r="Q21" s="90" t="str">
        <f>CONCATENATE(General!$B$7," ",General!$B$6)</f>
        <v>Nicolay García José Ramos Ramírez</v>
      </c>
    </row>
    <row r="22" spans="1:17" ht="32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670</v>
      </c>
      <c r="Q22" s="90" t="str">
        <f>CONCATENATE(General!$B$7," ",General!$B$6)</f>
        <v>Nicolay García José Ramos Ramírez</v>
      </c>
    </row>
    <row r="23" spans="1:17" ht="292.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671</v>
      </c>
      <c r="Q23" s="90" t="str">
        <f>CONCATENATE(General!$B$7," ",General!$B$6)</f>
        <v>Nicolay García José Ramos Ramírez</v>
      </c>
    </row>
    <row r="24" spans="1:17" ht="180">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672</v>
      </c>
      <c r="Q24" s="90" t="str">
        <f>CONCATENATE(General!$B$7," ",General!$B$6)</f>
        <v>Nicolay García José Ramos Ramírez</v>
      </c>
    </row>
    <row r="25" spans="1:17" ht="13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162</v>
      </c>
      <c r="J25" s="90" t="s">
        <v>47</v>
      </c>
      <c r="K25" s="90"/>
      <c r="L25" s="93">
        <f>General!$A$10</f>
        <v>0</v>
      </c>
      <c r="M25" s="93"/>
      <c r="N25" s="90"/>
      <c r="O25" s="90"/>
      <c r="P25" s="92" t="s">
        <v>673</v>
      </c>
      <c r="Q25" s="90" t="str">
        <f>CONCATENATE(General!$B$7," ",General!$B$6)</f>
        <v>Nicolay García José Ramos Ramírez</v>
      </c>
    </row>
    <row r="26" spans="1:17" ht="112.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674</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675</v>
      </c>
      <c r="Q27" s="90" t="str">
        <f>CONCATENATE(General!$B$7," ",General!$B$6)</f>
        <v>Nicolay García José Ramos Ramírez</v>
      </c>
    </row>
    <row r="28" spans="1:17" ht="270">
      <c r="A28" s="90" t="s">
        <v>159</v>
      </c>
      <c r="B28" s="168" t="s">
        <v>663</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837</v>
      </c>
      <c r="Q28" s="90" t="str">
        <f>CONCATENATE(General!$B$7," ",General!$B$6)</f>
        <v>Nicolay García José Ramos Ramírez</v>
      </c>
    </row>
    <row r="29" spans="1:17" ht="135">
      <c r="A29" s="90" t="s">
        <v>159</v>
      </c>
      <c r="B29" s="168" t="s">
        <v>664</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838</v>
      </c>
      <c r="Q29"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G5:G29</xm:sqref>
        </x14:dataValidation>
        <x14:dataValidation type="list" allowBlank="1" showInputMessage="1" showErrorMessage="1">
          <x14:formula1>
            <xm:f>Resumen!$P$17:$P$19</xm:f>
          </x14:formula1>
          <xm:sqref>H5:H29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361"/>
  <sheetViews>
    <sheetView tabSelected="1" zoomScale="85" zoomScaleNormal="85" workbookViewId="0">
      <selection activeCell="J208" sqref="J208"/>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491</v>
      </c>
      <c r="B126" s="34" t="s">
        <v>498</v>
      </c>
      <c r="C126" s="34" t="str">
        <f>VLOOKUP(Observaciones[Caso de Prueba],CasoPrueba[[#All],[Código CP]:[Prioridad]],7,TRUE)</f>
        <v>Alta</v>
      </c>
      <c r="D126" s="34" t="s">
        <v>162</v>
      </c>
      <c r="E126" s="34" t="s">
        <v>47</v>
      </c>
      <c r="F126" s="73">
        <v>40805</v>
      </c>
      <c r="H126" s="94" t="s">
        <v>132</v>
      </c>
      <c r="I126" s="34" t="s">
        <v>635</v>
      </c>
      <c r="J126" s="34" t="s">
        <v>839</v>
      </c>
      <c r="K126" s="34">
        <f>IF((Observaciones[[#This Row],[Fecha Levantamiento]]-Observaciones[[#This Row],[Fecha Detección]])&gt;=0,Observaciones[[#This Row],[Fecha Levantamiento]]-Observaciones[[#This Row],[Fecha Detección]]+1,0)</f>
        <v>0</v>
      </c>
      <c r="L126" s="34" t="str">
        <f>LOOKUP(Observaciones[[#This Row],[Caso de Prueba]],CasoPrueba[Código CP],CasoPrueba[Código de REQ])</f>
        <v>INSPECCIÓN</v>
      </c>
    </row>
    <row r="127" spans="1:12" ht="90" hidden="1">
      <c r="A127" s="166" t="s">
        <v>492</v>
      </c>
      <c r="B127" s="34" t="s">
        <v>498</v>
      </c>
      <c r="C127" s="34" t="str">
        <f>VLOOKUP(Observaciones[Caso de Prueba],CasoPrueba[[#All],[Código CP]:[Prioridad]],7,TRUE)</f>
        <v>Alta</v>
      </c>
      <c r="D127" s="34" t="s">
        <v>30</v>
      </c>
      <c r="E127" s="34" t="s">
        <v>47</v>
      </c>
      <c r="F127" s="73">
        <v>40805</v>
      </c>
      <c r="H127" s="94" t="s">
        <v>132</v>
      </c>
      <c r="I127" s="34" t="s">
        <v>610</v>
      </c>
      <c r="J127" s="34" t="s">
        <v>851</v>
      </c>
      <c r="K127" s="34">
        <f>IF((Observaciones[[#This Row],[Fecha Levantamiento]]-Observaciones[[#This Row],[Fecha Detección]])&gt;=0,Observaciones[[#This Row],[Fecha Levantamiento]]-Observaciones[[#This Row],[Fecha Detección]]+1,0)</f>
        <v>0</v>
      </c>
      <c r="L127" s="34" t="str">
        <f>LOOKUP(Observaciones[[#This Row],[Caso de Prueba]],CasoPrueba[Código CP],CasoPrueba[Código de REQ])</f>
        <v>INSPECCIÓN</v>
      </c>
    </row>
    <row r="128" spans="1:12" ht="30" hidden="1">
      <c r="A128" s="166" t="s">
        <v>493</v>
      </c>
      <c r="B128" s="34" t="s">
        <v>498</v>
      </c>
      <c r="C128" s="34" t="str">
        <f>VLOOKUP(Observaciones[Caso de Prueba],CasoPrueba[[#All],[Código CP]:[Prioridad]],7,TRUE)</f>
        <v>Alta</v>
      </c>
      <c r="D128" s="34" t="s">
        <v>29</v>
      </c>
      <c r="E128" s="34" t="s">
        <v>47</v>
      </c>
      <c r="F128" s="73">
        <v>40805</v>
      </c>
      <c r="H128" s="94" t="s">
        <v>132</v>
      </c>
      <c r="I128" s="34" t="s">
        <v>594</v>
      </c>
      <c r="J128" s="34" t="s">
        <v>840</v>
      </c>
      <c r="K128" s="34">
        <f>IF((Observaciones[[#This Row],[Fecha Levantamiento]]-Observaciones[[#This Row],[Fecha Detección]])&gt;=0,Observaciones[[#This Row],[Fecha Levantamiento]]-Observaciones[[#This Row],[Fecha Detección]]+1,0)</f>
        <v>0</v>
      </c>
      <c r="L128" s="34" t="str">
        <f>LOOKUP(Observaciones[[#This Row],[Caso de Prueba]],CasoPrueba[Código CP],CasoPrueba[Código de REQ])</f>
        <v>INSPECCIÓN</v>
      </c>
    </row>
    <row r="129" spans="1:12" ht="30" hidden="1">
      <c r="A129" s="166" t="s">
        <v>507</v>
      </c>
      <c r="B129" s="34" t="s">
        <v>498</v>
      </c>
      <c r="C129" s="34" t="str">
        <f>VLOOKUP(Observaciones[Caso de Prueba],CasoPrueba[[#All],[Código CP]:[Prioridad]],7,TRUE)</f>
        <v>Alta</v>
      </c>
      <c r="D129" s="34" t="s">
        <v>28</v>
      </c>
      <c r="E129" s="34" t="s">
        <v>47</v>
      </c>
      <c r="F129" s="73">
        <v>40805</v>
      </c>
      <c r="H129" s="94" t="s">
        <v>132</v>
      </c>
      <c r="I129" s="34" t="s">
        <v>595</v>
      </c>
      <c r="J129" s="34" t="s">
        <v>852</v>
      </c>
      <c r="K129" s="34">
        <f>IF((Observaciones[[#This Row],[Fecha Levantamiento]]-Observaciones[[#This Row],[Fecha Detección]])&gt;=0,Observaciones[[#This Row],[Fecha Levantamiento]]-Observaciones[[#This Row],[Fecha Detección]]+1,0)</f>
        <v>0</v>
      </c>
      <c r="L129" s="34" t="str">
        <f>LOOKUP(Observaciones[[#This Row],[Caso de Prueba]],CasoPrueba[Código CP],CasoPrueba[Código de REQ])</f>
        <v>INSPECCIÓN</v>
      </c>
    </row>
    <row r="130" spans="1:12" ht="30" hidden="1">
      <c r="A130" s="166" t="s">
        <v>508</v>
      </c>
      <c r="B130" s="34" t="s">
        <v>498</v>
      </c>
      <c r="C130" s="34" t="str">
        <f>VLOOKUP(Observaciones[Caso de Prueba],CasoPrueba[[#All],[Código CP]:[Prioridad]],7,TRUE)</f>
        <v>Alta</v>
      </c>
      <c r="D130" s="34" t="s">
        <v>30</v>
      </c>
      <c r="E130" s="34" t="s">
        <v>47</v>
      </c>
      <c r="F130" s="73">
        <v>40805</v>
      </c>
      <c r="H130" s="94" t="s">
        <v>132</v>
      </c>
      <c r="I130" s="34" t="s">
        <v>596</v>
      </c>
      <c r="J130" s="34" t="s">
        <v>841</v>
      </c>
      <c r="K130" s="34">
        <f>IF((Observaciones[[#This Row],[Fecha Levantamiento]]-Observaciones[[#This Row],[Fecha Detección]])&gt;=0,Observaciones[[#This Row],[Fecha Levantamiento]]-Observaciones[[#This Row],[Fecha Detección]]+1,0)</f>
        <v>0</v>
      </c>
      <c r="L130" s="34" t="str">
        <f>LOOKUP(Observaciones[[#This Row],[Caso de Prueba]],CasoPrueba[Código CP],CasoPrueba[Código de REQ])</f>
        <v>INSPECCIÓN</v>
      </c>
    </row>
    <row r="131" spans="1:12" ht="60" hidden="1">
      <c r="A131" s="166" t="s">
        <v>509</v>
      </c>
      <c r="B131" s="34" t="s">
        <v>498</v>
      </c>
      <c r="C131" s="34" t="str">
        <f>VLOOKUP(Observaciones[Caso de Prueba],CasoPrueba[[#All],[Código CP]:[Prioridad]],7,TRUE)</f>
        <v>Alta</v>
      </c>
      <c r="D131" s="34" t="s">
        <v>29</v>
      </c>
      <c r="E131" s="34" t="s">
        <v>47</v>
      </c>
      <c r="F131" s="73">
        <v>40805</v>
      </c>
      <c r="H131" s="94" t="s">
        <v>132</v>
      </c>
      <c r="I131" s="34" t="s">
        <v>597</v>
      </c>
      <c r="J131" s="34" t="s">
        <v>850</v>
      </c>
      <c r="K131" s="34">
        <f>IF((Observaciones[[#This Row],[Fecha Levantamiento]]-Observaciones[[#This Row],[Fecha Detección]])&gt;=0,Observaciones[[#This Row],[Fecha Levantamiento]]-Observaciones[[#This Row],[Fecha Detección]]+1,0)</f>
        <v>0</v>
      </c>
      <c r="L131" s="34" t="str">
        <f>LOOKUP(Observaciones[[#This Row],[Caso de Prueba]],CasoPrueba[Código CP],CasoPrueba[Código de REQ])</f>
        <v>INSPECCIÓN</v>
      </c>
    </row>
    <row r="132" spans="1:12" ht="60" hidden="1">
      <c r="A132" s="166" t="s">
        <v>510</v>
      </c>
      <c r="B132" s="34" t="s">
        <v>498</v>
      </c>
      <c r="C132" s="34" t="str">
        <f>VLOOKUP(Observaciones[Caso de Prueba],CasoPrueba[[#All],[Código CP]:[Prioridad]],7,TRUE)</f>
        <v>Alta</v>
      </c>
      <c r="D132" s="34" t="s">
        <v>30</v>
      </c>
      <c r="E132" s="34" t="s">
        <v>47</v>
      </c>
      <c r="F132" s="73">
        <v>40805</v>
      </c>
      <c r="H132" s="94" t="s">
        <v>132</v>
      </c>
      <c r="I132" s="34" t="s">
        <v>637</v>
      </c>
      <c r="J132" s="34" t="s">
        <v>849</v>
      </c>
      <c r="K132" s="34">
        <f>IF((Observaciones[[#This Row],[Fecha Levantamiento]]-Observaciones[[#This Row],[Fecha Detección]])&gt;=0,Observaciones[[#This Row],[Fecha Levantamiento]]-Observaciones[[#This Row],[Fecha Detección]]+1,0)</f>
        <v>0</v>
      </c>
      <c r="L132" s="34" t="str">
        <f>LOOKUP(Observaciones[[#This Row],[Caso de Prueba]],CasoPrueba[Código CP],CasoPrueba[Código de REQ])</f>
        <v>INSPECCIÓN</v>
      </c>
    </row>
    <row r="133" spans="1:12" ht="45" hidden="1">
      <c r="A133" s="166" t="s">
        <v>511</v>
      </c>
      <c r="B133" s="34" t="s">
        <v>498</v>
      </c>
      <c r="C133" s="34" t="str">
        <f>VLOOKUP(Observaciones[Caso de Prueba],CasoPrueba[[#All],[Código CP]:[Prioridad]],7,TRUE)</f>
        <v>Alta</v>
      </c>
      <c r="D133" s="34" t="s">
        <v>162</v>
      </c>
      <c r="E133" s="34" t="s">
        <v>47</v>
      </c>
      <c r="F133" s="73">
        <v>40805</v>
      </c>
      <c r="H133" s="94" t="s">
        <v>132</v>
      </c>
      <c r="I133" s="34" t="s">
        <v>598</v>
      </c>
      <c r="J133" s="34" t="s">
        <v>842</v>
      </c>
      <c r="K133" s="34">
        <f>IF((Observaciones[[#This Row],[Fecha Levantamiento]]-Observaciones[[#This Row],[Fecha Detección]])&gt;=0,Observaciones[[#This Row],[Fecha Levantamiento]]-Observaciones[[#This Row],[Fecha Detección]]+1,0)</f>
        <v>0</v>
      </c>
      <c r="L133" s="34" t="str">
        <f>LOOKUP(Observaciones[[#This Row],[Caso de Prueba]],CasoPrueba[Código CP],CasoPrueba[Código de REQ])</f>
        <v>INSPECCIÓN</v>
      </c>
    </row>
    <row r="134" spans="1:12" ht="45" hidden="1">
      <c r="A134" s="166" t="s">
        <v>512</v>
      </c>
      <c r="B134" s="34" t="s">
        <v>498</v>
      </c>
      <c r="C134" s="34" t="str">
        <f>VLOOKUP(Observaciones[Caso de Prueba],CasoPrueba[[#All],[Código CP]:[Prioridad]],7,TRUE)</f>
        <v>Alta</v>
      </c>
      <c r="D134" s="34" t="s">
        <v>29</v>
      </c>
      <c r="E134" s="34" t="s">
        <v>47</v>
      </c>
      <c r="F134" s="73">
        <v>40805</v>
      </c>
      <c r="H134" s="94" t="s">
        <v>132</v>
      </c>
      <c r="I134" s="34" t="s">
        <v>599</v>
      </c>
      <c r="J134" s="34" t="s">
        <v>843</v>
      </c>
      <c r="K134" s="34">
        <f>IF((Observaciones[[#This Row],[Fecha Levantamiento]]-Observaciones[[#This Row],[Fecha Detección]])&gt;=0,Observaciones[[#This Row],[Fecha Levantamiento]]-Observaciones[[#This Row],[Fecha Detección]]+1,0)</f>
        <v>0</v>
      </c>
      <c r="L134" s="34" t="str">
        <f>LOOKUP(Observaciones[[#This Row],[Caso de Prueba]],CasoPrueba[Código CP],CasoPrueba[Código de REQ])</f>
        <v>INSPECCIÓN</v>
      </c>
    </row>
    <row r="135" spans="1:12" ht="45" hidden="1">
      <c r="A135" s="166" t="s">
        <v>513</v>
      </c>
      <c r="B135" s="34" t="s">
        <v>498</v>
      </c>
      <c r="C135" s="34" t="str">
        <f>VLOOKUP(Observaciones[Caso de Prueba],CasoPrueba[[#All],[Código CP]:[Prioridad]],7,TRUE)</f>
        <v>Alta</v>
      </c>
      <c r="D135" s="34" t="s">
        <v>29</v>
      </c>
      <c r="E135" s="34" t="s">
        <v>47</v>
      </c>
      <c r="F135" s="73">
        <v>40805</v>
      </c>
      <c r="H135" s="94" t="s">
        <v>132</v>
      </c>
      <c r="I135" s="34" t="s">
        <v>600</v>
      </c>
      <c r="J135" s="34" t="s">
        <v>844</v>
      </c>
      <c r="K135" s="34">
        <f>IF((Observaciones[[#This Row],[Fecha Levantamiento]]-Observaciones[[#This Row],[Fecha Detección]])&gt;=0,Observaciones[[#This Row],[Fecha Levantamiento]]-Observaciones[[#This Row],[Fecha Detección]]+1,0)</f>
        <v>0</v>
      </c>
      <c r="L135" s="34" t="str">
        <f>LOOKUP(Observaciones[[#This Row],[Caso de Prueba]],CasoPrueba[Código CP],CasoPrueba[Código de REQ])</f>
        <v>INSPECCIÓN</v>
      </c>
    </row>
    <row r="136" spans="1:12" ht="105" hidden="1">
      <c r="A136" s="166" t="s">
        <v>514</v>
      </c>
      <c r="B136" s="34" t="s">
        <v>498</v>
      </c>
      <c r="C136" s="34" t="str">
        <f>VLOOKUP(Observaciones[Caso de Prueba],CasoPrueba[[#All],[Código CP]:[Prioridad]],7,TRUE)</f>
        <v>Alta</v>
      </c>
      <c r="D136" s="34" t="s">
        <v>29</v>
      </c>
      <c r="E136" s="34" t="s">
        <v>47</v>
      </c>
      <c r="F136" s="73">
        <v>40805</v>
      </c>
      <c r="H136" s="94" t="s">
        <v>132</v>
      </c>
      <c r="I136" s="34" t="s">
        <v>601</v>
      </c>
      <c r="J136" s="34" t="s">
        <v>845</v>
      </c>
      <c r="K136" s="34">
        <f>IF((Observaciones[[#This Row],[Fecha Levantamiento]]-Observaciones[[#This Row],[Fecha Detección]])&gt;=0,Observaciones[[#This Row],[Fecha Levantamiento]]-Observaciones[[#This Row],[Fecha Detección]]+1,0)</f>
        <v>0</v>
      </c>
      <c r="L136" s="34" t="str">
        <f>LOOKUP(Observaciones[[#This Row],[Caso de Prueba]],CasoPrueba[Código CP],CasoPrueba[Código de REQ])</f>
        <v>INSPECCIÓN</v>
      </c>
    </row>
    <row r="137" spans="1:12" ht="60" hidden="1">
      <c r="A137" s="166" t="s">
        <v>515</v>
      </c>
      <c r="B137" s="34" t="s">
        <v>498</v>
      </c>
      <c r="C137" s="34" t="str">
        <f>VLOOKUP(Observaciones[Caso de Prueba],CasoPrueba[[#All],[Código CP]:[Prioridad]],7,TRUE)</f>
        <v>Alta</v>
      </c>
      <c r="D137" s="34" t="s">
        <v>29</v>
      </c>
      <c r="E137" s="34" t="s">
        <v>47</v>
      </c>
      <c r="F137" s="73">
        <v>40805</v>
      </c>
      <c r="H137" s="94" t="s">
        <v>132</v>
      </c>
      <c r="I137" s="34" t="s">
        <v>602</v>
      </c>
      <c r="J137" s="34" t="s">
        <v>846</v>
      </c>
      <c r="K137" s="34">
        <f>IF((Observaciones[[#This Row],[Fecha Levantamiento]]-Observaciones[[#This Row],[Fecha Detección]])&gt;=0,Observaciones[[#This Row],[Fecha Levantamiento]]-Observaciones[[#This Row],[Fecha Detección]]+1,0)</f>
        <v>0</v>
      </c>
      <c r="L137" s="34" t="str">
        <f>LOOKUP(Observaciones[[#This Row],[Caso de Prueba]],CasoPrueba[Código CP],CasoPrueba[Código de REQ])</f>
        <v>INSPECCIÓN</v>
      </c>
    </row>
    <row r="138" spans="1:12" ht="30" hidden="1">
      <c r="A138" s="166" t="s">
        <v>516</v>
      </c>
      <c r="B138" s="34" t="s">
        <v>498</v>
      </c>
      <c r="C138" s="34" t="str">
        <f>VLOOKUP(Observaciones[Caso de Prueba],CasoPrueba[[#All],[Código CP]:[Prioridad]],7,TRUE)</f>
        <v>Alta</v>
      </c>
      <c r="D138" s="34" t="s">
        <v>162</v>
      </c>
      <c r="E138" s="34" t="s">
        <v>47</v>
      </c>
      <c r="F138" s="73">
        <v>40805</v>
      </c>
      <c r="H138" s="94" t="s">
        <v>132</v>
      </c>
      <c r="I138" s="34" t="s">
        <v>603</v>
      </c>
      <c r="J138" s="34" t="s">
        <v>234</v>
      </c>
      <c r="K138" s="34">
        <f>IF((Observaciones[[#This Row],[Fecha Levantamiento]]-Observaciones[[#This Row],[Fecha Detección]])&gt;=0,Observaciones[[#This Row],[Fecha Levantamiento]]-Observaciones[[#This Row],[Fecha Detección]]+1,0)</f>
        <v>0</v>
      </c>
      <c r="L138" s="34" t="str">
        <f>LOOKUP(Observaciones[[#This Row],[Caso de Prueba]],CasoPrueba[Código CP],CasoPrueba[Código de REQ])</f>
        <v>INSPECCIÓN</v>
      </c>
    </row>
    <row r="139" spans="1:12" ht="60" hidden="1">
      <c r="A139" s="166" t="s">
        <v>517</v>
      </c>
      <c r="B139" s="34" t="s">
        <v>498</v>
      </c>
      <c r="C139" s="34" t="str">
        <f>VLOOKUP(Observaciones[Caso de Prueba],CasoPrueba[[#All],[Código CP]:[Prioridad]],7,TRUE)</f>
        <v>Alta</v>
      </c>
      <c r="D139" s="34" t="s">
        <v>29</v>
      </c>
      <c r="E139" s="34" t="s">
        <v>47</v>
      </c>
      <c r="F139" s="73">
        <v>40805</v>
      </c>
      <c r="H139" s="94" t="s">
        <v>132</v>
      </c>
      <c r="I139" s="34" t="s">
        <v>604</v>
      </c>
      <c r="J139" s="34" t="s">
        <v>847</v>
      </c>
      <c r="K139" s="34">
        <f>IF((Observaciones[[#This Row],[Fecha Levantamiento]]-Observaciones[[#This Row],[Fecha Detección]])&gt;=0,Observaciones[[#This Row],[Fecha Levantamiento]]-Observaciones[[#This Row],[Fecha Detección]]+1,0)</f>
        <v>0</v>
      </c>
      <c r="L139" s="34" t="str">
        <f>LOOKUP(Observaciones[[#This Row],[Caso de Prueba]],CasoPrueba[Código CP],CasoPrueba[Código de REQ])</f>
        <v>INSPECCIÓN</v>
      </c>
    </row>
    <row r="140" spans="1:12" hidden="1">
      <c r="A140" s="166" t="s">
        <v>518</v>
      </c>
      <c r="B140" s="34" t="s">
        <v>498</v>
      </c>
      <c r="C140" s="34" t="str">
        <f>VLOOKUP(Observaciones[Caso de Prueba],CasoPrueba[[#All],[Código CP]:[Prioridad]],7,TRUE)</f>
        <v>Alta</v>
      </c>
      <c r="D140" s="34" t="s">
        <v>30</v>
      </c>
      <c r="E140" s="34" t="s">
        <v>47</v>
      </c>
      <c r="F140" s="73">
        <v>40805</v>
      </c>
      <c r="H140" s="94" t="s">
        <v>132</v>
      </c>
      <c r="I140" s="34" t="s">
        <v>605</v>
      </c>
      <c r="J140" s="34" t="s">
        <v>848</v>
      </c>
      <c r="K140" s="34">
        <f>IF((Observaciones[[#This Row],[Fecha Levantamiento]]-Observaciones[[#This Row],[Fecha Detección]])&gt;=0,Observaciones[[#This Row],[Fecha Levantamiento]]-Observaciones[[#This Row],[Fecha Detección]]+1,0)</f>
        <v>0</v>
      </c>
      <c r="L140" s="34" t="str">
        <f>LOOKUP(Observaciones[[#This Row],[Caso de Prueba]],CasoPrueba[Código CP],CasoPrueba[Código de REQ])</f>
        <v>INSPECCIÓN</v>
      </c>
    </row>
    <row r="141" spans="1:12" ht="30" hidden="1">
      <c r="A141" s="166" t="s">
        <v>519</v>
      </c>
      <c r="B141" s="34" t="s">
        <v>498</v>
      </c>
      <c r="C141" s="34" t="str">
        <f>VLOOKUP(Observaciones[Caso de Prueba],CasoPrueba[[#All],[Código CP]:[Prioridad]],7,TRUE)</f>
        <v>Alta</v>
      </c>
      <c r="D141" s="34" t="s">
        <v>162</v>
      </c>
      <c r="E141" s="34" t="s">
        <v>47</v>
      </c>
      <c r="F141" s="73">
        <v>40805</v>
      </c>
      <c r="H141" s="94" t="s">
        <v>132</v>
      </c>
      <c r="I141" s="34" t="s">
        <v>606</v>
      </c>
      <c r="J141" s="34" t="s">
        <v>842</v>
      </c>
      <c r="K141" s="34">
        <f>IF((Observaciones[[#This Row],[Fecha Levantamiento]]-Observaciones[[#This Row],[Fecha Detección]])&gt;=0,Observaciones[[#This Row],[Fecha Levantamiento]]-Observaciones[[#This Row],[Fecha Detección]]+1,0)</f>
        <v>0</v>
      </c>
      <c r="L141" s="34" t="str">
        <f>LOOKUP(Observaciones[[#This Row],[Caso de Prueba]],CasoPrueba[Código CP],CasoPrueba[Código de REQ])</f>
        <v>INSPECCIÓN</v>
      </c>
    </row>
    <row r="142" spans="1:12" ht="45" hidden="1">
      <c r="A142" s="166" t="s">
        <v>520</v>
      </c>
      <c r="B142" s="34" t="s">
        <v>498</v>
      </c>
      <c r="C142" s="34" t="str">
        <f>VLOOKUP(Observaciones[Caso de Prueba],CasoPrueba[[#All],[Código CP]:[Prioridad]],7,TRUE)</f>
        <v>Alta</v>
      </c>
      <c r="D142" s="34" t="s">
        <v>29</v>
      </c>
      <c r="E142" s="34" t="s">
        <v>47</v>
      </c>
      <c r="F142" s="73">
        <v>40805</v>
      </c>
      <c r="H142" s="94" t="s">
        <v>132</v>
      </c>
      <c r="I142" s="34" t="s">
        <v>607</v>
      </c>
      <c r="J142" s="34" t="s">
        <v>845</v>
      </c>
      <c r="K142" s="34">
        <f>IF((Observaciones[[#This Row],[Fecha Levantamiento]]-Observaciones[[#This Row],[Fecha Detección]])&gt;=0,Observaciones[[#This Row],[Fecha Levantamiento]]-Observaciones[[#This Row],[Fecha Detección]]+1,0)</f>
        <v>0</v>
      </c>
      <c r="L142" s="34" t="str">
        <f>LOOKUP(Observaciones[[#This Row],[Caso de Prueba]],CasoPrueba[Código CP],CasoPrueba[Código de REQ])</f>
        <v>INSPECCIÓN</v>
      </c>
    </row>
    <row r="143" spans="1:12" ht="63.75" hidden="1" customHeight="1">
      <c r="A143" s="166" t="s">
        <v>521</v>
      </c>
      <c r="B143" s="34" t="s">
        <v>499</v>
      </c>
      <c r="C143" s="34" t="str">
        <f>VLOOKUP(Observaciones[Caso de Prueba],CasoPrueba[[#All],[Código CP]:[Prioridad]],7,TRUE)</f>
        <v>Alta</v>
      </c>
      <c r="D143" s="34" t="s">
        <v>29</v>
      </c>
      <c r="E143" s="34" t="s">
        <v>47</v>
      </c>
      <c r="F143" s="73">
        <v>40805</v>
      </c>
      <c r="H143" s="94" t="s">
        <v>132</v>
      </c>
      <c r="I143" s="34" t="s">
        <v>608</v>
      </c>
      <c r="J143" s="34" t="s">
        <v>874</v>
      </c>
      <c r="K143" s="34">
        <f>IF((Observaciones[[#This Row],[Fecha Levantamiento]]-Observaciones[[#This Row],[Fecha Detección]])&gt;=0,Observaciones[[#This Row],[Fecha Levantamiento]]-Observaciones[[#This Row],[Fecha Detección]]+1,0)</f>
        <v>0</v>
      </c>
      <c r="L143" s="34" t="str">
        <f>LOOKUP(Observaciones[[#This Row],[Caso de Prueba]],CasoPrueba[Código CP],CasoPrueba[Código de REQ])</f>
        <v>INSPECCIÓN</v>
      </c>
    </row>
    <row r="144" spans="1:12" ht="30" hidden="1">
      <c r="A144" s="166" t="s">
        <v>522</v>
      </c>
      <c r="B144" s="34" t="s">
        <v>499</v>
      </c>
      <c r="C144" s="34" t="str">
        <f>VLOOKUP(Observaciones[Caso de Prueba],CasoPrueba[[#All],[Código CP]:[Prioridad]],7,TRUE)</f>
        <v>Alta</v>
      </c>
      <c r="D144" s="34" t="s">
        <v>162</v>
      </c>
      <c r="E144" s="34" t="s">
        <v>47</v>
      </c>
      <c r="F144" s="73">
        <v>40805</v>
      </c>
      <c r="H144" s="94" t="s">
        <v>132</v>
      </c>
      <c r="I144" s="34" t="s">
        <v>609</v>
      </c>
      <c r="J144" s="34" t="s">
        <v>853</v>
      </c>
      <c r="K144" s="34">
        <f>IF((Observaciones[[#This Row],[Fecha Levantamiento]]-Observaciones[[#This Row],[Fecha Detección]])&gt;=0,Observaciones[[#This Row],[Fecha Levantamiento]]-Observaciones[[#This Row],[Fecha Detección]]+1,0)</f>
        <v>0</v>
      </c>
      <c r="L144" s="34" t="str">
        <f>LOOKUP(Observaciones[[#This Row],[Caso de Prueba]],CasoPrueba[Código CP],CasoPrueba[Código de REQ])</f>
        <v>INSPECCIÓN</v>
      </c>
    </row>
    <row r="145" spans="1:12" ht="30" hidden="1">
      <c r="A145" s="166" t="s">
        <v>523</v>
      </c>
      <c r="B145" s="34" t="s">
        <v>499</v>
      </c>
      <c r="C145" s="34" t="str">
        <f>VLOOKUP(Observaciones[Caso de Prueba],CasoPrueba[[#All],[Código CP]:[Prioridad]],7,TRUE)</f>
        <v>Alta</v>
      </c>
      <c r="D145" s="34" t="s">
        <v>28</v>
      </c>
      <c r="E145" s="34" t="s">
        <v>47</v>
      </c>
      <c r="F145" s="73">
        <v>40805</v>
      </c>
      <c r="H145" s="94" t="s">
        <v>132</v>
      </c>
      <c r="I145" s="34" t="s">
        <v>595</v>
      </c>
      <c r="J145" s="34" t="s">
        <v>852</v>
      </c>
      <c r="K145" s="34">
        <f>IF((Observaciones[[#This Row],[Fecha Levantamiento]]-Observaciones[[#This Row],[Fecha Detección]])&gt;=0,Observaciones[[#This Row],[Fecha Levantamiento]]-Observaciones[[#This Row],[Fecha Detección]]+1,0)</f>
        <v>0</v>
      </c>
      <c r="L145" s="34" t="str">
        <f>LOOKUP(Observaciones[[#This Row],[Caso de Prueba]],CasoPrueba[Código CP],CasoPrueba[Código de REQ])</f>
        <v>INSPECCIÓN</v>
      </c>
    </row>
    <row r="146" spans="1:12" ht="90" hidden="1">
      <c r="A146" s="166" t="s">
        <v>524</v>
      </c>
      <c r="B146" s="34" t="s">
        <v>499</v>
      </c>
      <c r="C146" s="34" t="str">
        <f>VLOOKUP(Observaciones[Caso de Prueba],CasoPrueba[[#All],[Código CP]:[Prioridad]],7,TRUE)</f>
        <v>Alta</v>
      </c>
      <c r="D146" s="34" t="s">
        <v>30</v>
      </c>
      <c r="E146" s="34" t="s">
        <v>47</v>
      </c>
      <c r="F146" s="73">
        <v>40805</v>
      </c>
      <c r="H146" s="94" t="s">
        <v>132</v>
      </c>
      <c r="I146" s="34" t="s">
        <v>610</v>
      </c>
      <c r="J146" s="34" t="s">
        <v>851</v>
      </c>
      <c r="K146" s="34">
        <f>IF((Observaciones[[#This Row],[Fecha Levantamiento]]-Observaciones[[#This Row],[Fecha Detección]])&gt;=0,Observaciones[[#This Row],[Fecha Levantamiento]]-Observaciones[[#This Row],[Fecha Detección]]+1,0)</f>
        <v>0</v>
      </c>
      <c r="L146" s="34" t="str">
        <f>LOOKUP(Observaciones[[#This Row],[Caso de Prueba]],CasoPrueba[Código CP],CasoPrueba[Código de REQ])</f>
        <v>INSPECCIÓN</v>
      </c>
    </row>
    <row r="147" spans="1:12" ht="30" hidden="1">
      <c r="A147" s="166" t="s">
        <v>525</v>
      </c>
      <c r="B147" s="34" t="s">
        <v>499</v>
      </c>
      <c r="C147" s="34" t="str">
        <f>VLOOKUP(Observaciones[Caso de Prueba],CasoPrueba[[#All],[Código CP]:[Prioridad]],7,TRUE)</f>
        <v>Alta</v>
      </c>
      <c r="D147" s="34" t="s">
        <v>30</v>
      </c>
      <c r="E147" s="34" t="s">
        <v>47</v>
      </c>
      <c r="F147" s="73">
        <v>40805</v>
      </c>
      <c r="H147" s="94" t="s">
        <v>132</v>
      </c>
      <c r="I147" s="34" t="s">
        <v>611</v>
      </c>
      <c r="J147" s="34" t="s">
        <v>854</v>
      </c>
      <c r="K147" s="34">
        <f>IF((Observaciones[[#This Row],[Fecha Levantamiento]]-Observaciones[[#This Row],[Fecha Detección]])&gt;=0,Observaciones[[#This Row],[Fecha Levantamiento]]-Observaciones[[#This Row],[Fecha Detección]]+1,0)</f>
        <v>0</v>
      </c>
      <c r="L147" s="34" t="str">
        <f>LOOKUP(Observaciones[[#This Row],[Caso de Prueba]],CasoPrueba[Código CP],CasoPrueba[Código de REQ])</f>
        <v>INSPECCIÓN</v>
      </c>
    </row>
    <row r="148" spans="1:12" ht="60" hidden="1">
      <c r="A148" s="166" t="s">
        <v>526</v>
      </c>
      <c r="B148" s="34" t="s">
        <v>499</v>
      </c>
      <c r="C148" s="34" t="str">
        <f>VLOOKUP(Observaciones[Caso de Prueba],CasoPrueba[[#All],[Código CP]:[Prioridad]],7,TRUE)</f>
        <v>Alta</v>
      </c>
      <c r="D148" s="34" t="s">
        <v>28</v>
      </c>
      <c r="E148" s="34" t="s">
        <v>47</v>
      </c>
      <c r="F148" s="73">
        <v>40805</v>
      </c>
      <c r="H148" s="94" t="s">
        <v>132</v>
      </c>
      <c r="I148" s="34" t="s">
        <v>612</v>
      </c>
      <c r="J148" s="34" t="s">
        <v>855</v>
      </c>
      <c r="K148" s="34">
        <f>IF((Observaciones[[#This Row],[Fecha Levantamiento]]-Observaciones[[#This Row],[Fecha Detección]])&gt;=0,Observaciones[[#This Row],[Fecha Levantamiento]]-Observaciones[[#This Row],[Fecha Detección]]+1,0)</f>
        <v>0</v>
      </c>
      <c r="L148" s="34" t="str">
        <f>LOOKUP(Observaciones[[#This Row],[Caso de Prueba]],CasoPrueba[Código CP],CasoPrueba[Código de REQ])</f>
        <v>INSPECCIÓN</v>
      </c>
    </row>
    <row r="149" spans="1:12" ht="78" hidden="1" customHeight="1">
      <c r="A149" s="166" t="s">
        <v>527</v>
      </c>
      <c r="B149" s="34" t="s">
        <v>499</v>
      </c>
      <c r="C149" s="34" t="str">
        <f>VLOOKUP(Observaciones[Caso de Prueba],CasoPrueba[[#All],[Código CP]:[Prioridad]],7,TRUE)</f>
        <v>Alta</v>
      </c>
      <c r="D149" s="34" t="s">
        <v>29</v>
      </c>
      <c r="E149" s="34" t="s">
        <v>47</v>
      </c>
      <c r="F149" s="73">
        <v>40805</v>
      </c>
      <c r="H149" s="94" t="s">
        <v>132</v>
      </c>
      <c r="I149" s="34" t="s">
        <v>613</v>
      </c>
      <c r="J149" s="34" t="s">
        <v>856</v>
      </c>
      <c r="K149" s="34">
        <f>IF((Observaciones[[#This Row],[Fecha Levantamiento]]-Observaciones[[#This Row],[Fecha Detección]])&gt;=0,Observaciones[[#This Row],[Fecha Levantamiento]]-Observaciones[[#This Row],[Fecha Detección]]+1,0)</f>
        <v>0</v>
      </c>
      <c r="L149" s="34" t="str">
        <f>LOOKUP(Observaciones[[#This Row],[Caso de Prueba]],CasoPrueba[Código CP],CasoPrueba[Código de REQ])</f>
        <v>INSPECCIÓN</v>
      </c>
    </row>
    <row r="150" spans="1:12" ht="49.5" hidden="1" customHeight="1">
      <c r="A150" s="166" t="s">
        <v>528</v>
      </c>
      <c r="B150" s="34" t="s">
        <v>499</v>
      </c>
      <c r="C150" s="34" t="str">
        <f>VLOOKUP(Observaciones[Caso de Prueba],CasoPrueba[[#All],[Código CP]:[Prioridad]],7,TRUE)</f>
        <v>Alta</v>
      </c>
      <c r="D150" s="34" t="s">
        <v>162</v>
      </c>
      <c r="E150" s="34" t="s">
        <v>47</v>
      </c>
      <c r="F150" s="73">
        <v>40805</v>
      </c>
      <c r="H150" s="94" t="s">
        <v>132</v>
      </c>
      <c r="I150" s="34" t="s">
        <v>614</v>
      </c>
      <c r="J150" s="34" t="s">
        <v>234</v>
      </c>
      <c r="K150" s="34">
        <f>IF((Observaciones[[#This Row],[Fecha Levantamiento]]-Observaciones[[#This Row],[Fecha Detección]])&gt;=0,Observaciones[[#This Row],[Fecha Levantamiento]]-Observaciones[[#This Row],[Fecha Detección]]+1,0)</f>
        <v>0</v>
      </c>
      <c r="L150" s="34" t="str">
        <f>LOOKUP(Observaciones[[#This Row],[Caso de Prueba]],CasoPrueba[Código CP],CasoPrueba[Código de REQ])</f>
        <v>INSPECCIÓN</v>
      </c>
    </row>
    <row r="151" spans="1:12" ht="45" hidden="1">
      <c r="A151" s="166" t="s">
        <v>529</v>
      </c>
      <c r="B151" s="34" t="s">
        <v>499</v>
      </c>
      <c r="C151" s="34" t="str">
        <f>VLOOKUP(Observaciones[Caso de Prueba],CasoPrueba[[#All],[Código CP]:[Prioridad]],7,TRUE)</f>
        <v>Alta</v>
      </c>
      <c r="D151" s="34" t="s">
        <v>162</v>
      </c>
      <c r="E151" s="34" t="s">
        <v>47</v>
      </c>
      <c r="F151" s="73">
        <v>40805</v>
      </c>
      <c r="H151" s="94" t="s">
        <v>132</v>
      </c>
      <c r="I151" s="34" t="s">
        <v>615</v>
      </c>
      <c r="J151" s="34" t="s">
        <v>234</v>
      </c>
      <c r="K151" s="34">
        <f>IF((Observaciones[[#This Row],[Fecha Levantamiento]]-Observaciones[[#This Row],[Fecha Detección]])&gt;=0,Observaciones[[#This Row],[Fecha Levantamiento]]-Observaciones[[#This Row],[Fecha Detección]]+1,0)</f>
        <v>0</v>
      </c>
      <c r="L151" s="34" t="str">
        <f>LOOKUP(Observaciones[[#This Row],[Caso de Prueba]],CasoPrueba[Código CP],CasoPrueba[Código de REQ])</f>
        <v>INSPECCIÓN</v>
      </c>
    </row>
    <row r="152" spans="1:12" ht="30" hidden="1">
      <c r="A152" s="166" t="s">
        <v>530</v>
      </c>
      <c r="B152" s="34" t="s">
        <v>499</v>
      </c>
      <c r="C152" s="34" t="str">
        <f>VLOOKUP(Observaciones[Caso de Prueba],CasoPrueba[[#All],[Código CP]:[Prioridad]],7,TRUE)</f>
        <v>Alta</v>
      </c>
      <c r="D152" s="34" t="s">
        <v>162</v>
      </c>
      <c r="E152" s="34" t="s">
        <v>47</v>
      </c>
      <c r="F152" s="73">
        <v>40805</v>
      </c>
      <c r="H152" s="94" t="s">
        <v>132</v>
      </c>
      <c r="I152" s="34" t="s">
        <v>606</v>
      </c>
      <c r="J152" s="34" t="s">
        <v>234</v>
      </c>
      <c r="K152" s="34">
        <f>IF((Observaciones[[#This Row],[Fecha Levantamiento]]-Observaciones[[#This Row],[Fecha Detección]])&gt;=0,Observaciones[[#This Row],[Fecha Levantamiento]]-Observaciones[[#This Row],[Fecha Detección]]+1,0)</f>
        <v>0</v>
      </c>
      <c r="L152" s="34" t="str">
        <f>LOOKUP(Observaciones[[#This Row],[Caso de Prueba]],CasoPrueba[Código CP],CasoPrueba[Código de REQ])</f>
        <v>INSPECCIÓN</v>
      </c>
    </row>
    <row r="153" spans="1:12" ht="45" hidden="1">
      <c r="A153" s="166" t="s">
        <v>531</v>
      </c>
      <c r="B153" s="34" t="s">
        <v>500</v>
      </c>
      <c r="C153" s="34" t="str">
        <f>VLOOKUP(Observaciones[Caso de Prueba],CasoPrueba[[#All],[Código CP]:[Prioridad]],7,TRUE)</f>
        <v>Alta</v>
      </c>
      <c r="D153" s="34" t="s">
        <v>29</v>
      </c>
      <c r="E153" s="34" t="s">
        <v>47</v>
      </c>
      <c r="F153" s="73">
        <v>40807</v>
      </c>
      <c r="H153" s="94" t="s">
        <v>132</v>
      </c>
      <c r="I153" s="34" t="s">
        <v>608</v>
      </c>
      <c r="J153" s="34" t="s">
        <v>874</v>
      </c>
      <c r="K153" s="34">
        <f>IF((Observaciones[[#This Row],[Fecha Levantamiento]]-Observaciones[[#This Row],[Fecha Detección]])&gt;=0,Observaciones[[#This Row],[Fecha Levantamiento]]-Observaciones[[#This Row],[Fecha Detección]]+1,0)</f>
        <v>0</v>
      </c>
      <c r="L153" s="34" t="str">
        <f>LOOKUP(Observaciones[[#This Row],[Caso de Prueba]],CasoPrueba[Código CP],CasoPrueba[Código de REQ])</f>
        <v>INSPECCIÓN</v>
      </c>
    </row>
    <row r="154" spans="1:12" ht="30" hidden="1">
      <c r="A154" s="166" t="s">
        <v>532</v>
      </c>
      <c r="B154" s="34" t="s">
        <v>500</v>
      </c>
      <c r="C154" s="34" t="str">
        <f>VLOOKUP(Observaciones[Caso de Prueba],CasoPrueba[[#All],[Código CP]:[Prioridad]],7,TRUE)</f>
        <v>Alta</v>
      </c>
      <c r="D154" s="34" t="s">
        <v>28</v>
      </c>
      <c r="E154" s="34" t="s">
        <v>47</v>
      </c>
      <c r="F154" s="73">
        <v>40807</v>
      </c>
      <c r="H154" s="94" t="s">
        <v>132</v>
      </c>
      <c r="I154" s="34" t="s">
        <v>595</v>
      </c>
      <c r="J154" s="34" t="s">
        <v>852</v>
      </c>
      <c r="K154" s="34">
        <f>IF((Observaciones[[#This Row],[Fecha Levantamiento]]-Observaciones[[#This Row],[Fecha Detección]])&gt;=0,Observaciones[[#This Row],[Fecha Levantamiento]]-Observaciones[[#This Row],[Fecha Detección]]+1,0)</f>
        <v>0</v>
      </c>
      <c r="L154" s="34" t="str">
        <f>LOOKUP(Observaciones[[#This Row],[Caso de Prueba]],CasoPrueba[Código CP],CasoPrueba[Código de REQ])</f>
        <v>INSPECCIÓN</v>
      </c>
    </row>
    <row r="155" spans="1:12" ht="45" hidden="1">
      <c r="A155" s="166" t="s">
        <v>533</v>
      </c>
      <c r="B155" s="34" t="s">
        <v>500</v>
      </c>
      <c r="C155" s="34" t="str">
        <f>VLOOKUP(Observaciones[Caso de Prueba],CasoPrueba[[#All],[Código CP]:[Prioridad]],7,TRUE)</f>
        <v>Alta</v>
      </c>
      <c r="D155" s="34" t="s">
        <v>162</v>
      </c>
      <c r="E155" s="34" t="s">
        <v>47</v>
      </c>
      <c r="F155" s="73">
        <v>40807</v>
      </c>
      <c r="H155" s="94" t="s">
        <v>132</v>
      </c>
      <c r="I155" s="34" t="s">
        <v>616</v>
      </c>
      <c r="J155" s="34" t="s">
        <v>857</v>
      </c>
      <c r="K155" s="34">
        <f>IF((Observaciones[[#This Row],[Fecha Levantamiento]]-Observaciones[[#This Row],[Fecha Detección]])&gt;=0,Observaciones[[#This Row],[Fecha Levantamiento]]-Observaciones[[#This Row],[Fecha Detección]]+1,0)</f>
        <v>0</v>
      </c>
      <c r="L155" s="34" t="str">
        <f>LOOKUP(Observaciones[[#This Row],[Caso de Prueba]],CasoPrueba[Código CP],CasoPrueba[Código de REQ])</f>
        <v>INSPECCIÓN</v>
      </c>
    </row>
    <row r="156" spans="1:12" ht="45" hidden="1">
      <c r="A156" s="166" t="s">
        <v>534</v>
      </c>
      <c r="B156" s="34" t="s">
        <v>500</v>
      </c>
      <c r="C156" s="34" t="str">
        <f>VLOOKUP(Observaciones[Caso de Prueba],CasoPrueba[[#All],[Código CP]:[Prioridad]],7,TRUE)</f>
        <v>Alta</v>
      </c>
      <c r="D156" s="34" t="s">
        <v>29</v>
      </c>
      <c r="E156" s="34" t="s">
        <v>47</v>
      </c>
      <c r="F156" s="73">
        <v>40807</v>
      </c>
      <c r="H156" s="94" t="s">
        <v>132</v>
      </c>
      <c r="I156" s="34" t="s">
        <v>617</v>
      </c>
      <c r="J156" s="34" t="s">
        <v>266</v>
      </c>
      <c r="K156" s="34">
        <f>IF((Observaciones[[#This Row],[Fecha Levantamiento]]-Observaciones[[#This Row],[Fecha Detección]])&gt;=0,Observaciones[[#This Row],[Fecha Levantamiento]]-Observaciones[[#This Row],[Fecha Detección]]+1,0)</f>
        <v>0</v>
      </c>
      <c r="L156" s="34" t="str">
        <f>LOOKUP(Observaciones[[#This Row],[Caso de Prueba]],CasoPrueba[Código CP],CasoPrueba[Código de REQ])</f>
        <v>INSPECCIÓN</v>
      </c>
    </row>
    <row r="157" spans="1:12" ht="90" hidden="1">
      <c r="A157" s="166" t="s">
        <v>535</v>
      </c>
      <c r="B157" s="34" t="s">
        <v>500</v>
      </c>
      <c r="C157" s="34" t="str">
        <f>VLOOKUP(Observaciones[Caso de Prueba],CasoPrueba[[#All],[Código CP]:[Prioridad]],7,TRUE)</f>
        <v>Alta</v>
      </c>
      <c r="D157" s="34" t="s">
        <v>29</v>
      </c>
      <c r="E157" s="34" t="s">
        <v>47</v>
      </c>
      <c r="F157" s="73">
        <v>40807</v>
      </c>
      <c r="H157" s="94" t="s">
        <v>132</v>
      </c>
      <c r="I157" s="34" t="s">
        <v>610</v>
      </c>
      <c r="J157" s="34" t="s">
        <v>851</v>
      </c>
      <c r="K157" s="34">
        <f>IF((Observaciones[[#This Row],[Fecha Levantamiento]]-Observaciones[[#This Row],[Fecha Detección]])&gt;=0,Observaciones[[#This Row],[Fecha Levantamiento]]-Observaciones[[#This Row],[Fecha Detección]]+1,0)</f>
        <v>0</v>
      </c>
      <c r="L157" s="34" t="str">
        <f>LOOKUP(Observaciones[[#This Row],[Caso de Prueba]],CasoPrueba[Código CP],CasoPrueba[Código de REQ])</f>
        <v>INSPECCIÓN</v>
      </c>
    </row>
    <row r="158" spans="1:12" ht="75" hidden="1">
      <c r="A158" s="166" t="s">
        <v>536</v>
      </c>
      <c r="B158" s="34" t="s">
        <v>500</v>
      </c>
      <c r="C158" s="34" t="str">
        <f>VLOOKUP(Observaciones[Caso de Prueba],CasoPrueba[[#All],[Código CP]:[Prioridad]],7,TRUE)</f>
        <v>Alta</v>
      </c>
      <c r="D158" s="34" t="s">
        <v>30</v>
      </c>
      <c r="E158" s="34" t="s">
        <v>47</v>
      </c>
      <c r="F158" s="73">
        <v>40807</v>
      </c>
      <c r="H158" s="94" t="s">
        <v>132</v>
      </c>
      <c r="I158" s="34" t="s">
        <v>618</v>
      </c>
      <c r="J158" s="34" t="s">
        <v>859</v>
      </c>
      <c r="K158" s="34">
        <f>IF((Observaciones[[#This Row],[Fecha Levantamiento]]-Observaciones[[#This Row],[Fecha Detección]])&gt;=0,Observaciones[[#This Row],[Fecha Levantamiento]]-Observaciones[[#This Row],[Fecha Detección]]+1,0)</f>
        <v>0</v>
      </c>
      <c r="L158" s="34" t="str">
        <f>LOOKUP(Observaciones[[#This Row],[Caso de Prueba]],CasoPrueba[Código CP],CasoPrueba[Código de REQ])</f>
        <v>INSPECCIÓN</v>
      </c>
    </row>
    <row r="159" spans="1:12" ht="60" hidden="1">
      <c r="A159" s="166" t="s">
        <v>537</v>
      </c>
      <c r="B159" s="34" t="s">
        <v>500</v>
      </c>
      <c r="C159" s="34" t="str">
        <f>VLOOKUP(Observaciones[Caso de Prueba],CasoPrueba[[#All],[Código CP]:[Prioridad]],7,TRUE)</f>
        <v>Alta</v>
      </c>
      <c r="D159" s="34" t="s">
        <v>29</v>
      </c>
      <c r="E159" s="34" t="s">
        <v>47</v>
      </c>
      <c r="F159" s="73">
        <v>40807</v>
      </c>
      <c r="H159" s="94" t="s">
        <v>132</v>
      </c>
      <c r="I159" s="34" t="s">
        <v>619</v>
      </c>
      <c r="J159" s="34" t="s">
        <v>860</v>
      </c>
      <c r="K159" s="34">
        <f>IF((Observaciones[[#This Row],[Fecha Levantamiento]]-Observaciones[[#This Row],[Fecha Detección]])&gt;=0,Observaciones[[#This Row],[Fecha Levantamiento]]-Observaciones[[#This Row],[Fecha Detección]]+1,0)</f>
        <v>0</v>
      </c>
      <c r="L159" s="34" t="str">
        <f>LOOKUP(Observaciones[[#This Row],[Caso de Prueba]],CasoPrueba[Código CP],CasoPrueba[Código de REQ])</f>
        <v>INSPECCIÓN</v>
      </c>
    </row>
    <row r="160" spans="1:12" ht="30" hidden="1">
      <c r="A160" s="166" t="s">
        <v>538</v>
      </c>
      <c r="B160" s="34" t="s">
        <v>500</v>
      </c>
      <c r="C160" s="34" t="str">
        <f>VLOOKUP(Observaciones[Caso de Prueba],CasoPrueba[[#All],[Código CP]:[Prioridad]],7,TRUE)</f>
        <v>Alta</v>
      </c>
      <c r="D160" s="34" t="s">
        <v>28</v>
      </c>
      <c r="E160" s="34" t="s">
        <v>47</v>
      </c>
      <c r="F160" s="73">
        <v>40807</v>
      </c>
      <c r="H160" s="94" t="s">
        <v>132</v>
      </c>
      <c r="I160" s="34" t="s">
        <v>620</v>
      </c>
      <c r="J160" s="34" t="s">
        <v>266</v>
      </c>
      <c r="K160" s="34">
        <f>IF((Observaciones[[#This Row],[Fecha Levantamiento]]-Observaciones[[#This Row],[Fecha Detección]])&gt;=0,Observaciones[[#This Row],[Fecha Levantamiento]]-Observaciones[[#This Row],[Fecha Detección]]+1,0)</f>
        <v>0</v>
      </c>
      <c r="L160" s="34" t="str">
        <f>LOOKUP(Observaciones[[#This Row],[Caso de Prueba]],CasoPrueba[Código CP],CasoPrueba[Código de REQ])</f>
        <v>INSPECCIÓN</v>
      </c>
    </row>
    <row r="161" spans="1:12" ht="45" hidden="1">
      <c r="A161" s="166" t="s">
        <v>539</v>
      </c>
      <c r="B161" s="34" t="s">
        <v>500</v>
      </c>
      <c r="C161" s="34" t="str">
        <f>VLOOKUP(Observaciones[Caso de Prueba],CasoPrueba[[#All],[Código CP]:[Prioridad]],7,TRUE)</f>
        <v>Alta</v>
      </c>
      <c r="D161" s="34" t="s">
        <v>29</v>
      </c>
      <c r="E161" s="34" t="s">
        <v>47</v>
      </c>
      <c r="F161" s="73">
        <v>40807</v>
      </c>
      <c r="H161" s="94" t="s">
        <v>132</v>
      </c>
      <c r="I161" s="34" t="s">
        <v>621</v>
      </c>
      <c r="J161" s="34" t="s">
        <v>858</v>
      </c>
      <c r="K161" s="34">
        <f>IF((Observaciones[[#This Row],[Fecha Levantamiento]]-Observaciones[[#This Row],[Fecha Detección]])&gt;=0,Observaciones[[#This Row],[Fecha Levantamiento]]-Observaciones[[#This Row],[Fecha Detección]]+1,0)</f>
        <v>0</v>
      </c>
      <c r="L161" s="34" t="str">
        <f>LOOKUP(Observaciones[[#This Row],[Caso de Prueba]],CasoPrueba[Código CP],CasoPrueba[Código de REQ])</f>
        <v>INSPECCIÓN</v>
      </c>
    </row>
    <row r="162" spans="1:12" ht="45" hidden="1">
      <c r="A162" s="166" t="s">
        <v>540</v>
      </c>
      <c r="B162" s="34" t="s">
        <v>500</v>
      </c>
      <c r="C162" s="34" t="str">
        <f>VLOOKUP(Observaciones[Caso de Prueba],CasoPrueba[[#All],[Código CP]:[Prioridad]],7,TRUE)</f>
        <v>Alta</v>
      </c>
      <c r="D162" s="34" t="s">
        <v>162</v>
      </c>
      <c r="E162" s="34" t="s">
        <v>47</v>
      </c>
      <c r="F162" s="73">
        <v>40807</v>
      </c>
      <c r="H162" s="94" t="s">
        <v>132</v>
      </c>
      <c r="I162" s="34" t="s">
        <v>622</v>
      </c>
      <c r="J162" s="34" t="s">
        <v>234</v>
      </c>
      <c r="K162" s="34">
        <f>IF((Observaciones[[#This Row],[Fecha Levantamiento]]-Observaciones[[#This Row],[Fecha Detección]])&gt;=0,Observaciones[[#This Row],[Fecha Levantamiento]]-Observaciones[[#This Row],[Fecha Detección]]+1,0)</f>
        <v>0</v>
      </c>
      <c r="L162" s="34" t="str">
        <f>LOOKUP(Observaciones[[#This Row],[Caso de Prueba]],CasoPrueba[Código CP],CasoPrueba[Código de REQ])</f>
        <v>INSPECCIÓN</v>
      </c>
    </row>
    <row r="163" spans="1:12" ht="75" hidden="1">
      <c r="A163" s="166" t="s">
        <v>541</v>
      </c>
      <c r="B163" s="34" t="s">
        <v>500</v>
      </c>
      <c r="C163" s="34" t="str">
        <f>VLOOKUP(Observaciones[Caso de Prueba],CasoPrueba[[#All],[Código CP]:[Prioridad]],7,TRUE)</f>
        <v>Alta</v>
      </c>
      <c r="D163" s="34" t="s">
        <v>29</v>
      </c>
      <c r="E163" s="34" t="s">
        <v>47</v>
      </c>
      <c r="F163" s="73">
        <v>40807</v>
      </c>
      <c r="H163" s="94" t="s">
        <v>132</v>
      </c>
      <c r="I163" s="34" t="s">
        <v>623</v>
      </c>
      <c r="J163" s="34" t="s">
        <v>266</v>
      </c>
      <c r="K163" s="34">
        <f>IF((Observaciones[[#This Row],[Fecha Levantamiento]]-Observaciones[[#This Row],[Fecha Detección]])&gt;=0,Observaciones[[#This Row],[Fecha Levantamiento]]-Observaciones[[#This Row],[Fecha Detección]]+1,0)</f>
        <v>0</v>
      </c>
      <c r="L163" s="34" t="str">
        <f>LOOKUP(Observaciones[[#This Row],[Caso de Prueba]],CasoPrueba[Código CP],CasoPrueba[Código de REQ])</f>
        <v>INSPECCIÓN</v>
      </c>
    </row>
    <row r="164" spans="1:12" ht="59.25" hidden="1" customHeight="1">
      <c r="A164" s="166" t="s">
        <v>542</v>
      </c>
      <c r="B164" s="34" t="s">
        <v>500</v>
      </c>
      <c r="C164" s="34" t="str">
        <f>VLOOKUP(Observaciones[Caso de Prueba],CasoPrueba[[#All],[Código CP]:[Prioridad]],7,TRUE)</f>
        <v>Alta</v>
      </c>
      <c r="D164" s="34" t="s">
        <v>162</v>
      </c>
      <c r="E164" s="34" t="s">
        <v>47</v>
      </c>
      <c r="F164" s="73">
        <v>40807</v>
      </c>
      <c r="H164" s="94" t="s">
        <v>132</v>
      </c>
      <c r="I164" s="34" t="s">
        <v>624</v>
      </c>
      <c r="J164" s="34" t="s">
        <v>264</v>
      </c>
      <c r="K164" s="34">
        <f>IF((Observaciones[[#This Row],[Fecha Levantamiento]]-Observaciones[[#This Row],[Fecha Detección]])&gt;=0,Observaciones[[#This Row],[Fecha Levantamiento]]-Observaciones[[#This Row],[Fecha Detección]]+1,0)</f>
        <v>0</v>
      </c>
      <c r="L164" s="34" t="str">
        <f>LOOKUP(Observaciones[[#This Row],[Caso de Prueba]],CasoPrueba[Código CP],CasoPrueba[Código de REQ])</f>
        <v>INSPECCIÓN</v>
      </c>
    </row>
    <row r="165" spans="1:12" ht="30" hidden="1">
      <c r="A165" s="166" t="s">
        <v>543</v>
      </c>
      <c r="B165" s="34" t="s">
        <v>625</v>
      </c>
      <c r="C165" s="34" t="str">
        <f>VLOOKUP(Observaciones[Caso de Prueba],CasoPrueba[[#All],[Código CP]:[Prioridad]],7,TRUE)</f>
        <v>Alta</v>
      </c>
      <c r="D165" s="34" t="s">
        <v>162</v>
      </c>
      <c r="E165" s="34" t="s">
        <v>47</v>
      </c>
      <c r="F165" s="73">
        <v>40807</v>
      </c>
      <c r="H165" s="94" t="s">
        <v>132</v>
      </c>
      <c r="I165" s="34" t="s">
        <v>636</v>
      </c>
      <c r="J165" s="34" t="s">
        <v>199</v>
      </c>
      <c r="K165" s="34">
        <f>IF((Observaciones[[#This Row],[Fecha Levantamiento]]-Observaciones[[#This Row],[Fecha Detección]])&gt;=0,Observaciones[[#This Row],[Fecha Levantamiento]]-Observaciones[[#This Row],[Fecha Detección]]+1,0)</f>
        <v>0</v>
      </c>
      <c r="L165" s="34" t="str">
        <f>LOOKUP(Observaciones[[#This Row],[Caso de Prueba]],CasoPrueba[Código CP],CasoPrueba[Código de REQ])</f>
        <v>INSPECCIÓN</v>
      </c>
    </row>
    <row r="166" spans="1:12" ht="30" hidden="1">
      <c r="A166" s="166" t="s">
        <v>544</v>
      </c>
      <c r="B166" s="34" t="s">
        <v>625</v>
      </c>
      <c r="C166" s="34" t="str">
        <f>VLOOKUP(Observaciones[Caso de Prueba],CasoPrueba[[#All],[Código CP]:[Prioridad]],7,TRUE)</f>
        <v>Alta</v>
      </c>
      <c r="D166" s="34" t="s">
        <v>28</v>
      </c>
      <c r="E166" s="34" t="s">
        <v>47</v>
      </c>
      <c r="F166" s="73">
        <v>40807</v>
      </c>
      <c r="H166" s="94" t="s">
        <v>132</v>
      </c>
      <c r="I166" s="34" t="s">
        <v>595</v>
      </c>
      <c r="J166" s="34" t="s">
        <v>870</v>
      </c>
      <c r="K166" s="34">
        <f>IF((Observaciones[[#This Row],[Fecha Levantamiento]]-Observaciones[[#This Row],[Fecha Detección]])&gt;=0,Observaciones[[#This Row],[Fecha Levantamiento]]-Observaciones[[#This Row],[Fecha Detección]]+1,0)</f>
        <v>0</v>
      </c>
      <c r="L166" s="34" t="str">
        <f>LOOKUP(Observaciones[[#This Row],[Caso de Prueba]],CasoPrueba[Código CP],CasoPrueba[Código de REQ])</f>
        <v>INSPECCIÓN</v>
      </c>
    </row>
    <row r="167" spans="1:12" ht="90" hidden="1">
      <c r="A167" s="166" t="s">
        <v>545</v>
      </c>
      <c r="B167" s="34" t="s">
        <v>625</v>
      </c>
      <c r="C167" s="34" t="str">
        <f>VLOOKUP(Observaciones[Caso de Prueba],CasoPrueba[[#All],[Código CP]:[Prioridad]],7,TRUE)</f>
        <v>Alta</v>
      </c>
      <c r="D167" s="34" t="s">
        <v>29</v>
      </c>
      <c r="E167" s="34" t="s">
        <v>47</v>
      </c>
      <c r="F167" s="73">
        <v>40807</v>
      </c>
      <c r="H167" s="94" t="s">
        <v>132</v>
      </c>
      <c r="I167" s="34" t="s">
        <v>610</v>
      </c>
      <c r="J167" s="34" t="s">
        <v>882</v>
      </c>
      <c r="K167" s="34">
        <f>IF((Observaciones[[#This Row],[Fecha Levantamiento]]-Observaciones[[#This Row],[Fecha Detección]])&gt;=0,Observaciones[[#This Row],[Fecha Levantamiento]]-Observaciones[[#This Row],[Fecha Detección]]+1,0)</f>
        <v>0</v>
      </c>
      <c r="L167" s="34" t="str">
        <f>LOOKUP(Observaciones[[#This Row],[Caso de Prueba]],CasoPrueba[Código CP],CasoPrueba[Código de REQ])</f>
        <v>INSPECCIÓN</v>
      </c>
    </row>
    <row r="168" spans="1:12" ht="30" hidden="1">
      <c r="A168" s="166" t="s">
        <v>546</v>
      </c>
      <c r="B168" s="34" t="s">
        <v>625</v>
      </c>
      <c r="C168" s="34" t="str">
        <f>VLOOKUP(Observaciones[Caso de Prueba],CasoPrueba[[#All],[Código CP]:[Prioridad]],7,TRUE)</f>
        <v>Alta</v>
      </c>
      <c r="D168" s="34" t="s">
        <v>162</v>
      </c>
      <c r="E168" s="34" t="s">
        <v>47</v>
      </c>
      <c r="F168" s="73">
        <v>40807</v>
      </c>
      <c r="H168" s="94" t="s">
        <v>132</v>
      </c>
      <c r="I168" s="34" t="s">
        <v>645</v>
      </c>
      <c r="J168" s="34" t="s">
        <v>477</v>
      </c>
      <c r="K168" s="34">
        <f>IF((Observaciones[[#This Row],[Fecha Levantamiento]]-Observaciones[[#This Row],[Fecha Detección]])&gt;=0,Observaciones[[#This Row],[Fecha Levantamiento]]-Observaciones[[#This Row],[Fecha Detección]]+1,0)</f>
        <v>0</v>
      </c>
      <c r="L168" s="34" t="str">
        <f>LOOKUP(Observaciones[[#This Row],[Caso de Prueba]],CasoPrueba[Código CP],CasoPrueba[Código de REQ])</f>
        <v>INSPECCIÓN</v>
      </c>
    </row>
    <row r="169" spans="1:12" ht="45" hidden="1">
      <c r="A169" s="166" t="s">
        <v>547</v>
      </c>
      <c r="B169" s="34" t="s">
        <v>625</v>
      </c>
      <c r="C169" s="34" t="str">
        <f>VLOOKUP(Observaciones[Caso de Prueba],CasoPrueba[[#All],[Código CP]:[Prioridad]],7,TRUE)</f>
        <v>Alta</v>
      </c>
      <c r="D169" s="34" t="s">
        <v>30</v>
      </c>
      <c r="E169" s="34" t="s">
        <v>47</v>
      </c>
      <c r="F169" s="73">
        <v>40807</v>
      </c>
      <c r="H169" s="94" t="s">
        <v>132</v>
      </c>
      <c r="I169" s="34" t="s">
        <v>641</v>
      </c>
      <c r="J169" s="34" t="s">
        <v>883</v>
      </c>
      <c r="K169" s="34">
        <f>IF((Observaciones[[#This Row],[Fecha Levantamiento]]-Observaciones[[#This Row],[Fecha Detección]])&gt;=0,Observaciones[[#This Row],[Fecha Levantamiento]]-Observaciones[[#This Row],[Fecha Detección]]+1,0)</f>
        <v>0</v>
      </c>
      <c r="L169" s="34" t="str">
        <f>LOOKUP(Observaciones[[#This Row],[Caso de Prueba]],CasoPrueba[Código CP],CasoPrueba[Código de REQ])</f>
        <v>INSPECCIÓN</v>
      </c>
    </row>
    <row r="170" spans="1:12" ht="45" hidden="1">
      <c r="A170" s="166" t="s">
        <v>548</v>
      </c>
      <c r="B170" s="34" t="s">
        <v>625</v>
      </c>
      <c r="C170" s="34" t="str">
        <f>VLOOKUP(Observaciones[Caso de Prueba],CasoPrueba[[#All],[Código CP]:[Prioridad]],7,TRUE)</f>
        <v>Alta</v>
      </c>
      <c r="D170" s="34" t="s">
        <v>162</v>
      </c>
      <c r="E170" s="34" t="s">
        <v>47</v>
      </c>
      <c r="F170" s="73">
        <v>40807</v>
      </c>
      <c r="H170" s="94" t="s">
        <v>132</v>
      </c>
      <c r="I170" s="34" t="s">
        <v>638</v>
      </c>
      <c r="J170" s="34" t="s">
        <v>871</v>
      </c>
      <c r="K170" s="34">
        <f>IF((Observaciones[[#This Row],[Fecha Levantamiento]]-Observaciones[[#This Row],[Fecha Detección]])&gt;=0,Observaciones[[#This Row],[Fecha Levantamiento]]-Observaciones[[#This Row],[Fecha Detección]]+1,0)</f>
        <v>0</v>
      </c>
      <c r="L170" s="34" t="str">
        <f>LOOKUP(Observaciones[[#This Row],[Caso de Prueba]],CasoPrueba[Código CP],CasoPrueba[Código de REQ])</f>
        <v>INSPECCIÓN</v>
      </c>
    </row>
    <row r="171" spans="1:12" ht="30" hidden="1">
      <c r="A171" s="166" t="s">
        <v>549</v>
      </c>
      <c r="B171" s="34" t="s">
        <v>625</v>
      </c>
      <c r="C171" s="34" t="str">
        <f>VLOOKUP(Observaciones[Caso de Prueba],CasoPrueba[[#All],[Código CP]:[Prioridad]],7,TRUE)</f>
        <v>Alta</v>
      </c>
      <c r="D171" s="34" t="s">
        <v>162</v>
      </c>
      <c r="E171" s="34" t="s">
        <v>47</v>
      </c>
      <c r="F171" s="73">
        <v>40807</v>
      </c>
      <c r="H171" s="94" t="s">
        <v>132</v>
      </c>
      <c r="I171" s="34" t="s">
        <v>639</v>
      </c>
      <c r="J171" s="34" t="s">
        <v>477</v>
      </c>
      <c r="K171" s="34">
        <f>IF((Observaciones[[#This Row],[Fecha Levantamiento]]-Observaciones[[#This Row],[Fecha Detección]])&gt;=0,Observaciones[[#This Row],[Fecha Levantamiento]]-Observaciones[[#This Row],[Fecha Detección]]+1,0)</f>
        <v>0</v>
      </c>
      <c r="L171" s="34" t="str">
        <f>LOOKUP(Observaciones[[#This Row],[Caso de Prueba]],CasoPrueba[Código CP],CasoPrueba[Código de REQ])</f>
        <v>INSPECCIÓN</v>
      </c>
    </row>
    <row r="172" spans="1:12" ht="45" hidden="1">
      <c r="A172" s="166" t="s">
        <v>550</v>
      </c>
      <c r="B172" s="34" t="s">
        <v>625</v>
      </c>
      <c r="C172" s="34" t="str">
        <f>VLOOKUP(Observaciones[Caso de Prueba],CasoPrueba[[#All],[Código CP]:[Prioridad]],7,TRUE)</f>
        <v>Alta</v>
      </c>
      <c r="D172" s="34" t="s">
        <v>162</v>
      </c>
      <c r="E172" s="34" t="s">
        <v>47</v>
      </c>
      <c r="F172" s="73">
        <v>40807</v>
      </c>
      <c r="H172" s="94" t="s">
        <v>132</v>
      </c>
      <c r="I172" s="34" t="s">
        <v>640</v>
      </c>
      <c r="J172" s="34" t="s">
        <v>477</v>
      </c>
      <c r="K172" s="34">
        <f>IF((Observaciones[[#This Row],[Fecha Levantamiento]]-Observaciones[[#This Row],[Fecha Detección]])&gt;=0,Observaciones[[#This Row],[Fecha Levantamiento]]-Observaciones[[#This Row],[Fecha Detección]]+1,0)</f>
        <v>0</v>
      </c>
      <c r="L172" s="34" t="str">
        <f>LOOKUP(Observaciones[[#This Row],[Caso de Prueba]],CasoPrueba[Código CP],CasoPrueba[Código de REQ])</f>
        <v>INSPECCIÓN</v>
      </c>
    </row>
    <row r="173" spans="1:12" ht="30" hidden="1">
      <c r="A173" s="166" t="s">
        <v>551</v>
      </c>
      <c r="B173" s="34" t="s">
        <v>625</v>
      </c>
      <c r="C173" s="34" t="str">
        <f>VLOOKUP(Observaciones[Caso de Prueba],CasoPrueba[[#All],[Código CP]:[Prioridad]],7,TRUE)</f>
        <v>Alta</v>
      </c>
      <c r="D173" s="34" t="s">
        <v>162</v>
      </c>
      <c r="E173" s="34" t="s">
        <v>47</v>
      </c>
      <c r="F173" s="73">
        <v>40807</v>
      </c>
      <c r="H173" s="94" t="s">
        <v>132</v>
      </c>
      <c r="I173" s="34" t="s">
        <v>642</v>
      </c>
      <c r="J173" s="34" t="s">
        <v>199</v>
      </c>
      <c r="K173" s="34">
        <f>IF((Observaciones[[#This Row],[Fecha Levantamiento]]-Observaciones[[#This Row],[Fecha Detección]])&gt;=0,Observaciones[[#This Row],[Fecha Levantamiento]]-Observaciones[[#This Row],[Fecha Detección]]+1,0)</f>
        <v>0</v>
      </c>
      <c r="L173" s="34" t="str">
        <f>LOOKUP(Observaciones[[#This Row],[Caso de Prueba]],CasoPrueba[Código CP],CasoPrueba[Código de REQ])</f>
        <v>INSPECCIÓN</v>
      </c>
    </row>
    <row r="174" spans="1:12" ht="45" hidden="1">
      <c r="A174" s="166" t="s">
        <v>552</v>
      </c>
      <c r="B174" s="34" t="s">
        <v>625</v>
      </c>
      <c r="C174" s="34" t="str">
        <f>VLOOKUP(Observaciones[Caso de Prueba],CasoPrueba[[#All],[Código CP]:[Prioridad]],7,TRUE)</f>
        <v>Alta</v>
      </c>
      <c r="D174" s="34" t="s">
        <v>29</v>
      </c>
      <c r="E174" s="34" t="s">
        <v>47</v>
      </c>
      <c r="F174" s="73">
        <v>40807</v>
      </c>
      <c r="H174" s="94" t="s">
        <v>132</v>
      </c>
      <c r="I174" s="34" t="s">
        <v>643</v>
      </c>
      <c r="J174" s="34" t="s">
        <v>872</v>
      </c>
      <c r="K174" s="34">
        <f>IF((Observaciones[[#This Row],[Fecha Levantamiento]]-Observaciones[[#This Row],[Fecha Detección]])&gt;=0,Observaciones[[#This Row],[Fecha Levantamiento]]-Observaciones[[#This Row],[Fecha Detección]]+1,0)</f>
        <v>0</v>
      </c>
      <c r="L174" s="34" t="str">
        <f>LOOKUP(Observaciones[[#This Row],[Caso de Prueba]],CasoPrueba[Código CP],CasoPrueba[Código de REQ])</f>
        <v>INSPECCIÓN</v>
      </c>
    </row>
    <row r="175" spans="1:12" ht="60" hidden="1">
      <c r="A175" s="166" t="s">
        <v>553</v>
      </c>
      <c r="B175" s="34" t="s">
        <v>625</v>
      </c>
      <c r="C175" s="34" t="str">
        <f>VLOOKUP(Observaciones[Caso de Prueba],CasoPrueba[[#All],[Código CP]:[Prioridad]],7,TRUE)</f>
        <v>Alta</v>
      </c>
      <c r="D175" s="34" t="s">
        <v>29</v>
      </c>
      <c r="E175" s="34" t="s">
        <v>47</v>
      </c>
      <c r="F175" s="73">
        <v>40807</v>
      </c>
      <c r="H175" s="94" t="s">
        <v>132</v>
      </c>
      <c r="I175" s="34" t="s">
        <v>644</v>
      </c>
      <c r="J175" s="34" t="s">
        <v>873</v>
      </c>
      <c r="K175" s="34">
        <f>IF((Observaciones[[#This Row],[Fecha Levantamiento]]-Observaciones[[#This Row],[Fecha Detección]])&gt;=0,Observaciones[[#This Row],[Fecha Levantamiento]]-Observaciones[[#This Row],[Fecha Detección]]+1,0)</f>
        <v>0</v>
      </c>
      <c r="L175" s="34" t="str">
        <f>LOOKUP(Observaciones[[#This Row],[Caso de Prueba]],CasoPrueba[Código CP],CasoPrueba[Código de REQ])</f>
        <v>INSPECCIÓN</v>
      </c>
    </row>
    <row r="176" spans="1:12" ht="45" hidden="1">
      <c r="A176" s="166" t="s">
        <v>554</v>
      </c>
      <c r="B176" s="34" t="s">
        <v>627</v>
      </c>
      <c r="C176" s="34" t="str">
        <f>VLOOKUP(Observaciones[Caso de Prueba],CasoPrueba[[#All],[Código CP]:[Prioridad]],7,TRUE)</f>
        <v>Alta</v>
      </c>
      <c r="D176" s="34" t="s">
        <v>29</v>
      </c>
      <c r="E176" s="34" t="s">
        <v>47</v>
      </c>
      <c r="F176" s="73">
        <v>40826</v>
      </c>
      <c r="H176" s="94" t="s">
        <v>132</v>
      </c>
      <c r="I176" s="34" t="s">
        <v>608</v>
      </c>
      <c r="J176" s="34" t="s">
        <v>874</v>
      </c>
      <c r="K176" s="34">
        <f>IF((Observaciones[[#This Row],[Fecha Levantamiento]]-Observaciones[[#This Row],[Fecha Detección]])&gt;=0,Observaciones[[#This Row],[Fecha Levantamiento]]-Observaciones[[#This Row],[Fecha Detección]]+1,0)</f>
        <v>0</v>
      </c>
      <c r="L176" s="34" t="str">
        <f>LOOKUP(Observaciones[[#This Row],[Caso de Prueba]],CasoPrueba[Código CP],CasoPrueba[Código de REQ])</f>
        <v>INSPECCIÓN</v>
      </c>
    </row>
    <row r="177" spans="1:12" ht="30" hidden="1">
      <c r="A177" s="166" t="s">
        <v>555</v>
      </c>
      <c r="B177" s="34" t="s">
        <v>627</v>
      </c>
      <c r="C177" s="34" t="str">
        <f>VLOOKUP(Observaciones[Caso de Prueba],CasoPrueba[[#All],[Código CP]:[Prioridad]],7,TRUE)</f>
        <v>Alta</v>
      </c>
      <c r="D177" s="34" t="s">
        <v>28</v>
      </c>
      <c r="E177" s="34" t="s">
        <v>47</v>
      </c>
      <c r="F177" s="73">
        <v>40826</v>
      </c>
      <c r="H177" s="94" t="s">
        <v>132</v>
      </c>
      <c r="I177" s="34" t="s">
        <v>595</v>
      </c>
      <c r="J177" s="34" t="s">
        <v>875</v>
      </c>
      <c r="K177" s="34">
        <f>IF((Observaciones[[#This Row],[Fecha Levantamiento]]-Observaciones[[#This Row],[Fecha Detección]])&gt;=0,Observaciones[[#This Row],[Fecha Levantamiento]]-Observaciones[[#This Row],[Fecha Detección]]+1,0)</f>
        <v>0</v>
      </c>
      <c r="L177" s="34" t="str">
        <f>LOOKUP(Observaciones[[#This Row],[Caso de Prueba]],CasoPrueba[Código CP],CasoPrueba[Código de REQ])</f>
        <v>INSPECCIÓN</v>
      </c>
    </row>
    <row r="178" spans="1:12" ht="75" hidden="1">
      <c r="A178" s="166" t="s">
        <v>556</v>
      </c>
      <c r="B178" s="34" t="s">
        <v>627</v>
      </c>
      <c r="C178" s="34" t="str">
        <f>VLOOKUP(Observaciones[Caso de Prueba],CasoPrueba[[#All],[Código CP]:[Prioridad]],7,TRUE)</f>
        <v>Alta</v>
      </c>
      <c r="D178" s="34" t="s">
        <v>28</v>
      </c>
      <c r="E178" s="34" t="s">
        <v>47</v>
      </c>
      <c r="F178" s="73">
        <v>40826</v>
      </c>
      <c r="H178" s="94" t="s">
        <v>132</v>
      </c>
      <c r="I178" s="34" t="s">
        <v>646</v>
      </c>
      <c r="J178" s="34" t="s">
        <v>876</v>
      </c>
      <c r="K178" s="34">
        <f>IF((Observaciones[[#This Row],[Fecha Levantamiento]]-Observaciones[[#This Row],[Fecha Detección]])&gt;=0,Observaciones[[#This Row],[Fecha Levantamiento]]-Observaciones[[#This Row],[Fecha Detección]]+1,0)</f>
        <v>0</v>
      </c>
      <c r="L178" s="34" t="str">
        <f>LOOKUP(Observaciones[[#This Row],[Caso de Prueba]],CasoPrueba[Código CP],CasoPrueba[Código de REQ])</f>
        <v>INSPECCIÓN</v>
      </c>
    </row>
    <row r="179" spans="1:12" ht="45" hidden="1">
      <c r="A179" s="166" t="s">
        <v>557</v>
      </c>
      <c r="B179" s="34" t="s">
        <v>627</v>
      </c>
      <c r="C179" s="34" t="str">
        <f>VLOOKUP(Observaciones[Caso de Prueba],CasoPrueba[[#All],[Código CP]:[Prioridad]],7,TRUE)</f>
        <v>Alta</v>
      </c>
      <c r="D179" s="34" t="s">
        <v>30</v>
      </c>
      <c r="E179" s="34" t="s">
        <v>47</v>
      </c>
      <c r="F179" s="73">
        <v>40826</v>
      </c>
      <c r="H179" s="94" t="s">
        <v>132</v>
      </c>
      <c r="I179" s="34" t="s">
        <v>647</v>
      </c>
      <c r="J179" s="34" t="s">
        <v>877</v>
      </c>
      <c r="K179" s="34">
        <f>IF((Observaciones[[#This Row],[Fecha Levantamiento]]-Observaciones[[#This Row],[Fecha Detección]])&gt;=0,Observaciones[[#This Row],[Fecha Levantamiento]]-Observaciones[[#This Row],[Fecha Detección]]+1,0)</f>
        <v>0</v>
      </c>
      <c r="L179" s="34" t="str">
        <f>LOOKUP(Observaciones[[#This Row],[Caso de Prueba]],CasoPrueba[Código CP],CasoPrueba[Código de REQ])</f>
        <v>INSPECCIÓN</v>
      </c>
    </row>
    <row r="180" spans="1:12" ht="30" hidden="1">
      <c r="A180" s="166" t="s">
        <v>558</v>
      </c>
      <c r="B180" s="34" t="s">
        <v>627</v>
      </c>
      <c r="C180" s="34" t="str">
        <f>VLOOKUP(Observaciones[Caso de Prueba],CasoPrueba[[#All],[Código CP]:[Prioridad]],7,TRUE)</f>
        <v>Alta</v>
      </c>
      <c r="D180" s="34" t="s">
        <v>29</v>
      </c>
      <c r="E180" s="34" t="s">
        <v>47</v>
      </c>
      <c r="F180" s="73">
        <v>40826</v>
      </c>
      <c r="H180" s="94" t="s">
        <v>132</v>
      </c>
      <c r="I180" s="34" t="s">
        <v>648</v>
      </c>
      <c r="J180" s="34" t="s">
        <v>878</v>
      </c>
      <c r="K180" s="34">
        <f>IF((Observaciones[[#This Row],[Fecha Levantamiento]]-Observaciones[[#This Row],[Fecha Detección]])&gt;=0,Observaciones[[#This Row],[Fecha Levantamiento]]-Observaciones[[#This Row],[Fecha Detección]]+1,0)</f>
        <v>0</v>
      </c>
      <c r="L180" s="34" t="str">
        <f>LOOKUP(Observaciones[[#This Row],[Caso de Prueba]],CasoPrueba[Código CP],CasoPrueba[Código de REQ])</f>
        <v>INSPECCIÓN</v>
      </c>
    </row>
    <row r="181" spans="1:12" ht="45" hidden="1">
      <c r="A181" s="166" t="s">
        <v>559</v>
      </c>
      <c r="B181" s="34" t="s">
        <v>627</v>
      </c>
      <c r="C181" s="34" t="str">
        <f>VLOOKUP(Observaciones[Caso de Prueba],CasoPrueba[[#All],[Código CP]:[Prioridad]],7,TRUE)</f>
        <v>Alta</v>
      </c>
      <c r="D181" s="34" t="s">
        <v>30</v>
      </c>
      <c r="E181" s="34" t="s">
        <v>47</v>
      </c>
      <c r="F181" s="73">
        <v>40826</v>
      </c>
      <c r="H181" s="94" t="s">
        <v>132</v>
      </c>
      <c r="I181" s="34" t="s">
        <v>649</v>
      </c>
      <c r="J181" s="34" t="s">
        <v>879</v>
      </c>
      <c r="K181" s="34">
        <f>IF((Observaciones[[#This Row],[Fecha Levantamiento]]-Observaciones[[#This Row],[Fecha Detección]])&gt;=0,Observaciones[[#This Row],[Fecha Levantamiento]]-Observaciones[[#This Row],[Fecha Detección]]+1,0)</f>
        <v>0</v>
      </c>
      <c r="L181" s="34" t="str">
        <f>LOOKUP(Observaciones[[#This Row],[Caso de Prueba]],CasoPrueba[Código CP],CasoPrueba[Código de REQ])</f>
        <v>INSPECCIÓN</v>
      </c>
    </row>
    <row r="182" spans="1:12" ht="30" hidden="1">
      <c r="A182" s="166" t="s">
        <v>560</v>
      </c>
      <c r="B182" s="34" t="s">
        <v>627</v>
      </c>
      <c r="C182" s="34" t="str">
        <f>VLOOKUP(Observaciones[Caso de Prueba],CasoPrueba[[#All],[Código CP]:[Prioridad]],7,TRUE)</f>
        <v>Alta</v>
      </c>
      <c r="D182" s="34" t="s">
        <v>30</v>
      </c>
      <c r="E182" s="34" t="s">
        <v>47</v>
      </c>
      <c r="F182" s="73">
        <v>40826</v>
      </c>
      <c r="H182" s="94" t="s">
        <v>132</v>
      </c>
      <c r="I182" s="34" t="s">
        <v>650</v>
      </c>
      <c r="J182" s="34" t="s">
        <v>880</v>
      </c>
      <c r="K182" s="34">
        <f>IF((Observaciones[[#This Row],[Fecha Levantamiento]]-Observaciones[[#This Row],[Fecha Detección]])&gt;=0,Observaciones[[#This Row],[Fecha Levantamiento]]-Observaciones[[#This Row],[Fecha Detección]]+1,0)</f>
        <v>0</v>
      </c>
      <c r="L182" s="34" t="str">
        <f>LOOKUP(Observaciones[[#This Row],[Caso de Prueba]],CasoPrueba[Código CP],CasoPrueba[Código de REQ])</f>
        <v>INSPECCIÓN</v>
      </c>
    </row>
    <row r="183" spans="1:12" ht="30" hidden="1">
      <c r="A183" s="166" t="s">
        <v>561</v>
      </c>
      <c r="B183" s="34" t="s">
        <v>627</v>
      </c>
      <c r="C183" s="34" t="str">
        <f>VLOOKUP(Observaciones[Caso de Prueba],CasoPrueba[[#All],[Código CP]:[Prioridad]],7,TRUE)</f>
        <v>Alta</v>
      </c>
      <c r="D183" s="34" t="s">
        <v>29</v>
      </c>
      <c r="E183" s="34" t="s">
        <v>47</v>
      </c>
      <c r="F183" s="73">
        <v>40828</v>
      </c>
      <c r="H183" s="94" t="s">
        <v>132</v>
      </c>
      <c r="I183" s="34" t="s">
        <v>651</v>
      </c>
      <c r="J183" s="34" t="s">
        <v>881</v>
      </c>
      <c r="K183" s="34">
        <f>IF((Observaciones[[#This Row],[Fecha Levantamiento]]-Observaciones[[#This Row],[Fecha Detección]])&gt;=0,Observaciones[[#This Row],[Fecha Levantamiento]]-Observaciones[[#This Row],[Fecha Detección]]+1,0)</f>
        <v>0</v>
      </c>
      <c r="L183" s="34" t="str">
        <f>LOOKUP(Observaciones[[#This Row],[Caso de Prueba]],CasoPrueba[Código CP],CasoPrueba[Código de REQ])</f>
        <v>INSPECCIÓN</v>
      </c>
    </row>
    <row r="184" spans="1:12" ht="64.5" hidden="1" customHeight="1">
      <c r="A184" s="166" t="s">
        <v>562</v>
      </c>
      <c r="B184" s="34" t="s">
        <v>628</v>
      </c>
      <c r="C184" s="34" t="str">
        <f>VLOOKUP(Observaciones[Caso de Prueba],CasoPrueba[[#All],[Código CP]:[Prioridad]],7,TRUE)</f>
        <v>Alta</v>
      </c>
      <c r="D184" s="34" t="s">
        <v>29</v>
      </c>
      <c r="E184" s="34" t="s">
        <v>47</v>
      </c>
      <c r="F184" s="73">
        <v>40828</v>
      </c>
      <c r="H184" s="94" t="s">
        <v>132</v>
      </c>
      <c r="I184" s="34" t="s">
        <v>608</v>
      </c>
      <c r="J184" s="34" t="s">
        <v>874</v>
      </c>
      <c r="K184" s="34">
        <f>IF((Observaciones[[#This Row],[Fecha Levantamiento]]-Observaciones[[#This Row],[Fecha Detección]])&gt;=0,Observaciones[[#This Row],[Fecha Levantamiento]]-Observaciones[[#This Row],[Fecha Detección]]+1,0)</f>
        <v>0</v>
      </c>
      <c r="L184" s="34" t="str">
        <f>LOOKUP(Observaciones[[#This Row],[Caso de Prueba]],CasoPrueba[Código CP],CasoPrueba[Código de REQ])</f>
        <v>INSPECCIÓN</v>
      </c>
    </row>
    <row r="185" spans="1:12" ht="45" hidden="1">
      <c r="A185" s="166" t="s">
        <v>563</v>
      </c>
      <c r="B185" s="34" t="s">
        <v>628</v>
      </c>
      <c r="C185" s="34" t="str">
        <f>VLOOKUP(Observaciones[Caso de Prueba],CasoPrueba[[#All],[Código CP]:[Prioridad]],7,TRUE)</f>
        <v>Alta</v>
      </c>
      <c r="D185" s="34" t="s">
        <v>162</v>
      </c>
      <c r="E185" s="34" t="s">
        <v>47</v>
      </c>
      <c r="F185" s="73">
        <v>40828</v>
      </c>
      <c r="H185" s="94" t="s">
        <v>132</v>
      </c>
      <c r="I185" s="34" t="s">
        <v>652</v>
      </c>
      <c r="J185" s="34" t="s">
        <v>861</v>
      </c>
      <c r="K185" s="34">
        <f>IF((Observaciones[[#This Row],[Fecha Levantamiento]]-Observaciones[[#This Row],[Fecha Detección]])&gt;=0,Observaciones[[#This Row],[Fecha Levantamiento]]-Observaciones[[#This Row],[Fecha Detección]]+1,0)</f>
        <v>0</v>
      </c>
      <c r="L185" s="34" t="str">
        <f>LOOKUP(Observaciones[[#This Row],[Caso de Prueba]],CasoPrueba[Código CP],CasoPrueba[Código de REQ])</f>
        <v>INSPECCIÓN</v>
      </c>
    </row>
    <row r="186" spans="1:12" ht="30" hidden="1">
      <c r="A186" s="166" t="s">
        <v>564</v>
      </c>
      <c r="B186" s="34" t="s">
        <v>628</v>
      </c>
      <c r="C186" s="34" t="str">
        <f>VLOOKUP(Observaciones[Caso de Prueba],CasoPrueba[[#All],[Código CP]:[Prioridad]],7,TRUE)</f>
        <v>Alta</v>
      </c>
      <c r="D186" s="34" t="s">
        <v>29</v>
      </c>
      <c r="E186" s="34" t="s">
        <v>47</v>
      </c>
      <c r="F186" s="73">
        <v>40828</v>
      </c>
      <c r="H186" s="94" t="s">
        <v>132</v>
      </c>
      <c r="I186" s="34" t="s">
        <v>655</v>
      </c>
      <c r="J186" s="34" t="s">
        <v>862</v>
      </c>
      <c r="K186" s="34">
        <f>IF((Observaciones[[#This Row],[Fecha Levantamiento]]-Observaciones[[#This Row],[Fecha Detección]])&gt;=0,Observaciones[[#This Row],[Fecha Levantamiento]]-Observaciones[[#This Row],[Fecha Detección]]+1,0)</f>
        <v>0</v>
      </c>
      <c r="L186" s="34" t="str">
        <f>LOOKUP(Observaciones[[#This Row],[Caso de Prueba]],CasoPrueba[Código CP],CasoPrueba[Código de REQ])</f>
        <v>INSPECCIÓN</v>
      </c>
    </row>
    <row r="187" spans="1:12" ht="45" hidden="1">
      <c r="A187" s="166" t="s">
        <v>565</v>
      </c>
      <c r="B187" s="34" t="s">
        <v>628</v>
      </c>
      <c r="C187" s="34" t="str">
        <f>VLOOKUP(Observaciones[Caso de Prueba],CasoPrueba[[#All],[Código CP]:[Prioridad]],7,TRUE)</f>
        <v>Alta</v>
      </c>
      <c r="D187" s="34" t="s">
        <v>29</v>
      </c>
      <c r="E187" s="34" t="s">
        <v>47</v>
      </c>
      <c r="F187" s="73">
        <v>40828</v>
      </c>
      <c r="H187" s="94" t="s">
        <v>132</v>
      </c>
      <c r="I187" s="34" t="s">
        <v>653</v>
      </c>
      <c r="J187" s="34" t="s">
        <v>864</v>
      </c>
      <c r="K187" s="34">
        <f>IF((Observaciones[[#This Row],[Fecha Levantamiento]]-Observaciones[[#This Row],[Fecha Detección]])&gt;=0,Observaciones[[#This Row],[Fecha Levantamiento]]-Observaciones[[#This Row],[Fecha Detección]]+1,0)</f>
        <v>0</v>
      </c>
      <c r="L187" s="34" t="str">
        <f>LOOKUP(Observaciones[[#This Row],[Caso de Prueba]],CasoPrueba[Código CP],CasoPrueba[Código de REQ])</f>
        <v>INSPECCIÓN</v>
      </c>
    </row>
    <row r="188" spans="1:12" ht="57" hidden="1" customHeight="1">
      <c r="A188" s="166" t="s">
        <v>566</v>
      </c>
      <c r="B188" s="34" t="s">
        <v>628</v>
      </c>
      <c r="C188" s="34" t="str">
        <f>VLOOKUP(Observaciones[Caso de Prueba],CasoPrueba[[#All],[Código CP]:[Prioridad]],7,TRUE)</f>
        <v>Alta</v>
      </c>
      <c r="D188" s="34" t="s">
        <v>29</v>
      </c>
      <c r="E188" s="34" t="s">
        <v>47</v>
      </c>
      <c r="F188" s="73">
        <v>40828</v>
      </c>
      <c r="H188" s="94" t="s">
        <v>132</v>
      </c>
      <c r="I188" s="34" t="s">
        <v>654</v>
      </c>
      <c r="J188" s="34" t="s">
        <v>865</v>
      </c>
      <c r="K188" s="34">
        <f>IF((Observaciones[[#This Row],[Fecha Levantamiento]]-Observaciones[[#This Row],[Fecha Detección]])&gt;=0,Observaciones[[#This Row],[Fecha Levantamiento]]-Observaciones[[#This Row],[Fecha Detección]]+1,0)</f>
        <v>0</v>
      </c>
      <c r="L188" s="34" t="str">
        <f>LOOKUP(Observaciones[[#This Row],[Caso de Prueba]],CasoPrueba[Código CP],CasoPrueba[Código de REQ])</f>
        <v>INSPECCIÓN</v>
      </c>
    </row>
    <row r="189" spans="1:12" ht="30" hidden="1">
      <c r="A189" s="166" t="s">
        <v>567</v>
      </c>
      <c r="B189" s="34" t="s">
        <v>628</v>
      </c>
      <c r="C189" s="34" t="str">
        <f>VLOOKUP(Observaciones[Caso de Prueba],CasoPrueba[[#All],[Código CP]:[Prioridad]],7,TRUE)</f>
        <v>Alta</v>
      </c>
      <c r="D189" s="34" t="s">
        <v>29</v>
      </c>
      <c r="E189" s="34" t="s">
        <v>47</v>
      </c>
      <c r="F189" s="73">
        <v>40828</v>
      </c>
      <c r="H189" s="94" t="s">
        <v>132</v>
      </c>
      <c r="I189" s="34" t="s">
        <v>656</v>
      </c>
      <c r="J189" s="34" t="s">
        <v>863</v>
      </c>
      <c r="K189" s="34">
        <f>IF((Observaciones[[#This Row],[Fecha Levantamiento]]-Observaciones[[#This Row],[Fecha Detección]])&gt;=0,Observaciones[[#This Row],[Fecha Levantamiento]]-Observaciones[[#This Row],[Fecha Detección]]+1,0)</f>
        <v>0</v>
      </c>
      <c r="L189" s="34" t="str">
        <f>LOOKUP(Observaciones[[#This Row],[Caso de Prueba]],CasoPrueba[Código CP],CasoPrueba[Código de REQ])</f>
        <v>INSPECCIÓN</v>
      </c>
    </row>
    <row r="190" spans="1:12" ht="45" hidden="1">
      <c r="A190" s="166" t="s">
        <v>568</v>
      </c>
      <c r="B190" s="34" t="s">
        <v>629</v>
      </c>
      <c r="C190" s="34" t="str">
        <f>VLOOKUP(Observaciones[Caso de Prueba],CasoPrueba[[#All],[Código CP]:[Prioridad]],7,TRUE)</f>
        <v>Alta</v>
      </c>
      <c r="D190" s="34" t="s">
        <v>29</v>
      </c>
      <c r="E190" s="34" t="s">
        <v>47</v>
      </c>
      <c r="F190" s="73">
        <v>40828</v>
      </c>
      <c r="H190" s="94" t="s">
        <v>132</v>
      </c>
      <c r="I190" s="34" t="s">
        <v>608</v>
      </c>
      <c r="J190" s="34" t="s">
        <v>874</v>
      </c>
      <c r="K190" s="34">
        <f>IF((Observaciones[[#This Row],[Fecha Levantamiento]]-Observaciones[[#This Row],[Fecha Detección]])&gt;=0,Observaciones[[#This Row],[Fecha Levantamiento]]-Observaciones[[#This Row],[Fecha Detección]]+1,0)</f>
        <v>0</v>
      </c>
      <c r="L190" s="34" t="str">
        <f>LOOKUP(Observaciones[[#This Row],[Caso de Prueba]],CasoPrueba[Código CP],CasoPrueba[Código de REQ])</f>
        <v>INSPECCIÓN</v>
      </c>
    </row>
    <row r="191" spans="1:12" ht="45" hidden="1">
      <c r="A191" s="166" t="s">
        <v>569</v>
      </c>
      <c r="B191" s="34" t="s">
        <v>629</v>
      </c>
      <c r="C191" s="34" t="str">
        <f>VLOOKUP(Observaciones[Caso de Prueba],CasoPrueba[[#All],[Código CP]:[Prioridad]],7,TRUE)</f>
        <v>Alta</v>
      </c>
      <c r="D191" s="34" t="s">
        <v>30</v>
      </c>
      <c r="E191" s="34" t="s">
        <v>47</v>
      </c>
      <c r="F191" s="73">
        <v>40828</v>
      </c>
      <c r="H191" s="94" t="s">
        <v>132</v>
      </c>
      <c r="I191" s="34" t="s">
        <v>866</v>
      </c>
      <c r="J191" s="34" t="s">
        <v>867</v>
      </c>
      <c r="K191" s="34">
        <f>IF((Observaciones[[#This Row],[Fecha Levantamiento]]-Observaciones[[#This Row],[Fecha Detección]])&gt;=0,Observaciones[[#This Row],[Fecha Levantamiento]]-Observaciones[[#This Row],[Fecha Detección]]+1,0)</f>
        <v>0</v>
      </c>
      <c r="L191" s="34" t="str">
        <f>LOOKUP(Observaciones[[#This Row],[Caso de Prueba]],CasoPrueba[Código CP],CasoPrueba[Código de REQ])</f>
        <v>INSPECCIÓN</v>
      </c>
    </row>
    <row r="192" spans="1:12" ht="45" hidden="1">
      <c r="A192" s="166" t="s">
        <v>570</v>
      </c>
      <c r="B192" s="34" t="s">
        <v>629</v>
      </c>
      <c r="C192" s="34" t="str">
        <f>VLOOKUP(Observaciones[Caso de Prueba],CasoPrueba[[#All],[Código CP]:[Prioridad]],7,TRUE)</f>
        <v>Alta</v>
      </c>
      <c r="D192" s="34" t="s">
        <v>29</v>
      </c>
      <c r="E192" s="34" t="s">
        <v>47</v>
      </c>
      <c r="F192" s="73">
        <v>40828</v>
      </c>
      <c r="H192" s="94" t="s">
        <v>132</v>
      </c>
      <c r="I192" s="34" t="s">
        <v>658</v>
      </c>
      <c r="J192" s="34" t="s">
        <v>478</v>
      </c>
      <c r="K192" s="34">
        <f>IF((Observaciones[[#This Row],[Fecha Levantamiento]]-Observaciones[[#This Row],[Fecha Detección]])&gt;=0,Observaciones[[#This Row],[Fecha Levantamiento]]-Observaciones[[#This Row],[Fecha Detección]]+1,0)</f>
        <v>0</v>
      </c>
      <c r="L192" s="34" t="str">
        <f>LOOKUP(Observaciones[[#This Row],[Caso de Prueba]],CasoPrueba[Código CP],CasoPrueba[Código de REQ])</f>
        <v>INSPECCIÓN</v>
      </c>
    </row>
    <row r="193" spans="1:12" ht="60" hidden="1">
      <c r="A193" s="166" t="s">
        <v>571</v>
      </c>
      <c r="B193" s="34" t="s">
        <v>629</v>
      </c>
      <c r="C193" s="34" t="str">
        <f>VLOOKUP(Observaciones[Caso de Prueba],CasoPrueba[[#All],[Código CP]:[Prioridad]],7,TRUE)</f>
        <v>Alta</v>
      </c>
      <c r="D193" s="34" t="s">
        <v>28</v>
      </c>
      <c r="E193" s="34" t="s">
        <v>47</v>
      </c>
      <c r="F193" s="73">
        <v>40828</v>
      </c>
      <c r="H193" s="94" t="s">
        <v>132</v>
      </c>
      <c r="I193" s="34" t="s">
        <v>659</v>
      </c>
      <c r="J193" s="34" t="s">
        <v>868</v>
      </c>
      <c r="K193" s="34">
        <f>IF((Observaciones[[#This Row],[Fecha Levantamiento]]-Observaciones[[#This Row],[Fecha Detección]])&gt;=0,Observaciones[[#This Row],[Fecha Levantamiento]]-Observaciones[[#This Row],[Fecha Detección]]+1,0)</f>
        <v>0</v>
      </c>
      <c r="L193" s="34" t="str">
        <f>LOOKUP(Observaciones[[#This Row],[Caso de Prueba]],CasoPrueba[Código CP],CasoPrueba[Código de REQ])</f>
        <v>INSPECCIÓN</v>
      </c>
    </row>
    <row r="194" spans="1:12" ht="45" hidden="1">
      <c r="A194" s="166" t="s">
        <v>572</v>
      </c>
      <c r="B194" s="34" t="s">
        <v>630</v>
      </c>
      <c r="C194" s="34" t="str">
        <f>VLOOKUP(Observaciones[Caso de Prueba],CasoPrueba[[#All],[Código CP]:[Prioridad]],7,TRUE)</f>
        <v>Alta</v>
      </c>
      <c r="D194" s="34" t="s">
        <v>29</v>
      </c>
      <c r="E194" s="34" t="s">
        <v>47</v>
      </c>
      <c r="F194" s="73">
        <v>40828</v>
      </c>
      <c r="H194" s="94" t="s">
        <v>132</v>
      </c>
      <c r="I194" s="34" t="s">
        <v>608</v>
      </c>
      <c r="J194" s="34" t="s">
        <v>874</v>
      </c>
      <c r="K194" s="34">
        <f>IF((Observaciones[[#This Row],[Fecha Levantamiento]]-Observaciones[[#This Row],[Fecha Detección]])&gt;=0,Observaciones[[#This Row],[Fecha Levantamiento]]-Observaciones[[#This Row],[Fecha Detección]]+1,0)</f>
        <v>0</v>
      </c>
      <c r="L194" s="34" t="str">
        <f>LOOKUP(Observaciones[[#This Row],[Caso de Prueba]],CasoPrueba[Código CP],CasoPrueba[Código de REQ])</f>
        <v>INSPECCIÓN</v>
      </c>
    </row>
    <row r="195" spans="1:12" ht="30" hidden="1">
      <c r="A195" s="166" t="s">
        <v>573</v>
      </c>
      <c r="B195" s="34" t="s">
        <v>630</v>
      </c>
      <c r="C195" s="34" t="str">
        <f>VLOOKUP(Observaciones[Caso de Prueba],CasoPrueba[[#All],[Código CP]:[Prioridad]],7,TRUE)</f>
        <v>Alta</v>
      </c>
      <c r="D195" s="34" t="s">
        <v>162</v>
      </c>
      <c r="E195" s="34" t="s">
        <v>47</v>
      </c>
      <c r="F195" s="73">
        <v>40828</v>
      </c>
      <c r="H195" s="94" t="s">
        <v>132</v>
      </c>
      <c r="I195" s="34" t="s">
        <v>657</v>
      </c>
      <c r="J195" s="34" t="s">
        <v>386</v>
      </c>
      <c r="K195" s="34">
        <f>IF((Observaciones[[#This Row],[Fecha Levantamiento]]-Observaciones[[#This Row],[Fecha Detección]])&gt;=0,Observaciones[[#This Row],[Fecha Levantamiento]]-Observaciones[[#This Row],[Fecha Detección]]+1,0)</f>
        <v>0</v>
      </c>
      <c r="L195" s="34" t="str">
        <f>LOOKUP(Observaciones[[#This Row],[Caso de Prueba]],CasoPrueba[Código CP],CasoPrueba[Código de REQ])</f>
        <v>INSPECCIÓN</v>
      </c>
    </row>
    <row r="196" spans="1:12" ht="60" hidden="1">
      <c r="A196" s="166" t="s">
        <v>574</v>
      </c>
      <c r="B196" s="34" t="s">
        <v>630</v>
      </c>
      <c r="C196" s="34" t="str">
        <f>VLOOKUP(Observaciones[Caso de Prueba],CasoPrueba[[#All],[Código CP]:[Prioridad]],7,TRUE)</f>
        <v>Alta</v>
      </c>
      <c r="D196" s="34" t="s">
        <v>28</v>
      </c>
      <c r="E196" s="34" t="s">
        <v>47</v>
      </c>
      <c r="F196" s="73">
        <v>40828</v>
      </c>
      <c r="H196" s="94" t="s">
        <v>132</v>
      </c>
      <c r="I196" s="34" t="s">
        <v>660</v>
      </c>
      <c r="J196" s="34" t="s">
        <v>868</v>
      </c>
      <c r="K196" s="34">
        <f>IF((Observaciones[[#This Row],[Fecha Levantamiento]]-Observaciones[[#This Row],[Fecha Detección]])&gt;=0,Observaciones[[#This Row],[Fecha Levantamiento]]-Observaciones[[#This Row],[Fecha Detección]]+1,0)</f>
        <v>0</v>
      </c>
      <c r="L196" s="34" t="str">
        <f>LOOKUP(Observaciones[[#This Row],[Caso de Prueba]],CasoPrueba[Código CP],CasoPrueba[Código de REQ])</f>
        <v>INSPECCIÓN</v>
      </c>
    </row>
    <row r="197" spans="1:12" ht="30" hidden="1">
      <c r="A197" s="166" t="s">
        <v>575</v>
      </c>
      <c r="B197" s="34" t="s">
        <v>630</v>
      </c>
      <c r="C197" s="34" t="str">
        <f>VLOOKUP(Observaciones[Caso de Prueba],CasoPrueba[[#All],[Código CP]:[Prioridad]],7,TRUE)</f>
        <v>Alta</v>
      </c>
      <c r="D197" s="34" t="s">
        <v>29</v>
      </c>
      <c r="E197" s="34" t="s">
        <v>47</v>
      </c>
      <c r="F197" s="73">
        <v>40828</v>
      </c>
      <c r="H197" s="94" t="s">
        <v>132</v>
      </c>
      <c r="I197" s="34" t="s">
        <v>661</v>
      </c>
      <c r="J197" s="34" t="s">
        <v>869</v>
      </c>
      <c r="K197" s="34">
        <f>IF((Observaciones[[#This Row],[Fecha Levantamiento]]-Observaciones[[#This Row],[Fecha Detección]])&gt;=0,Observaciones[[#This Row],[Fecha Levantamiento]]-Observaciones[[#This Row],[Fecha Detección]]+1,0)</f>
        <v>0</v>
      </c>
      <c r="L197" s="34" t="str">
        <f>LOOKUP(Observaciones[[#This Row],[Caso de Prueba]],CasoPrueba[Código CP],CasoPrueba[Código de REQ])</f>
        <v>INSPECCIÓN</v>
      </c>
    </row>
    <row r="198" spans="1:12" ht="90" hidden="1">
      <c r="A198" s="166" t="s">
        <v>576</v>
      </c>
      <c r="B198" s="34" t="s">
        <v>630</v>
      </c>
      <c r="C198" s="34" t="str">
        <f>VLOOKUP(Observaciones[Caso de Prueba],CasoPrueba[[#All],[Código CP]:[Prioridad]],7,TRUE)</f>
        <v>Alta</v>
      </c>
      <c r="D198" s="34" t="s">
        <v>29</v>
      </c>
      <c r="E198" s="34" t="s">
        <v>47</v>
      </c>
      <c r="F198" s="73">
        <v>40828</v>
      </c>
      <c r="H198" s="94" t="s">
        <v>132</v>
      </c>
      <c r="I198" s="34" t="s">
        <v>610</v>
      </c>
      <c r="J198" s="34" t="s">
        <v>851</v>
      </c>
      <c r="K198" s="34">
        <f>IF((Observaciones[[#This Row],[Fecha Levantamiento]]-Observaciones[[#This Row],[Fecha Detección]])&gt;=0,Observaciones[[#This Row],[Fecha Levantamiento]]-Observaciones[[#This Row],[Fecha Detección]]+1,0)</f>
        <v>0</v>
      </c>
      <c r="L198" s="34" t="str">
        <f>LOOKUP(Observaciones[[#This Row],[Caso de Prueba]],CasoPrueba[Código CP],CasoPrueba[Código de REQ])</f>
        <v>INSPECCIÓN</v>
      </c>
    </row>
    <row r="199" spans="1:12" ht="45" hidden="1">
      <c r="A199" s="166" t="s">
        <v>577</v>
      </c>
      <c r="B199" s="34" t="s">
        <v>630</v>
      </c>
      <c r="C199" s="34" t="str">
        <f>VLOOKUP(Observaciones[Caso de Prueba],CasoPrueba[[#All],[Código CP]:[Prioridad]],7,TRUE)</f>
        <v>Alta</v>
      </c>
      <c r="D199" s="34" t="s">
        <v>162</v>
      </c>
      <c r="E199" s="34" t="s">
        <v>47</v>
      </c>
      <c r="F199" s="73">
        <v>40828</v>
      </c>
      <c r="H199" s="94" t="s">
        <v>132</v>
      </c>
      <c r="I199" s="34" t="s">
        <v>662</v>
      </c>
      <c r="J199" s="34" t="s">
        <v>842</v>
      </c>
      <c r="K199" s="34">
        <f>IF((Observaciones[[#This Row],[Fecha Levantamiento]]-Observaciones[[#This Row],[Fecha Detección]])&gt;=0,Observaciones[[#This Row],[Fecha Levantamiento]]-Observaciones[[#This Row],[Fecha Detección]]+1,0)</f>
        <v>0</v>
      </c>
      <c r="L199" s="34" t="str">
        <f>LOOKUP(Observaciones[[#This Row],[Caso de Prueba]],CasoPrueba[Código CP],CasoPrueba[Código de REQ])</f>
        <v>INSPECCIÓN</v>
      </c>
    </row>
    <row r="200" spans="1:12" ht="45">
      <c r="A200" s="166" t="s">
        <v>578</v>
      </c>
      <c r="B200" s="34" t="s">
        <v>663</v>
      </c>
      <c r="C200" s="34" t="str">
        <f>VLOOKUP(Observaciones[Caso de Prueba],CasoPrueba[[#All],[Código CP]:[Prioridad]],7,TRUE)</f>
        <v>Alta</v>
      </c>
      <c r="D200" s="34" t="s">
        <v>162</v>
      </c>
      <c r="E200" s="34" t="s">
        <v>47</v>
      </c>
      <c r="F200" s="73">
        <v>40829</v>
      </c>
      <c r="H200" s="94" t="s">
        <v>132</v>
      </c>
      <c r="I200" s="34" t="s">
        <v>822</v>
      </c>
      <c r="J200" s="34" t="s">
        <v>890</v>
      </c>
      <c r="K200" s="34">
        <f>IF((Observaciones[[#This Row],[Fecha Levantamiento]]-Observaciones[[#This Row],[Fecha Detección]])&gt;=0,Observaciones[[#This Row],[Fecha Levantamiento]]-Observaciones[[#This Row],[Fecha Detección]]+1,0)</f>
        <v>0</v>
      </c>
      <c r="L200" s="34" t="str">
        <f>LOOKUP(Observaciones[[#This Row],[Caso de Prueba]],CasoPrueba[Código CP],CasoPrueba[Código de REQ])</f>
        <v>INSPECCIÓN</v>
      </c>
    </row>
    <row r="201" spans="1:12" ht="30">
      <c r="A201" s="166" t="s">
        <v>579</v>
      </c>
      <c r="B201" s="34" t="s">
        <v>663</v>
      </c>
      <c r="C201" s="34" t="str">
        <f>VLOOKUP(Observaciones[Caso de Prueba],CasoPrueba[[#All],[Código CP]:[Prioridad]],7,TRUE)</f>
        <v>Alta</v>
      </c>
      <c r="D201" s="34" t="s">
        <v>28</v>
      </c>
      <c r="E201" s="34" t="s">
        <v>47</v>
      </c>
      <c r="F201" s="73">
        <v>40829</v>
      </c>
      <c r="H201" s="94" t="s">
        <v>132</v>
      </c>
      <c r="I201" s="34" t="s">
        <v>595</v>
      </c>
      <c r="J201" s="34" t="s">
        <v>886</v>
      </c>
      <c r="K201" s="34">
        <f>IF((Observaciones[[#This Row],[Fecha Levantamiento]]-Observaciones[[#This Row],[Fecha Detección]])&gt;=0,Observaciones[[#This Row],[Fecha Levantamiento]]-Observaciones[[#This Row],[Fecha Detección]]+1,0)</f>
        <v>0</v>
      </c>
      <c r="L201" s="34" t="str">
        <f>LOOKUP(Observaciones[[#This Row],[Caso de Prueba]],CasoPrueba[Código CP],CasoPrueba[Código de REQ])</f>
        <v>INSPECCIÓN</v>
      </c>
    </row>
    <row r="202" spans="1:12" ht="45">
      <c r="A202" s="166" t="s">
        <v>580</v>
      </c>
      <c r="B202" s="34" t="s">
        <v>663</v>
      </c>
      <c r="C202" s="34" t="str">
        <f>VLOOKUP(Observaciones[Caso de Prueba],CasoPrueba[[#All],[Código CP]:[Prioridad]],7,TRUE)</f>
        <v>Alta</v>
      </c>
      <c r="D202" s="34" t="s">
        <v>29</v>
      </c>
      <c r="E202" s="34" t="s">
        <v>47</v>
      </c>
      <c r="F202" s="73">
        <v>40829</v>
      </c>
      <c r="H202" s="94" t="s">
        <v>132</v>
      </c>
      <c r="I202" s="34" t="s">
        <v>823</v>
      </c>
      <c r="J202" s="34" t="s">
        <v>887</v>
      </c>
      <c r="K202" s="34">
        <f>IF((Observaciones[[#This Row],[Fecha Levantamiento]]-Observaciones[[#This Row],[Fecha Detección]])&gt;=0,Observaciones[[#This Row],[Fecha Levantamiento]]-Observaciones[[#This Row],[Fecha Detección]]+1,0)</f>
        <v>0</v>
      </c>
      <c r="L202" s="34" t="str">
        <f>LOOKUP(Observaciones[[#This Row],[Caso de Prueba]],CasoPrueba[Código CP],CasoPrueba[Código de REQ])</f>
        <v>INSPECCIÓN</v>
      </c>
    </row>
    <row r="203" spans="1:12" ht="30">
      <c r="A203" s="166" t="s">
        <v>581</v>
      </c>
      <c r="B203" s="34" t="s">
        <v>663</v>
      </c>
      <c r="C203" s="34" t="str">
        <f>VLOOKUP(Observaciones[Caso de Prueba],CasoPrueba[[#All],[Código CP]:[Prioridad]],7,TRUE)</f>
        <v>Alta</v>
      </c>
      <c r="D203" s="34" t="s">
        <v>29</v>
      </c>
      <c r="E203" s="34" t="s">
        <v>47</v>
      </c>
      <c r="F203" s="73">
        <v>40829</v>
      </c>
      <c r="H203" s="94" t="s">
        <v>132</v>
      </c>
      <c r="I203" s="34" t="s">
        <v>824</v>
      </c>
      <c r="J203" s="34" t="s">
        <v>888</v>
      </c>
      <c r="K203" s="34">
        <f>IF((Observaciones[[#This Row],[Fecha Levantamiento]]-Observaciones[[#This Row],[Fecha Detección]])&gt;=0,Observaciones[[#This Row],[Fecha Levantamiento]]-Observaciones[[#This Row],[Fecha Detección]]+1,0)</f>
        <v>0</v>
      </c>
      <c r="L203" s="34" t="str">
        <f>LOOKUP(Observaciones[[#This Row],[Caso de Prueba]],CasoPrueba[Código CP],CasoPrueba[Código de REQ])</f>
        <v>INSPECCIÓN</v>
      </c>
    </row>
    <row r="204" spans="1:12" ht="30">
      <c r="A204" s="166" t="s">
        <v>582</v>
      </c>
      <c r="B204" s="34" t="s">
        <v>663</v>
      </c>
      <c r="C204" s="34" t="str">
        <f>VLOOKUP(Observaciones[Caso de Prueba],CasoPrueba[[#All],[Código CP]:[Prioridad]],7,TRUE)</f>
        <v>Alta</v>
      </c>
      <c r="D204" s="34" t="s">
        <v>30</v>
      </c>
      <c r="E204" s="34" t="s">
        <v>47</v>
      </c>
      <c r="F204" s="73">
        <v>40829</v>
      </c>
      <c r="H204" s="94" t="s">
        <v>132</v>
      </c>
      <c r="I204" s="34" t="s">
        <v>825</v>
      </c>
      <c r="J204" s="34" t="s">
        <v>889</v>
      </c>
      <c r="K204" s="34">
        <f>IF((Observaciones[[#This Row],[Fecha Levantamiento]]-Observaciones[[#This Row],[Fecha Detección]])&gt;=0,Observaciones[[#This Row],[Fecha Levantamiento]]-Observaciones[[#This Row],[Fecha Detección]]+1,0)</f>
        <v>0</v>
      </c>
      <c r="L204" s="34" t="str">
        <f>LOOKUP(Observaciones[[#This Row],[Caso de Prueba]],CasoPrueba[Código CP],CasoPrueba[Código de REQ])</f>
        <v>INSPECCIÓN</v>
      </c>
    </row>
    <row r="205" spans="1:12" ht="45">
      <c r="A205" s="166" t="s">
        <v>583</v>
      </c>
      <c r="B205" s="34" t="s">
        <v>663</v>
      </c>
      <c r="C205" s="34" t="str">
        <f>VLOOKUP(Observaciones[Caso de Prueba],CasoPrueba[[#All],[Código CP]:[Prioridad]],7,TRUE)</f>
        <v>Alta</v>
      </c>
      <c r="D205" s="34" t="s">
        <v>162</v>
      </c>
      <c r="E205" s="34" t="s">
        <v>47</v>
      </c>
      <c r="F205" s="73">
        <v>40829</v>
      </c>
      <c r="H205" s="94" t="s">
        <v>132</v>
      </c>
      <c r="I205" s="34" t="s">
        <v>826</v>
      </c>
      <c r="J205" s="34" t="s">
        <v>477</v>
      </c>
      <c r="K205" s="34">
        <f>IF((Observaciones[[#This Row],[Fecha Levantamiento]]-Observaciones[[#This Row],[Fecha Detección]])&gt;=0,Observaciones[[#This Row],[Fecha Levantamiento]]-Observaciones[[#This Row],[Fecha Detección]]+1,0)</f>
        <v>0</v>
      </c>
      <c r="L205" s="34" t="str">
        <f>LOOKUP(Observaciones[[#This Row],[Caso de Prueba]],CasoPrueba[Código CP],CasoPrueba[Código de REQ])</f>
        <v>INSPECCIÓN</v>
      </c>
    </row>
    <row r="206" spans="1:12" ht="45">
      <c r="A206" s="166" t="s">
        <v>584</v>
      </c>
      <c r="B206" s="34" t="s">
        <v>663</v>
      </c>
      <c r="C206" s="34" t="str">
        <f>VLOOKUP(Observaciones[Caso de Prueba],CasoPrueba[[#All],[Código CP]:[Prioridad]],7,TRUE)</f>
        <v>Alta</v>
      </c>
      <c r="D206" s="34" t="s">
        <v>29</v>
      </c>
      <c r="E206" s="34" t="s">
        <v>47</v>
      </c>
      <c r="F206" s="73">
        <v>40829</v>
      </c>
      <c r="H206" s="94" t="s">
        <v>132</v>
      </c>
      <c r="I206" s="34" t="s">
        <v>827</v>
      </c>
      <c r="J206" s="34" t="s">
        <v>893</v>
      </c>
      <c r="K206" s="34">
        <f>IF((Observaciones[[#This Row],[Fecha Levantamiento]]-Observaciones[[#This Row],[Fecha Detección]])&gt;=0,Observaciones[[#This Row],[Fecha Levantamiento]]-Observaciones[[#This Row],[Fecha Detección]]+1,0)</f>
        <v>0</v>
      </c>
      <c r="L206" s="34" t="str">
        <f>LOOKUP(Observaciones[[#This Row],[Caso de Prueba]],CasoPrueba[Código CP],CasoPrueba[Código de REQ])</f>
        <v>INSPECCIÓN</v>
      </c>
    </row>
    <row r="207" spans="1:12" ht="30">
      <c r="A207" s="166" t="s">
        <v>585</v>
      </c>
      <c r="B207" s="34" t="s">
        <v>663</v>
      </c>
      <c r="C207" s="34" t="str">
        <f>VLOOKUP(Observaciones[Caso de Prueba],CasoPrueba[[#All],[Código CP]:[Prioridad]],7,TRUE)</f>
        <v>Alta</v>
      </c>
      <c r="D207" s="34" t="s">
        <v>29</v>
      </c>
      <c r="E207" s="34" t="s">
        <v>47</v>
      </c>
      <c r="F207" s="73">
        <v>40829</v>
      </c>
      <c r="H207" s="94" t="s">
        <v>132</v>
      </c>
      <c r="I207" s="34" t="s">
        <v>828</v>
      </c>
      <c r="J207" s="34" t="s">
        <v>894</v>
      </c>
      <c r="K207" s="34">
        <f>IF((Observaciones[[#This Row],[Fecha Levantamiento]]-Observaciones[[#This Row],[Fecha Detección]])&gt;=0,Observaciones[[#This Row],[Fecha Levantamiento]]-Observaciones[[#This Row],[Fecha Detección]]+1,0)</f>
        <v>0</v>
      </c>
      <c r="L207" s="34" t="str">
        <f>LOOKUP(Observaciones[[#This Row],[Caso de Prueba]],CasoPrueba[Código CP],CasoPrueba[Código de REQ])</f>
        <v>INSPECCIÓN</v>
      </c>
    </row>
    <row r="208" spans="1:12" ht="30">
      <c r="A208" s="166" t="s">
        <v>586</v>
      </c>
      <c r="B208" s="34" t="s">
        <v>663</v>
      </c>
      <c r="C208" s="34" t="str">
        <f>VLOOKUP(Observaciones[Caso de Prueba],CasoPrueba[[#All],[Código CP]:[Prioridad]],7,TRUE)</f>
        <v>Alta</v>
      </c>
      <c r="D208" s="34" t="s">
        <v>162</v>
      </c>
      <c r="E208" s="34" t="s">
        <v>47</v>
      </c>
      <c r="F208" s="73">
        <v>40829</v>
      </c>
      <c r="H208" s="94" t="s">
        <v>132</v>
      </c>
      <c r="I208" s="34" t="s">
        <v>829</v>
      </c>
      <c r="J208" s="34" t="s">
        <v>477</v>
      </c>
      <c r="K208" s="34">
        <f>IF((Observaciones[[#This Row],[Fecha Levantamiento]]-Observaciones[[#This Row],[Fecha Detección]])&gt;=0,Observaciones[[#This Row],[Fecha Levantamiento]]-Observaciones[[#This Row],[Fecha Detección]]+1,0)</f>
        <v>0</v>
      </c>
      <c r="L208" s="34" t="str">
        <f>LOOKUP(Observaciones[[#This Row],[Caso de Prueba]],CasoPrueba[Código CP],CasoPrueba[Código de REQ])</f>
        <v>INSPECCIÓN</v>
      </c>
    </row>
    <row r="209" spans="1:12" ht="60">
      <c r="A209" s="166" t="s">
        <v>587</v>
      </c>
      <c r="B209" s="34" t="s">
        <v>663</v>
      </c>
      <c r="C209" s="34" t="str">
        <f>VLOOKUP(Observaciones[Caso de Prueba],CasoPrueba[[#All],[Código CP]:[Prioridad]],7,TRUE)</f>
        <v>Alta</v>
      </c>
      <c r="D209" s="34" t="s">
        <v>30</v>
      </c>
      <c r="E209" s="34" t="s">
        <v>47</v>
      </c>
      <c r="F209" s="73">
        <v>40829</v>
      </c>
      <c r="H209" s="94" t="s">
        <v>132</v>
      </c>
      <c r="I209" s="34" t="s">
        <v>830</v>
      </c>
      <c r="J209" s="34" t="s">
        <v>892</v>
      </c>
      <c r="K209" s="34">
        <f>IF((Observaciones[[#This Row],[Fecha Levantamiento]]-Observaciones[[#This Row],[Fecha Detección]])&gt;=0,Observaciones[[#This Row],[Fecha Levantamiento]]-Observaciones[[#This Row],[Fecha Detección]]+1,0)</f>
        <v>0</v>
      </c>
      <c r="L209" s="34" t="str">
        <f>LOOKUP(Observaciones[[#This Row],[Caso de Prueba]],CasoPrueba[Código CP],CasoPrueba[Código de REQ])</f>
        <v>INSPECCIÓN</v>
      </c>
    </row>
    <row r="210" spans="1:12" ht="30">
      <c r="A210" s="166" t="s">
        <v>588</v>
      </c>
      <c r="B210" s="34" t="s">
        <v>663</v>
      </c>
      <c r="C210" s="34" t="str">
        <f>VLOOKUP(Observaciones[Caso de Prueba],CasoPrueba[[#All],[Código CP]:[Prioridad]],7,TRUE)</f>
        <v>Alta</v>
      </c>
      <c r="D210" s="34" t="s">
        <v>30</v>
      </c>
      <c r="E210" s="34" t="s">
        <v>47</v>
      </c>
      <c r="F210" s="73">
        <v>40829</v>
      </c>
      <c r="H210" s="94" t="s">
        <v>132</v>
      </c>
      <c r="I210" s="34" t="s">
        <v>831</v>
      </c>
      <c r="J210" s="34" t="s">
        <v>891</v>
      </c>
      <c r="K210" s="34">
        <f>IF((Observaciones[[#This Row],[Fecha Levantamiento]]-Observaciones[[#This Row],[Fecha Detección]])&gt;=0,Observaciones[[#This Row],[Fecha Levantamiento]]-Observaciones[[#This Row],[Fecha Detección]]+1,0)</f>
        <v>0</v>
      </c>
      <c r="L210" s="34" t="str">
        <f>LOOKUP(Observaciones[[#This Row],[Caso de Prueba]],CasoPrueba[Código CP],CasoPrueba[Código de REQ])</f>
        <v>INSPECCIÓN</v>
      </c>
    </row>
    <row r="211" spans="1:12" ht="30">
      <c r="A211" s="166" t="s">
        <v>589</v>
      </c>
      <c r="B211" s="34" t="s">
        <v>663</v>
      </c>
      <c r="C211" s="34" t="str">
        <f>VLOOKUP(Observaciones[Caso de Prueba],CasoPrueba[[#All],[Código CP]:[Prioridad]],7,TRUE)</f>
        <v>Alta</v>
      </c>
      <c r="D211" s="34" t="s">
        <v>162</v>
      </c>
      <c r="E211" s="34" t="s">
        <v>47</v>
      </c>
      <c r="F211" s="73">
        <v>40829</v>
      </c>
      <c r="H211" s="94" t="s">
        <v>132</v>
      </c>
      <c r="I211" s="34" t="s">
        <v>832</v>
      </c>
      <c r="J211" s="34" t="s">
        <v>477</v>
      </c>
      <c r="K211" s="34">
        <f>IF((Observaciones[[#This Row],[Fecha Levantamiento]]-Observaciones[[#This Row],[Fecha Detección]])&gt;=0,Observaciones[[#This Row],[Fecha Levantamiento]]-Observaciones[[#This Row],[Fecha Detección]]+1,0)</f>
        <v>0</v>
      </c>
      <c r="L211" s="34" t="str">
        <f>LOOKUP(Observaciones[[#This Row],[Caso de Prueba]],CasoPrueba[Código CP],CasoPrueba[Código de REQ])</f>
        <v>INSPECCIÓN</v>
      </c>
    </row>
    <row r="212" spans="1:12" ht="45" hidden="1">
      <c r="A212" s="166" t="s">
        <v>590</v>
      </c>
      <c r="B212" s="34" t="s">
        <v>664</v>
      </c>
      <c r="C212" s="34" t="str">
        <f>VLOOKUP(Observaciones[Caso de Prueba],CasoPrueba[[#All],[Código CP]:[Prioridad]],7,TRUE)</f>
        <v>Alta</v>
      </c>
      <c r="D212" s="34" t="s">
        <v>29</v>
      </c>
      <c r="E212" s="34" t="s">
        <v>47</v>
      </c>
      <c r="F212" s="73">
        <v>40830</v>
      </c>
      <c r="H212" s="94" t="s">
        <v>132</v>
      </c>
      <c r="I212" s="34" t="s">
        <v>608</v>
      </c>
      <c r="J212" s="34" t="s">
        <v>874</v>
      </c>
      <c r="K212" s="34">
        <f>IF((Observaciones[[#This Row],[Fecha Levantamiento]]-Observaciones[[#This Row],[Fecha Detección]])&gt;=0,Observaciones[[#This Row],[Fecha Levantamiento]]-Observaciones[[#This Row],[Fecha Detección]]+1,0)</f>
        <v>0</v>
      </c>
      <c r="L212" s="34" t="str">
        <f>LOOKUP(Observaciones[[#This Row],[Caso de Prueba]],CasoPrueba[Código CP],CasoPrueba[Código de REQ])</f>
        <v>INSPECCIÓN</v>
      </c>
    </row>
    <row r="213" spans="1:12" ht="30" hidden="1">
      <c r="A213" s="166" t="s">
        <v>591</v>
      </c>
      <c r="B213" s="34" t="s">
        <v>664</v>
      </c>
      <c r="C213" s="34" t="str">
        <f>VLOOKUP(Observaciones[Caso de Prueba],CasoPrueba[[#All],[Código CP]:[Prioridad]],7,TRUE)</f>
        <v>Alta</v>
      </c>
      <c r="D213" s="34" t="s">
        <v>28</v>
      </c>
      <c r="E213" s="34" t="s">
        <v>47</v>
      </c>
      <c r="F213" s="73">
        <v>40830</v>
      </c>
      <c r="H213" s="94" t="s">
        <v>132</v>
      </c>
      <c r="I213" s="34" t="s">
        <v>595</v>
      </c>
      <c r="J213" s="34" t="s">
        <v>875</v>
      </c>
      <c r="K213" s="34">
        <f>IF((Observaciones[[#This Row],[Fecha Levantamiento]]-Observaciones[[#This Row],[Fecha Detección]])&gt;=0,Observaciones[[#This Row],[Fecha Levantamiento]]-Observaciones[[#This Row],[Fecha Detección]]+1,0)</f>
        <v>0</v>
      </c>
      <c r="L213" s="34" t="str">
        <f>LOOKUP(Observaciones[[#This Row],[Caso de Prueba]],CasoPrueba[Código CP],CasoPrueba[Código de REQ])</f>
        <v>INSPECCIÓN</v>
      </c>
    </row>
    <row r="214" spans="1:12" ht="45" hidden="1">
      <c r="A214" s="166" t="s">
        <v>592</v>
      </c>
      <c r="B214" s="34" t="s">
        <v>664</v>
      </c>
      <c r="C214" s="34" t="str">
        <f>VLOOKUP(Observaciones[Caso de Prueba],CasoPrueba[[#All],[Código CP]:[Prioridad]],7,TRUE)</f>
        <v>Alta</v>
      </c>
      <c r="D214" s="34" t="s">
        <v>29</v>
      </c>
      <c r="E214" s="34" t="s">
        <v>47</v>
      </c>
      <c r="F214" s="73">
        <v>40830</v>
      </c>
      <c r="H214" s="94" t="s">
        <v>132</v>
      </c>
      <c r="I214" s="34" t="s">
        <v>833</v>
      </c>
      <c r="J214" s="34" t="s">
        <v>884</v>
      </c>
      <c r="K214" s="34">
        <f>IF((Observaciones[[#This Row],[Fecha Levantamiento]]-Observaciones[[#This Row],[Fecha Detección]])&gt;=0,Observaciones[[#This Row],[Fecha Levantamiento]]-Observaciones[[#This Row],[Fecha Detección]]+1,0)</f>
        <v>0</v>
      </c>
      <c r="L214" s="34" t="str">
        <f>LOOKUP(Observaciones[[#This Row],[Caso de Prueba]],CasoPrueba[Código CP],CasoPrueba[Código de REQ])</f>
        <v>INSPECCIÓN</v>
      </c>
    </row>
    <row r="215" spans="1:12" ht="30" hidden="1">
      <c r="A215" s="166" t="s">
        <v>593</v>
      </c>
      <c r="B215" s="34" t="s">
        <v>664</v>
      </c>
      <c r="C215" s="34" t="str">
        <f>VLOOKUP(Observaciones[Caso de Prueba],CasoPrueba[[#All],[Código CP]:[Prioridad]],7,TRUE)</f>
        <v>Alta</v>
      </c>
      <c r="D215" s="34" t="s">
        <v>29</v>
      </c>
      <c r="E215" s="34" t="s">
        <v>47</v>
      </c>
      <c r="F215" s="73">
        <v>40830</v>
      </c>
      <c r="H215" s="94" t="s">
        <v>132</v>
      </c>
      <c r="I215" s="34" t="s">
        <v>834</v>
      </c>
      <c r="J215" s="34" t="s">
        <v>885</v>
      </c>
      <c r="K215" s="34">
        <f>IF((Observaciones[[#This Row],[Fecha Levantamiento]]-Observaciones[[#This Row],[Fecha Detección]])&gt;=0,Observaciones[[#This Row],[Fecha Levantamiento]]-Observaciones[[#This Row],[Fecha Detección]]+1,0)</f>
        <v>0</v>
      </c>
      <c r="L215" s="34" t="str">
        <f>LOOKUP(Observaciones[[#This Row],[Caso de Prueba]],CasoPrueba[Código CP],CasoPrueba[Código de REQ])</f>
        <v>INSPECCIÓN</v>
      </c>
    </row>
    <row r="216" spans="1:12" ht="45" hidden="1">
      <c r="A216" s="166" t="s">
        <v>676</v>
      </c>
      <c r="B216" s="34" t="s">
        <v>664</v>
      </c>
      <c r="C216" s="34" t="str">
        <f>VLOOKUP(Observaciones[Caso de Prueba],CasoPrueba[[#All],[Código CP]:[Prioridad]],7,TRUE)</f>
        <v>Alta</v>
      </c>
      <c r="D216" s="34" t="s">
        <v>162</v>
      </c>
      <c r="E216" s="34" t="s">
        <v>47</v>
      </c>
      <c r="F216" s="73">
        <v>40830</v>
      </c>
      <c r="H216" s="94" t="s">
        <v>132</v>
      </c>
      <c r="I216" s="34" t="s">
        <v>835</v>
      </c>
      <c r="J216" s="34" t="s">
        <v>199</v>
      </c>
      <c r="K216" s="34">
        <f>IF((Observaciones[[#This Row],[Fecha Levantamiento]]-Observaciones[[#This Row],[Fecha Detección]])&gt;=0,Observaciones[[#This Row],[Fecha Levantamiento]]-Observaciones[[#This Row],[Fecha Detección]]+1,0)</f>
        <v>0</v>
      </c>
      <c r="L216" s="34" t="str">
        <f>LOOKUP(Observaciones[[#This Row],[Caso de Prueba]],CasoPrueba[Código CP],CasoPrueba[Código de REQ])</f>
        <v>INSPECCIÓN</v>
      </c>
    </row>
    <row r="217" spans="1:12" ht="30" hidden="1">
      <c r="A217" s="166" t="s">
        <v>677</v>
      </c>
      <c r="B217" s="34" t="s">
        <v>664</v>
      </c>
      <c r="C217" s="34" t="str">
        <f>VLOOKUP(Observaciones[Caso de Prueba],CasoPrueba[[#All],[Código CP]:[Prioridad]],7,TRUE)</f>
        <v>Alta</v>
      </c>
      <c r="D217" s="34" t="s">
        <v>162</v>
      </c>
      <c r="E217" s="34" t="s">
        <v>47</v>
      </c>
      <c r="F217" s="73">
        <v>40830</v>
      </c>
      <c r="H217" s="94" t="s">
        <v>132</v>
      </c>
      <c r="I217" s="34" t="s">
        <v>836</v>
      </c>
      <c r="J217" s="34" t="s">
        <v>196</v>
      </c>
      <c r="K217" s="34">
        <f>IF((Observaciones[[#This Row],[Fecha Levantamiento]]-Observaciones[[#This Row],[Fecha Detección]])&gt;=0,Observaciones[[#This Row],[Fecha Levantamiento]]-Observaciones[[#This Row],[Fecha Detección]]+1,0)</f>
        <v>0</v>
      </c>
      <c r="L217" s="34" t="str">
        <f>LOOKUP(Observaciones[[#This Row],[Caso de Prueba]],CasoPrueba[Código CP],CasoPrueba[Código de REQ])</f>
        <v>INSPECCIÓN</v>
      </c>
    </row>
    <row r="218" spans="1:12" hidden="1">
      <c r="A218" s="166" t="s">
        <v>678</v>
      </c>
      <c r="B218" s="34" t="s">
        <v>665</v>
      </c>
      <c r="C218" s="34" t="str">
        <f>VLOOKUP(Observaciones[Caso de Prueba],CasoPrueba[[#All],[Código CP]:[Prioridad]],7,TRUE)</f>
        <v>Alta</v>
      </c>
      <c r="K218" s="34">
        <f>IF((Observaciones[[#This Row],[Fecha Levantamiento]]-Observaciones[[#This Row],[Fecha Detección]])&gt;=0,Observaciones[[#This Row],[Fecha Levantamiento]]-Observaciones[[#This Row],[Fecha Detección]]+1,0)</f>
        <v>1</v>
      </c>
      <c r="L218" s="34" t="str">
        <f>LOOKUP(Observaciones[[#This Row],[Caso de Prueba]],CasoPrueba[Código CP],CasoPrueba[Código de REQ])</f>
        <v>INSPECCIÓN</v>
      </c>
    </row>
    <row r="219" spans="1:12" hidden="1">
      <c r="A219" s="166" t="s">
        <v>679</v>
      </c>
      <c r="B219" s="34" t="s">
        <v>665</v>
      </c>
      <c r="C219" s="34" t="str">
        <f>VLOOKUP(Observaciones[Caso de Prueba],CasoPrueba[[#All],[Código CP]:[Prioridad]],7,TRUE)</f>
        <v>Alta</v>
      </c>
      <c r="K219" s="34">
        <f>IF((Observaciones[[#This Row],[Fecha Levantamiento]]-Observaciones[[#This Row],[Fecha Detección]])&gt;=0,Observaciones[[#This Row],[Fecha Levantamiento]]-Observaciones[[#This Row],[Fecha Detección]]+1,0)</f>
        <v>1</v>
      </c>
      <c r="L219" s="34" t="str">
        <f>LOOKUP(Observaciones[[#This Row],[Caso de Prueba]],CasoPrueba[Código CP],CasoPrueba[Código de REQ])</f>
        <v>INSPECCIÓN</v>
      </c>
    </row>
    <row r="220" spans="1:12" hidden="1">
      <c r="A220" s="166" t="s">
        <v>680</v>
      </c>
      <c r="B220" s="34" t="s">
        <v>665</v>
      </c>
      <c r="C220" s="34" t="str">
        <f>VLOOKUP(Observaciones[Caso de Prueba],CasoPrueba[[#All],[Código CP]:[Prioridad]],7,TRUE)</f>
        <v>Alta</v>
      </c>
      <c r="K220" s="34">
        <f>IF((Observaciones[[#This Row],[Fecha Levantamiento]]-Observaciones[[#This Row],[Fecha Detección]])&gt;=0,Observaciones[[#This Row],[Fecha Levantamiento]]-Observaciones[[#This Row],[Fecha Detección]]+1,0)</f>
        <v>1</v>
      </c>
      <c r="L220" s="34" t="str">
        <f>LOOKUP(Observaciones[[#This Row],[Caso de Prueba]],CasoPrueba[Código CP],CasoPrueba[Código de REQ])</f>
        <v>INSPECCIÓN</v>
      </c>
    </row>
    <row r="221" spans="1:12" hidden="1">
      <c r="A221" s="166" t="s">
        <v>681</v>
      </c>
      <c r="B221" s="34" t="s">
        <v>665</v>
      </c>
      <c r="C221" s="34" t="str">
        <f>VLOOKUP(Observaciones[Caso de Prueba],CasoPrueba[[#All],[Código CP]:[Prioridad]],7,TRUE)</f>
        <v>Alta</v>
      </c>
      <c r="K221" s="34">
        <f>IF((Observaciones[[#This Row],[Fecha Levantamiento]]-Observaciones[[#This Row],[Fecha Detección]])&gt;=0,Observaciones[[#This Row],[Fecha Levantamiento]]-Observaciones[[#This Row],[Fecha Detección]]+1,0)</f>
        <v>1</v>
      </c>
      <c r="L221" s="34" t="str">
        <f>LOOKUP(Observaciones[[#This Row],[Caso de Prueba]],CasoPrueba[Código CP],CasoPrueba[Código de REQ])</f>
        <v>INSPECCIÓN</v>
      </c>
    </row>
    <row r="222" spans="1:12" hidden="1">
      <c r="A222" s="166" t="s">
        <v>682</v>
      </c>
      <c r="B222" s="34" t="s">
        <v>665</v>
      </c>
      <c r="C222" s="34" t="str">
        <f>VLOOKUP(Observaciones[Caso de Prueba],CasoPrueba[[#All],[Código CP]:[Prioridad]],7,TRUE)</f>
        <v>Alta</v>
      </c>
      <c r="K222" s="34">
        <f>IF((Observaciones[[#This Row],[Fecha Levantamiento]]-Observaciones[[#This Row],[Fecha Detección]])&gt;=0,Observaciones[[#This Row],[Fecha Levantamiento]]-Observaciones[[#This Row],[Fecha Detección]]+1,0)</f>
        <v>1</v>
      </c>
      <c r="L222" s="34" t="str">
        <f>LOOKUP(Observaciones[[#This Row],[Caso de Prueba]],CasoPrueba[Código CP],CasoPrueba[Código de REQ])</f>
        <v>INSPECCIÓN</v>
      </c>
    </row>
    <row r="223" spans="1:12" hidden="1">
      <c r="A223" s="166" t="s">
        <v>683</v>
      </c>
      <c r="B223" s="34" t="s">
        <v>665</v>
      </c>
      <c r="C223" s="34" t="str">
        <f>VLOOKUP(Observaciones[Caso de Prueba],CasoPrueba[[#All],[Código CP]:[Prioridad]],7,TRUE)</f>
        <v>Alta</v>
      </c>
      <c r="K223" s="34">
        <f>IF((Observaciones[[#This Row],[Fecha Levantamiento]]-Observaciones[[#This Row],[Fecha Detección]])&gt;=0,Observaciones[[#This Row],[Fecha Levantamiento]]-Observaciones[[#This Row],[Fecha Detección]]+1,0)</f>
        <v>1</v>
      </c>
      <c r="L223" s="34" t="str">
        <f>LOOKUP(Observaciones[[#This Row],[Caso de Prueba]],CasoPrueba[Código CP],CasoPrueba[Código de REQ])</f>
        <v>INSPECCIÓN</v>
      </c>
    </row>
    <row r="224" spans="1:12" hidden="1">
      <c r="A224" s="166" t="s">
        <v>684</v>
      </c>
      <c r="B224" s="34" t="s">
        <v>665</v>
      </c>
      <c r="C224" s="34" t="str">
        <f>VLOOKUP(Observaciones[Caso de Prueba],CasoPrueba[[#All],[Código CP]:[Prioridad]],7,TRUE)</f>
        <v>Alta</v>
      </c>
      <c r="K224" s="34">
        <f>IF((Observaciones[[#This Row],[Fecha Levantamiento]]-Observaciones[[#This Row],[Fecha Detección]])&gt;=0,Observaciones[[#This Row],[Fecha Levantamiento]]-Observaciones[[#This Row],[Fecha Detección]]+1,0)</f>
        <v>1</v>
      </c>
      <c r="L224" s="34" t="str">
        <f>LOOKUP(Observaciones[[#This Row],[Caso de Prueba]],CasoPrueba[Código CP],CasoPrueba[Código de REQ])</f>
        <v>INSPECCIÓN</v>
      </c>
    </row>
    <row r="225" spans="1:12" hidden="1">
      <c r="A225" s="166" t="s">
        <v>685</v>
      </c>
      <c r="B225" s="34" t="s">
        <v>665</v>
      </c>
      <c r="C225" s="34" t="str">
        <f>VLOOKUP(Observaciones[Caso de Prueba],CasoPrueba[[#All],[Código CP]:[Prioridad]],7,TRUE)</f>
        <v>Alta</v>
      </c>
      <c r="K225" s="34">
        <f>IF((Observaciones[[#This Row],[Fecha Levantamiento]]-Observaciones[[#This Row],[Fecha Detección]])&gt;=0,Observaciones[[#This Row],[Fecha Levantamiento]]-Observaciones[[#This Row],[Fecha Detección]]+1,0)</f>
        <v>1</v>
      </c>
      <c r="L225" s="34" t="str">
        <f>LOOKUP(Observaciones[[#This Row],[Caso de Prueba]],CasoPrueba[Código CP],CasoPrueba[Código de REQ])</f>
        <v>INSPECCIÓN</v>
      </c>
    </row>
    <row r="226" spans="1:12" hidden="1">
      <c r="A226" s="166" t="s">
        <v>686</v>
      </c>
      <c r="B226" s="34" t="s">
        <v>665</v>
      </c>
      <c r="C226" s="34" t="str">
        <f>VLOOKUP(Observaciones[Caso de Prueba],CasoPrueba[[#All],[Código CP]:[Prioridad]],7,TRUE)</f>
        <v>Alta</v>
      </c>
      <c r="K226" s="34">
        <f>IF((Observaciones[[#This Row],[Fecha Levantamiento]]-Observaciones[[#This Row],[Fecha Detección]])&gt;=0,Observaciones[[#This Row],[Fecha Levantamiento]]-Observaciones[[#This Row],[Fecha Detección]]+1,0)</f>
        <v>1</v>
      </c>
      <c r="L226" s="34" t="str">
        <f>LOOKUP(Observaciones[[#This Row],[Caso de Prueba]],CasoPrueba[Código CP],CasoPrueba[Código de REQ])</f>
        <v>INSPECCIÓN</v>
      </c>
    </row>
    <row r="227" spans="1:12" hidden="1">
      <c r="A227" s="166" t="s">
        <v>687</v>
      </c>
      <c r="B227" s="34" t="s">
        <v>665</v>
      </c>
      <c r="C227" s="34" t="str">
        <f>VLOOKUP(Observaciones[Caso de Prueba],CasoPrueba[[#All],[Código CP]:[Prioridad]],7,TRUE)</f>
        <v>Alta</v>
      </c>
      <c r="K227" s="34">
        <f>IF((Observaciones[[#This Row],[Fecha Levantamiento]]-Observaciones[[#This Row],[Fecha Detección]])&gt;=0,Observaciones[[#This Row],[Fecha Levantamiento]]-Observaciones[[#This Row],[Fecha Detección]]+1,0)</f>
        <v>1</v>
      </c>
      <c r="L227" s="34" t="str">
        <f>LOOKUP(Observaciones[[#This Row],[Caso de Prueba]],CasoPrueba[Código CP],CasoPrueba[Código de REQ])</f>
        <v>INSPECCIÓN</v>
      </c>
    </row>
    <row r="228" spans="1:12" hidden="1">
      <c r="A228" s="166" t="s">
        <v>688</v>
      </c>
      <c r="C228" s="34" t="e">
        <f>VLOOKUP(Observaciones[Caso de Prueba],CasoPrueba[[#All],[Código CP]:[Prioridad]],7,TRUE)</f>
        <v>#N/A</v>
      </c>
      <c r="K228" s="34">
        <f>IF((Observaciones[[#This Row],[Fecha Levantamiento]]-Observaciones[[#This Row],[Fecha Detección]])&gt;=0,Observaciones[[#This Row],[Fecha Levantamiento]]-Observaciones[[#This Row],[Fecha Detección]]+1,0)</f>
        <v>1</v>
      </c>
      <c r="L228" s="34" t="e">
        <f>LOOKUP(Observaciones[[#This Row],[Caso de Prueba]],CasoPrueba[Código CP],CasoPrueba[Código de REQ])</f>
        <v>#N/A</v>
      </c>
    </row>
    <row r="229" spans="1:12" hidden="1">
      <c r="A229" s="166" t="s">
        <v>689</v>
      </c>
      <c r="C229" s="34" t="e">
        <f>VLOOKUP(Observaciones[Caso de Prueba],CasoPrueba[[#All],[Código CP]:[Prioridad]],7,TRUE)</f>
        <v>#N/A</v>
      </c>
      <c r="K229" s="34">
        <f>IF((Observaciones[[#This Row],[Fecha Levantamiento]]-Observaciones[[#This Row],[Fecha Detección]])&gt;=0,Observaciones[[#This Row],[Fecha Levantamiento]]-Observaciones[[#This Row],[Fecha Detección]]+1,0)</f>
        <v>1</v>
      </c>
      <c r="L229" s="34" t="e">
        <f>LOOKUP(Observaciones[[#This Row],[Caso de Prueba]],CasoPrueba[Código CP],CasoPrueba[Código de REQ])</f>
        <v>#N/A</v>
      </c>
    </row>
    <row r="230" spans="1:12" hidden="1">
      <c r="A230" s="166" t="s">
        <v>690</v>
      </c>
      <c r="C230" s="34" t="e">
        <f>VLOOKUP(Observaciones[Caso de Prueba],CasoPrueba[[#All],[Código CP]:[Prioridad]],7,TRUE)</f>
        <v>#N/A</v>
      </c>
      <c r="K230" s="34">
        <f>IF((Observaciones[[#This Row],[Fecha Levantamiento]]-Observaciones[[#This Row],[Fecha Detección]])&gt;=0,Observaciones[[#This Row],[Fecha Levantamiento]]-Observaciones[[#This Row],[Fecha Detección]]+1,0)</f>
        <v>1</v>
      </c>
      <c r="L230" s="34" t="e">
        <f>LOOKUP(Observaciones[[#This Row],[Caso de Prueba]],CasoPrueba[Código CP],CasoPrueba[Código de REQ])</f>
        <v>#N/A</v>
      </c>
    </row>
    <row r="231" spans="1:12" hidden="1">
      <c r="A231" s="166" t="s">
        <v>691</v>
      </c>
      <c r="C231" s="34" t="e">
        <f>VLOOKUP(Observaciones[Caso de Prueba],CasoPrueba[[#All],[Código CP]:[Prioridad]],7,TRUE)</f>
        <v>#N/A</v>
      </c>
      <c r="K231" s="34">
        <f>IF((Observaciones[[#This Row],[Fecha Levantamiento]]-Observaciones[[#This Row],[Fecha Detección]])&gt;=0,Observaciones[[#This Row],[Fecha Levantamiento]]-Observaciones[[#This Row],[Fecha Detección]]+1,0)</f>
        <v>1</v>
      </c>
      <c r="L231" s="34" t="e">
        <f>LOOKUP(Observaciones[[#This Row],[Caso de Prueba]],CasoPrueba[Código CP],CasoPrueba[Código de REQ])</f>
        <v>#N/A</v>
      </c>
    </row>
    <row r="232" spans="1:12" hidden="1">
      <c r="A232" s="166" t="s">
        <v>692</v>
      </c>
      <c r="C232" s="34" t="e">
        <f>VLOOKUP(Observaciones[Caso de Prueba],CasoPrueba[[#All],[Código CP]:[Prioridad]],7,TRUE)</f>
        <v>#N/A</v>
      </c>
      <c r="K232" s="34">
        <f>IF((Observaciones[[#This Row],[Fecha Levantamiento]]-Observaciones[[#This Row],[Fecha Detección]])&gt;=0,Observaciones[[#This Row],[Fecha Levantamiento]]-Observaciones[[#This Row],[Fecha Detección]]+1,0)</f>
        <v>1</v>
      </c>
      <c r="L232" s="34" t="e">
        <f>LOOKUP(Observaciones[[#This Row],[Caso de Prueba]],CasoPrueba[Código CP],CasoPrueba[Código de REQ])</f>
        <v>#N/A</v>
      </c>
    </row>
    <row r="233" spans="1:12" hidden="1">
      <c r="A233" s="166" t="s">
        <v>693</v>
      </c>
      <c r="C233" s="34" t="e">
        <f>VLOOKUP(Observaciones[Caso de Prueba],CasoPrueba[[#All],[Código CP]:[Prioridad]],7,TRUE)</f>
        <v>#N/A</v>
      </c>
      <c r="K233" s="34">
        <f>IF((Observaciones[[#This Row],[Fecha Levantamiento]]-Observaciones[[#This Row],[Fecha Detección]])&gt;=0,Observaciones[[#This Row],[Fecha Levantamiento]]-Observaciones[[#This Row],[Fecha Detección]]+1,0)</f>
        <v>1</v>
      </c>
      <c r="L233" s="34" t="e">
        <f>LOOKUP(Observaciones[[#This Row],[Caso de Prueba]],CasoPrueba[Código CP],CasoPrueba[Código de REQ])</f>
        <v>#N/A</v>
      </c>
    </row>
    <row r="234" spans="1:12" hidden="1">
      <c r="A234" s="166" t="s">
        <v>694</v>
      </c>
      <c r="C234" s="34" t="e">
        <f>VLOOKUP(Observaciones[Caso de Prueba],CasoPrueba[[#All],[Código CP]:[Prioridad]],7,TRUE)</f>
        <v>#N/A</v>
      </c>
      <c r="K234" s="34">
        <f>IF((Observaciones[[#This Row],[Fecha Levantamiento]]-Observaciones[[#This Row],[Fecha Detección]])&gt;=0,Observaciones[[#This Row],[Fecha Levantamiento]]-Observaciones[[#This Row],[Fecha Detección]]+1,0)</f>
        <v>1</v>
      </c>
      <c r="L234" s="34" t="e">
        <f>LOOKUP(Observaciones[[#This Row],[Caso de Prueba]],CasoPrueba[Código CP],CasoPrueba[Código de REQ])</f>
        <v>#N/A</v>
      </c>
    </row>
    <row r="235" spans="1:12" hidden="1">
      <c r="A235" s="166" t="s">
        <v>695</v>
      </c>
      <c r="C235" s="34" t="e">
        <f>VLOOKUP(Observaciones[Caso de Prueba],CasoPrueba[[#All],[Código CP]:[Prioridad]],7,TRUE)</f>
        <v>#N/A</v>
      </c>
      <c r="K235" s="34">
        <f>IF((Observaciones[[#This Row],[Fecha Levantamiento]]-Observaciones[[#This Row],[Fecha Detección]])&gt;=0,Observaciones[[#This Row],[Fecha Levantamiento]]-Observaciones[[#This Row],[Fecha Detección]]+1,0)</f>
        <v>1</v>
      </c>
      <c r="L235" s="34" t="e">
        <f>LOOKUP(Observaciones[[#This Row],[Caso de Prueba]],CasoPrueba[Código CP],CasoPrueba[Código de REQ])</f>
        <v>#N/A</v>
      </c>
    </row>
    <row r="236" spans="1:12" hidden="1">
      <c r="A236" s="166" t="s">
        <v>696</v>
      </c>
      <c r="C236" s="34" t="e">
        <f>VLOOKUP(Observaciones[Caso de Prueba],CasoPrueba[[#All],[Código CP]:[Prioridad]],7,TRUE)</f>
        <v>#N/A</v>
      </c>
      <c r="K236" s="34">
        <f>IF((Observaciones[[#This Row],[Fecha Levantamiento]]-Observaciones[[#This Row],[Fecha Detección]])&gt;=0,Observaciones[[#This Row],[Fecha Levantamiento]]-Observaciones[[#This Row],[Fecha Detección]]+1,0)</f>
        <v>1</v>
      </c>
      <c r="L236" s="34" t="e">
        <f>LOOKUP(Observaciones[[#This Row],[Caso de Prueba]],CasoPrueba[Código CP],CasoPrueba[Código de REQ])</f>
        <v>#N/A</v>
      </c>
    </row>
    <row r="237" spans="1:12" hidden="1">
      <c r="A237" s="166" t="s">
        <v>697</v>
      </c>
      <c r="C237" s="34" t="e">
        <f>VLOOKUP(Observaciones[Caso de Prueba],CasoPrueba[[#All],[Código CP]:[Prioridad]],7,TRUE)</f>
        <v>#N/A</v>
      </c>
      <c r="K237" s="34">
        <f>IF((Observaciones[[#This Row],[Fecha Levantamiento]]-Observaciones[[#This Row],[Fecha Detección]])&gt;=0,Observaciones[[#This Row],[Fecha Levantamiento]]-Observaciones[[#This Row],[Fecha Detección]]+1,0)</f>
        <v>1</v>
      </c>
      <c r="L237" s="34" t="e">
        <f>LOOKUP(Observaciones[[#This Row],[Caso de Prueba]],CasoPrueba[Código CP],CasoPrueba[Código de REQ])</f>
        <v>#N/A</v>
      </c>
    </row>
    <row r="238" spans="1:12" hidden="1">
      <c r="A238" s="166" t="s">
        <v>698</v>
      </c>
      <c r="C238" s="34" t="e">
        <f>VLOOKUP(Observaciones[Caso de Prueba],CasoPrueba[[#All],[Código CP]:[Prioridad]],7,TRUE)</f>
        <v>#N/A</v>
      </c>
      <c r="K238" s="34">
        <f>IF((Observaciones[[#This Row],[Fecha Levantamiento]]-Observaciones[[#This Row],[Fecha Detección]])&gt;=0,Observaciones[[#This Row],[Fecha Levantamiento]]-Observaciones[[#This Row],[Fecha Detección]]+1,0)</f>
        <v>1</v>
      </c>
      <c r="L238" s="34" t="e">
        <f>LOOKUP(Observaciones[[#This Row],[Caso de Prueba]],CasoPrueba[Código CP],CasoPrueba[Código de REQ])</f>
        <v>#N/A</v>
      </c>
    </row>
    <row r="239" spans="1:12" hidden="1">
      <c r="A239" s="166" t="s">
        <v>699</v>
      </c>
      <c r="C239" s="34" t="e">
        <f>VLOOKUP(Observaciones[Caso de Prueba],CasoPrueba[[#All],[Código CP]:[Prioridad]],7,TRUE)</f>
        <v>#N/A</v>
      </c>
      <c r="K239" s="34">
        <f>IF((Observaciones[[#This Row],[Fecha Levantamiento]]-Observaciones[[#This Row],[Fecha Detección]])&gt;=0,Observaciones[[#This Row],[Fecha Levantamiento]]-Observaciones[[#This Row],[Fecha Detección]]+1,0)</f>
        <v>1</v>
      </c>
      <c r="L239" s="34" t="e">
        <f>LOOKUP(Observaciones[[#This Row],[Caso de Prueba]],CasoPrueba[Código CP],CasoPrueba[Código de REQ])</f>
        <v>#N/A</v>
      </c>
    </row>
    <row r="240" spans="1:12" hidden="1">
      <c r="A240" s="166" t="s">
        <v>700</v>
      </c>
      <c r="C240" s="34" t="e">
        <f>VLOOKUP(Observaciones[Caso de Prueba],CasoPrueba[[#All],[Código CP]:[Prioridad]],7,TRUE)</f>
        <v>#N/A</v>
      </c>
      <c r="K240" s="34">
        <f>IF((Observaciones[[#This Row],[Fecha Levantamiento]]-Observaciones[[#This Row],[Fecha Detección]])&gt;=0,Observaciones[[#This Row],[Fecha Levantamiento]]-Observaciones[[#This Row],[Fecha Detección]]+1,0)</f>
        <v>1</v>
      </c>
      <c r="L240" s="34" t="e">
        <f>LOOKUP(Observaciones[[#This Row],[Caso de Prueba]],CasoPrueba[Código CP],CasoPrueba[Código de REQ])</f>
        <v>#N/A</v>
      </c>
    </row>
    <row r="241" spans="1:12" hidden="1">
      <c r="A241" s="166" t="s">
        <v>701</v>
      </c>
      <c r="C241" s="34" t="e">
        <f>VLOOKUP(Observaciones[Caso de Prueba],CasoPrueba[[#All],[Código CP]:[Prioridad]],7,TRUE)</f>
        <v>#N/A</v>
      </c>
      <c r="K241" s="34">
        <f>IF((Observaciones[[#This Row],[Fecha Levantamiento]]-Observaciones[[#This Row],[Fecha Detección]])&gt;=0,Observaciones[[#This Row],[Fecha Levantamiento]]-Observaciones[[#This Row],[Fecha Detección]]+1,0)</f>
        <v>1</v>
      </c>
      <c r="L241" s="34" t="e">
        <f>LOOKUP(Observaciones[[#This Row],[Caso de Prueba]],CasoPrueba[Código CP],CasoPrueba[Código de REQ])</f>
        <v>#N/A</v>
      </c>
    </row>
    <row r="242" spans="1:12" hidden="1">
      <c r="A242" s="166" t="s">
        <v>702</v>
      </c>
      <c r="C242" s="34" t="e">
        <f>VLOOKUP(Observaciones[Caso de Prueba],CasoPrueba[[#All],[Código CP]:[Prioridad]],7,TRUE)</f>
        <v>#N/A</v>
      </c>
      <c r="K242" s="34">
        <f>IF((Observaciones[[#This Row],[Fecha Levantamiento]]-Observaciones[[#This Row],[Fecha Detección]])&gt;=0,Observaciones[[#This Row],[Fecha Levantamiento]]-Observaciones[[#This Row],[Fecha Detección]]+1,0)</f>
        <v>1</v>
      </c>
      <c r="L242" s="34" t="e">
        <f>LOOKUP(Observaciones[[#This Row],[Caso de Prueba]],CasoPrueba[Código CP],CasoPrueba[Código de REQ])</f>
        <v>#N/A</v>
      </c>
    </row>
    <row r="243" spans="1:12" hidden="1">
      <c r="A243" s="166" t="s">
        <v>703</v>
      </c>
      <c r="C243" s="34" t="e">
        <f>VLOOKUP(Observaciones[Caso de Prueba],CasoPrueba[[#All],[Código CP]:[Prioridad]],7,TRUE)</f>
        <v>#N/A</v>
      </c>
      <c r="K243" s="34">
        <f>IF((Observaciones[[#This Row],[Fecha Levantamiento]]-Observaciones[[#This Row],[Fecha Detección]])&gt;=0,Observaciones[[#This Row],[Fecha Levantamiento]]-Observaciones[[#This Row],[Fecha Detección]]+1,0)</f>
        <v>1</v>
      </c>
      <c r="L243" s="34" t="e">
        <f>LOOKUP(Observaciones[[#This Row],[Caso de Prueba]],CasoPrueba[Código CP],CasoPrueba[Código de REQ])</f>
        <v>#N/A</v>
      </c>
    </row>
    <row r="244" spans="1:12" hidden="1">
      <c r="A244" s="166" t="s">
        <v>704</v>
      </c>
      <c r="C244" s="34" t="e">
        <f>VLOOKUP(Observaciones[Caso de Prueba],CasoPrueba[[#All],[Código CP]:[Prioridad]],7,TRUE)</f>
        <v>#N/A</v>
      </c>
      <c r="K244" s="34">
        <f>IF((Observaciones[[#This Row],[Fecha Levantamiento]]-Observaciones[[#This Row],[Fecha Detección]])&gt;=0,Observaciones[[#This Row],[Fecha Levantamiento]]-Observaciones[[#This Row],[Fecha Detección]]+1,0)</f>
        <v>1</v>
      </c>
      <c r="L244" s="34" t="e">
        <f>LOOKUP(Observaciones[[#This Row],[Caso de Prueba]],CasoPrueba[Código CP],CasoPrueba[Código de REQ])</f>
        <v>#N/A</v>
      </c>
    </row>
    <row r="245" spans="1:12" hidden="1">
      <c r="A245" s="166" t="s">
        <v>705</v>
      </c>
      <c r="C245" s="34" t="e">
        <f>VLOOKUP(Observaciones[Caso de Prueba],CasoPrueba[[#All],[Código CP]:[Prioridad]],7,TRUE)</f>
        <v>#N/A</v>
      </c>
      <c r="K245" s="34">
        <f>IF((Observaciones[[#This Row],[Fecha Levantamiento]]-Observaciones[[#This Row],[Fecha Detección]])&gt;=0,Observaciones[[#This Row],[Fecha Levantamiento]]-Observaciones[[#This Row],[Fecha Detección]]+1,0)</f>
        <v>1</v>
      </c>
      <c r="L245" s="34" t="e">
        <f>LOOKUP(Observaciones[[#This Row],[Caso de Prueba]],CasoPrueba[Código CP],CasoPrueba[Código de REQ])</f>
        <v>#N/A</v>
      </c>
    </row>
    <row r="246" spans="1:12" hidden="1">
      <c r="A246" s="166" t="s">
        <v>706</v>
      </c>
      <c r="C246" s="34" t="e">
        <f>VLOOKUP(Observaciones[Caso de Prueba],CasoPrueba[[#All],[Código CP]:[Prioridad]],7,TRUE)</f>
        <v>#N/A</v>
      </c>
      <c r="K246" s="34">
        <f>IF((Observaciones[[#This Row],[Fecha Levantamiento]]-Observaciones[[#This Row],[Fecha Detección]])&gt;=0,Observaciones[[#This Row],[Fecha Levantamiento]]-Observaciones[[#This Row],[Fecha Detección]]+1,0)</f>
        <v>1</v>
      </c>
      <c r="L246" s="34" t="e">
        <f>LOOKUP(Observaciones[[#This Row],[Caso de Prueba]],CasoPrueba[Código CP],CasoPrueba[Código de REQ])</f>
        <v>#N/A</v>
      </c>
    </row>
    <row r="247" spans="1:12" hidden="1">
      <c r="A247" s="166" t="s">
        <v>707</v>
      </c>
      <c r="C247" s="34" t="e">
        <f>VLOOKUP(Observaciones[Caso de Prueba],CasoPrueba[[#All],[Código CP]:[Prioridad]],7,TRUE)</f>
        <v>#N/A</v>
      </c>
      <c r="K247" s="34">
        <f>IF((Observaciones[[#This Row],[Fecha Levantamiento]]-Observaciones[[#This Row],[Fecha Detección]])&gt;=0,Observaciones[[#This Row],[Fecha Levantamiento]]-Observaciones[[#This Row],[Fecha Detección]]+1,0)</f>
        <v>1</v>
      </c>
      <c r="L247" s="34" t="e">
        <f>LOOKUP(Observaciones[[#This Row],[Caso de Prueba]],CasoPrueba[Código CP],CasoPrueba[Código de REQ])</f>
        <v>#N/A</v>
      </c>
    </row>
    <row r="248" spans="1:12" hidden="1">
      <c r="A248" s="166" t="s">
        <v>708</v>
      </c>
      <c r="C248" s="34" t="e">
        <f>VLOOKUP(Observaciones[Caso de Prueba],CasoPrueba[[#All],[Código CP]:[Prioridad]],7,TRUE)</f>
        <v>#N/A</v>
      </c>
      <c r="K248" s="34">
        <f>IF((Observaciones[[#This Row],[Fecha Levantamiento]]-Observaciones[[#This Row],[Fecha Detección]])&gt;=0,Observaciones[[#This Row],[Fecha Levantamiento]]-Observaciones[[#This Row],[Fecha Detección]]+1,0)</f>
        <v>1</v>
      </c>
      <c r="L248" s="34" t="e">
        <f>LOOKUP(Observaciones[[#This Row],[Caso de Prueba]],CasoPrueba[Código CP],CasoPrueba[Código de REQ])</f>
        <v>#N/A</v>
      </c>
    </row>
    <row r="249" spans="1:12" hidden="1">
      <c r="A249" s="166" t="s">
        <v>709</v>
      </c>
      <c r="C249" s="34" t="e">
        <f>VLOOKUP(Observaciones[Caso de Prueba],CasoPrueba[[#All],[Código CP]:[Prioridad]],7,TRUE)</f>
        <v>#N/A</v>
      </c>
      <c r="K249" s="34">
        <f>IF((Observaciones[[#This Row],[Fecha Levantamiento]]-Observaciones[[#This Row],[Fecha Detección]])&gt;=0,Observaciones[[#This Row],[Fecha Levantamiento]]-Observaciones[[#This Row],[Fecha Detección]]+1,0)</f>
        <v>1</v>
      </c>
      <c r="L249" s="34" t="e">
        <f>LOOKUP(Observaciones[[#This Row],[Caso de Prueba]],CasoPrueba[Código CP],CasoPrueba[Código de REQ])</f>
        <v>#N/A</v>
      </c>
    </row>
    <row r="250" spans="1:12" hidden="1">
      <c r="A250" s="166" t="s">
        <v>710</v>
      </c>
      <c r="C250" s="34" t="e">
        <f>VLOOKUP(Observaciones[Caso de Prueba],CasoPrueba[[#All],[Código CP]:[Prioridad]],7,TRUE)</f>
        <v>#N/A</v>
      </c>
      <c r="K250" s="34">
        <f>IF((Observaciones[[#This Row],[Fecha Levantamiento]]-Observaciones[[#This Row],[Fecha Detección]])&gt;=0,Observaciones[[#This Row],[Fecha Levantamiento]]-Observaciones[[#This Row],[Fecha Detección]]+1,0)</f>
        <v>1</v>
      </c>
      <c r="L250" s="34" t="e">
        <f>LOOKUP(Observaciones[[#This Row],[Caso de Prueba]],CasoPrueba[Código CP],CasoPrueba[Código de REQ])</f>
        <v>#N/A</v>
      </c>
    </row>
    <row r="251" spans="1:12" hidden="1">
      <c r="A251" s="166" t="s">
        <v>711</v>
      </c>
      <c r="C251" s="34" t="e">
        <f>VLOOKUP(Observaciones[Caso de Prueba],CasoPrueba[[#All],[Código CP]:[Prioridad]],7,TRUE)</f>
        <v>#N/A</v>
      </c>
      <c r="K251" s="34">
        <f>IF((Observaciones[[#This Row],[Fecha Levantamiento]]-Observaciones[[#This Row],[Fecha Detección]])&gt;=0,Observaciones[[#This Row],[Fecha Levantamiento]]-Observaciones[[#This Row],[Fecha Detección]]+1,0)</f>
        <v>1</v>
      </c>
      <c r="L251" s="34" t="e">
        <f>LOOKUP(Observaciones[[#This Row],[Caso de Prueba]],CasoPrueba[Código CP],CasoPrueba[Código de REQ])</f>
        <v>#N/A</v>
      </c>
    </row>
    <row r="252" spans="1:12" hidden="1">
      <c r="A252" s="166" t="s">
        <v>712</v>
      </c>
      <c r="C252" s="34" t="e">
        <f>VLOOKUP(Observaciones[Caso de Prueba],CasoPrueba[[#All],[Código CP]:[Prioridad]],7,TRUE)</f>
        <v>#N/A</v>
      </c>
      <c r="K252" s="34">
        <f>IF((Observaciones[[#This Row],[Fecha Levantamiento]]-Observaciones[[#This Row],[Fecha Detección]])&gt;=0,Observaciones[[#This Row],[Fecha Levantamiento]]-Observaciones[[#This Row],[Fecha Detección]]+1,0)</f>
        <v>1</v>
      </c>
      <c r="L252" s="34" t="e">
        <f>LOOKUP(Observaciones[[#This Row],[Caso de Prueba]],CasoPrueba[Código CP],CasoPrueba[Código de REQ])</f>
        <v>#N/A</v>
      </c>
    </row>
    <row r="253" spans="1:12" hidden="1">
      <c r="A253" s="166" t="s">
        <v>713</v>
      </c>
      <c r="C253" s="34" t="e">
        <f>VLOOKUP(Observaciones[Caso de Prueba],CasoPrueba[[#All],[Código CP]:[Prioridad]],7,TRUE)</f>
        <v>#N/A</v>
      </c>
      <c r="K253" s="34">
        <f>IF((Observaciones[[#This Row],[Fecha Levantamiento]]-Observaciones[[#This Row],[Fecha Detección]])&gt;=0,Observaciones[[#This Row],[Fecha Levantamiento]]-Observaciones[[#This Row],[Fecha Detección]]+1,0)</f>
        <v>1</v>
      </c>
      <c r="L253" s="34" t="e">
        <f>LOOKUP(Observaciones[[#This Row],[Caso de Prueba]],CasoPrueba[Código CP],CasoPrueba[Código de REQ])</f>
        <v>#N/A</v>
      </c>
    </row>
    <row r="254" spans="1:12" hidden="1">
      <c r="A254" s="166" t="s">
        <v>714</v>
      </c>
      <c r="C254" s="34" t="e">
        <f>VLOOKUP(Observaciones[Caso de Prueba],CasoPrueba[[#All],[Código CP]:[Prioridad]],7,TRUE)</f>
        <v>#N/A</v>
      </c>
      <c r="K254" s="34">
        <f>IF((Observaciones[[#This Row],[Fecha Levantamiento]]-Observaciones[[#This Row],[Fecha Detección]])&gt;=0,Observaciones[[#This Row],[Fecha Levantamiento]]-Observaciones[[#This Row],[Fecha Detección]]+1,0)</f>
        <v>1</v>
      </c>
      <c r="L254" s="34" t="e">
        <f>LOOKUP(Observaciones[[#This Row],[Caso de Prueba]],CasoPrueba[Código CP],CasoPrueba[Código de REQ])</f>
        <v>#N/A</v>
      </c>
    </row>
    <row r="255" spans="1:12" hidden="1">
      <c r="A255" s="166" t="s">
        <v>715</v>
      </c>
      <c r="C255" s="34" t="e">
        <f>VLOOKUP(Observaciones[Caso de Prueba],CasoPrueba[[#All],[Código CP]:[Prioridad]],7,TRUE)</f>
        <v>#N/A</v>
      </c>
      <c r="K255" s="34">
        <f>IF((Observaciones[[#This Row],[Fecha Levantamiento]]-Observaciones[[#This Row],[Fecha Detección]])&gt;=0,Observaciones[[#This Row],[Fecha Levantamiento]]-Observaciones[[#This Row],[Fecha Detección]]+1,0)</f>
        <v>1</v>
      </c>
      <c r="L255" s="34" t="e">
        <f>LOOKUP(Observaciones[[#This Row],[Caso de Prueba]],CasoPrueba[Código CP],CasoPrueba[Código de REQ])</f>
        <v>#N/A</v>
      </c>
    </row>
    <row r="256" spans="1:12" hidden="1">
      <c r="A256" s="166" t="s">
        <v>716</v>
      </c>
      <c r="C256" s="34" t="e">
        <f>VLOOKUP(Observaciones[Caso de Prueba],CasoPrueba[[#All],[Código CP]:[Prioridad]],7,TRUE)</f>
        <v>#N/A</v>
      </c>
      <c r="K256" s="34">
        <f>IF((Observaciones[[#This Row],[Fecha Levantamiento]]-Observaciones[[#This Row],[Fecha Detección]])&gt;=0,Observaciones[[#This Row],[Fecha Levantamiento]]-Observaciones[[#This Row],[Fecha Detección]]+1,0)</f>
        <v>1</v>
      </c>
      <c r="L256" s="34" t="e">
        <f>LOOKUP(Observaciones[[#This Row],[Caso de Prueba]],CasoPrueba[Código CP],CasoPrueba[Código de REQ])</f>
        <v>#N/A</v>
      </c>
    </row>
    <row r="257" spans="1:12" hidden="1">
      <c r="A257" s="166" t="s">
        <v>717</v>
      </c>
      <c r="C257" s="34" t="e">
        <f>VLOOKUP(Observaciones[Caso de Prueba],CasoPrueba[[#All],[Código CP]:[Prioridad]],7,TRUE)</f>
        <v>#N/A</v>
      </c>
      <c r="K257" s="34">
        <f>IF((Observaciones[[#This Row],[Fecha Levantamiento]]-Observaciones[[#This Row],[Fecha Detección]])&gt;=0,Observaciones[[#This Row],[Fecha Levantamiento]]-Observaciones[[#This Row],[Fecha Detección]]+1,0)</f>
        <v>1</v>
      </c>
      <c r="L257" s="34" t="e">
        <f>LOOKUP(Observaciones[[#This Row],[Caso de Prueba]],CasoPrueba[Código CP],CasoPrueba[Código de REQ])</f>
        <v>#N/A</v>
      </c>
    </row>
    <row r="258" spans="1:12" hidden="1">
      <c r="A258" s="166" t="s">
        <v>718</v>
      </c>
      <c r="C258" s="34" t="e">
        <f>VLOOKUP(Observaciones[Caso de Prueba],CasoPrueba[[#All],[Código CP]:[Prioridad]],7,TRUE)</f>
        <v>#N/A</v>
      </c>
      <c r="K258" s="34">
        <f>IF((Observaciones[[#This Row],[Fecha Levantamiento]]-Observaciones[[#This Row],[Fecha Detección]])&gt;=0,Observaciones[[#This Row],[Fecha Levantamiento]]-Observaciones[[#This Row],[Fecha Detección]]+1,0)</f>
        <v>1</v>
      </c>
      <c r="L258" s="34" t="e">
        <f>LOOKUP(Observaciones[[#This Row],[Caso de Prueba]],CasoPrueba[Código CP],CasoPrueba[Código de REQ])</f>
        <v>#N/A</v>
      </c>
    </row>
    <row r="259" spans="1:12" hidden="1">
      <c r="A259" s="166" t="s">
        <v>719</v>
      </c>
      <c r="C259" s="34" t="e">
        <f>VLOOKUP(Observaciones[Caso de Prueba],CasoPrueba[[#All],[Código CP]:[Prioridad]],7,TRUE)</f>
        <v>#N/A</v>
      </c>
      <c r="K259" s="34">
        <f>IF((Observaciones[[#This Row],[Fecha Levantamiento]]-Observaciones[[#This Row],[Fecha Detección]])&gt;=0,Observaciones[[#This Row],[Fecha Levantamiento]]-Observaciones[[#This Row],[Fecha Detección]]+1,0)</f>
        <v>1</v>
      </c>
      <c r="L259" s="34" t="e">
        <f>LOOKUP(Observaciones[[#This Row],[Caso de Prueba]],CasoPrueba[Código CP],CasoPrueba[Código de REQ])</f>
        <v>#N/A</v>
      </c>
    </row>
    <row r="260" spans="1:12" hidden="1">
      <c r="A260" s="166" t="s">
        <v>720</v>
      </c>
      <c r="C260" s="34" t="e">
        <f>VLOOKUP(Observaciones[Caso de Prueba],CasoPrueba[[#All],[Código CP]:[Prioridad]],7,TRUE)</f>
        <v>#N/A</v>
      </c>
      <c r="K260" s="34">
        <f>IF((Observaciones[[#This Row],[Fecha Levantamiento]]-Observaciones[[#This Row],[Fecha Detección]])&gt;=0,Observaciones[[#This Row],[Fecha Levantamiento]]-Observaciones[[#This Row],[Fecha Detección]]+1,0)</f>
        <v>1</v>
      </c>
      <c r="L260" s="34" t="e">
        <f>LOOKUP(Observaciones[[#This Row],[Caso de Prueba]],CasoPrueba[Código CP],CasoPrueba[Código de REQ])</f>
        <v>#N/A</v>
      </c>
    </row>
    <row r="261" spans="1:12" hidden="1">
      <c r="A261" s="166" t="s">
        <v>721</v>
      </c>
      <c r="C261" s="34" t="e">
        <f>VLOOKUP(Observaciones[Caso de Prueba],CasoPrueba[[#All],[Código CP]:[Prioridad]],7,TRUE)</f>
        <v>#N/A</v>
      </c>
      <c r="K261" s="34">
        <f>IF((Observaciones[[#This Row],[Fecha Levantamiento]]-Observaciones[[#This Row],[Fecha Detección]])&gt;=0,Observaciones[[#This Row],[Fecha Levantamiento]]-Observaciones[[#This Row],[Fecha Detección]]+1,0)</f>
        <v>1</v>
      </c>
      <c r="L261" s="34" t="e">
        <f>LOOKUP(Observaciones[[#This Row],[Caso de Prueba]],CasoPrueba[Código CP],CasoPrueba[Código de REQ])</f>
        <v>#N/A</v>
      </c>
    </row>
    <row r="262" spans="1:12" hidden="1">
      <c r="A262" s="166" t="s">
        <v>722</v>
      </c>
      <c r="C262" s="34" t="e">
        <f>VLOOKUP(Observaciones[Caso de Prueba],CasoPrueba[[#All],[Código CP]:[Prioridad]],7,TRUE)</f>
        <v>#N/A</v>
      </c>
      <c r="K262" s="34">
        <f>IF((Observaciones[[#This Row],[Fecha Levantamiento]]-Observaciones[[#This Row],[Fecha Detección]])&gt;=0,Observaciones[[#This Row],[Fecha Levantamiento]]-Observaciones[[#This Row],[Fecha Detección]]+1,0)</f>
        <v>1</v>
      </c>
      <c r="L262" s="34" t="e">
        <f>LOOKUP(Observaciones[[#This Row],[Caso de Prueba]],CasoPrueba[Código CP],CasoPrueba[Código de REQ])</f>
        <v>#N/A</v>
      </c>
    </row>
    <row r="263" spans="1:12" hidden="1">
      <c r="A263" s="166" t="s">
        <v>723</v>
      </c>
      <c r="C263" s="34" t="e">
        <f>VLOOKUP(Observaciones[Caso de Prueba],CasoPrueba[[#All],[Código CP]:[Prioridad]],7,TRUE)</f>
        <v>#N/A</v>
      </c>
      <c r="K263" s="34">
        <f>IF((Observaciones[[#This Row],[Fecha Levantamiento]]-Observaciones[[#This Row],[Fecha Detección]])&gt;=0,Observaciones[[#This Row],[Fecha Levantamiento]]-Observaciones[[#This Row],[Fecha Detección]]+1,0)</f>
        <v>1</v>
      </c>
      <c r="L263" s="34" t="e">
        <f>LOOKUP(Observaciones[[#This Row],[Caso de Prueba]],CasoPrueba[Código CP],CasoPrueba[Código de REQ])</f>
        <v>#N/A</v>
      </c>
    </row>
    <row r="264" spans="1:12" hidden="1">
      <c r="A264" s="166" t="s">
        <v>724</v>
      </c>
      <c r="C264" s="34" t="e">
        <f>VLOOKUP(Observaciones[Caso de Prueba],CasoPrueba[[#All],[Código CP]:[Prioridad]],7,TRUE)</f>
        <v>#N/A</v>
      </c>
      <c r="K264" s="34">
        <f>IF((Observaciones[[#This Row],[Fecha Levantamiento]]-Observaciones[[#This Row],[Fecha Detección]])&gt;=0,Observaciones[[#This Row],[Fecha Levantamiento]]-Observaciones[[#This Row],[Fecha Detección]]+1,0)</f>
        <v>1</v>
      </c>
      <c r="L264" s="34" t="e">
        <f>LOOKUP(Observaciones[[#This Row],[Caso de Prueba]],CasoPrueba[Código CP],CasoPrueba[Código de REQ])</f>
        <v>#N/A</v>
      </c>
    </row>
    <row r="265" spans="1:12" hidden="1">
      <c r="A265" s="166" t="s">
        <v>725</v>
      </c>
      <c r="C265" s="34" t="e">
        <f>VLOOKUP(Observaciones[Caso de Prueba],CasoPrueba[[#All],[Código CP]:[Prioridad]],7,TRUE)</f>
        <v>#N/A</v>
      </c>
      <c r="K265" s="34">
        <f>IF((Observaciones[[#This Row],[Fecha Levantamiento]]-Observaciones[[#This Row],[Fecha Detección]])&gt;=0,Observaciones[[#This Row],[Fecha Levantamiento]]-Observaciones[[#This Row],[Fecha Detección]]+1,0)</f>
        <v>1</v>
      </c>
      <c r="L265" s="34" t="e">
        <f>LOOKUP(Observaciones[[#This Row],[Caso de Prueba]],CasoPrueba[Código CP],CasoPrueba[Código de REQ])</f>
        <v>#N/A</v>
      </c>
    </row>
    <row r="266" spans="1:12" hidden="1">
      <c r="A266" s="166" t="s">
        <v>726</v>
      </c>
      <c r="C266" s="34" t="e">
        <f>VLOOKUP(Observaciones[Caso de Prueba],CasoPrueba[[#All],[Código CP]:[Prioridad]],7,TRUE)</f>
        <v>#N/A</v>
      </c>
      <c r="K266" s="34">
        <f>IF((Observaciones[[#This Row],[Fecha Levantamiento]]-Observaciones[[#This Row],[Fecha Detección]])&gt;=0,Observaciones[[#This Row],[Fecha Levantamiento]]-Observaciones[[#This Row],[Fecha Detección]]+1,0)</f>
        <v>1</v>
      </c>
      <c r="L266" s="34" t="e">
        <f>LOOKUP(Observaciones[[#This Row],[Caso de Prueba]],CasoPrueba[Código CP],CasoPrueba[Código de REQ])</f>
        <v>#N/A</v>
      </c>
    </row>
    <row r="267" spans="1:12" hidden="1">
      <c r="A267" s="166" t="s">
        <v>727</v>
      </c>
      <c r="C267" s="34" t="e">
        <f>VLOOKUP(Observaciones[Caso de Prueba],CasoPrueba[[#All],[Código CP]:[Prioridad]],7,TRUE)</f>
        <v>#N/A</v>
      </c>
      <c r="K267" s="34">
        <f>IF((Observaciones[[#This Row],[Fecha Levantamiento]]-Observaciones[[#This Row],[Fecha Detección]])&gt;=0,Observaciones[[#This Row],[Fecha Levantamiento]]-Observaciones[[#This Row],[Fecha Detección]]+1,0)</f>
        <v>1</v>
      </c>
      <c r="L267" s="34" t="e">
        <f>LOOKUP(Observaciones[[#This Row],[Caso de Prueba]],CasoPrueba[Código CP],CasoPrueba[Código de REQ])</f>
        <v>#N/A</v>
      </c>
    </row>
    <row r="268" spans="1:12" hidden="1">
      <c r="A268" s="166" t="s">
        <v>728</v>
      </c>
      <c r="C268" s="34" t="e">
        <f>VLOOKUP(Observaciones[Caso de Prueba],CasoPrueba[[#All],[Código CP]:[Prioridad]],7,TRUE)</f>
        <v>#N/A</v>
      </c>
      <c r="K268" s="34">
        <f>IF((Observaciones[[#This Row],[Fecha Levantamiento]]-Observaciones[[#This Row],[Fecha Detección]])&gt;=0,Observaciones[[#This Row],[Fecha Levantamiento]]-Observaciones[[#This Row],[Fecha Detección]]+1,0)</f>
        <v>1</v>
      </c>
      <c r="L268" s="34" t="e">
        <f>LOOKUP(Observaciones[[#This Row],[Caso de Prueba]],CasoPrueba[Código CP],CasoPrueba[Código de REQ])</f>
        <v>#N/A</v>
      </c>
    </row>
    <row r="269" spans="1:12" hidden="1">
      <c r="A269" s="166" t="s">
        <v>729</v>
      </c>
      <c r="C269" s="34" t="e">
        <f>VLOOKUP(Observaciones[Caso de Prueba],CasoPrueba[[#All],[Código CP]:[Prioridad]],7,TRUE)</f>
        <v>#N/A</v>
      </c>
      <c r="K269" s="34">
        <f>IF((Observaciones[[#This Row],[Fecha Levantamiento]]-Observaciones[[#This Row],[Fecha Detección]])&gt;=0,Observaciones[[#This Row],[Fecha Levantamiento]]-Observaciones[[#This Row],[Fecha Detección]]+1,0)</f>
        <v>1</v>
      </c>
      <c r="L269" s="34" t="e">
        <f>LOOKUP(Observaciones[[#This Row],[Caso de Prueba]],CasoPrueba[Código CP],CasoPrueba[Código de REQ])</f>
        <v>#N/A</v>
      </c>
    </row>
    <row r="270" spans="1:12" hidden="1">
      <c r="A270" s="166" t="s">
        <v>730</v>
      </c>
      <c r="C270" s="34" t="e">
        <f>VLOOKUP(Observaciones[Caso de Prueba],CasoPrueba[[#All],[Código CP]:[Prioridad]],7,TRUE)</f>
        <v>#N/A</v>
      </c>
      <c r="K270" s="34">
        <f>IF((Observaciones[[#This Row],[Fecha Levantamiento]]-Observaciones[[#This Row],[Fecha Detección]])&gt;=0,Observaciones[[#This Row],[Fecha Levantamiento]]-Observaciones[[#This Row],[Fecha Detección]]+1,0)</f>
        <v>1</v>
      </c>
      <c r="L270" s="34" t="e">
        <f>LOOKUP(Observaciones[[#This Row],[Caso de Prueba]],CasoPrueba[Código CP],CasoPrueba[Código de REQ])</f>
        <v>#N/A</v>
      </c>
    </row>
    <row r="271" spans="1:12" hidden="1">
      <c r="A271" s="166" t="s">
        <v>731</v>
      </c>
      <c r="C271" s="34" t="e">
        <f>VLOOKUP(Observaciones[Caso de Prueba],CasoPrueba[[#All],[Código CP]:[Prioridad]],7,TRUE)</f>
        <v>#N/A</v>
      </c>
      <c r="K271" s="34">
        <f>IF((Observaciones[[#This Row],[Fecha Levantamiento]]-Observaciones[[#This Row],[Fecha Detección]])&gt;=0,Observaciones[[#This Row],[Fecha Levantamiento]]-Observaciones[[#This Row],[Fecha Detección]]+1,0)</f>
        <v>1</v>
      </c>
      <c r="L271" s="34" t="e">
        <f>LOOKUP(Observaciones[[#This Row],[Caso de Prueba]],CasoPrueba[Código CP],CasoPrueba[Código de REQ])</f>
        <v>#N/A</v>
      </c>
    </row>
    <row r="272" spans="1:12" hidden="1">
      <c r="A272" s="166" t="s">
        <v>732</v>
      </c>
      <c r="C272" s="34" t="e">
        <f>VLOOKUP(Observaciones[Caso de Prueba],CasoPrueba[[#All],[Código CP]:[Prioridad]],7,TRUE)</f>
        <v>#N/A</v>
      </c>
      <c r="K272" s="34">
        <f>IF((Observaciones[[#This Row],[Fecha Levantamiento]]-Observaciones[[#This Row],[Fecha Detección]])&gt;=0,Observaciones[[#This Row],[Fecha Levantamiento]]-Observaciones[[#This Row],[Fecha Detección]]+1,0)</f>
        <v>1</v>
      </c>
      <c r="L272" s="34" t="e">
        <f>LOOKUP(Observaciones[[#This Row],[Caso de Prueba]],CasoPrueba[Código CP],CasoPrueba[Código de REQ])</f>
        <v>#N/A</v>
      </c>
    </row>
    <row r="273" spans="1:12" hidden="1">
      <c r="A273" s="166" t="s">
        <v>733</v>
      </c>
      <c r="C273" s="34" t="e">
        <f>VLOOKUP(Observaciones[Caso de Prueba],CasoPrueba[[#All],[Código CP]:[Prioridad]],7,TRUE)</f>
        <v>#N/A</v>
      </c>
      <c r="K273" s="34">
        <f>IF((Observaciones[[#This Row],[Fecha Levantamiento]]-Observaciones[[#This Row],[Fecha Detección]])&gt;=0,Observaciones[[#This Row],[Fecha Levantamiento]]-Observaciones[[#This Row],[Fecha Detección]]+1,0)</f>
        <v>1</v>
      </c>
      <c r="L273" s="34" t="e">
        <f>LOOKUP(Observaciones[[#This Row],[Caso de Prueba]],CasoPrueba[Código CP],CasoPrueba[Código de REQ])</f>
        <v>#N/A</v>
      </c>
    </row>
    <row r="274" spans="1:12" hidden="1">
      <c r="A274" s="166" t="s">
        <v>734</v>
      </c>
      <c r="C274" s="34" t="e">
        <f>VLOOKUP(Observaciones[Caso de Prueba],CasoPrueba[[#All],[Código CP]:[Prioridad]],7,TRUE)</f>
        <v>#N/A</v>
      </c>
      <c r="K274" s="34">
        <f>IF((Observaciones[[#This Row],[Fecha Levantamiento]]-Observaciones[[#This Row],[Fecha Detección]])&gt;=0,Observaciones[[#This Row],[Fecha Levantamiento]]-Observaciones[[#This Row],[Fecha Detección]]+1,0)</f>
        <v>1</v>
      </c>
      <c r="L274" s="34" t="e">
        <f>LOOKUP(Observaciones[[#This Row],[Caso de Prueba]],CasoPrueba[Código CP],CasoPrueba[Código de REQ])</f>
        <v>#N/A</v>
      </c>
    </row>
    <row r="275" spans="1:12" hidden="1">
      <c r="A275" s="166" t="s">
        <v>735</v>
      </c>
      <c r="C275" s="34" t="e">
        <f>VLOOKUP(Observaciones[Caso de Prueba],CasoPrueba[[#All],[Código CP]:[Prioridad]],7,TRUE)</f>
        <v>#N/A</v>
      </c>
      <c r="K275" s="34">
        <f>IF((Observaciones[[#This Row],[Fecha Levantamiento]]-Observaciones[[#This Row],[Fecha Detección]])&gt;=0,Observaciones[[#This Row],[Fecha Levantamiento]]-Observaciones[[#This Row],[Fecha Detección]]+1,0)</f>
        <v>1</v>
      </c>
      <c r="L275" s="34" t="e">
        <f>LOOKUP(Observaciones[[#This Row],[Caso de Prueba]],CasoPrueba[Código CP],CasoPrueba[Código de REQ])</f>
        <v>#N/A</v>
      </c>
    </row>
    <row r="276" spans="1:12" hidden="1">
      <c r="A276" s="166" t="s">
        <v>736</v>
      </c>
      <c r="C276" s="34" t="e">
        <f>VLOOKUP(Observaciones[Caso de Prueba],CasoPrueba[[#All],[Código CP]:[Prioridad]],7,TRUE)</f>
        <v>#N/A</v>
      </c>
      <c r="K276" s="34">
        <f>IF((Observaciones[[#This Row],[Fecha Levantamiento]]-Observaciones[[#This Row],[Fecha Detección]])&gt;=0,Observaciones[[#This Row],[Fecha Levantamiento]]-Observaciones[[#This Row],[Fecha Detección]]+1,0)</f>
        <v>1</v>
      </c>
      <c r="L276" s="34" t="e">
        <f>LOOKUP(Observaciones[[#This Row],[Caso de Prueba]],CasoPrueba[Código CP],CasoPrueba[Código de REQ])</f>
        <v>#N/A</v>
      </c>
    </row>
    <row r="277" spans="1:12" hidden="1">
      <c r="A277" s="166" t="s">
        <v>737</v>
      </c>
      <c r="C277" s="34" t="e">
        <f>VLOOKUP(Observaciones[Caso de Prueba],CasoPrueba[[#All],[Código CP]:[Prioridad]],7,TRUE)</f>
        <v>#N/A</v>
      </c>
      <c r="K277" s="34">
        <f>IF((Observaciones[[#This Row],[Fecha Levantamiento]]-Observaciones[[#This Row],[Fecha Detección]])&gt;=0,Observaciones[[#This Row],[Fecha Levantamiento]]-Observaciones[[#This Row],[Fecha Detección]]+1,0)</f>
        <v>1</v>
      </c>
      <c r="L277" s="34" t="e">
        <f>LOOKUP(Observaciones[[#This Row],[Caso de Prueba]],CasoPrueba[Código CP],CasoPrueba[Código de REQ])</f>
        <v>#N/A</v>
      </c>
    </row>
    <row r="278" spans="1:12" hidden="1">
      <c r="A278" s="166" t="s">
        <v>738</v>
      </c>
      <c r="C278" s="34" t="e">
        <f>VLOOKUP(Observaciones[Caso de Prueba],CasoPrueba[[#All],[Código CP]:[Prioridad]],7,TRUE)</f>
        <v>#N/A</v>
      </c>
      <c r="K278" s="34">
        <f>IF((Observaciones[[#This Row],[Fecha Levantamiento]]-Observaciones[[#This Row],[Fecha Detección]])&gt;=0,Observaciones[[#This Row],[Fecha Levantamiento]]-Observaciones[[#This Row],[Fecha Detección]]+1,0)</f>
        <v>1</v>
      </c>
      <c r="L278" s="34" t="e">
        <f>LOOKUP(Observaciones[[#This Row],[Caso de Prueba]],CasoPrueba[Código CP],CasoPrueba[Código de REQ])</f>
        <v>#N/A</v>
      </c>
    </row>
    <row r="279" spans="1:12" hidden="1">
      <c r="A279" s="166" t="s">
        <v>739</v>
      </c>
      <c r="C279" s="34" t="e">
        <f>VLOOKUP(Observaciones[Caso de Prueba],CasoPrueba[[#All],[Código CP]:[Prioridad]],7,TRUE)</f>
        <v>#N/A</v>
      </c>
      <c r="K279" s="34">
        <f>IF((Observaciones[[#This Row],[Fecha Levantamiento]]-Observaciones[[#This Row],[Fecha Detección]])&gt;=0,Observaciones[[#This Row],[Fecha Levantamiento]]-Observaciones[[#This Row],[Fecha Detección]]+1,0)</f>
        <v>1</v>
      </c>
      <c r="L279" s="34" t="e">
        <f>LOOKUP(Observaciones[[#This Row],[Caso de Prueba]],CasoPrueba[Código CP],CasoPrueba[Código de REQ])</f>
        <v>#N/A</v>
      </c>
    </row>
    <row r="280" spans="1:12" hidden="1">
      <c r="A280" s="166" t="s">
        <v>740</v>
      </c>
      <c r="C280" s="34" t="e">
        <f>VLOOKUP(Observaciones[Caso de Prueba],CasoPrueba[[#All],[Código CP]:[Prioridad]],7,TRUE)</f>
        <v>#N/A</v>
      </c>
      <c r="K280" s="34">
        <f>IF((Observaciones[[#This Row],[Fecha Levantamiento]]-Observaciones[[#This Row],[Fecha Detección]])&gt;=0,Observaciones[[#This Row],[Fecha Levantamiento]]-Observaciones[[#This Row],[Fecha Detección]]+1,0)</f>
        <v>1</v>
      </c>
      <c r="L280" s="34" t="e">
        <f>LOOKUP(Observaciones[[#This Row],[Caso de Prueba]],CasoPrueba[Código CP],CasoPrueba[Código de REQ])</f>
        <v>#N/A</v>
      </c>
    </row>
    <row r="281" spans="1:12" hidden="1">
      <c r="A281" s="166" t="s">
        <v>741</v>
      </c>
      <c r="C281" s="34" t="e">
        <f>VLOOKUP(Observaciones[Caso de Prueba],CasoPrueba[[#All],[Código CP]:[Prioridad]],7,TRUE)</f>
        <v>#N/A</v>
      </c>
      <c r="K281" s="34">
        <f>IF((Observaciones[[#This Row],[Fecha Levantamiento]]-Observaciones[[#This Row],[Fecha Detección]])&gt;=0,Observaciones[[#This Row],[Fecha Levantamiento]]-Observaciones[[#This Row],[Fecha Detección]]+1,0)</f>
        <v>1</v>
      </c>
      <c r="L281" s="34" t="e">
        <f>LOOKUP(Observaciones[[#This Row],[Caso de Prueba]],CasoPrueba[Código CP],CasoPrueba[Código de REQ])</f>
        <v>#N/A</v>
      </c>
    </row>
    <row r="282" spans="1:12" hidden="1">
      <c r="A282" s="166" t="s">
        <v>742</v>
      </c>
      <c r="C282" s="34" t="e">
        <f>VLOOKUP(Observaciones[Caso de Prueba],CasoPrueba[[#All],[Código CP]:[Prioridad]],7,TRUE)</f>
        <v>#N/A</v>
      </c>
      <c r="K282" s="34">
        <f>IF((Observaciones[[#This Row],[Fecha Levantamiento]]-Observaciones[[#This Row],[Fecha Detección]])&gt;=0,Observaciones[[#This Row],[Fecha Levantamiento]]-Observaciones[[#This Row],[Fecha Detección]]+1,0)</f>
        <v>1</v>
      </c>
      <c r="L282" s="34" t="e">
        <f>LOOKUP(Observaciones[[#This Row],[Caso de Prueba]],CasoPrueba[Código CP],CasoPrueba[Código de REQ])</f>
        <v>#N/A</v>
      </c>
    </row>
    <row r="283" spans="1:12" hidden="1">
      <c r="A283" s="166" t="s">
        <v>743</v>
      </c>
      <c r="C283" s="34" t="e">
        <f>VLOOKUP(Observaciones[Caso de Prueba],CasoPrueba[[#All],[Código CP]:[Prioridad]],7,TRUE)</f>
        <v>#N/A</v>
      </c>
      <c r="K283" s="34">
        <f>IF((Observaciones[[#This Row],[Fecha Levantamiento]]-Observaciones[[#This Row],[Fecha Detección]])&gt;=0,Observaciones[[#This Row],[Fecha Levantamiento]]-Observaciones[[#This Row],[Fecha Detección]]+1,0)</f>
        <v>1</v>
      </c>
      <c r="L283" s="34" t="e">
        <f>LOOKUP(Observaciones[[#This Row],[Caso de Prueba]],CasoPrueba[Código CP],CasoPrueba[Código de REQ])</f>
        <v>#N/A</v>
      </c>
    </row>
    <row r="284" spans="1:12" hidden="1">
      <c r="A284" s="166" t="s">
        <v>744</v>
      </c>
      <c r="C284" s="34" t="e">
        <f>VLOOKUP(Observaciones[Caso de Prueba],CasoPrueba[[#All],[Código CP]:[Prioridad]],7,TRUE)</f>
        <v>#N/A</v>
      </c>
      <c r="K284" s="34">
        <f>IF((Observaciones[[#This Row],[Fecha Levantamiento]]-Observaciones[[#This Row],[Fecha Detección]])&gt;=0,Observaciones[[#This Row],[Fecha Levantamiento]]-Observaciones[[#This Row],[Fecha Detección]]+1,0)</f>
        <v>1</v>
      </c>
      <c r="L284" s="34" t="e">
        <f>LOOKUP(Observaciones[[#This Row],[Caso de Prueba]],CasoPrueba[Código CP],CasoPrueba[Código de REQ])</f>
        <v>#N/A</v>
      </c>
    </row>
    <row r="285" spans="1:12" hidden="1">
      <c r="A285" s="166" t="s">
        <v>745</v>
      </c>
      <c r="C285" s="34" t="e">
        <f>VLOOKUP(Observaciones[Caso de Prueba],CasoPrueba[[#All],[Código CP]:[Prioridad]],7,TRUE)</f>
        <v>#N/A</v>
      </c>
      <c r="K285" s="34">
        <f>IF((Observaciones[[#This Row],[Fecha Levantamiento]]-Observaciones[[#This Row],[Fecha Detección]])&gt;=0,Observaciones[[#This Row],[Fecha Levantamiento]]-Observaciones[[#This Row],[Fecha Detección]]+1,0)</f>
        <v>1</v>
      </c>
      <c r="L285" s="34" t="e">
        <f>LOOKUP(Observaciones[[#This Row],[Caso de Prueba]],CasoPrueba[Código CP],CasoPrueba[Código de REQ])</f>
        <v>#N/A</v>
      </c>
    </row>
    <row r="286" spans="1:12" hidden="1">
      <c r="A286" s="166" t="s">
        <v>746</v>
      </c>
      <c r="C286" s="34" t="e">
        <f>VLOOKUP(Observaciones[Caso de Prueba],CasoPrueba[[#All],[Código CP]:[Prioridad]],7,TRUE)</f>
        <v>#N/A</v>
      </c>
      <c r="K286" s="34">
        <f>IF((Observaciones[[#This Row],[Fecha Levantamiento]]-Observaciones[[#This Row],[Fecha Detección]])&gt;=0,Observaciones[[#This Row],[Fecha Levantamiento]]-Observaciones[[#This Row],[Fecha Detección]]+1,0)</f>
        <v>1</v>
      </c>
      <c r="L286" s="34" t="e">
        <f>LOOKUP(Observaciones[[#This Row],[Caso de Prueba]],CasoPrueba[Código CP],CasoPrueba[Código de REQ])</f>
        <v>#N/A</v>
      </c>
    </row>
    <row r="287" spans="1:12" hidden="1">
      <c r="A287" s="166" t="s">
        <v>747</v>
      </c>
      <c r="C287" s="34" t="e">
        <f>VLOOKUP(Observaciones[Caso de Prueba],CasoPrueba[[#All],[Código CP]:[Prioridad]],7,TRUE)</f>
        <v>#N/A</v>
      </c>
      <c r="K287" s="34">
        <f>IF((Observaciones[[#This Row],[Fecha Levantamiento]]-Observaciones[[#This Row],[Fecha Detección]])&gt;=0,Observaciones[[#This Row],[Fecha Levantamiento]]-Observaciones[[#This Row],[Fecha Detección]]+1,0)</f>
        <v>1</v>
      </c>
      <c r="L287" s="34" t="e">
        <f>LOOKUP(Observaciones[[#This Row],[Caso de Prueba]],CasoPrueba[Código CP],CasoPrueba[Código de REQ])</f>
        <v>#N/A</v>
      </c>
    </row>
    <row r="288" spans="1:12" hidden="1">
      <c r="A288" s="166" t="s">
        <v>748</v>
      </c>
      <c r="C288" s="34" t="e">
        <f>VLOOKUP(Observaciones[Caso de Prueba],CasoPrueba[[#All],[Código CP]:[Prioridad]],7,TRUE)</f>
        <v>#N/A</v>
      </c>
      <c r="K288" s="34">
        <f>IF((Observaciones[[#This Row],[Fecha Levantamiento]]-Observaciones[[#This Row],[Fecha Detección]])&gt;=0,Observaciones[[#This Row],[Fecha Levantamiento]]-Observaciones[[#This Row],[Fecha Detección]]+1,0)</f>
        <v>1</v>
      </c>
      <c r="L288" s="34" t="e">
        <f>LOOKUP(Observaciones[[#This Row],[Caso de Prueba]],CasoPrueba[Código CP],CasoPrueba[Código de REQ])</f>
        <v>#N/A</v>
      </c>
    </row>
    <row r="289" spans="1:12" hidden="1">
      <c r="A289" s="166" t="s">
        <v>749</v>
      </c>
      <c r="C289" s="34" t="e">
        <f>VLOOKUP(Observaciones[Caso de Prueba],CasoPrueba[[#All],[Código CP]:[Prioridad]],7,TRUE)</f>
        <v>#N/A</v>
      </c>
      <c r="K289" s="34">
        <f>IF((Observaciones[[#This Row],[Fecha Levantamiento]]-Observaciones[[#This Row],[Fecha Detección]])&gt;=0,Observaciones[[#This Row],[Fecha Levantamiento]]-Observaciones[[#This Row],[Fecha Detección]]+1,0)</f>
        <v>1</v>
      </c>
      <c r="L289" s="34" t="e">
        <f>LOOKUP(Observaciones[[#This Row],[Caso de Prueba]],CasoPrueba[Código CP],CasoPrueba[Código de REQ])</f>
        <v>#N/A</v>
      </c>
    </row>
    <row r="290" spans="1:12" hidden="1">
      <c r="A290" s="166" t="s">
        <v>750</v>
      </c>
      <c r="C290" s="34" t="e">
        <f>VLOOKUP(Observaciones[Caso de Prueba],CasoPrueba[[#All],[Código CP]:[Prioridad]],7,TRUE)</f>
        <v>#N/A</v>
      </c>
      <c r="K290" s="34">
        <f>IF((Observaciones[[#This Row],[Fecha Levantamiento]]-Observaciones[[#This Row],[Fecha Detección]])&gt;=0,Observaciones[[#This Row],[Fecha Levantamiento]]-Observaciones[[#This Row],[Fecha Detección]]+1,0)</f>
        <v>1</v>
      </c>
      <c r="L290" s="34" t="e">
        <f>LOOKUP(Observaciones[[#This Row],[Caso de Prueba]],CasoPrueba[Código CP],CasoPrueba[Código de REQ])</f>
        <v>#N/A</v>
      </c>
    </row>
    <row r="291" spans="1:12" hidden="1">
      <c r="A291" s="166" t="s">
        <v>751</v>
      </c>
      <c r="C291" s="34" t="e">
        <f>VLOOKUP(Observaciones[Caso de Prueba],CasoPrueba[[#All],[Código CP]:[Prioridad]],7,TRUE)</f>
        <v>#N/A</v>
      </c>
      <c r="K291" s="34">
        <f>IF((Observaciones[[#This Row],[Fecha Levantamiento]]-Observaciones[[#This Row],[Fecha Detección]])&gt;=0,Observaciones[[#This Row],[Fecha Levantamiento]]-Observaciones[[#This Row],[Fecha Detección]]+1,0)</f>
        <v>1</v>
      </c>
      <c r="L291" s="34" t="e">
        <f>LOOKUP(Observaciones[[#This Row],[Caso de Prueba]],CasoPrueba[Código CP],CasoPrueba[Código de REQ])</f>
        <v>#N/A</v>
      </c>
    </row>
    <row r="292" spans="1:12" hidden="1">
      <c r="A292" s="166" t="s">
        <v>752</v>
      </c>
      <c r="C292" s="34" t="e">
        <f>VLOOKUP(Observaciones[Caso de Prueba],CasoPrueba[[#All],[Código CP]:[Prioridad]],7,TRUE)</f>
        <v>#N/A</v>
      </c>
      <c r="K292" s="34">
        <f>IF((Observaciones[[#This Row],[Fecha Levantamiento]]-Observaciones[[#This Row],[Fecha Detección]])&gt;=0,Observaciones[[#This Row],[Fecha Levantamiento]]-Observaciones[[#This Row],[Fecha Detección]]+1,0)</f>
        <v>1</v>
      </c>
      <c r="L292" s="34" t="e">
        <f>LOOKUP(Observaciones[[#This Row],[Caso de Prueba]],CasoPrueba[Código CP],CasoPrueba[Código de REQ])</f>
        <v>#N/A</v>
      </c>
    </row>
    <row r="293" spans="1:12" hidden="1">
      <c r="A293" s="166" t="s">
        <v>753</v>
      </c>
      <c r="C293" s="34" t="e">
        <f>VLOOKUP(Observaciones[Caso de Prueba],CasoPrueba[[#All],[Código CP]:[Prioridad]],7,TRUE)</f>
        <v>#N/A</v>
      </c>
      <c r="K293" s="34">
        <f>IF((Observaciones[[#This Row],[Fecha Levantamiento]]-Observaciones[[#This Row],[Fecha Detección]])&gt;=0,Observaciones[[#This Row],[Fecha Levantamiento]]-Observaciones[[#This Row],[Fecha Detección]]+1,0)</f>
        <v>1</v>
      </c>
      <c r="L293" s="34" t="e">
        <f>LOOKUP(Observaciones[[#This Row],[Caso de Prueba]],CasoPrueba[Código CP],CasoPrueba[Código de REQ])</f>
        <v>#N/A</v>
      </c>
    </row>
    <row r="294" spans="1:12" hidden="1">
      <c r="A294" s="166" t="s">
        <v>754</v>
      </c>
      <c r="C294" s="34" t="e">
        <f>VLOOKUP(Observaciones[Caso de Prueba],CasoPrueba[[#All],[Código CP]:[Prioridad]],7,TRUE)</f>
        <v>#N/A</v>
      </c>
      <c r="K294" s="34">
        <f>IF((Observaciones[[#This Row],[Fecha Levantamiento]]-Observaciones[[#This Row],[Fecha Detección]])&gt;=0,Observaciones[[#This Row],[Fecha Levantamiento]]-Observaciones[[#This Row],[Fecha Detección]]+1,0)</f>
        <v>1</v>
      </c>
      <c r="L294" s="34" t="e">
        <f>LOOKUP(Observaciones[[#This Row],[Caso de Prueba]],CasoPrueba[Código CP],CasoPrueba[Código de REQ])</f>
        <v>#N/A</v>
      </c>
    </row>
    <row r="295" spans="1:12" hidden="1">
      <c r="A295" s="166" t="s">
        <v>755</v>
      </c>
      <c r="C295" s="34" t="e">
        <f>VLOOKUP(Observaciones[Caso de Prueba],CasoPrueba[[#All],[Código CP]:[Prioridad]],7,TRUE)</f>
        <v>#N/A</v>
      </c>
      <c r="K295" s="34">
        <f>IF((Observaciones[[#This Row],[Fecha Levantamiento]]-Observaciones[[#This Row],[Fecha Detección]])&gt;=0,Observaciones[[#This Row],[Fecha Levantamiento]]-Observaciones[[#This Row],[Fecha Detección]]+1,0)</f>
        <v>1</v>
      </c>
      <c r="L295" s="34" t="e">
        <f>LOOKUP(Observaciones[[#This Row],[Caso de Prueba]],CasoPrueba[Código CP],CasoPrueba[Código de REQ])</f>
        <v>#N/A</v>
      </c>
    </row>
    <row r="296" spans="1:12" hidden="1">
      <c r="A296" s="166" t="s">
        <v>756</v>
      </c>
      <c r="C296" s="34" t="e">
        <f>VLOOKUP(Observaciones[Caso de Prueba],CasoPrueba[[#All],[Código CP]:[Prioridad]],7,TRUE)</f>
        <v>#N/A</v>
      </c>
      <c r="K296" s="34">
        <f>IF((Observaciones[[#This Row],[Fecha Levantamiento]]-Observaciones[[#This Row],[Fecha Detección]])&gt;=0,Observaciones[[#This Row],[Fecha Levantamiento]]-Observaciones[[#This Row],[Fecha Detección]]+1,0)</f>
        <v>1</v>
      </c>
      <c r="L296" s="34" t="e">
        <f>LOOKUP(Observaciones[[#This Row],[Caso de Prueba]],CasoPrueba[Código CP],CasoPrueba[Código de REQ])</f>
        <v>#N/A</v>
      </c>
    </row>
    <row r="297" spans="1:12" hidden="1">
      <c r="A297" s="166" t="s">
        <v>757</v>
      </c>
      <c r="C297" s="34" t="e">
        <f>VLOOKUP(Observaciones[Caso de Prueba],CasoPrueba[[#All],[Código CP]:[Prioridad]],7,TRUE)</f>
        <v>#N/A</v>
      </c>
      <c r="K297" s="34">
        <f>IF((Observaciones[[#This Row],[Fecha Levantamiento]]-Observaciones[[#This Row],[Fecha Detección]])&gt;=0,Observaciones[[#This Row],[Fecha Levantamiento]]-Observaciones[[#This Row],[Fecha Detección]]+1,0)</f>
        <v>1</v>
      </c>
      <c r="L297" s="34" t="e">
        <f>LOOKUP(Observaciones[[#This Row],[Caso de Prueba]],CasoPrueba[Código CP],CasoPrueba[Código de REQ])</f>
        <v>#N/A</v>
      </c>
    </row>
    <row r="298" spans="1:12" hidden="1">
      <c r="A298" s="166" t="s">
        <v>758</v>
      </c>
      <c r="C298" s="34" t="e">
        <f>VLOOKUP(Observaciones[Caso de Prueba],CasoPrueba[[#All],[Código CP]:[Prioridad]],7,TRUE)</f>
        <v>#N/A</v>
      </c>
      <c r="K298" s="34">
        <f>IF((Observaciones[[#This Row],[Fecha Levantamiento]]-Observaciones[[#This Row],[Fecha Detección]])&gt;=0,Observaciones[[#This Row],[Fecha Levantamiento]]-Observaciones[[#This Row],[Fecha Detección]]+1,0)</f>
        <v>1</v>
      </c>
      <c r="L298" s="34" t="e">
        <f>LOOKUP(Observaciones[[#This Row],[Caso de Prueba]],CasoPrueba[Código CP],CasoPrueba[Código de REQ])</f>
        <v>#N/A</v>
      </c>
    </row>
    <row r="299" spans="1:12" hidden="1">
      <c r="A299" s="166" t="s">
        <v>759</v>
      </c>
      <c r="C299" s="34" t="e">
        <f>VLOOKUP(Observaciones[Caso de Prueba],CasoPrueba[[#All],[Código CP]:[Prioridad]],7,TRUE)</f>
        <v>#N/A</v>
      </c>
      <c r="K299" s="34">
        <f>IF((Observaciones[[#This Row],[Fecha Levantamiento]]-Observaciones[[#This Row],[Fecha Detección]])&gt;=0,Observaciones[[#This Row],[Fecha Levantamiento]]-Observaciones[[#This Row],[Fecha Detección]]+1,0)</f>
        <v>1</v>
      </c>
      <c r="L299" s="34" t="e">
        <f>LOOKUP(Observaciones[[#This Row],[Caso de Prueba]],CasoPrueba[Código CP],CasoPrueba[Código de REQ])</f>
        <v>#N/A</v>
      </c>
    </row>
    <row r="300" spans="1:12" hidden="1">
      <c r="A300" s="166" t="s">
        <v>760</v>
      </c>
      <c r="C300" s="34" t="e">
        <f>VLOOKUP(Observaciones[Caso de Prueba],CasoPrueba[[#All],[Código CP]:[Prioridad]],7,TRUE)</f>
        <v>#N/A</v>
      </c>
      <c r="K300" s="34">
        <f>IF((Observaciones[[#This Row],[Fecha Levantamiento]]-Observaciones[[#This Row],[Fecha Detección]])&gt;=0,Observaciones[[#This Row],[Fecha Levantamiento]]-Observaciones[[#This Row],[Fecha Detección]]+1,0)</f>
        <v>1</v>
      </c>
      <c r="L300" s="34" t="e">
        <f>LOOKUP(Observaciones[[#This Row],[Caso de Prueba]],CasoPrueba[Código CP],CasoPrueba[Código de REQ])</f>
        <v>#N/A</v>
      </c>
    </row>
    <row r="301" spans="1:12" hidden="1">
      <c r="A301" s="166" t="s">
        <v>761</v>
      </c>
      <c r="C301" s="34" t="e">
        <f>VLOOKUP(Observaciones[Caso de Prueba],CasoPrueba[[#All],[Código CP]:[Prioridad]],7,TRUE)</f>
        <v>#N/A</v>
      </c>
      <c r="K301" s="34">
        <f>IF((Observaciones[[#This Row],[Fecha Levantamiento]]-Observaciones[[#This Row],[Fecha Detección]])&gt;=0,Observaciones[[#This Row],[Fecha Levantamiento]]-Observaciones[[#This Row],[Fecha Detección]]+1,0)</f>
        <v>1</v>
      </c>
      <c r="L301" s="34" t="e">
        <f>LOOKUP(Observaciones[[#This Row],[Caso de Prueba]],CasoPrueba[Código CP],CasoPrueba[Código de REQ])</f>
        <v>#N/A</v>
      </c>
    </row>
    <row r="302" spans="1:12" hidden="1">
      <c r="A302" s="166" t="s">
        <v>762</v>
      </c>
      <c r="C302" s="34" t="e">
        <f>VLOOKUP(Observaciones[Caso de Prueba],CasoPrueba[[#All],[Código CP]:[Prioridad]],7,TRUE)</f>
        <v>#N/A</v>
      </c>
      <c r="K302" s="34">
        <f>IF((Observaciones[[#This Row],[Fecha Levantamiento]]-Observaciones[[#This Row],[Fecha Detección]])&gt;=0,Observaciones[[#This Row],[Fecha Levantamiento]]-Observaciones[[#This Row],[Fecha Detección]]+1,0)</f>
        <v>1</v>
      </c>
      <c r="L302" s="34" t="e">
        <f>LOOKUP(Observaciones[[#This Row],[Caso de Prueba]],CasoPrueba[Código CP],CasoPrueba[Código de REQ])</f>
        <v>#N/A</v>
      </c>
    </row>
    <row r="303" spans="1:12" hidden="1">
      <c r="A303" s="166" t="s">
        <v>763</v>
      </c>
      <c r="C303" s="34" t="e">
        <f>VLOOKUP(Observaciones[Caso de Prueba],CasoPrueba[[#All],[Código CP]:[Prioridad]],7,TRUE)</f>
        <v>#N/A</v>
      </c>
      <c r="K303" s="34">
        <f>IF((Observaciones[[#This Row],[Fecha Levantamiento]]-Observaciones[[#This Row],[Fecha Detección]])&gt;=0,Observaciones[[#This Row],[Fecha Levantamiento]]-Observaciones[[#This Row],[Fecha Detección]]+1,0)</f>
        <v>1</v>
      </c>
      <c r="L303" s="34" t="e">
        <f>LOOKUP(Observaciones[[#This Row],[Caso de Prueba]],CasoPrueba[Código CP],CasoPrueba[Código de REQ])</f>
        <v>#N/A</v>
      </c>
    </row>
    <row r="304" spans="1:12" hidden="1">
      <c r="A304" s="166" t="s">
        <v>764</v>
      </c>
      <c r="C304" s="34" t="e">
        <f>VLOOKUP(Observaciones[Caso de Prueba],CasoPrueba[[#All],[Código CP]:[Prioridad]],7,TRUE)</f>
        <v>#N/A</v>
      </c>
      <c r="K304" s="34">
        <f>IF((Observaciones[[#This Row],[Fecha Levantamiento]]-Observaciones[[#This Row],[Fecha Detección]])&gt;=0,Observaciones[[#This Row],[Fecha Levantamiento]]-Observaciones[[#This Row],[Fecha Detección]]+1,0)</f>
        <v>1</v>
      </c>
      <c r="L304" s="34" t="e">
        <f>LOOKUP(Observaciones[[#This Row],[Caso de Prueba]],CasoPrueba[Código CP],CasoPrueba[Código de REQ])</f>
        <v>#N/A</v>
      </c>
    </row>
    <row r="305" spans="1:12" hidden="1">
      <c r="A305" s="166" t="s">
        <v>765</v>
      </c>
      <c r="C305" s="34" t="e">
        <f>VLOOKUP(Observaciones[Caso de Prueba],CasoPrueba[[#All],[Código CP]:[Prioridad]],7,TRUE)</f>
        <v>#N/A</v>
      </c>
      <c r="K305" s="34">
        <f>IF((Observaciones[[#This Row],[Fecha Levantamiento]]-Observaciones[[#This Row],[Fecha Detección]])&gt;=0,Observaciones[[#This Row],[Fecha Levantamiento]]-Observaciones[[#This Row],[Fecha Detección]]+1,0)</f>
        <v>1</v>
      </c>
      <c r="L305" s="34" t="e">
        <f>LOOKUP(Observaciones[[#This Row],[Caso de Prueba]],CasoPrueba[Código CP],CasoPrueba[Código de REQ])</f>
        <v>#N/A</v>
      </c>
    </row>
    <row r="306" spans="1:12" hidden="1">
      <c r="A306" s="166" t="s">
        <v>766</v>
      </c>
      <c r="C306" s="34" t="e">
        <f>VLOOKUP(Observaciones[Caso de Prueba],CasoPrueba[[#All],[Código CP]:[Prioridad]],7,TRUE)</f>
        <v>#N/A</v>
      </c>
      <c r="K306" s="34">
        <f>IF((Observaciones[[#This Row],[Fecha Levantamiento]]-Observaciones[[#This Row],[Fecha Detección]])&gt;=0,Observaciones[[#This Row],[Fecha Levantamiento]]-Observaciones[[#This Row],[Fecha Detección]]+1,0)</f>
        <v>1</v>
      </c>
      <c r="L306" s="34" t="e">
        <f>LOOKUP(Observaciones[[#This Row],[Caso de Prueba]],CasoPrueba[Código CP],CasoPrueba[Código de REQ])</f>
        <v>#N/A</v>
      </c>
    </row>
    <row r="307" spans="1:12" hidden="1">
      <c r="A307" s="166" t="s">
        <v>767</v>
      </c>
      <c r="C307" s="34" t="e">
        <f>VLOOKUP(Observaciones[Caso de Prueba],CasoPrueba[[#All],[Código CP]:[Prioridad]],7,TRUE)</f>
        <v>#N/A</v>
      </c>
      <c r="K307" s="34">
        <f>IF((Observaciones[[#This Row],[Fecha Levantamiento]]-Observaciones[[#This Row],[Fecha Detección]])&gt;=0,Observaciones[[#This Row],[Fecha Levantamiento]]-Observaciones[[#This Row],[Fecha Detección]]+1,0)</f>
        <v>1</v>
      </c>
      <c r="L307" s="34" t="e">
        <f>LOOKUP(Observaciones[[#This Row],[Caso de Prueba]],CasoPrueba[Código CP],CasoPrueba[Código de REQ])</f>
        <v>#N/A</v>
      </c>
    </row>
    <row r="308" spans="1:12" hidden="1">
      <c r="A308" s="166" t="s">
        <v>768</v>
      </c>
      <c r="C308" s="34" t="e">
        <f>VLOOKUP(Observaciones[Caso de Prueba],CasoPrueba[[#All],[Código CP]:[Prioridad]],7,TRUE)</f>
        <v>#N/A</v>
      </c>
      <c r="K308" s="34">
        <f>IF((Observaciones[[#This Row],[Fecha Levantamiento]]-Observaciones[[#This Row],[Fecha Detección]])&gt;=0,Observaciones[[#This Row],[Fecha Levantamiento]]-Observaciones[[#This Row],[Fecha Detección]]+1,0)</f>
        <v>1</v>
      </c>
      <c r="L308" s="34" t="e">
        <f>LOOKUP(Observaciones[[#This Row],[Caso de Prueba]],CasoPrueba[Código CP],CasoPrueba[Código de REQ])</f>
        <v>#N/A</v>
      </c>
    </row>
    <row r="309" spans="1:12" hidden="1">
      <c r="A309" s="166" t="s">
        <v>769</v>
      </c>
      <c r="C309" s="34" t="e">
        <f>VLOOKUP(Observaciones[Caso de Prueba],CasoPrueba[[#All],[Código CP]:[Prioridad]],7,TRUE)</f>
        <v>#N/A</v>
      </c>
      <c r="K309" s="34">
        <f>IF((Observaciones[[#This Row],[Fecha Levantamiento]]-Observaciones[[#This Row],[Fecha Detección]])&gt;=0,Observaciones[[#This Row],[Fecha Levantamiento]]-Observaciones[[#This Row],[Fecha Detección]]+1,0)</f>
        <v>1</v>
      </c>
      <c r="L309" s="34" t="e">
        <f>LOOKUP(Observaciones[[#This Row],[Caso de Prueba]],CasoPrueba[Código CP],CasoPrueba[Código de REQ])</f>
        <v>#N/A</v>
      </c>
    </row>
    <row r="310" spans="1:12" hidden="1">
      <c r="A310" s="166" t="s">
        <v>770</v>
      </c>
      <c r="C310" s="34" t="e">
        <f>VLOOKUP(Observaciones[Caso de Prueba],CasoPrueba[[#All],[Código CP]:[Prioridad]],7,TRUE)</f>
        <v>#N/A</v>
      </c>
      <c r="K310" s="34">
        <f>IF((Observaciones[[#This Row],[Fecha Levantamiento]]-Observaciones[[#This Row],[Fecha Detección]])&gt;=0,Observaciones[[#This Row],[Fecha Levantamiento]]-Observaciones[[#This Row],[Fecha Detección]]+1,0)</f>
        <v>1</v>
      </c>
      <c r="L310" s="34" t="e">
        <f>LOOKUP(Observaciones[[#This Row],[Caso de Prueba]],CasoPrueba[Código CP],CasoPrueba[Código de REQ])</f>
        <v>#N/A</v>
      </c>
    </row>
    <row r="311" spans="1:12" hidden="1">
      <c r="A311" s="166" t="s">
        <v>771</v>
      </c>
      <c r="C311" s="34" t="e">
        <f>VLOOKUP(Observaciones[Caso de Prueba],CasoPrueba[[#All],[Código CP]:[Prioridad]],7,TRUE)</f>
        <v>#N/A</v>
      </c>
      <c r="K311" s="34">
        <f>IF((Observaciones[[#This Row],[Fecha Levantamiento]]-Observaciones[[#This Row],[Fecha Detección]])&gt;=0,Observaciones[[#This Row],[Fecha Levantamiento]]-Observaciones[[#This Row],[Fecha Detección]]+1,0)</f>
        <v>1</v>
      </c>
      <c r="L311" s="34" t="e">
        <f>LOOKUP(Observaciones[[#This Row],[Caso de Prueba]],CasoPrueba[Código CP],CasoPrueba[Código de REQ])</f>
        <v>#N/A</v>
      </c>
    </row>
    <row r="312" spans="1:12" hidden="1">
      <c r="A312" s="166" t="s">
        <v>772</v>
      </c>
      <c r="C312" s="34" t="e">
        <f>VLOOKUP(Observaciones[Caso de Prueba],CasoPrueba[[#All],[Código CP]:[Prioridad]],7,TRUE)</f>
        <v>#N/A</v>
      </c>
      <c r="K312" s="34">
        <f>IF((Observaciones[[#This Row],[Fecha Levantamiento]]-Observaciones[[#This Row],[Fecha Detección]])&gt;=0,Observaciones[[#This Row],[Fecha Levantamiento]]-Observaciones[[#This Row],[Fecha Detección]]+1,0)</f>
        <v>1</v>
      </c>
      <c r="L312" s="34" t="e">
        <f>LOOKUP(Observaciones[[#This Row],[Caso de Prueba]],CasoPrueba[Código CP],CasoPrueba[Código de REQ])</f>
        <v>#N/A</v>
      </c>
    </row>
    <row r="313" spans="1:12" hidden="1">
      <c r="A313" s="166" t="s">
        <v>773</v>
      </c>
      <c r="C313" s="34" t="e">
        <f>VLOOKUP(Observaciones[Caso de Prueba],CasoPrueba[[#All],[Código CP]:[Prioridad]],7,TRUE)</f>
        <v>#N/A</v>
      </c>
      <c r="K313" s="34">
        <f>IF((Observaciones[[#This Row],[Fecha Levantamiento]]-Observaciones[[#This Row],[Fecha Detección]])&gt;=0,Observaciones[[#This Row],[Fecha Levantamiento]]-Observaciones[[#This Row],[Fecha Detección]]+1,0)</f>
        <v>1</v>
      </c>
      <c r="L313" s="34" t="e">
        <f>LOOKUP(Observaciones[[#This Row],[Caso de Prueba]],CasoPrueba[Código CP],CasoPrueba[Código de REQ])</f>
        <v>#N/A</v>
      </c>
    </row>
    <row r="314" spans="1:12" hidden="1">
      <c r="A314" s="166" t="s">
        <v>774</v>
      </c>
      <c r="C314" s="34" t="e">
        <f>VLOOKUP(Observaciones[Caso de Prueba],CasoPrueba[[#All],[Código CP]:[Prioridad]],7,TRUE)</f>
        <v>#N/A</v>
      </c>
      <c r="K314" s="34">
        <f>IF((Observaciones[[#This Row],[Fecha Levantamiento]]-Observaciones[[#This Row],[Fecha Detección]])&gt;=0,Observaciones[[#This Row],[Fecha Levantamiento]]-Observaciones[[#This Row],[Fecha Detección]]+1,0)</f>
        <v>1</v>
      </c>
      <c r="L314" s="34" t="e">
        <f>LOOKUP(Observaciones[[#This Row],[Caso de Prueba]],CasoPrueba[Código CP],CasoPrueba[Código de REQ])</f>
        <v>#N/A</v>
      </c>
    </row>
    <row r="315" spans="1:12" hidden="1">
      <c r="A315" s="166" t="s">
        <v>775</v>
      </c>
      <c r="C315" s="34" t="e">
        <f>VLOOKUP(Observaciones[Caso de Prueba],CasoPrueba[[#All],[Código CP]:[Prioridad]],7,TRUE)</f>
        <v>#N/A</v>
      </c>
      <c r="K315" s="34">
        <f>IF((Observaciones[[#This Row],[Fecha Levantamiento]]-Observaciones[[#This Row],[Fecha Detección]])&gt;=0,Observaciones[[#This Row],[Fecha Levantamiento]]-Observaciones[[#This Row],[Fecha Detección]]+1,0)</f>
        <v>1</v>
      </c>
      <c r="L315" s="34" t="e">
        <f>LOOKUP(Observaciones[[#This Row],[Caso de Prueba]],CasoPrueba[Código CP],CasoPrueba[Código de REQ])</f>
        <v>#N/A</v>
      </c>
    </row>
    <row r="316" spans="1:12" hidden="1">
      <c r="A316" s="166" t="s">
        <v>776</v>
      </c>
      <c r="C316" s="34" t="e">
        <f>VLOOKUP(Observaciones[Caso de Prueba],CasoPrueba[[#All],[Código CP]:[Prioridad]],7,TRUE)</f>
        <v>#N/A</v>
      </c>
      <c r="K316" s="34">
        <f>IF((Observaciones[[#This Row],[Fecha Levantamiento]]-Observaciones[[#This Row],[Fecha Detección]])&gt;=0,Observaciones[[#This Row],[Fecha Levantamiento]]-Observaciones[[#This Row],[Fecha Detección]]+1,0)</f>
        <v>1</v>
      </c>
      <c r="L316" s="34" t="e">
        <f>LOOKUP(Observaciones[[#This Row],[Caso de Prueba]],CasoPrueba[Código CP],CasoPrueba[Código de REQ])</f>
        <v>#N/A</v>
      </c>
    </row>
    <row r="317" spans="1:12" hidden="1">
      <c r="A317" s="166" t="s">
        <v>777</v>
      </c>
      <c r="C317" s="34" t="e">
        <f>VLOOKUP(Observaciones[Caso de Prueba],CasoPrueba[[#All],[Código CP]:[Prioridad]],7,TRUE)</f>
        <v>#N/A</v>
      </c>
      <c r="K317" s="34">
        <f>IF((Observaciones[[#This Row],[Fecha Levantamiento]]-Observaciones[[#This Row],[Fecha Detección]])&gt;=0,Observaciones[[#This Row],[Fecha Levantamiento]]-Observaciones[[#This Row],[Fecha Detección]]+1,0)</f>
        <v>1</v>
      </c>
      <c r="L317" s="34" t="e">
        <f>LOOKUP(Observaciones[[#This Row],[Caso de Prueba]],CasoPrueba[Código CP],CasoPrueba[Código de REQ])</f>
        <v>#N/A</v>
      </c>
    </row>
    <row r="318" spans="1:12" hidden="1">
      <c r="A318" s="166" t="s">
        <v>778</v>
      </c>
      <c r="C318" s="34" t="e">
        <f>VLOOKUP(Observaciones[Caso de Prueba],CasoPrueba[[#All],[Código CP]:[Prioridad]],7,TRUE)</f>
        <v>#N/A</v>
      </c>
      <c r="K318" s="34">
        <f>IF((Observaciones[[#This Row],[Fecha Levantamiento]]-Observaciones[[#This Row],[Fecha Detección]])&gt;=0,Observaciones[[#This Row],[Fecha Levantamiento]]-Observaciones[[#This Row],[Fecha Detección]]+1,0)</f>
        <v>1</v>
      </c>
      <c r="L318" s="34" t="e">
        <f>LOOKUP(Observaciones[[#This Row],[Caso de Prueba]],CasoPrueba[Código CP],CasoPrueba[Código de REQ])</f>
        <v>#N/A</v>
      </c>
    </row>
    <row r="319" spans="1:12" hidden="1">
      <c r="A319" s="166" t="s">
        <v>779</v>
      </c>
      <c r="C319" s="34" t="e">
        <f>VLOOKUP(Observaciones[Caso de Prueba],CasoPrueba[[#All],[Código CP]:[Prioridad]],7,TRUE)</f>
        <v>#N/A</v>
      </c>
      <c r="K319" s="34">
        <f>IF((Observaciones[[#This Row],[Fecha Levantamiento]]-Observaciones[[#This Row],[Fecha Detección]])&gt;=0,Observaciones[[#This Row],[Fecha Levantamiento]]-Observaciones[[#This Row],[Fecha Detección]]+1,0)</f>
        <v>1</v>
      </c>
      <c r="L319" s="34" t="e">
        <f>LOOKUP(Observaciones[[#This Row],[Caso de Prueba]],CasoPrueba[Código CP],CasoPrueba[Código de REQ])</f>
        <v>#N/A</v>
      </c>
    </row>
    <row r="320" spans="1:12" hidden="1">
      <c r="A320" s="166" t="s">
        <v>780</v>
      </c>
      <c r="C320" s="34" t="e">
        <f>VLOOKUP(Observaciones[Caso de Prueba],CasoPrueba[[#All],[Código CP]:[Prioridad]],7,TRUE)</f>
        <v>#N/A</v>
      </c>
      <c r="K320" s="34">
        <f>IF((Observaciones[[#This Row],[Fecha Levantamiento]]-Observaciones[[#This Row],[Fecha Detección]])&gt;=0,Observaciones[[#This Row],[Fecha Levantamiento]]-Observaciones[[#This Row],[Fecha Detección]]+1,0)</f>
        <v>1</v>
      </c>
      <c r="L320" s="34" t="e">
        <f>LOOKUP(Observaciones[[#This Row],[Caso de Prueba]],CasoPrueba[Código CP],CasoPrueba[Código de REQ])</f>
        <v>#N/A</v>
      </c>
    </row>
    <row r="321" spans="1:12" hidden="1">
      <c r="A321" s="166" t="s">
        <v>781</v>
      </c>
      <c r="C321" s="34" t="e">
        <f>VLOOKUP(Observaciones[Caso de Prueba],CasoPrueba[[#All],[Código CP]:[Prioridad]],7,TRUE)</f>
        <v>#N/A</v>
      </c>
      <c r="K321" s="34">
        <f>IF((Observaciones[[#This Row],[Fecha Levantamiento]]-Observaciones[[#This Row],[Fecha Detección]])&gt;=0,Observaciones[[#This Row],[Fecha Levantamiento]]-Observaciones[[#This Row],[Fecha Detección]]+1,0)</f>
        <v>1</v>
      </c>
      <c r="L321" s="34" t="e">
        <f>LOOKUP(Observaciones[[#This Row],[Caso de Prueba]],CasoPrueba[Código CP],CasoPrueba[Código de REQ])</f>
        <v>#N/A</v>
      </c>
    </row>
    <row r="322" spans="1:12" hidden="1">
      <c r="A322" s="166" t="s">
        <v>782</v>
      </c>
      <c r="C322" s="34" t="e">
        <f>VLOOKUP(Observaciones[Caso de Prueba],CasoPrueba[[#All],[Código CP]:[Prioridad]],7,TRUE)</f>
        <v>#N/A</v>
      </c>
      <c r="K322" s="34">
        <f>IF((Observaciones[[#This Row],[Fecha Levantamiento]]-Observaciones[[#This Row],[Fecha Detección]])&gt;=0,Observaciones[[#This Row],[Fecha Levantamiento]]-Observaciones[[#This Row],[Fecha Detección]]+1,0)</f>
        <v>1</v>
      </c>
      <c r="L322" s="34" t="e">
        <f>LOOKUP(Observaciones[[#This Row],[Caso de Prueba]],CasoPrueba[Código CP],CasoPrueba[Código de REQ])</f>
        <v>#N/A</v>
      </c>
    </row>
    <row r="323" spans="1:12" hidden="1">
      <c r="A323" s="166" t="s">
        <v>783</v>
      </c>
      <c r="C323" s="34" t="e">
        <f>VLOOKUP(Observaciones[Caso de Prueba],CasoPrueba[[#All],[Código CP]:[Prioridad]],7,TRUE)</f>
        <v>#N/A</v>
      </c>
      <c r="K323" s="34">
        <f>IF((Observaciones[[#This Row],[Fecha Levantamiento]]-Observaciones[[#This Row],[Fecha Detección]])&gt;=0,Observaciones[[#This Row],[Fecha Levantamiento]]-Observaciones[[#This Row],[Fecha Detección]]+1,0)</f>
        <v>1</v>
      </c>
      <c r="L323" s="34" t="e">
        <f>LOOKUP(Observaciones[[#This Row],[Caso de Prueba]],CasoPrueba[Código CP],CasoPrueba[Código de REQ])</f>
        <v>#N/A</v>
      </c>
    </row>
    <row r="324" spans="1:12" hidden="1">
      <c r="A324" s="166" t="s">
        <v>784</v>
      </c>
      <c r="C324" s="34" t="e">
        <f>VLOOKUP(Observaciones[Caso de Prueba],CasoPrueba[[#All],[Código CP]:[Prioridad]],7,TRUE)</f>
        <v>#N/A</v>
      </c>
      <c r="K324" s="34">
        <f>IF((Observaciones[[#This Row],[Fecha Levantamiento]]-Observaciones[[#This Row],[Fecha Detección]])&gt;=0,Observaciones[[#This Row],[Fecha Levantamiento]]-Observaciones[[#This Row],[Fecha Detección]]+1,0)</f>
        <v>1</v>
      </c>
      <c r="L324" s="34" t="e">
        <f>LOOKUP(Observaciones[[#This Row],[Caso de Prueba]],CasoPrueba[Código CP],CasoPrueba[Código de REQ])</f>
        <v>#N/A</v>
      </c>
    </row>
    <row r="325" spans="1:12" hidden="1">
      <c r="A325" s="166" t="s">
        <v>785</v>
      </c>
      <c r="C325" s="34" t="e">
        <f>VLOOKUP(Observaciones[Caso de Prueba],CasoPrueba[[#All],[Código CP]:[Prioridad]],7,TRUE)</f>
        <v>#N/A</v>
      </c>
      <c r="K325" s="34">
        <f>IF((Observaciones[[#This Row],[Fecha Levantamiento]]-Observaciones[[#This Row],[Fecha Detección]])&gt;=0,Observaciones[[#This Row],[Fecha Levantamiento]]-Observaciones[[#This Row],[Fecha Detección]]+1,0)</f>
        <v>1</v>
      </c>
      <c r="L325" s="34" t="e">
        <f>LOOKUP(Observaciones[[#This Row],[Caso de Prueba]],CasoPrueba[Código CP],CasoPrueba[Código de REQ])</f>
        <v>#N/A</v>
      </c>
    </row>
    <row r="326" spans="1:12" hidden="1">
      <c r="A326" s="166" t="s">
        <v>786</v>
      </c>
      <c r="C326" s="34" t="e">
        <f>VLOOKUP(Observaciones[Caso de Prueba],CasoPrueba[[#All],[Código CP]:[Prioridad]],7,TRUE)</f>
        <v>#N/A</v>
      </c>
      <c r="K326" s="34">
        <f>IF((Observaciones[[#This Row],[Fecha Levantamiento]]-Observaciones[[#This Row],[Fecha Detección]])&gt;=0,Observaciones[[#This Row],[Fecha Levantamiento]]-Observaciones[[#This Row],[Fecha Detección]]+1,0)</f>
        <v>1</v>
      </c>
      <c r="L326" s="34" t="e">
        <f>LOOKUP(Observaciones[[#This Row],[Caso de Prueba]],CasoPrueba[Código CP],CasoPrueba[Código de REQ])</f>
        <v>#N/A</v>
      </c>
    </row>
    <row r="327" spans="1:12" hidden="1">
      <c r="A327" s="166" t="s">
        <v>787</v>
      </c>
      <c r="C327" s="34" t="e">
        <f>VLOOKUP(Observaciones[Caso de Prueba],CasoPrueba[[#All],[Código CP]:[Prioridad]],7,TRUE)</f>
        <v>#N/A</v>
      </c>
      <c r="K327" s="34">
        <f>IF((Observaciones[[#This Row],[Fecha Levantamiento]]-Observaciones[[#This Row],[Fecha Detección]])&gt;=0,Observaciones[[#This Row],[Fecha Levantamiento]]-Observaciones[[#This Row],[Fecha Detección]]+1,0)</f>
        <v>1</v>
      </c>
      <c r="L327" s="34" t="e">
        <f>LOOKUP(Observaciones[[#This Row],[Caso de Prueba]],CasoPrueba[Código CP],CasoPrueba[Código de REQ])</f>
        <v>#N/A</v>
      </c>
    </row>
    <row r="328" spans="1:12" hidden="1">
      <c r="A328" s="166" t="s">
        <v>788</v>
      </c>
      <c r="C328" s="34" t="e">
        <f>VLOOKUP(Observaciones[Caso de Prueba],CasoPrueba[[#All],[Código CP]:[Prioridad]],7,TRUE)</f>
        <v>#N/A</v>
      </c>
      <c r="K328" s="34">
        <f>IF((Observaciones[[#This Row],[Fecha Levantamiento]]-Observaciones[[#This Row],[Fecha Detección]])&gt;=0,Observaciones[[#This Row],[Fecha Levantamiento]]-Observaciones[[#This Row],[Fecha Detección]]+1,0)</f>
        <v>1</v>
      </c>
      <c r="L328" s="34" t="e">
        <f>LOOKUP(Observaciones[[#This Row],[Caso de Prueba]],CasoPrueba[Código CP],CasoPrueba[Código de REQ])</f>
        <v>#N/A</v>
      </c>
    </row>
    <row r="329" spans="1:12" hidden="1">
      <c r="A329" s="166" t="s">
        <v>789</v>
      </c>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790</v>
      </c>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791</v>
      </c>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792</v>
      </c>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793</v>
      </c>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794</v>
      </c>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795</v>
      </c>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796</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797</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798</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799</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800</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801</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802</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803</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804</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805</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806</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807</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808</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809</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810</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811</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812</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813</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814</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815</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816</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817</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818</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819</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820</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821</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D150:D185 D3:D148 D190:D191 D193:D215</xm:sqref>
        </x14:dataValidation>
        <x14:dataValidation type="list" allowBlank="1" showInputMessage="1" showErrorMessage="1">
          <x14:formula1>
            <xm:f>Resumen!$P$22:$P$24</xm:f>
          </x14:formula1>
          <xm:sqref>E3:E148 E150:E217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O13" sqref="O13"/>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2011-10-15T21:43:40Z</dcterms:modified>
</cp:coreProperties>
</file>