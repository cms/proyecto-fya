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C3" i="4" l="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O20" i="6" l="1"/>
  <c r="J20" i="6"/>
  <c r="D463" i="4"/>
  <c r="D464" i="4"/>
  <c r="D461" i="4"/>
  <c r="D465" i="4"/>
  <c r="L463" i="4"/>
  <c r="L464" i="4"/>
  <c r="L461" i="4"/>
  <c r="L465" i="4"/>
  <c r="M463" i="4"/>
  <c r="M464" i="4"/>
  <c r="M461" i="4"/>
  <c r="M465" i="4"/>
  <c r="D453" i="4"/>
  <c r="D454" i="4"/>
  <c r="D455" i="4"/>
  <c r="D456" i="4"/>
  <c r="D457" i="4"/>
  <c r="D458" i="4"/>
  <c r="D459" i="4"/>
  <c r="D460" i="4"/>
  <c r="D462" i="4"/>
  <c r="L453" i="4"/>
  <c r="L454" i="4"/>
  <c r="L455" i="4"/>
  <c r="L456" i="4"/>
  <c r="L457" i="4"/>
  <c r="L458" i="4"/>
  <c r="L459" i="4"/>
  <c r="L460" i="4"/>
  <c r="L462" i="4"/>
  <c r="M453" i="4"/>
  <c r="M454" i="4"/>
  <c r="M455" i="4"/>
  <c r="M456" i="4"/>
  <c r="M457" i="4"/>
  <c r="M458" i="4"/>
  <c r="M459" i="4"/>
  <c r="M460" i="4"/>
  <c r="M462" i="4"/>
  <c r="O19" i="6"/>
  <c r="J19" i="6"/>
  <c r="O18" i="6"/>
  <c r="J18" i="6"/>
  <c r="D451" i="4"/>
  <c r="D452" i="4"/>
  <c r="L451" i="4"/>
  <c r="L452" i="4"/>
  <c r="M451" i="4"/>
  <c r="M452" i="4"/>
  <c r="D450" i="4"/>
  <c r="L450" i="4"/>
  <c r="M450" i="4"/>
  <c r="D449" i="4"/>
  <c r="L449" i="4"/>
  <c r="M449" i="4"/>
  <c r="D448" i="4"/>
  <c r="L448" i="4"/>
  <c r="M448" i="4"/>
  <c r="O17" i="6"/>
  <c r="J17" i="6"/>
  <c r="O16" i="6" l="1"/>
  <c r="J16" i="6"/>
  <c r="F41" i="3"/>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D418" i="4"/>
  <c r="L418" i="4"/>
  <c r="M418" i="4"/>
  <c r="L399" i="4"/>
  <c r="M399" i="4"/>
  <c r="L398" i="4"/>
  <c r="M398" i="4"/>
  <c r="L41" i="3"/>
  <c r="O15" i="6"/>
  <c r="J15" i="6"/>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M383" i="4"/>
  <c r="M384" i="4"/>
  <c r="M385" i="4"/>
  <c r="M386" i="4"/>
  <c r="M387" i="4"/>
  <c r="M388" i="4"/>
  <c r="M389" i="4"/>
  <c r="M390" i="4"/>
  <c r="M391" i="4"/>
  <c r="M392" i="4"/>
  <c r="M393" i="4"/>
  <c r="M394" i="4"/>
  <c r="M395" i="4"/>
  <c r="M396" i="4"/>
  <c r="M397" i="4"/>
  <c r="M400" i="4"/>
  <c r="M401" i="4"/>
  <c r="M402" i="4"/>
  <c r="M403" i="4"/>
  <c r="M404" i="4"/>
  <c r="M405" i="4"/>
  <c r="M406" i="4"/>
  <c r="M407" i="4"/>
  <c r="M408" i="4"/>
  <c r="M409" i="4"/>
  <c r="M410" i="4"/>
  <c r="M411" i="4"/>
  <c r="M412" i="4"/>
  <c r="M413" i="4"/>
  <c r="M414" i="4"/>
  <c r="M415" i="4"/>
  <c r="M416" i="4"/>
  <c r="M417" i="4"/>
  <c r="O14" i="6" l="1"/>
  <c r="J14" i="6"/>
  <c r="D382" i="4"/>
  <c r="D379" i="4"/>
  <c r="D377" i="4"/>
  <c r="D378" i="4"/>
  <c r="D380" i="4"/>
  <c r="D381" i="4"/>
  <c r="L378" i="4"/>
  <c r="L379" i="4"/>
  <c r="L380" i="4"/>
  <c r="L381" i="4"/>
  <c r="L382" i="4"/>
  <c r="M378" i="4"/>
  <c r="M379" i="4"/>
  <c r="M380" i="4"/>
  <c r="M381" i="4"/>
  <c r="M382" i="4"/>
  <c r="L377" i="4"/>
  <c r="M377" i="4"/>
  <c r="D374" i="4"/>
  <c r="D373" i="4"/>
  <c r="D375" i="4"/>
  <c r="D376" i="4"/>
  <c r="L373" i="4"/>
  <c r="L374" i="4"/>
  <c r="L375" i="4"/>
  <c r="L376" i="4"/>
  <c r="M373" i="4"/>
  <c r="M374" i="4"/>
  <c r="M375" i="4"/>
  <c r="M376" i="4"/>
  <c r="J4" i="6" l="1"/>
  <c r="J5" i="6"/>
  <c r="J6" i="6"/>
  <c r="J7" i="6"/>
  <c r="J8" i="6"/>
  <c r="J9" i="6"/>
  <c r="J10" i="6"/>
  <c r="J11" i="6"/>
  <c r="J12" i="6"/>
  <c r="J13" i="6"/>
  <c r="Q39" i="3"/>
  <c r="Q38" i="3"/>
  <c r="Q37" i="3"/>
  <c r="Q36" i="3"/>
  <c r="Q35" i="3"/>
  <c r="Q33" i="3"/>
  <c r="Q29" i="3"/>
  <c r="Q26" i="3"/>
  <c r="Q25" i="3"/>
  <c r="Q24" i="3"/>
  <c r="Q22" i="3"/>
  <c r="Q21" i="3"/>
  <c r="Q20" i="3"/>
  <c r="L40" i="3"/>
  <c r="F40" i="3"/>
  <c r="O13" i="6"/>
  <c r="D371" i="4"/>
  <c r="D370" i="4"/>
  <c r="D368" i="4"/>
  <c r="D367" i="4"/>
  <c r="D366" i="4"/>
  <c r="D369" i="4"/>
  <c r="D365" i="4"/>
  <c r="D364" i="4"/>
  <c r="D363" i="4"/>
  <c r="D354" i="4"/>
  <c r="D353" i="4"/>
  <c r="D372" i="4"/>
  <c r="L364" i="4"/>
  <c r="L365" i="4"/>
  <c r="L366" i="4"/>
  <c r="L367" i="4"/>
  <c r="L368" i="4"/>
  <c r="L369" i="4"/>
  <c r="L370" i="4"/>
  <c r="L371" i="4"/>
  <c r="L372" i="4"/>
  <c r="M364" i="4"/>
  <c r="M365" i="4"/>
  <c r="M366" i="4"/>
  <c r="M367" i="4"/>
  <c r="M368" i="4"/>
  <c r="M369" i="4"/>
  <c r="M370" i="4"/>
  <c r="M371" i="4"/>
  <c r="M372" i="4"/>
  <c r="L363" i="4"/>
  <c r="M363" i="4"/>
  <c r="L362" i="4"/>
  <c r="M362" i="4"/>
  <c r="D349" i="4"/>
  <c r="D348" i="4"/>
  <c r="D347" i="4"/>
  <c r="D341" i="4"/>
  <c r="D339" i="4" l="1"/>
  <c r="O12" i="6" l="1"/>
  <c r="D318" i="4"/>
  <c r="D324" i="4"/>
  <c r="D325" i="4"/>
  <c r="D326" i="4"/>
  <c r="D327" i="4"/>
  <c r="D328" i="4"/>
  <c r="D329" i="4"/>
  <c r="D330" i="4"/>
  <c r="D331" i="4"/>
  <c r="D332" i="4"/>
  <c r="D333" i="4"/>
  <c r="D334" i="4"/>
  <c r="D335" i="4"/>
  <c r="D336" i="4"/>
  <c r="D337" i="4"/>
  <c r="D338" i="4"/>
  <c r="D340" i="4"/>
  <c r="D342" i="4"/>
  <c r="D343" i="4"/>
  <c r="D344" i="4"/>
  <c r="D345" i="4"/>
  <c r="D346" i="4"/>
  <c r="D350" i="4"/>
  <c r="D351" i="4"/>
  <c r="D352" i="4"/>
  <c r="D355" i="4"/>
  <c r="D356" i="4"/>
  <c r="D357" i="4"/>
  <c r="D358" i="4"/>
  <c r="D359" i="4"/>
  <c r="D360" i="4"/>
  <c r="D361" i="4"/>
  <c r="D36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D314" i="4" l="1"/>
  <c r="D315" i="4"/>
  <c r="D316" i="4"/>
  <c r="D317" i="4"/>
  <c r="D319" i="4"/>
  <c r="D320" i="4"/>
  <c r="D321" i="4"/>
  <c r="D322" i="4"/>
  <c r="D323" i="4"/>
  <c r="L314" i="4"/>
  <c r="L315" i="4"/>
  <c r="L316" i="4"/>
  <c r="L317" i="4"/>
  <c r="L318" i="4"/>
  <c r="L319" i="4"/>
  <c r="L320" i="4"/>
  <c r="L321" i="4"/>
  <c r="L322" i="4"/>
  <c r="M314" i="4"/>
  <c r="M315" i="4"/>
  <c r="M316" i="4"/>
  <c r="M317" i="4"/>
  <c r="M318" i="4"/>
  <c r="M319" i="4"/>
  <c r="M320" i="4"/>
  <c r="M321" i="4"/>
  <c r="M322" i="4"/>
  <c r="D313" i="4"/>
  <c r="L313" i="4"/>
  <c r="M313" i="4"/>
  <c r="D312" i="4"/>
  <c r="L312" i="4"/>
  <c r="M312" i="4"/>
  <c r="D311" i="4"/>
  <c r="L311" i="4"/>
  <c r="M311" i="4"/>
  <c r="D310" i="4"/>
  <c r="L310" i="4"/>
  <c r="M310" i="4"/>
  <c r="D309" i="4"/>
  <c r="L309" i="4"/>
  <c r="M309" i="4"/>
  <c r="D308" i="4"/>
  <c r="L308" i="4"/>
  <c r="M308" i="4"/>
  <c r="D307" i="4"/>
  <c r="L307" i="4"/>
  <c r="M307" i="4"/>
  <c r="D306" i="4"/>
  <c r="L306" i="4"/>
  <c r="M306" i="4"/>
  <c r="D305" i="4"/>
  <c r="L305" i="4"/>
  <c r="M305" i="4"/>
  <c r="K226" i="4" l="1"/>
  <c r="K225" i="4"/>
  <c r="O11" i="6" l="1"/>
  <c r="L302" i="4"/>
  <c r="M302" i="4"/>
  <c r="L303" i="4"/>
  <c r="M303" i="4"/>
  <c r="D299" i="4"/>
  <c r="L292" i="4"/>
  <c r="M292" i="4"/>
  <c r="F13" i="2"/>
  <c r="O10" i="6"/>
  <c r="L272" i="4"/>
  <c r="M272" i="4"/>
  <c r="L270" i="4"/>
  <c r="L266" i="4"/>
  <c r="M266" i="4"/>
  <c r="L246" i="4"/>
  <c r="F37" i="3"/>
  <c r="F38" i="3"/>
  <c r="F39" i="3"/>
  <c r="L39" i="3"/>
  <c r="L38" i="3"/>
  <c r="L37" i="3"/>
  <c r="F30" i="3"/>
  <c r="L30" i="3"/>
  <c r="F31" i="3"/>
  <c r="L31" i="3"/>
  <c r="F32" i="3"/>
  <c r="L32" i="3"/>
  <c r="F33" i="3"/>
  <c r="L33" i="3"/>
  <c r="F34" i="3"/>
  <c r="L34" i="3"/>
  <c r="F35" i="3"/>
  <c r="L35" i="3"/>
  <c r="F36" i="3"/>
  <c r="L36" i="3"/>
  <c r="O9" i="6"/>
  <c r="D238" i="4"/>
  <c r="D237" i="4"/>
  <c r="D236" i="4"/>
  <c r="D235" i="4"/>
  <c r="L235" i="4"/>
  <c r="M235" i="4"/>
  <c r="D234" i="4"/>
  <c r="D233" i="4"/>
  <c r="D232" i="4"/>
  <c r="L232" i="4"/>
  <c r="M232" i="4"/>
  <c r="D231" i="4"/>
  <c r="L231" i="4"/>
  <c r="M231" i="4"/>
  <c r="D230" i="4"/>
  <c r="D229" i="4"/>
  <c r="D228" i="4"/>
  <c r="D227" i="4"/>
  <c r="D226" i="4"/>
  <c r="D225" i="4"/>
  <c r="D224" i="4"/>
  <c r="D223" i="4"/>
  <c r="D222" i="4"/>
  <c r="D221" i="4"/>
  <c r="D220" i="4"/>
  <c r="D219" i="4"/>
  <c r="D218" i="4"/>
  <c r="O8" i="6" l="1"/>
  <c r="D216" i="4"/>
  <c r="D217"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300" i="4"/>
  <c r="D301" i="4"/>
  <c r="D302" i="4"/>
  <c r="D303" i="4"/>
  <c r="D304" i="4"/>
  <c r="L216" i="4"/>
  <c r="L217" i="4"/>
  <c r="L218" i="4"/>
  <c r="L219" i="4"/>
  <c r="L220" i="4"/>
  <c r="L221" i="4"/>
  <c r="L222" i="4"/>
  <c r="L223" i="4"/>
  <c r="L224" i="4"/>
  <c r="L225" i="4"/>
  <c r="L226" i="4"/>
  <c r="L227" i="4"/>
  <c r="L228" i="4"/>
  <c r="L229" i="4"/>
  <c r="L230" i="4"/>
  <c r="L233" i="4"/>
  <c r="L234" i="4"/>
  <c r="L236" i="4"/>
  <c r="L237" i="4"/>
  <c r="L238" i="4"/>
  <c r="L239" i="4"/>
  <c r="L240" i="4"/>
  <c r="L241" i="4"/>
  <c r="L242" i="4"/>
  <c r="L243" i="4"/>
  <c r="L244" i="4"/>
  <c r="L245" i="4"/>
  <c r="L247" i="4"/>
  <c r="L248" i="4"/>
  <c r="L249" i="4"/>
  <c r="L250" i="4"/>
  <c r="L251" i="4"/>
  <c r="L252" i="4"/>
  <c r="L253" i="4"/>
  <c r="L254" i="4"/>
  <c r="L255" i="4"/>
  <c r="L256" i="4"/>
  <c r="L257" i="4"/>
  <c r="L258" i="4"/>
  <c r="L259" i="4"/>
  <c r="L260" i="4"/>
  <c r="L261" i="4"/>
  <c r="L262" i="4"/>
  <c r="L263" i="4"/>
  <c r="L264" i="4"/>
  <c r="L265" i="4"/>
  <c r="L267" i="4"/>
  <c r="L268" i="4"/>
  <c r="L269"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M216" i="4"/>
  <c r="M217" i="4"/>
  <c r="M218" i="4"/>
  <c r="M219" i="4"/>
  <c r="M220" i="4"/>
  <c r="M221" i="4"/>
  <c r="M222" i="4"/>
  <c r="M223" i="4"/>
  <c r="M224" i="4"/>
  <c r="M225" i="4"/>
  <c r="M226" i="4"/>
  <c r="M227" i="4"/>
  <c r="M228" i="4"/>
  <c r="M229" i="4"/>
  <c r="M230" i="4"/>
  <c r="M233" i="4"/>
  <c r="M234" i="4"/>
  <c r="M236"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7" i="4"/>
  <c r="M268" i="4"/>
  <c r="M269" i="4"/>
  <c r="M270" i="4"/>
  <c r="M271" i="4"/>
  <c r="M273" i="4"/>
  <c r="M274" i="4"/>
  <c r="M275" i="4"/>
  <c r="M276" i="4"/>
  <c r="M277" i="4"/>
  <c r="M278" i="4"/>
  <c r="M279" i="4"/>
  <c r="M280" i="4"/>
  <c r="M281" i="4"/>
  <c r="M282" i="4"/>
  <c r="M283" i="4"/>
  <c r="M284" i="4"/>
  <c r="M285" i="4"/>
  <c r="M286" i="4"/>
  <c r="M287" i="4"/>
  <c r="M288" i="4"/>
  <c r="M289" i="4"/>
  <c r="M290" i="4"/>
  <c r="M291" i="4"/>
  <c r="M293" i="4"/>
  <c r="M294" i="4"/>
  <c r="M295" i="4"/>
  <c r="M296" i="4"/>
  <c r="M297" i="4"/>
  <c r="M298" i="4"/>
  <c r="M299" i="4"/>
  <c r="M300" i="4"/>
  <c r="M301" i="4"/>
  <c r="M304" i="4"/>
  <c r="F28" i="3"/>
  <c r="L28" i="3"/>
  <c r="F29" i="3"/>
  <c r="L29" i="3"/>
  <c r="D194" i="4"/>
  <c r="D195" i="4"/>
  <c r="D192" i="4"/>
  <c r="D188" i="4"/>
  <c r="D189" i="4"/>
  <c r="D177" i="4" l="1"/>
  <c r="D176" i="4"/>
  <c r="F24" i="3"/>
  <c r="L24" i="3"/>
  <c r="F25" i="3"/>
  <c r="L25" i="3"/>
  <c r="F26" i="3"/>
  <c r="L26" i="3"/>
  <c r="F27" i="3"/>
  <c r="L27" i="3"/>
  <c r="F23" i="3"/>
  <c r="L23" i="3"/>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8" i="4"/>
  <c r="D179" i="4"/>
  <c r="D180" i="4"/>
  <c r="D181" i="4"/>
  <c r="D182" i="4"/>
  <c r="D183" i="4"/>
  <c r="D184" i="4"/>
  <c r="D185" i="4"/>
  <c r="D186" i="4"/>
  <c r="D187" i="4"/>
  <c r="D190" i="4"/>
  <c r="D191" i="4"/>
  <c r="D193" i="4"/>
  <c r="D196" i="4"/>
  <c r="D197" i="4"/>
  <c r="D198" i="4"/>
  <c r="D199" i="4"/>
  <c r="D200" i="4"/>
  <c r="D201" i="4"/>
  <c r="D202" i="4"/>
  <c r="D203" i="4"/>
  <c r="D204" i="4"/>
  <c r="D205" i="4"/>
  <c r="D206" i="4"/>
  <c r="D207" i="4"/>
  <c r="D208" i="4"/>
  <c r="D209" i="4"/>
  <c r="D210" i="4"/>
  <c r="D211" i="4"/>
  <c r="D212" i="4"/>
  <c r="D213" i="4"/>
  <c r="D214" i="4"/>
  <c r="D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F21" i="3" l="1"/>
  <c r="F22" i="3"/>
  <c r="L21" i="3"/>
  <c r="L22" i="3"/>
  <c r="F20" i="3"/>
  <c r="L20" i="3"/>
  <c r="O7" i="6"/>
  <c r="D124" i="4"/>
  <c r="D125" i="4"/>
  <c r="D126" i="4"/>
  <c r="D127" i="4"/>
  <c r="D128" i="4"/>
  <c r="L124" i="4"/>
  <c r="L125" i="4"/>
  <c r="L126" i="4"/>
  <c r="L127" i="4"/>
  <c r="L128" i="4"/>
  <c r="M124" i="4"/>
  <c r="M125" i="4"/>
  <c r="M126" i="4"/>
  <c r="M127" i="4"/>
  <c r="M128" i="4"/>
  <c r="D123" i="4"/>
  <c r="L123" i="4"/>
  <c r="M123" i="4"/>
  <c r="O6" i="6"/>
  <c r="O5" i="6"/>
  <c r="O4" i="6"/>
  <c r="D108" i="4"/>
  <c r="L108" i="4"/>
  <c r="M108" i="4"/>
  <c r="D109" i="4"/>
  <c r="L109" i="4"/>
  <c r="M109" i="4"/>
  <c r="D110" i="4"/>
  <c r="L110" i="4"/>
  <c r="M110" i="4"/>
  <c r="D111" i="4"/>
  <c r="L111" i="4"/>
  <c r="M111" i="4"/>
  <c r="D112" i="4"/>
  <c r="D113" i="4"/>
  <c r="L113" i="4"/>
  <c r="M113" i="4"/>
  <c r="D114" i="4"/>
  <c r="L114" i="4"/>
  <c r="M114" i="4"/>
  <c r="D115" i="4"/>
  <c r="L115" i="4"/>
  <c r="M115" i="4"/>
  <c r="D116" i="4"/>
  <c r="L116" i="4"/>
  <c r="M116" i="4"/>
  <c r="D117" i="4"/>
  <c r="L117" i="4"/>
  <c r="M117" i="4"/>
  <c r="D118" i="4"/>
  <c r="D119" i="4"/>
  <c r="D120" i="4"/>
  <c r="D121" i="4"/>
  <c r="D122" i="4"/>
  <c r="L118" i="4"/>
  <c r="L119" i="4"/>
  <c r="L120" i="4"/>
  <c r="L121" i="4"/>
  <c r="L122" i="4"/>
  <c r="M118" i="4"/>
  <c r="M119" i="4"/>
  <c r="M120" i="4"/>
  <c r="M121" i="4"/>
  <c r="M12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M237" i="4"/>
</calcChain>
</file>

<file path=xl/comments1.xml><?xml version="1.0" encoding="utf-8"?>
<comments xmlns="http://schemas.openxmlformats.org/spreadsheetml/2006/main">
  <authors>
    <author>User</author>
    <author>operador</author>
  </authors>
  <commentList>
    <comment ref="J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 ref="J440" authorId="1">
      <text>
        <r>
          <rPr>
            <b/>
            <sz val="9"/>
            <color indexed="81"/>
            <rFont val="Tahoma"/>
            <family val="2"/>
          </rPr>
          <t>operador:</t>
        </r>
        <r>
          <rPr>
            <sz val="9"/>
            <color indexed="81"/>
            <rFont val="Tahoma"/>
            <family val="2"/>
          </rPr>
          <t xml:space="preserve">
La metodología permite tener mas de dos con el mismo nombre siempre y cuando se tenga varios lanzadores y un solo destino, pero en este caso los tres son cíclicos.</t>
        </r>
      </text>
    </comment>
  </commentList>
</comments>
</file>

<file path=xl/sharedStrings.xml><?xml version="1.0" encoding="utf-8"?>
<sst xmlns="http://schemas.openxmlformats.org/spreadsheetml/2006/main" count="3801" uniqueCount="1381">
  <si>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</si>
  <si>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</si>
  <si>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</si>
  <si>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</si>
  <si>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</si>
  <si>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</si>
  <si>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</si>
  <si>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</si>
  <si>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</si>
  <si>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</si>
  <si>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</si>
  <si>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</si>
  <si>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</si>
  <si>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</si>
  <si>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</si>
  <si>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</si>
  <si>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</si>
  <si>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</si>
  <si>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</si>
  <si>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</si>
  <si>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</si>
  <si>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</si>
  <si>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</si>
  <si>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</si>
  <si>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</si>
  <si>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</si>
  <si>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</si>
  <si>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</si>
  <si>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</si>
  <si>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</si>
  <si>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</si>
  <si>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</si>
  <si>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</si>
  <si>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</si>
  <si>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</si>
  <si>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</si>
  <si>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</si>
  <si>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</si>
  <si>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</si>
  <si>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</si>
  <si>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</si>
  <si>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</si>
  <si>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</si>
  <si>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</si>
  <si>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</si>
  <si>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</si>
  <si>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</si>
  <si>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</si>
  <si>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</si>
  <si>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</si>
  <si>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</si>
  <si>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</si>
  <si>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</si>
  <si>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</si>
  <si>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</si>
  <si>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</si>
  <si>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</si>
  <si>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</si>
  <si>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</si>
  <si>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</si>
  <si>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</si>
  <si>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</si>
  <si>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</si>
  <si>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</si>
  <si>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</si>
  <si>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</si>
  <si>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</si>
  <si>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</si>
  <si>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</si>
  <si>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</si>
  <si>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</si>
  <si>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</si>
  <si>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</si>
  <si>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</si>
  <si>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</si>
  <si>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</si>
  <si>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</si>
  <si>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</si>
  <si>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</si>
  <si>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</si>
  <si>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</si>
  <si>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</si>
  <si>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</si>
  <si>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</si>
  <si>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</si>
  <si>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</si>
  <si>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</si>
  <si>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</si>
  <si>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</si>
  <si>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</si>
  <si>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</si>
  <si>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</si>
  <si>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</si>
  <si>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</si>
  <si>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</si>
  <si>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</si>
  <si>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</si>
  <si>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</si>
  <si>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</si>
  <si>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</si>
  <si>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</si>
  <si>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</si>
  <si>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</si>
  <si>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</si>
  <si>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</si>
  <si>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</si>
  <si>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</si>
  <si>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</si>
  <si>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</si>
  <si>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</si>
  <si>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</si>
  <si>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</si>
  <si>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</si>
  <si>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</si>
  <si>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</si>
  <si>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</si>
  <si>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</si>
  <si>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</si>
  <si>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</si>
  <si>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</si>
  <si>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</si>
  <si>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</si>
  <si>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</si>
  <si>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</si>
  <si>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</si>
  <si>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</si>
  <si>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</si>
  <si>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</si>
  <si>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</si>
  <si>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</si>
  <si>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</si>
  <si>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</si>
  <si>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</si>
  <si>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</si>
  <si>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</si>
  <si>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</si>
  <si>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</si>
  <si>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</si>
  <si>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</si>
  <si>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</si>
  <si>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</si>
  <si>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</si>
  <si>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</si>
  <si>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</si>
  <si>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</si>
  <si>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</si>
  <si>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</si>
  <si>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</si>
  <si>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</si>
  <si>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</si>
  <si>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</si>
  <si>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</si>
  <si>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</si>
  <si>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</si>
  <si>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</si>
  <si>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</si>
  <si>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</si>
  <si>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</si>
  <si>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</si>
  <si>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</si>
  <si>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</si>
  <si>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</si>
  <si>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</si>
  <si>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</si>
  <si>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</si>
  <si>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</si>
  <si>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</si>
  <si>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</si>
  <si>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</si>
  <si>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</si>
  <si>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</si>
  <si>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</si>
  <si>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</si>
  <si>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</si>
  <si>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</si>
  <si>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</si>
  <si>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</si>
  <si>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</si>
  <si>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</si>
  <si>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</si>
  <si>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</si>
  <si>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</si>
  <si>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</si>
  <si>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</si>
  <si>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</si>
  <si>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</si>
  <si>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</si>
  <si>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</si>
  <si>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</si>
  <si>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</si>
  <si>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</si>
  <si>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</si>
  <si>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</si>
  <si>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</si>
  <si>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</si>
  <si>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</si>
  <si>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</si>
  <si>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</si>
  <si>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</si>
  <si>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</si>
  <si>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</si>
  <si>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</si>
  <si>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</si>
  <si>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</si>
  <si>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</si>
  <si>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</si>
  <si>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</si>
  <si>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</si>
  <si>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</si>
  <si>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</si>
  <si>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</si>
  <si>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</si>
  <si>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</si>
  <si>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</si>
  <si>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</si>
  <si>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</si>
  <si>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</si>
  <si>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</si>
  <si>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</si>
  <si>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</si>
  <si>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</si>
  <si>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</si>
  <si>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</si>
  <si>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</si>
  <si>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</si>
  <si>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</si>
  <si>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</si>
  <si>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</si>
  <si>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</si>
  <si>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</si>
  <si>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</si>
  <si>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</si>
  <si>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</si>
  <si>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</si>
  <si>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</si>
  <si>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</si>
  <si>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</si>
  <si>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</si>
  <si>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</si>
  <si>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</si>
  <si>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</si>
  <si>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</si>
  <si>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</si>
  <si>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</si>
  <si>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</si>
  <si>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</si>
  <si>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</si>
  <si>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</si>
  <si>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</si>
  <si>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</si>
  <si>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</si>
  <si>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</si>
  <si>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</si>
  <si>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</si>
  <si>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</si>
  <si>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</si>
  <si>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</si>
  <si>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</si>
  <si>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</si>
  <si>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</si>
  <si>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</si>
  <si>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</si>
  <si>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</si>
  <si>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</si>
  <si>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</si>
  <si>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</si>
  <si>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</si>
  <si>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</si>
  <si>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</si>
  <si>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</si>
  <si>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</si>
  <si>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</si>
  <si>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</si>
  <si>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</si>
  <si>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</si>
  <si>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</si>
  <si>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</si>
  <si>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</si>
  <si>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</si>
  <si>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</si>
  <si>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</si>
  <si>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</si>
  <si>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</si>
  <si>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</si>
  <si>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</si>
  <si>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</si>
  <si>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</si>
  <si>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</si>
  <si>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</si>
  <si>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</si>
  <si>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</si>
  <si>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</si>
  <si>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</si>
  <si>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</si>
  <si>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</si>
  <si>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</si>
  <si>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</si>
  <si>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</si>
  <si>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</si>
  <si>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</si>
  <si>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</si>
  <si>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</si>
  <si>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</si>
  <si>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</si>
  <si>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</si>
  <si>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</si>
  <si>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</si>
  <si>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</si>
  <si>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</si>
  <si>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</si>
  <si>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</si>
  <si>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</si>
  <si>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</si>
  <si>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</si>
  <si>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</si>
  <si>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</si>
  <si>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</si>
  <si>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</si>
  <si>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</si>
  <si>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</si>
  <si>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</si>
  <si>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</si>
  <si>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</si>
  <si>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</si>
  <si>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</si>
  <si>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</si>
  <si>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</si>
  <si>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</si>
  <si>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</si>
  <si>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</si>
  <si>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</si>
  <si>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</si>
  <si>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</si>
  <si>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</si>
  <si>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</si>
  <si>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</si>
  <si>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</si>
  <si>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</si>
  <si>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</si>
  <si>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</si>
  <si>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</si>
  <si>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</si>
  <si>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</si>
  <si>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</si>
  <si>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</si>
  <si>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</si>
  <si>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</si>
  <si>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</si>
  <si>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</si>
  <si>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</si>
  <si>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</si>
  <si>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</si>
  <si>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</si>
  <si>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</si>
  <si>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</si>
  <si>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</si>
  <si>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</si>
  <si>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</si>
  <si>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</si>
  <si>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</si>
  <si>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</si>
  <si>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</si>
  <si>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</si>
  <si>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</si>
  <si>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</si>
  <si>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</si>
  <si>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</si>
  <si>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</si>
  <si>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</si>
  <si>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</si>
  <si>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</si>
  <si>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</si>
  <si>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</si>
  <si>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</si>
  <si>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</si>
  <si>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</si>
  <si>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</si>
  <si>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</si>
  <si>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</si>
  <si>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</si>
  <si>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</si>
  <si>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</si>
  <si>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</si>
  <si>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</si>
  <si>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</si>
  <si>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</si>
  <si>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</si>
  <si>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</si>
  <si>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</si>
  <si>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</si>
  <si>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</si>
  <si>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</si>
  <si>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</si>
  <si>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</si>
  <si>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</si>
  <si>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</si>
  <si>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</si>
  <si>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</si>
  <si>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</si>
  <si>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</si>
  <si>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</si>
  <si>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</si>
  <si>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</si>
  <si>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</si>
  <si>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</si>
  <si>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</si>
  <si>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</si>
  <si>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</si>
  <si>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</si>
  <si>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</si>
  <si>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</si>
  <si>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</si>
  <si>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</si>
  <si>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</si>
  <si>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</si>
  <si>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</si>
  <si>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</si>
  <si>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</si>
  <si>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</si>
  <si>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</si>
  <si>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</si>
  <si>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</si>
  <si>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</si>
  <si>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</si>
  <si>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</si>
  <si>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</si>
  <si>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</si>
  <si>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</si>
  <si>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</si>
  <si>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</si>
  <si>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</si>
  <si>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</si>
  <si>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</si>
  <si>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</si>
  <si>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</si>
  <si>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</si>
  <si>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</si>
  <si>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</si>
  <si>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</si>
  <si>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</si>
  <si>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</si>
  <si>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</si>
  <si>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</si>
  <si>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</si>
  <si>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</si>
  <si>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</si>
  <si>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</si>
  <si>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</si>
  <si>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</si>
  <si>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</si>
  <si>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</si>
  <si>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</si>
  <si>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</si>
  <si>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</si>
  <si>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</si>
  <si>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</si>
  <si>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</si>
  <si>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</si>
  <si>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</si>
  <si>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</si>
  <si>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</si>
  <si>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</si>
  <si>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</si>
  <si>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</si>
  <si>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</si>
  <si>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</si>
  <si>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</si>
  <si>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</si>
  <si>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</si>
  <si>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</si>
  <si>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</si>
  <si>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</si>
  <si>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</si>
  <si>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</si>
  <si>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</si>
  <si>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</si>
  <si>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</si>
  <si>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</si>
  <si>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</si>
  <si>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</si>
  <si>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</si>
  <si>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</si>
  <si>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</si>
  <si>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</si>
  <si>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</si>
  <si>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</si>
  <si>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</si>
  <si>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</si>
  <si>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</si>
  <si>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</si>
  <si>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</si>
  <si>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</si>
  <si>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</si>
  <si>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</si>
  <si>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</si>
  <si>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</si>
  <si>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</si>
  <si>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</si>
  <si>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</si>
  <si>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</si>
  <si>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</si>
  <si>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</si>
  <si>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</si>
  <si>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</si>
  <si>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</si>
  <si>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</si>
  <si>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</si>
  <si>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</si>
  <si>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</si>
  <si>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</si>
  <si>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</si>
  <si>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</si>
  <si>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</si>
  <si>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</si>
  <si>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</si>
  <si>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</si>
  <si>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</si>
  <si>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</si>
  <si>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</si>
  <si>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</si>
  <si>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</si>
  <si>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</si>
  <si>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</si>
  <si>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</si>
  <si>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</si>
  <si>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</si>
  <si>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</si>
  <si>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</si>
  <si>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</si>
  <si>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</si>
  <si>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</si>
  <si>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</si>
  <si>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</si>
  <si>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</si>
  <si>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</si>
  <si>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</si>
  <si>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</si>
  <si>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</si>
  <si>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</si>
  <si>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</si>
  <si>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</si>
  <si>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</si>
  <si>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</si>
  <si>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</si>
  <si>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</si>
  <si>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</si>
  <si>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</si>
  <si>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</si>
  <si>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</si>
  <si>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</si>
  <si>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</si>
  <si>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</si>
  <si>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</si>
  <si>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</si>
  <si>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</si>
  <si>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</si>
  <si>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</si>
  <si>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</si>
  <si>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</si>
  <si>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</si>
  <si>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</si>
  <si>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</si>
  <si>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</si>
  <si>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</si>
  <si>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</si>
  <si>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</si>
  <si>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</si>
  <si>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</si>
  <si>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</si>
  <si>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</si>
  <si>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</si>
  <si>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</si>
  <si>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</si>
  <si>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</si>
  <si>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</si>
  <si>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</si>
  <si>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</si>
  <si>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</si>
  <si>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</si>
  <si>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</si>
  <si>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</si>
  <si>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</si>
  <si>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</si>
  <si>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</si>
  <si>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</si>
  <si>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</si>
  <si>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</si>
  <si>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</si>
  <si>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</si>
  <si>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</si>
  <si>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</si>
  <si>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</si>
  <si>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</si>
  <si>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</si>
  <si>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</si>
  <si>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</si>
  <si>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</si>
  <si>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</si>
  <si>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</si>
  <si>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</si>
  <si>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</si>
  <si>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</si>
  <si>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</si>
  <si>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</si>
  <si>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</si>
  <si>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</si>
  <si>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</si>
  <si>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</si>
  <si>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</si>
  <si>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</si>
  <si>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</si>
  <si>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</si>
  <si>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</si>
  <si>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</si>
  <si>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</si>
  <si>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</si>
  <si>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</si>
  <si>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</si>
  <si>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</si>
  <si>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</si>
  <si>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</si>
  <si>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</si>
  <si>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</si>
  <si>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</si>
  <si>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</si>
  <si>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</si>
  <si>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</si>
  <si>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</si>
  <si>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</si>
  <si>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</si>
  <si>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</si>
  <si>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</si>
  <si>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</si>
  <si>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</si>
  <si>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</si>
  <si>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</si>
  <si>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</si>
  <si>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</si>
  <si>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</si>
  <si>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</si>
  <si>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</si>
  <si>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</si>
  <si>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</si>
  <si>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</si>
  <si>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</si>
  <si>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</si>
  <si>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</si>
  <si>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</si>
  <si>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</si>
  <si>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</si>
  <si>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</si>
  <si>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</si>
  <si>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</si>
  <si>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</si>
  <si>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</si>
  <si>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</si>
  <si>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</si>
  <si>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</si>
  <si>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</si>
  <si>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</si>
  <si>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</si>
  <si>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</si>
  <si>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</si>
  <si>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</si>
  <si>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</si>
  <si>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</si>
  <si>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</si>
  <si>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</si>
  <si>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</si>
  <si>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</si>
  <si>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</si>
  <si>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</si>
  <si>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</si>
  <si>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</si>
  <si>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</si>
  <si>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</si>
  <si>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</si>
  <si>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</si>
  <si>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</si>
  <si>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</si>
  <si>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</si>
  <si>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</si>
  <si>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</si>
  <si>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</si>
  <si>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</si>
  <si>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</si>
  <si>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</si>
  <si>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</si>
  <si>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</si>
  <si>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</si>
  <si>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</si>
  <si>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</si>
  <si>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</si>
  <si>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</si>
  <si>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</si>
  <si>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</si>
  <si>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</si>
  <si>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</si>
  <si>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</si>
  <si>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</si>
  <si>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</si>
  <si>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</si>
  <si>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</si>
  <si>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</si>
  <si>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</si>
  <si>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</si>
  <si>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</si>
  <si>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</si>
  <si>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</si>
  <si>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</si>
  <si>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</si>
  <si>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</si>
  <si>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</si>
  <si>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</si>
  <si>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</si>
  <si>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</si>
  <si>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</si>
  <si>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</si>
  <si>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</si>
  <si>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</si>
  <si>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</si>
  <si>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</si>
  <si>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</si>
  <si>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</si>
  <si>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</si>
  <si>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</si>
  <si>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</si>
  <si>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</si>
  <si>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</si>
  <si>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</si>
  <si>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</si>
  <si>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</si>
  <si>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</si>
  <si>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</si>
  <si>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</si>
  <si>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</si>
  <si>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</si>
  <si>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</si>
  <si>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</si>
  <si>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</si>
  <si>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</si>
  <si>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</si>
  <si>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</si>
  <si>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</si>
  <si>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</si>
  <si>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</si>
  <si>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</si>
  <si>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</si>
  <si>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</si>
  <si>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</si>
  <si>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</si>
  <si>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</si>
  <si>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</si>
  <si>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</si>
  <si>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</si>
  <si>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</si>
  <si>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</si>
  <si>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</si>
  <si>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</si>
  <si>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</si>
  <si>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</si>
  <si>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</si>
  <si>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</si>
  <si>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</si>
  <si>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</si>
  <si>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</si>
  <si>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</si>
  <si>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</si>
  <si>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</si>
  <si>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</si>
  <si>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</si>
  <si>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</si>
  <si>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</si>
  <si>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</si>
  <si>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</si>
  <si>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</si>
  <si>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</si>
  <si>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</si>
  <si>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</si>
  <si>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</si>
  <si>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</si>
  <si>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</si>
  <si>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</si>
  <si>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</si>
  <si>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</si>
  <si>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</si>
  <si>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</si>
  <si>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</si>
  <si>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</si>
  <si>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</si>
  <si>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</si>
  <si>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</si>
  <si>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</si>
  <si>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</si>
  <si>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</si>
  <si>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</si>
  <si>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</si>
  <si>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</si>
  <si>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</si>
  <si>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</si>
  <si>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</si>
  <si>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</si>
  <si>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</si>
  <si>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</si>
  <si>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</si>
  <si>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</si>
  <si>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</si>
  <si>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</si>
  <si>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</si>
  <si>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</si>
  <si>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</si>
  <si>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</si>
  <si>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</si>
  <si>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</si>
  <si>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</si>
  <si>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</si>
  <si>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</si>
  <si>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</si>
  <si>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</si>
  <si>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</si>
  <si>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</si>
  <si>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</si>
  <si>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</si>
  <si>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</si>
  <si>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</si>
  <si>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</si>
  <si>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</si>
  <si>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</si>
  <si>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</si>
  <si>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</si>
  <si>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</si>
  <si>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</si>
  <si>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</si>
  <si>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</si>
  <si>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</si>
  <si>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</si>
  <si>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</si>
  <si>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</si>
  <si>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</si>
  <si>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</si>
  <si>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</si>
  <si>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</si>
  <si>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</si>
  <si>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</si>
  <si>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</si>
  <si>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</si>
  <si>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</si>
  <si>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</si>
  <si>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</si>
  <si>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</si>
  <si>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</si>
  <si>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</si>
  <si>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</si>
  <si>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</si>
  <si>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</si>
  <si>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</si>
  <si>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</si>
  <si>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</si>
  <si>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</si>
  <si>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</si>
  <si>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</si>
  <si>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</si>
  <si>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</si>
  <si>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</si>
  <si>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</si>
  <si>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</si>
  <si>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</si>
  <si>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</si>
  <si>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</si>
  <si>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</si>
  <si>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</si>
  <si>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</si>
  <si>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</si>
  <si>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</si>
  <si>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</si>
  <si>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</si>
  <si>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</si>
  <si>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</si>
  <si>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</si>
  <si>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</si>
  <si>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</si>
  <si>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</si>
  <si>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</si>
  <si>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</si>
  <si>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</si>
  <si>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</si>
  <si>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</si>
  <si>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</si>
  <si>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</si>
  <si>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</si>
  <si>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</si>
  <si>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</si>
  <si>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</si>
  <si>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</si>
  <si>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</si>
  <si>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</si>
  <si>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</si>
  <si>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</si>
  <si>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</si>
  <si>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</si>
  <si>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</si>
  <si>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</si>
  <si>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</si>
  <si>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</si>
  <si>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</si>
  <si>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</si>
  <si>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</si>
  <si>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</si>
  <si>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</si>
  <si>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</si>
  <si>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</si>
  <si>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</si>
  <si>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</si>
  <si>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</si>
  <si>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</si>
  <si>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</si>
  <si>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</si>
  <si>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</si>
  <si>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</si>
  <si>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</si>
  <si>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</si>
  <si>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</si>
  <si>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</si>
  <si>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</si>
  <si>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</si>
  <si>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</si>
  <si>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</si>
  <si>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</si>
  <si>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</si>
  <si>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</si>
  <si>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</si>
  <si>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</si>
  <si>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</si>
  <si>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</si>
  <si>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</si>
  <si>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</si>
  <si>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</si>
  <si>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</si>
  <si>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</si>
  <si>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</si>
  <si>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</si>
  <si>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</si>
  <si>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</si>
  <si>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</si>
  <si>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</si>
  <si>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</si>
  <si>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</si>
  <si>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</si>
  <si>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</si>
  <si>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</si>
  <si>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</si>
  <si>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</si>
  <si>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</si>
  <si>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</si>
  <si>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</si>
  <si>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</si>
  <si>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</si>
  <si>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</si>
  <si>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</si>
  <si>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</si>
  <si>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</si>
  <si>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</si>
  <si>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</si>
  <si>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</si>
  <si>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</si>
  <si>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</si>
  <si>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</si>
  <si>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</si>
  <si>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</si>
  <si>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</si>
  <si>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</si>
  <si>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</si>
  <si>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</si>
  <si>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</si>
  <si>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</si>
  <si>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</si>
  <si>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</si>
  <si>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</si>
  <si>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</si>
  <si>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</si>
  <si>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</si>
  <si>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</si>
  <si>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</si>
  <si>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</si>
  <si>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</si>
  <si>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</si>
  <si>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</si>
  <si>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</si>
  <si>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</si>
  <si>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</si>
  <si>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</si>
  <si>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</si>
  <si>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</si>
  <si>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</si>
  <si>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</si>
  <si>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</si>
  <si>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</si>
  <si>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</si>
  <si>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</si>
  <si>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</si>
  <si>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</si>
  <si>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</si>
  <si>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</si>
  <si>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</si>
  <si>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</si>
  <si>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</si>
  <si>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</si>
  <si>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</si>
  <si>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</si>
  <si>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</si>
  <si>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</si>
  <si>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</si>
  <si>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</si>
  <si>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</si>
  <si>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</si>
  <si>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</si>
  <si>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</si>
  <si>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</si>
  <si>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</si>
  <si>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</si>
  <si>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</si>
  <si>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</si>
  <si>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</si>
  <si>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</si>
  <si>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</si>
  <si>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</si>
  <si>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</si>
  <si>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</si>
  <si>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</si>
  <si>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</si>
  <si>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</si>
  <si>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</si>
  <si>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</si>
  <si>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</si>
  <si>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</si>
  <si>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</si>
  <si>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</si>
  <si>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</si>
  <si>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</si>
  <si>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</si>
  <si>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</si>
  <si>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</si>
  <si>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</si>
  <si>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</si>
  <si>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</si>
  <si>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</si>
  <si>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</si>
  <si>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</si>
  <si>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</si>
  <si>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</si>
  <si>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</si>
  <si>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</si>
  <si>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</si>
  <si>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</si>
  <si>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</si>
  <si>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</si>
  <si>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</si>
  <si>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</si>
  <si>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</si>
  <si>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</si>
  <si>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</si>
  <si>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</si>
  <si>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</si>
  <si>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</si>
  <si>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</si>
  <si>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</si>
  <si>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</si>
  <si>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</si>
  <si>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</si>
  <si>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</si>
  <si>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</si>
  <si>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</si>
  <si>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</si>
  <si>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</si>
  <si>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</si>
  <si>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</si>
  <si>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</si>
  <si>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</si>
  <si>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</si>
  <si>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</si>
  <si>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</si>
  <si>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</si>
  <si>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</si>
  <si>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</si>
  <si>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</si>
  <si>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</si>
  <si>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</si>
  <si>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</si>
  <si>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</si>
  <si>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</si>
  <si>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</si>
  <si>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</si>
  <si>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</si>
  <si>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</si>
  <si>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</si>
  <si>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</si>
  <si>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</si>
  <si>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</si>
  <si>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</si>
  <si>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</si>
  <si>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</si>
  <si>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</si>
  <si>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</si>
  <si>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</si>
  <si>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</si>
  <si>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</si>
  <si>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</si>
  <si>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</si>
  <si>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</si>
  <si>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</si>
  <si>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</si>
  <si>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</si>
  <si>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</si>
  <si>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</si>
  <si>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</si>
  <si>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</si>
  <si>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</si>
  <si>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</si>
  <si>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</si>
  <si>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</si>
  <si>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</si>
  <si>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</si>
  <si>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</si>
  <si>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</si>
  <si>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</si>
  <si>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</si>
  <si>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</si>
  <si>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</si>
  <si>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</si>
  <si>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</si>
  <si>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</si>
  <si>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</si>
  <si>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</si>
  <si>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[OBS372]Respecto a la OBS348, Se le debe cambiar el nombre al Gateway 2 a infinitivo en el diagrama también._x000D_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</si>
  <si>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</si>
  <si>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</si>
  <si>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</si>
  <si>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</si>
  <si>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</si>
  <si>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</si>
  <si>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</si>
  <si>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</si>
  <si>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</si>
  <si>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</si>
  <si>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</si>
  <si>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</si>
  <si>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</si>
  <si>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</si>
  <si>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</si>
  <si>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</si>
  <si>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</si>
  <si>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</si>
  <si>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</si>
  <si>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</si>
  <si>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</si>
  <si>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</si>
  <si>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</si>
  <si>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</si>
  <si>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</si>
  <si>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</si>
  <si>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</si>
  <si>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</si>
  <si>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</si>
  <si>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</si>
  <si>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</si>
  <si>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</si>
  <si>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</si>
  <si>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</si>
  <si>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</si>
  <si>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</si>
  <si>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</si>
  <si>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</si>
  <si>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</si>
  <si>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</si>
  <si>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</si>
  <si>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</si>
  <si>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</si>
  <si>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</si>
  <si>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</si>
  <si>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</si>
  <si>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</si>
  <si>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</si>
  <si>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</si>
  <si>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</si>
  <si>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</si>
  <si>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</si>
  <si>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</si>
  <si>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</si>
  <si>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</si>
  <si>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</si>
  <si>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</si>
  <si>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</si>
  <si>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</si>
  <si>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</si>
  <si>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</si>
  <si>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</si>
  <si>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</si>
  <si>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</si>
  <si>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</si>
  <si>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</si>
  <si>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</si>
  <si>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</si>
  <si>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</si>
  <si>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</si>
  <si>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</si>
  <si>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</si>
  <si>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</si>
  <si>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</si>
  <si>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</si>
  <si>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</si>
  <si>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</si>
  <si>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</si>
  <si>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</si>
  <si>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</si>
  <si>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</si>
  <si>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</si>
  <si>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</si>
  <si>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</si>
  <si>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</si>
  <si>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</si>
  <si>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</si>
  <si>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</si>
  <si>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</si>
  <si>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</si>
  <si>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</si>
  <si>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</si>
  <si>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</si>
  <si>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</si>
  <si>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</si>
  <si>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</si>
  <si>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</si>
  <si>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</si>
  <si>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</si>
  <si>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</si>
  <si>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</si>
  <si>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</si>
  <si>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</si>
  <si>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</si>
  <si>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</si>
  <si>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</si>
  <si>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</si>
  <si>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</si>
  <si>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</si>
  <si>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</si>
  <si>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</si>
  <si>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</si>
  <si>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</si>
  <si>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</si>
  <si>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</si>
  <si>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</si>
  <si>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</si>
  <si>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</si>
  <si>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</si>
  <si>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</si>
  <si>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</si>
  <si>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</si>
  <si>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La actividad A7 depende de un proceso externo, tiene que tener conectores de flujo de secuencia que la unan al flujo principal.</t>
  </si>
  <si>
    <t>En la descripción de la actividad X25, probablemente debe ser "hace efectivo el recojo del bien donado"</t>
  </si>
  <si>
    <t>Se modificó la redacción del párrafo.</t>
  </si>
  <si>
    <t>Se cambiaron los nombres de los gateways.</t>
  </si>
  <si>
    <t>Se modificaron los nombres de las actividades mencionadas.</t>
  </si>
  <si>
    <t>Se corrigieron las entradas y salidas.</t>
  </si>
  <si>
    <t>Se homologaron los nombres.</t>
  </si>
  <si>
    <t>Se eliminó la salida correspondiente.</t>
  </si>
  <si>
    <t>Se agregó el conector correspondiente</t>
  </si>
  <si>
    <t>Salidas y entradas modificadas.</t>
  </si>
  <si>
    <t>Se modificaron las entradas y salidas.</t>
  </si>
  <si>
    <t>Es entrada de la actividad A1 (Considerando que es la actividad ET4).</t>
  </si>
  <si>
    <t>Se modificó la entrada de la actividad.</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</si>
  <si>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</si>
  <si>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</si>
  <si>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</si>
  <si>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</si>
  <si>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</si>
  <si>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</si>
  <si>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</si>
  <si>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</si>
  <si>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</si>
  <si>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</si>
  <si>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</si>
  <si>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</si>
  <si>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</si>
  <si>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Se eliminó una palabra.</t>
  </si>
  <si>
    <t>Se corrigió el formato</t>
  </si>
  <si>
    <t>Se agregó como entrada de la actividad ET6.</t>
  </si>
  <si>
    <t>Se corrigió el error gramatical (Pastoral y Educación en Valores es una sola área).</t>
  </si>
  <si>
    <t>Las actividades no deben tener el mismo nombre, P2, ET2 - Repartir</t>
  </si>
  <si>
    <t>Hay un guión de mas en los datos de salida de la activdad P4.</t>
  </si>
  <si>
    <t>Hay un conector que sale de A20 que no se conecta a nada. Va hacia el pool de medio de comunicación.</t>
  </si>
  <si>
    <t>El dato de salida de la actividad 4, "Cuestionario  de Necesidades" no es entrada de ninguna actividad.</t>
  </si>
  <si>
    <t>En la OBS398 me refería a PY4</t>
  </si>
  <si>
    <t>El dato de entrada "Informe Anual de la Marcha Pastoral y Educación en Valores" de la actividad PE1 no es exactamente el mismo que el de la salida de PE2.</t>
  </si>
  <si>
    <t>La última oración de la descripción de la actividad A14 no se ve reflejado en el flujo, además en los datos de la actividad P9 y P10 aún esta el dato de Copia de arqueo de caja, que no muestra relación con el flujo.</t>
  </si>
  <si>
    <t>El dato de entrada "Invitación a Capacitación" de la actividad X7 no concuerda con el flujo de datos.</t>
  </si>
  <si>
    <t>Se eliminó la entrada correspondiente.</t>
  </si>
  <si>
    <t>Hay un error  gramatical en la descripción de la actividad X12 con "encuentran".</t>
  </si>
  <si>
    <t>El conector de ida de A7 hacia el evento enlace K no es correcto, ya que el evento K relacionado con X38 solo es para lanzar, y no de destino.</t>
  </si>
  <si>
    <t>Sugiero tener solo dos eventos D, para evitar confusión al seguir el flujo.</t>
  </si>
  <si>
    <t>Los datos de entrada de la actividad X15 "Copia de la Factura de Pago Parcial" y "Copia de  la Factura por Pago de Adelanto
" no van de acuerdo al flujo.</t>
  </si>
  <si>
    <t>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t>
  </si>
  <si>
    <t>Revisar los datos de entrada y salida de la actividad A20, Entrada: "Contrato firmado" y "Labores iniciadas"; salida: "Contrato" Y "Inducciones realizadas"</t>
  </si>
  <si>
    <t>Al iniciar la descripción de la actividad X32 hay un error de tipeo.</t>
  </si>
  <si>
    <t>En la descripción de la actividad X33, luego de "Orden de Compra" debería haber una coma.</t>
  </si>
  <si>
    <t>Actividad X41 y X42 no forman parte del flujo, el enlace M no se relaciona con ningúna otra actividad.</t>
  </si>
  <si>
    <t>Hay redundancia en la descripción de la actividad X42.</t>
  </si>
  <si>
    <t>Según Profesora Rosario, Arquitectura de Procesos si existe.</t>
  </si>
  <si>
    <t>Conector eliminado. Se agregó Link M</t>
  </si>
  <si>
    <t>Link M agregado a actividad A20.</t>
  </si>
  <si>
    <t>Actividad ET2 cambió de nombre.</t>
  </si>
  <si>
    <t>Guión eliminado</t>
  </si>
  <si>
    <t>Última oración eliminada. Copia de Arqueo de Caja eliminado.</t>
  </si>
  <si>
    <t>Salida de PE2 y entrada de PE1 homologadas.</t>
  </si>
  <si>
    <t>Conector de salida desde el evento K hasta la actividad A7 eliminado.</t>
  </si>
  <si>
    <t>Salida agregada a la actividad A13.</t>
  </si>
  <si>
    <t>Se modificaron los conectores entre A5, A6 y A7.</t>
  </si>
  <si>
    <t>Se modificaron las entradas de la actividad.</t>
  </si>
  <si>
    <t>Salidas agregadas. Conector agregado</t>
  </si>
  <si>
    <t>Error corregido.</t>
  </si>
  <si>
    <t>Redundancia eliminada.</t>
  </si>
  <si>
    <t>Conector entre PY4 y A1 agreado.</t>
  </si>
  <si>
    <t>Link N agregado entre actividades D3 y X25</t>
  </si>
  <si>
    <t>El dato de entrada "Necesidad de pagar comprobantes de proveedores" de la actividad A15 no concuerda con el flujo.</t>
  </si>
  <si>
    <t>La actividad A7 sigue fuera del flujo principal, si bien es cierto hay un conector desde A5, no hay dato que los relacione, por otro lado no hay conector de salida que lo mantenga en el flujo.</t>
  </si>
  <si>
    <t>Salidas y entradas coordinadas con actividades X41 y X42.</t>
  </si>
  <si>
    <t>OBS446</t>
  </si>
  <si>
    <t xml:space="preserve">El conector que va de PE2 hacia PE1 no es el correcto. Debe ser de </t>
  </si>
  <si>
    <t>OBS447</t>
  </si>
  <si>
    <t>En los datos de entrada de la actividad PE1 falta un gruión para separar los dos últimos datos.</t>
  </si>
  <si>
    <t>OBS448</t>
  </si>
  <si>
    <t>La actividad A5 y A7 no tienen datos que lo relacionen.</t>
  </si>
  <si>
    <t>OBS449</t>
  </si>
  <si>
    <t>OBS450</t>
  </si>
  <si>
    <t>No se ha presentado un documento de la RAM, el archivo carece de definición, propósito y alcance.</t>
  </si>
  <si>
    <t>El archivo carece de leyenda</t>
  </si>
  <si>
    <t xml:space="preserve">[OBS446]El conector que va de PE2 hacia PE1 no es el correcto. Debe ser de _x000D_
[OBS447]En los datos de entrada de la actividad PE1 falta un gruión para separar los dos últimos datos._x000D_
[OBS448]La actividad A5 y A7 no tienen datos que lo relacionen._x000D_
</t>
  </si>
  <si>
    <t xml:space="preserve">[OBS449]No se ha presentado un documento de la RAM, el archivo carece de definición, propósito y alcance._x000D_
[OBS450]El archivo carece de leyenda_x000D_
</t>
  </si>
  <si>
    <t>Se agregó el guión.</t>
  </si>
  <si>
    <t>Se cambió el conector a uno de secuencia.</t>
  </si>
  <si>
    <t>Se agregó una entrada a la actividad A7 que la relacione con A5.</t>
  </si>
  <si>
    <t>Documento generado</t>
  </si>
  <si>
    <t>OBS451</t>
  </si>
  <si>
    <t>OBS452</t>
  </si>
  <si>
    <t>OBS453</t>
  </si>
  <si>
    <t>OBS454</t>
  </si>
  <si>
    <t>OBS455</t>
  </si>
  <si>
    <t>OBS456</t>
  </si>
  <si>
    <t>OBS457</t>
  </si>
  <si>
    <t>OBS458</t>
  </si>
  <si>
    <t>OBS459</t>
  </si>
  <si>
    <t>Previo al fin debería haber un gateway que reciba todos los conectores, a fin de que al fin llegue solo 1.</t>
  </si>
  <si>
    <t>En la actividad 3 no se aprecia la interacción con el postulante en el diagrama.</t>
  </si>
  <si>
    <t>Qué sucede si no hay CV's que cumplan con lo requerido para la actividad 2? No hay un flujo alterno.</t>
  </si>
  <si>
    <t>La actividad de inicio no debe tener datos de entrada.</t>
  </si>
  <si>
    <t>A modo de recomendación, luego de la actividad 8, no se debería mandar el perfil a administración como con la actividad 3? De tal modo que solo exista un fin.</t>
  </si>
  <si>
    <t>La actividad 4 no debería ser un gateway.</t>
  </si>
  <si>
    <t>La actividad 3 y 7 no deberían tener algún rechazo? Es decir, que sucede si se revisa y no es correcto, no se devuelve para la correción?</t>
  </si>
  <si>
    <t xml:space="preserve">[OBS451]Previo al fin debería haber un gateway que reciba todos los conectores, a fin de que al fin llegue solo 1._x000D_
</t>
  </si>
  <si>
    <t xml:space="preserve">[OBS452]El diagrama es ANSI y no BPMN_x000D_
</t>
  </si>
  <si>
    <t xml:space="preserve">[OBS453]En la actividad 3 no se aprecia la interacción con el postulante en el diagrama._x000D_
</t>
  </si>
  <si>
    <t xml:space="preserve">[OBS454]Qué sucede si no hay CV's que cumplan con lo requerido para la actividad 2? No hay un flujo alterno._x000D_
</t>
  </si>
  <si>
    <t xml:space="preserve">[OBS455]La actividad de inicio no debe tener datos de entrada._x000D_
</t>
  </si>
  <si>
    <t xml:space="preserve">[OBS456]A modo de recomendación, luego de la actividad 8, no se debería mandar el perfil a administración como con la actividad 3? De tal modo que solo exista un fin._x000D_
</t>
  </si>
  <si>
    <t xml:space="preserve">[OBS457]La actividad 4 no debería ser un gateway._x000D_
[OBS458]La actividad 3 y 7 no deberían tener algún rechazo? Es decir, que sucede si se revisa y no es correcto, no se devuelve para la correción?_x000D_
</t>
  </si>
  <si>
    <t>OBS460</t>
  </si>
  <si>
    <t>OBS461</t>
  </si>
  <si>
    <t>OBS462</t>
  </si>
  <si>
    <t>OBS463</t>
  </si>
  <si>
    <t xml:space="preserve">[OBS459]Previo al fin debería haber un gateway que reciba todos los conectores, a fin de que al fin llegue solo 1._x000D_
</t>
  </si>
  <si>
    <t xml:space="preserve">[OBS460]La actividad de inicio no debe tener datos de entrada._x000D_
</t>
  </si>
  <si>
    <t xml:space="preserve">[OBS461]Previo al fin debería haber un gateway que reciba todos los conectores, a fin de que al fin llegue solo 1._x000D_
</t>
  </si>
  <si>
    <t xml:space="preserve">[OBS462]Previo al fin debería haber un gateway que reciba todos los conectores, a fin de que al fin llegue solo 1._x000D_
</t>
  </si>
  <si>
    <t xml:space="preserve">[OBS463]Previo al fin debería haber un gateway que reciba todos los conectores, a fin de que al fin llegue solo 1._x000D_
</t>
  </si>
  <si>
    <t>Se agregó el gateway final.</t>
  </si>
  <si>
    <t>La interacción se menciona dentro de la descripción de la actividad.</t>
  </si>
  <si>
    <t>Los CV's provienen de 3 fuentes diferentes. Es muy difícil que no se obtenga como mínimo 1 CV.</t>
  </si>
  <si>
    <t>Entrada agregada como salida de la actividad.</t>
  </si>
  <si>
    <t>Proceso modificado.</t>
  </si>
  <si>
    <t>Actividad modificada.</t>
  </si>
  <si>
    <t>Los informes recibidos no pueden rechazarse debido a que es información de cómo se han manejado los Programas Rurales, los directores son los que poseen la información más detallada de los mismos.</t>
  </si>
  <si>
    <t>Se agregó un evento.</t>
  </si>
  <si>
    <t>Columna1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</si>
</sst>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2">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
      <patternFill patternType="solid">
        <fgColor rgb="FFFFFF00"/>
        <bgColor indexed="64"/>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8">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xf numFmtId="0" fontId="0" fillId="41" borderId="0" xfId="0" applyNumberFormat="1" applyFill="1" applyBorder="1" applyAlignment="1">
      <alignment vertical="center" wrapText="1"/>
    </xf>
    <xf numFmtId="0" fontId="0" fillId="41" borderId="0" xfId="0" applyNumberFormat="1" applyFill="1" applyAlignment="1">
      <alignment vertical="center" wrapText="1"/>
    </xf>
    <xf numFmtId="164" fontId="0" fillId="41" borderId="0" xfId="0" applyNumberFormat="1" applyFill="1" applyAlignment="1">
      <alignment vertical="center" wrapText="1"/>
    </xf>
    <xf numFmtId="164" fontId="0" fillId="41" borderId="0" xfId="0" applyNumberFormat="1" applyFill="1" applyAlignment="1">
      <alignment horizontal="center" vertical="center" wrapText="1"/>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3">
    <dxf>
      <numFmt numFmtId="0" formatCode="General"/>
      <alignment horizontal="general" vertical="center" textRotation="0" wrapText="1" indent="0" justifyLastLine="0" shrinkToFit="0" readingOrder="0"/>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51"/>
          <c:y val="0.20151813899974841"/>
          <c:w val="0.501424941351343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0.67567567567567566</c:v>
                </c:pt>
                <c:pt idx="1">
                  <c:v>0.32432432432432434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HistoricoAvance!$C$4:$C$20</c:f>
              <c:numCache>
                <c:formatCode>0</c:formatCode>
                <c:ptCount val="17"/>
                <c:pt idx="0">
                  <c:v>0</c:v>
                </c:pt>
                <c:pt idx="1">
                  <c:v>0</c:v>
                </c:pt>
                <c:pt idx="2">
                  <c:v>5</c:v>
                </c:pt>
                <c:pt idx="3">
                  <c:v>14</c:v>
                </c:pt>
                <c:pt idx="4">
                  <c:v>15</c:v>
                </c:pt>
                <c:pt idx="5">
                  <c:v>15</c:v>
                </c:pt>
                <c:pt idx="6">
                  <c:v>15</c:v>
                </c:pt>
                <c:pt idx="7">
                  <c:v>16</c:v>
                </c:pt>
                <c:pt idx="8">
                  <c:v>15</c:v>
                </c:pt>
                <c:pt idx="9">
                  <c:v>13</c:v>
                </c:pt>
                <c:pt idx="10">
                  <c:v>31</c:v>
                </c:pt>
                <c:pt idx="11">
                  <c:v>35</c:v>
                </c:pt>
                <c:pt idx="12">
                  <c:v>36</c:v>
                </c:pt>
                <c:pt idx="13">
                  <c:v>36</c:v>
                </c:pt>
                <c:pt idx="14">
                  <c:v>35</c:v>
                </c:pt>
                <c:pt idx="15">
                  <c:v>37</c:v>
                </c:pt>
                <c:pt idx="16">
                  <c:v>25</c:v>
                </c:pt>
              </c:numCache>
            </c:numRef>
          </c:val>
          <c:smooth val="0"/>
        </c:ser>
        <c:ser>
          <c:idx val="1"/>
          <c:order val="1"/>
          <c:tx>
            <c:strRef>
              <c:f>HistoricoAvance!$D$3</c:f>
              <c:strCache>
                <c:ptCount val="1"/>
                <c:pt idx="0">
                  <c:v>Fallos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HistoricoAvance!$D$4:$D$20</c:f>
              <c:numCache>
                <c:formatCode>0</c:formatCode>
                <c:ptCount val="17"/>
                <c:pt idx="0">
                  <c:v>10</c:v>
                </c:pt>
                <c:pt idx="1">
                  <c:v>15</c:v>
                </c:pt>
                <c:pt idx="2">
                  <c:v>10</c:v>
                </c:pt>
                <c:pt idx="3">
                  <c:v>1</c:v>
                </c:pt>
                <c:pt idx="4">
                  <c:v>10</c:v>
                </c:pt>
                <c:pt idx="5">
                  <c:v>10</c:v>
                </c:pt>
                <c:pt idx="6">
                  <c:v>20</c:v>
                </c:pt>
                <c:pt idx="7">
                  <c:v>19</c:v>
                </c:pt>
                <c:pt idx="8">
                  <c:v>20</c:v>
                </c:pt>
                <c:pt idx="9">
                  <c:v>22</c:v>
                </c:pt>
                <c:pt idx="10">
                  <c:v>4</c:v>
                </c:pt>
                <c:pt idx="11">
                  <c:v>1</c:v>
                </c:pt>
                <c:pt idx="12">
                  <c:v>1</c:v>
                </c:pt>
                <c:pt idx="13">
                  <c:v>1</c:v>
                </c:pt>
                <c:pt idx="14">
                  <c:v>2</c:v>
                </c:pt>
                <c:pt idx="15">
                  <c:v>0</c:v>
                </c:pt>
                <c:pt idx="16">
                  <c:v>12</c:v>
                </c:pt>
              </c:numCache>
            </c:numRef>
          </c:val>
          <c:smooth val="0"/>
        </c:ser>
        <c:ser>
          <c:idx val="2"/>
          <c:order val="2"/>
          <c:tx>
            <c:strRef>
              <c:f>HistoricoAvance!$E$3</c:f>
              <c:strCache>
                <c:ptCount val="1"/>
                <c:pt idx="0">
                  <c:v>Bloqueado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HistoricoAvance!$E$4:$E$20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3"/>
          <c:order val="3"/>
          <c:tx>
            <c:strRef>
              <c:f>HistoricoAvance!$F$3</c:f>
              <c:strCache>
                <c:ptCount val="1"/>
                <c:pt idx="0">
                  <c:v>Pendiente</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HistoricoAvance!$F$4:$F$20</c:f>
              <c:numCache>
                <c:formatCode>0</c:formatCode>
                <c:ptCount val="17"/>
                <c:pt idx="0">
                  <c:v>0</c:v>
                </c:pt>
                <c:pt idx="1">
                  <c:v>0</c:v>
                </c:pt>
                <c:pt idx="2">
                  <c:v>0</c:v>
                </c:pt>
                <c:pt idx="3">
                  <c:v>0</c:v>
                </c:pt>
                <c:pt idx="4">
                  <c:v>0</c:v>
                </c:pt>
                <c:pt idx="5">
                  <c:v>0</c:v>
                </c:pt>
                <c:pt idx="6">
                  <c:v>0</c:v>
                </c:pt>
                <c:pt idx="7">
                  <c:v>0</c:v>
                </c:pt>
                <c:pt idx="8">
                  <c:v>0</c:v>
                </c:pt>
                <c:pt idx="9">
                  <c:v>1</c:v>
                </c:pt>
                <c:pt idx="10">
                  <c:v>1</c:v>
                </c:pt>
                <c:pt idx="11">
                  <c:v>0</c:v>
                </c:pt>
                <c:pt idx="12">
                  <c:v>0</c:v>
                </c:pt>
                <c:pt idx="13">
                  <c:v>0</c:v>
                </c:pt>
                <c:pt idx="14">
                  <c:v>0</c:v>
                </c:pt>
                <c:pt idx="15">
                  <c:v>0</c:v>
                </c:pt>
                <c:pt idx="16">
                  <c:v>0</c:v>
                </c:pt>
              </c:numCache>
            </c:numRef>
          </c:val>
          <c:smooth val="0"/>
        </c:ser>
        <c:ser>
          <c:idx val="4"/>
          <c:order val="4"/>
          <c:tx>
            <c:strRef>
              <c:f>HistoricoAvance!$G$3</c:f>
              <c:strCache>
                <c:ptCount val="1"/>
                <c:pt idx="0">
                  <c:v>No Aplica</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HistoricoAvance!$G$4:$G$20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5"/>
          <c:order val="5"/>
          <c:tx>
            <c:strRef>
              <c:f>HistoricoAvance!$H$3</c:f>
              <c:strCache>
                <c:ptCount val="1"/>
                <c:pt idx="0">
                  <c:v>En Proceso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HistoricoAvance!$H$4:$H$20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6"/>
          <c:order val="6"/>
          <c:tx>
            <c:strRef>
              <c:f>HistoricoAvance!$I$3</c:f>
              <c:strCache>
                <c:ptCount val="1"/>
                <c:pt idx="0">
                  <c:v>Reejecuciones</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HistoricoAvance!$I$4:$I$20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HistoricoAvance!$J$4:$J$20</c:f>
              <c:numCache>
                <c:formatCode>General</c:formatCode>
                <c:ptCount val="17"/>
                <c:pt idx="0">
                  <c:v>10</c:v>
                </c:pt>
                <c:pt idx="1">
                  <c:v>15</c:v>
                </c:pt>
                <c:pt idx="2">
                  <c:v>15</c:v>
                </c:pt>
                <c:pt idx="3">
                  <c:v>15</c:v>
                </c:pt>
                <c:pt idx="4">
                  <c:v>25</c:v>
                </c:pt>
                <c:pt idx="5">
                  <c:v>25</c:v>
                </c:pt>
                <c:pt idx="6">
                  <c:v>35</c:v>
                </c:pt>
                <c:pt idx="7">
                  <c:v>35</c:v>
                </c:pt>
                <c:pt idx="8">
                  <c:v>35</c:v>
                </c:pt>
                <c:pt idx="9">
                  <c:v>36</c:v>
                </c:pt>
                <c:pt idx="10">
                  <c:v>36</c:v>
                </c:pt>
                <c:pt idx="11">
                  <c:v>36</c:v>
                </c:pt>
                <c:pt idx="12">
                  <c:v>37</c:v>
                </c:pt>
                <c:pt idx="13">
                  <c:v>37</c:v>
                </c:pt>
                <c:pt idx="14">
                  <c:v>37</c:v>
                </c:pt>
                <c:pt idx="15">
                  <c:v>37</c:v>
                </c:pt>
                <c:pt idx="16">
                  <c:v>37</c:v>
                </c:pt>
              </c:numCache>
            </c:numRef>
          </c:val>
          <c:smooth val="0"/>
        </c:ser>
        <c:dLbls>
          <c:showLegendKey val="0"/>
          <c:showVal val="0"/>
          <c:showCatName val="0"/>
          <c:showSerName val="0"/>
          <c:showPercent val="0"/>
          <c:showBubbleSize val="0"/>
        </c:dLbls>
        <c:marker val="1"/>
        <c:smooth val="0"/>
        <c:axId val="137658752"/>
        <c:axId val="137660288"/>
      </c:lineChart>
      <c:dateAx>
        <c:axId val="137658752"/>
        <c:scaling>
          <c:orientation val="minMax"/>
        </c:scaling>
        <c:delete val="0"/>
        <c:axPos val="b"/>
        <c:numFmt formatCode="dd/mm/yyyy" sourceLinked="1"/>
        <c:majorTickMark val="out"/>
        <c:minorTickMark val="none"/>
        <c:tickLblPos val="nextTo"/>
        <c:txPr>
          <a:bodyPr/>
          <a:lstStyle/>
          <a:p>
            <a:pPr>
              <a:defRPr lang="es-ES"/>
            </a:pPr>
            <a:endParaRPr lang="es-PE"/>
          </a:p>
        </c:txPr>
        <c:crossAx val="137660288"/>
        <c:crosses val="autoZero"/>
        <c:auto val="1"/>
        <c:lblOffset val="100"/>
        <c:baseTimeUnit val="days"/>
      </c:dateAx>
      <c:valAx>
        <c:axId val="13766028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65875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1" l="0.70000000000000062" r="0.70000000000000062" t="0.75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HistoricoAvance!$M$4:$M$20</c:f>
              <c:numCache>
                <c:formatCode>0</c:formatCode>
                <c:ptCount val="17"/>
                <c:pt idx="0">
                  <c:v>55</c:v>
                </c:pt>
                <c:pt idx="1">
                  <c:v>101</c:v>
                </c:pt>
                <c:pt idx="2">
                  <c:v>19</c:v>
                </c:pt>
                <c:pt idx="3">
                  <c:v>3</c:v>
                </c:pt>
                <c:pt idx="4">
                  <c:v>92</c:v>
                </c:pt>
                <c:pt idx="5">
                  <c:v>21</c:v>
                </c:pt>
                <c:pt idx="6">
                  <c:v>63</c:v>
                </c:pt>
                <c:pt idx="7">
                  <c:v>87</c:v>
                </c:pt>
                <c:pt idx="8">
                  <c:v>111</c:v>
                </c:pt>
                <c:pt idx="9">
                  <c:v>36</c:v>
                </c:pt>
                <c:pt idx="10">
                  <c:v>11</c:v>
                </c:pt>
                <c:pt idx="11">
                  <c:v>5</c:v>
                </c:pt>
                <c:pt idx="12">
                  <c:v>48</c:v>
                </c:pt>
                <c:pt idx="13">
                  <c:v>20</c:v>
                </c:pt>
                <c:pt idx="14">
                  <c:v>5</c:v>
                </c:pt>
                <c:pt idx="15">
                  <c:v>0</c:v>
                </c:pt>
                <c:pt idx="16">
                  <c:v>13</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HistoricoAvance!$N$4:$N$20</c:f>
              <c:numCache>
                <c:formatCode>0</c:formatCode>
                <c:ptCount val="17"/>
                <c:pt idx="0">
                  <c:v>0</c:v>
                </c:pt>
                <c:pt idx="1">
                  <c:v>0</c:v>
                </c:pt>
                <c:pt idx="2">
                  <c:v>101</c:v>
                </c:pt>
                <c:pt idx="3">
                  <c:v>120</c:v>
                </c:pt>
                <c:pt idx="4">
                  <c:v>123</c:v>
                </c:pt>
                <c:pt idx="5">
                  <c:v>215</c:v>
                </c:pt>
                <c:pt idx="6">
                  <c:v>215</c:v>
                </c:pt>
                <c:pt idx="7">
                  <c:v>215</c:v>
                </c:pt>
                <c:pt idx="8">
                  <c:v>215</c:v>
                </c:pt>
                <c:pt idx="9">
                  <c:v>333</c:v>
                </c:pt>
                <c:pt idx="10">
                  <c:v>369</c:v>
                </c:pt>
                <c:pt idx="11">
                  <c:v>380</c:v>
                </c:pt>
                <c:pt idx="12">
                  <c:v>380</c:v>
                </c:pt>
                <c:pt idx="13">
                  <c:v>425</c:v>
                </c:pt>
                <c:pt idx="14">
                  <c:v>445</c:v>
                </c:pt>
                <c:pt idx="15">
                  <c:v>450</c:v>
                </c:pt>
                <c:pt idx="16">
                  <c:v>450</c:v>
                </c:pt>
              </c:numCache>
            </c:numRef>
          </c:val>
          <c:smooth val="0"/>
        </c:ser>
        <c:ser>
          <c:idx val="2"/>
          <c:order val="2"/>
          <c:tx>
            <c:strRef>
              <c:f>HistoricoAvance!$O$3</c:f>
              <c:strCache>
                <c:ptCount val="1"/>
                <c:pt idx="0">
                  <c:v>Totales</c:v>
                </c:pt>
              </c:strCache>
            </c:strRef>
          </c:tx>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HistoricoAvance!$O$4:$O$20</c:f>
              <c:numCache>
                <c:formatCode>General</c:formatCode>
                <c:ptCount val="17"/>
                <c:pt idx="0">
                  <c:v>55</c:v>
                </c:pt>
                <c:pt idx="1">
                  <c:v>101</c:v>
                </c:pt>
                <c:pt idx="2">
                  <c:v>120</c:v>
                </c:pt>
                <c:pt idx="3">
                  <c:v>123</c:v>
                </c:pt>
                <c:pt idx="4">
                  <c:v>215</c:v>
                </c:pt>
                <c:pt idx="5">
                  <c:v>236</c:v>
                </c:pt>
                <c:pt idx="6">
                  <c:v>278</c:v>
                </c:pt>
                <c:pt idx="7">
                  <c:v>302</c:v>
                </c:pt>
                <c:pt idx="8">
                  <c:v>326</c:v>
                </c:pt>
                <c:pt idx="9">
                  <c:v>369</c:v>
                </c:pt>
                <c:pt idx="10">
                  <c:v>380</c:v>
                </c:pt>
                <c:pt idx="11">
                  <c:v>385</c:v>
                </c:pt>
                <c:pt idx="12">
                  <c:v>428</c:v>
                </c:pt>
                <c:pt idx="13">
                  <c:v>445</c:v>
                </c:pt>
                <c:pt idx="14">
                  <c:v>450</c:v>
                </c:pt>
                <c:pt idx="15">
                  <c:v>450</c:v>
                </c:pt>
                <c:pt idx="16">
                  <c:v>463</c:v>
                </c:pt>
              </c:numCache>
            </c:numRef>
          </c:val>
          <c:smooth val="0"/>
        </c:ser>
        <c:dLbls>
          <c:showLegendKey val="0"/>
          <c:showVal val="0"/>
          <c:showCatName val="0"/>
          <c:showSerName val="0"/>
          <c:showPercent val="0"/>
          <c:showBubbleSize val="0"/>
        </c:dLbls>
        <c:marker val="1"/>
        <c:smooth val="0"/>
        <c:axId val="140127232"/>
        <c:axId val="140129024"/>
      </c:lineChart>
      <c:dateAx>
        <c:axId val="140127232"/>
        <c:scaling>
          <c:orientation val="minMax"/>
        </c:scaling>
        <c:delete val="0"/>
        <c:axPos val="b"/>
        <c:numFmt formatCode="dd/mm/yyyy" sourceLinked="1"/>
        <c:majorTickMark val="out"/>
        <c:minorTickMark val="none"/>
        <c:tickLblPos val="nextTo"/>
        <c:txPr>
          <a:bodyPr/>
          <a:lstStyle/>
          <a:p>
            <a:pPr>
              <a:defRPr lang="es-ES"/>
            </a:pPr>
            <a:endParaRPr lang="es-PE"/>
          </a:p>
        </c:txPr>
        <c:crossAx val="140129024"/>
        <c:crosses val="autoZero"/>
        <c:auto val="1"/>
        <c:lblOffset val="100"/>
        <c:baseTimeUnit val="days"/>
      </c:dateAx>
      <c:valAx>
        <c:axId val="14012902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012723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dinámica1</c:name>
    <c:fmtId val="0"/>
  </c:pivotSource>
  <c:chart>
    <c:title>
      <c:tx>
        <c:rich>
          <a:bodyPr/>
          <a:lstStyle/>
          <a:p>
            <a:pPr>
              <a:defRPr lang="es-ES"/>
            </a:pPr>
            <a:r>
              <a:rPr lang="en-US"/>
              <a:t>Distribución</a:t>
            </a:r>
            <a:r>
              <a:rPr lang="en-US" baseline="0"/>
              <a:t> por Severidad</a:t>
            </a:r>
            <a:endParaRPr lang="en-US"/>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0158080"/>
        <c:axId val="140159616"/>
      </c:barChart>
      <c:catAx>
        <c:axId val="140158080"/>
        <c:scaling>
          <c:orientation val="minMax"/>
        </c:scaling>
        <c:delete val="0"/>
        <c:axPos val="b"/>
        <c:majorTickMark val="out"/>
        <c:minorTickMark val="none"/>
        <c:tickLblPos val="nextTo"/>
        <c:txPr>
          <a:bodyPr/>
          <a:lstStyle/>
          <a:p>
            <a:pPr>
              <a:defRPr lang="es-ES"/>
            </a:pPr>
            <a:endParaRPr lang="es-PE"/>
          </a:p>
        </c:txPr>
        <c:crossAx val="140159616"/>
        <c:crosses val="autoZero"/>
        <c:auto val="1"/>
        <c:lblAlgn val="ctr"/>
        <c:lblOffset val="100"/>
        <c:noMultiLvlLbl val="0"/>
      </c:catAx>
      <c:valAx>
        <c:axId val="1401596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158080"/>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dinámica2</c:name>
    <c:fmtId val="0"/>
  </c:pivotSource>
  <c:chart>
    <c:title>
      <c:tx>
        <c:rich>
          <a:bodyPr/>
          <a:lstStyle/>
          <a:p>
            <a:pPr>
              <a:defRPr lang="es-ES"/>
            </a:pPr>
            <a:r>
              <a:rPr lang="en-U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0051584"/>
        <c:axId val="140053120"/>
      </c:barChart>
      <c:catAx>
        <c:axId val="140051584"/>
        <c:scaling>
          <c:orientation val="minMax"/>
        </c:scaling>
        <c:delete val="0"/>
        <c:axPos val="b"/>
        <c:majorTickMark val="out"/>
        <c:minorTickMark val="none"/>
        <c:tickLblPos val="nextTo"/>
        <c:txPr>
          <a:bodyPr/>
          <a:lstStyle/>
          <a:p>
            <a:pPr>
              <a:defRPr lang="es-ES"/>
            </a:pPr>
            <a:endParaRPr lang="es-PE"/>
          </a:p>
        </c:txPr>
        <c:crossAx val="140053120"/>
        <c:crosses val="autoZero"/>
        <c:auto val="1"/>
        <c:lblAlgn val="ctr"/>
        <c:lblOffset val="100"/>
        <c:noMultiLvlLbl val="0"/>
      </c:catAx>
      <c:valAx>
        <c:axId val="14005312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051584"/>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dinámica3</c:name>
    <c:fmtId val="0"/>
  </c:pivotSource>
  <c:chart>
    <c:title>
      <c:layout/>
      <c:overlay val="0"/>
      <c:txPr>
        <a:bodyPr/>
        <a:lstStyle/>
        <a:p>
          <a:pPr>
            <a:defRPr lang="es-ES"/>
          </a:pPr>
          <a:endParaRPr lang="es-PE"/>
        </a:p>
      </c:txPr>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0096640"/>
        <c:axId val="140098176"/>
      </c:barChart>
      <c:catAx>
        <c:axId val="140096640"/>
        <c:scaling>
          <c:orientation val="minMax"/>
        </c:scaling>
        <c:delete val="0"/>
        <c:axPos val="b"/>
        <c:majorTickMark val="out"/>
        <c:minorTickMark val="none"/>
        <c:tickLblPos val="nextTo"/>
        <c:txPr>
          <a:bodyPr/>
          <a:lstStyle/>
          <a:p>
            <a:pPr>
              <a:defRPr lang="es-ES"/>
            </a:pPr>
            <a:endParaRPr lang="es-PE"/>
          </a:p>
        </c:txPr>
        <c:crossAx val="140098176"/>
        <c:crosses val="autoZero"/>
        <c:auto val="1"/>
        <c:lblAlgn val="ctr"/>
        <c:lblOffset val="100"/>
        <c:noMultiLvlLbl val="0"/>
      </c:catAx>
      <c:valAx>
        <c:axId val="1400981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096640"/>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dinámica5</c:name>
    <c:fmtId val="0"/>
  </c:pivotSource>
  <c:chart>
    <c:title>
      <c:tx>
        <c:rich>
          <a:bodyPr/>
          <a:lstStyle/>
          <a:p>
            <a:pPr>
              <a:defRPr lang="es-ES"/>
            </a:pPr>
            <a:r>
              <a:rPr lang="en-US"/>
              <a:t>Distribución por Responsable</a:t>
            </a:r>
          </a:p>
        </c:rich>
      </c:tx>
      <c:layout/>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0110464"/>
        <c:axId val="141570432"/>
      </c:barChart>
      <c:catAx>
        <c:axId val="140110464"/>
        <c:scaling>
          <c:orientation val="minMax"/>
        </c:scaling>
        <c:delete val="0"/>
        <c:axPos val="b"/>
        <c:majorTickMark val="out"/>
        <c:minorTickMark val="none"/>
        <c:tickLblPos val="nextTo"/>
        <c:txPr>
          <a:bodyPr/>
          <a:lstStyle/>
          <a:p>
            <a:pPr>
              <a:defRPr lang="es-ES"/>
            </a:pPr>
            <a:endParaRPr lang="es-PE"/>
          </a:p>
        </c:txPr>
        <c:crossAx val="141570432"/>
        <c:crosses val="autoZero"/>
        <c:auto val="1"/>
        <c:lblAlgn val="ctr"/>
        <c:lblOffset val="100"/>
        <c:noMultiLvlLbl val="0"/>
      </c:catAx>
      <c:valAx>
        <c:axId val="14157043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110464"/>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dinámica6</c:name>
    <c:fmtId val="0"/>
  </c:pivotSource>
  <c:chart>
    <c:title>
      <c:tx>
        <c:rich>
          <a:bodyPr/>
          <a:lstStyle/>
          <a:p>
            <a:pPr>
              <a:defRPr lang="es-ES"/>
            </a:pPr>
            <a:r>
              <a:rPr lang="es-E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599488"/>
        <c:axId val="141601024"/>
      </c:barChart>
      <c:catAx>
        <c:axId val="141599488"/>
        <c:scaling>
          <c:orientation val="minMax"/>
        </c:scaling>
        <c:delete val="0"/>
        <c:axPos val="b"/>
        <c:majorTickMark val="out"/>
        <c:minorTickMark val="none"/>
        <c:tickLblPos val="nextTo"/>
        <c:txPr>
          <a:bodyPr/>
          <a:lstStyle/>
          <a:p>
            <a:pPr>
              <a:defRPr lang="es-ES"/>
            </a:pPr>
            <a:endParaRPr lang="es-PE"/>
          </a:p>
        </c:txPr>
        <c:crossAx val="141601024"/>
        <c:crosses val="autoZero"/>
        <c:auto val="1"/>
        <c:lblAlgn val="ctr"/>
        <c:lblOffset val="100"/>
        <c:noMultiLvlLbl val="0"/>
      </c:catAx>
      <c:valAx>
        <c:axId val="1416010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599488"/>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dinámica7</c:name>
    <c:fmtId val="0"/>
  </c:pivotSource>
  <c:chart>
    <c:title>
      <c:tx>
        <c:rich>
          <a:bodyPr/>
          <a:lstStyle/>
          <a:p>
            <a:pPr>
              <a:defRPr lang="es-ES"/>
            </a:pPr>
            <a:r>
              <a:rPr lang="en-US"/>
              <a:t>Distribución</a:t>
            </a:r>
            <a:r>
              <a:rPr lang="en-US" baseline="0"/>
              <a:t> por Estado</a:t>
            </a:r>
          </a:p>
        </c:rich>
      </c:tx>
      <c:layout/>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2089216"/>
        <c:axId val="142095104"/>
      </c:barChart>
      <c:catAx>
        <c:axId val="142089216"/>
        <c:scaling>
          <c:orientation val="minMax"/>
        </c:scaling>
        <c:delete val="0"/>
        <c:axPos val="b"/>
        <c:majorTickMark val="out"/>
        <c:minorTickMark val="none"/>
        <c:tickLblPos val="nextTo"/>
        <c:txPr>
          <a:bodyPr/>
          <a:lstStyle/>
          <a:p>
            <a:pPr>
              <a:defRPr lang="es-ES"/>
            </a:pPr>
            <a:endParaRPr lang="es-PE"/>
          </a:p>
        </c:txPr>
        <c:crossAx val="142095104"/>
        <c:crosses val="autoZero"/>
        <c:auto val="1"/>
        <c:lblAlgn val="ctr"/>
        <c:lblOffset val="100"/>
        <c:noMultiLvlLbl val="0"/>
      </c:catAx>
      <c:valAx>
        <c:axId val="1420951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2089216"/>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2</xdr:col>
          <xdr:colOff>2564466</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72" dataDxfId="70" headerRowBorderDxfId="71" tableBorderDxfId="69">
  <autoFilter ref="A4:Q41"/>
  <tableColumns count="17">
    <tableColumn id="1" name="Código de REQ" dataDxfId="68"/>
    <tableColumn id="2" name="Código CP" dataDxfId="67"/>
    <tableColumn id="3" name="Funcionalidad" dataDxfId="66"/>
    <tableColumn id="4" name="Descripción Caso de Prueba" dataDxfId="65"/>
    <tableColumn id="5" name="Resultado Esperado" dataDxfId="64"/>
    <tableColumn id="6" name="Resultado Real" dataDxfId="63">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62"/>
    <tableColumn id="8" name="Prioridad" dataDxfId="61"/>
    <tableColumn id="9" name="Severidad" dataDxfId="60"/>
    <tableColumn id="10" name="Estado Incidencia" dataDxfId="59"/>
    <tableColumn id="11" name="Reejecución" dataDxfId="58"/>
    <tableColumn id="12" name="Fecha Planificada" dataDxfId="57">
      <calculatedColumnFormula>General!$A$10</calculatedColumnFormula>
    </tableColumn>
    <tableColumn id="13" name="Fecha Real" dataDxfId="56"/>
    <tableColumn id="14" name="Duración Caso de Prueba (horas / hombre)" dataDxfId="55"/>
    <tableColumn id="16" name="Pre-requisitos para la ejecución de la prueba" dataDxfId="54"/>
    <tableColumn id="17" name="Observaciones Pruebas Testing" dataDxfId="53"/>
    <tableColumn id="18" name="Revisión" dataDxfId="52">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M465" totalsRowShown="0" headerRowDxfId="51" dataDxfId="49" headerRowBorderDxfId="50" tableBorderDxfId="48">
  <autoFilter ref="A2:M465">
    <filterColumn colId="5">
      <filters>
        <filter val="Abierta"/>
      </filters>
    </filterColumn>
  </autoFilter>
  <sortState ref="A243:N304">
    <sortCondition ref="K2:K361"/>
  </sortState>
  <tableColumns count="13">
    <tableColumn id="1" name="Cod. Obs." dataDxfId="47"/>
    <tableColumn id="2" name="Caso de Prueba" dataDxfId="46"/>
    <tableColumn id="12" name="Columna1" dataDxfId="0">
      <calculatedColumnFormula>VLOOKUP(Observaciones[[#This Row],[Caso de Prueba]],CasoPrueba[[Código CP]:[Descripción Caso de Prueba]],3,0)</calculatedColumnFormula>
    </tableColumn>
    <tableColumn id="3" name="Prioridad" dataDxfId="45">
      <calculatedColumnFormula>VLOOKUP(Observaciones[Caso de Prueba],CasoPrueba[[#All],[Código CP]:[Prioridad]],7,TRUE)</calculatedColumnFormula>
    </tableColumn>
    <tableColumn id="4" name="Severidad" dataDxfId="44"/>
    <tableColumn id="5" name="Estado" dataDxfId="43"/>
    <tableColumn id="6" name="Fecha Detección" dataDxfId="42"/>
    <tableColumn id="7" name="Fecha Levantamiento" dataDxfId="41"/>
    <tableColumn id="8" name="Responsable" dataDxfId="40"/>
    <tableColumn id="9" name="Descripción" dataDxfId="39"/>
    <tableColumn id="10" name="Solución" dataDxfId="38"/>
    <tableColumn id="11" name="Tiempo de Solución (Dias)" dataDxfId="37">
      <calculatedColumnFormula>IF((Observaciones[[#This Row],[Fecha Levantamiento]]-Observaciones[[#This Row],[Fecha Detección]])&gt;=0,Observaciones[[#This Row],[Fecha Levantamiento]]-Observaciones[[#This Row],[Fecha Detección]]+1,0)</calculatedColumnFormula>
    </tableColumn>
    <tableColumn id="13" name="Cod. Req." dataDxfId="36">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5" dataDxfId="34">
  <autoFilter ref="A2:J3"/>
  <tableColumns count="10">
    <tableColumn id="1" name="Cod. Cons." dataDxfId="33"/>
    <tableColumn id="2" name="Caso de Prueba" dataDxfId="32"/>
    <tableColumn id="3" name="Prioridad" dataDxfId="31">
      <calculatedColumnFormula>VLOOKUP(Consultas[[#This Row],[Caso de Prueba]],CasoPrueba[[#All],[Código CP]:[Prioridad]],7,TRUE)</calculatedColumnFormula>
    </tableColumn>
    <tableColumn id="4" name="Estado" dataDxfId="30"/>
    <tableColumn id="10" name="Responsable" dataDxfId="29"/>
    <tableColumn id="5" name="Fecha Solicitud" dataDxfId="28"/>
    <tableColumn id="6" name="Fecha Respuesta" dataDxfId="27"/>
    <tableColumn id="7" name="Descripción de la Consulta" dataDxfId="26"/>
    <tableColumn id="8" name="Respuesta del Responsable" dataDxfId="25"/>
    <tableColumn id="9" name="Tiempo de Solución" dataDxfId="24">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20" totalsRowShown="0" headerRowDxfId="23" headerRowBorderDxfId="22" tableBorderDxfId="21">
  <tableColumns count="4">
    <tableColumn id="1" name="Fecha" dataDxfId="20"/>
    <tableColumn id="2" name="Abiertas" dataDxfId="19"/>
    <tableColumn id="4" name="Cerradas" dataDxfId="18"/>
    <tableColumn id="5" name="Totales" dataDxfId="17">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20" totalsRowShown="0" headerRowDxfId="16" dataDxfId="14" headerRowBorderDxfId="15" tableBorderDxfId="13">
  <tableColumns count="9">
    <tableColumn id="1" name="Fecha" dataDxfId="12"/>
    <tableColumn id="2" name="Aciertos" dataDxfId="11"/>
    <tableColumn id="3" name="Fallos" dataDxfId="10"/>
    <tableColumn id="4" name="Bloqueado" dataDxfId="9"/>
    <tableColumn id="7" name="Pendiente" dataDxfId="8"/>
    <tableColumn id="5" name="No Aplica" dataDxfId="7"/>
    <tableColumn id="8" name="En Proceso" dataDxfId="6"/>
    <tableColumn id="9" name="Reejecuciones" dataDxfId="5"/>
    <tableColumn id="6" name="Totales" dataDxfId="4">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0.67567567567567566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12</v>
      </c>
      <c r="D13" s="74"/>
      <c r="E13" s="5">
        <f>COUNTIF(CasoPrueba[[#All],[Estado Testing]],$P$28)</f>
        <v>25</v>
      </c>
      <c r="F13" s="5">
        <f>COUNTIF(CasoPrueba[[#All],[Estado Testing]],$P$29)</f>
        <v>12</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0.67567567567567566</v>
      </c>
      <c r="F14" s="15">
        <f t="shared" si="0"/>
        <v>0.32432432432432434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25</v>
      </c>
      <c r="D18" s="45">
        <f>C18/$C$10</f>
        <v>0.67567567567567566</v>
      </c>
      <c r="E18" s="46">
        <f>COUNTIFS(CasoPrueba[[#All],[Estado Testing]],$P$29,CasoPrueba[[#All],[Prioridad]],$P$17)</f>
        <v>12</v>
      </c>
      <c r="F18" s="47">
        <f>E18/$C$10</f>
        <v>0.32432432432432434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12</v>
      </c>
      <c r="N18" s="53">
        <f>M18/$C$10</f>
        <v>0.32432432432432434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25</v>
      </c>
      <c r="D21" s="63">
        <f t="shared" ref="D21:N21" si="2">SUM(D18:D20)</f>
        <v>0.67567567567567566</v>
      </c>
      <c r="E21" s="62">
        <f t="shared" si="2"/>
        <v>12</v>
      </c>
      <c r="F21" s="63">
        <f t="shared" si="2"/>
        <v>0.32432432432432434</v>
      </c>
      <c r="G21" s="62">
        <f t="shared" si="2"/>
        <v>0</v>
      </c>
      <c r="H21" s="63">
        <f t="shared" si="2"/>
        <v>0</v>
      </c>
      <c r="I21" s="62">
        <f t="shared" si="2"/>
        <v>0</v>
      </c>
      <c r="J21" s="63">
        <f t="shared" si="2"/>
        <v>0</v>
      </c>
      <c r="K21" s="62">
        <f>SUM(K18:K20)</f>
        <v>0</v>
      </c>
      <c r="L21" s="63">
        <f>SUM(L18:L20)</f>
        <v>0</v>
      </c>
      <c r="M21" s="62">
        <f t="shared" si="2"/>
        <v>12</v>
      </c>
      <c r="N21" s="63">
        <f t="shared" si="2"/>
        <v>0.32432432432432434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v>
      </c>
      <c r="D30" s="124">
        <f>C30/$C$10</f>
        <v>5.4054054054054057E-2</v>
      </c>
      <c r="E30" s="125">
        <f>COUNTIFS(Observaciones[[#All],[Estado]],Resumen!$P$24,Observaciones[[#All],[Severidad]],Resumen!$P$11)</f>
        <v>94</v>
      </c>
      <c r="F30" s="124">
        <f>E30/$C$10</f>
        <v>2.5405405405405403</v>
      </c>
      <c r="G30" s="119"/>
      <c r="H30" s="122" t="s">
        <v>33</v>
      </c>
      <c r="I30" s="126">
        <f>COUNTIFS(Observaciones[[#All],[Severidad]],Resumen!$P$11,Observaciones[[#All],[Prioridad]],Resumen!$P$17)</f>
        <v>96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0.1891891891891892</v>
      </c>
      <c r="E31" s="125">
        <f>COUNTIFS(Observaciones[[#All],[Estado]],Resumen!$P$24,Observaciones[[#All],[Severidad]],Resumen!$P$12)</f>
        <v>149</v>
      </c>
      <c r="F31" s="124">
        <f>E31/$C$10</f>
        <v>4.0270270270270272</v>
      </c>
      <c r="G31" s="119"/>
      <c r="H31" s="122" t="s">
        <v>35</v>
      </c>
      <c r="I31" s="126">
        <f>COUNTIFS(Observaciones[[#All],[Severidad]],Resumen!$P$12,Observaciones[[#All],[Prioridad]],Resumen!$P$17)</f>
        <v>156</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4</v>
      </c>
      <c r="D32" s="124">
        <f>C32/$C$10</f>
        <v>0.10810810810810811</v>
      </c>
      <c r="E32" s="125">
        <f>COUNTIFS(Observaciones[[#All],[Estado]],Resumen!$P$24,Observaciones[[#All],[Severidad]],Resumen!$P$13)</f>
        <v>97</v>
      </c>
      <c r="F32" s="124">
        <f>E32/$C$10</f>
        <v>2.6216216216216215</v>
      </c>
      <c r="G32" s="119"/>
      <c r="H32" s="122" t="s">
        <v>37</v>
      </c>
      <c r="I32" s="126">
        <f>COUNTIFS(Observaciones[[#All],[Severidad]],Resumen!$P$13,Observaciones[[#All],[Prioridad]],Resumen!$P$17)</f>
        <v>101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110</v>
      </c>
      <c r="F33" s="124">
        <f>E33/$C$10</f>
        <v>2.9729729729729728</v>
      </c>
      <c r="G33" s="119"/>
      <c r="H33" s="122" t="s">
        <v>39</v>
      </c>
      <c r="I33" s="126">
        <f>COUNTIFS(Observaciones[[#All],[Severidad]],Resumen!$P$14,Observaciones[[#All],[Prioridad]],Resumen!$P$17)</f>
        <v>110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13</v>
      </c>
      <c r="D34" s="129">
        <f>SUM(D30:D33)</f>
        <v>0.35135135135135137</v>
      </c>
      <c r="E34" s="128">
        <f>SUM(E30:E33)</f>
        <v>450</v>
      </c>
      <c r="F34" s="129">
        <f>SUM(F30:F33)</f>
        <v>12.162162162162161</v>
      </c>
      <c r="G34" s="119"/>
      <c r="H34" s="122" t="s">
        <v>72</v>
      </c>
      <c r="I34" s="130">
        <f>SUM(I30:I33)</f>
        <v>463</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3" priority="1" stopIfTrue="1">
      <formula>NOT(ISERROR(SEARCH("INSATISFACTORIO",G4)))</formula>
    </cfRule>
    <cfRule type="expression" dxfId="2" priority="2" stopIfTrue="1">
      <formula>NOT(ISERROR(SEARCH("SATISFACTORIO con Observaciones",G4)))</formula>
    </cfRule>
    <cfRule type="expression" dxfId="1"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zoomScale="80" zoomScaleNormal="80" workbookViewId="0">
      <selection activeCell="E111" sqref="E11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6.8030303030303028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38" zoomScale="91" zoomScaleNormal="91" workbookViewId="0">
      <selection activeCell="O6" sqref="O6"/>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29</v>
      </c>
      <c r="J5" s="90" t="s">
        <v>47</v>
      </c>
      <c r="L5" s="93">
        <f>General!$A$10</f>
        <v>0</v>
      </c>
      <c r="M5" s="93">
        <v>40637</v>
      </c>
      <c r="N5" s="90">
        <v>1</v>
      </c>
      <c r="P5" s="92" t="s">
        <v>1356</v>
      </c>
      <c r="R5" s="102"/>
    </row>
    <row r="6" spans="1:18" ht="22.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29</v>
      </c>
      <c r="J6" s="90" t="s">
        <v>47</v>
      </c>
      <c r="K6" s="90"/>
      <c r="L6" s="93">
        <f>General!$A$10</f>
        <v>0</v>
      </c>
      <c r="M6" s="93"/>
      <c r="N6" s="90"/>
      <c r="O6" s="90"/>
      <c r="P6" s="92" t="s">
        <v>1357</v>
      </c>
      <c r="Q6" s="90"/>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30</v>
      </c>
      <c r="J7" s="90" t="s">
        <v>47</v>
      </c>
      <c r="K7" s="90"/>
      <c r="L7" s="93">
        <f>General!$A$10</f>
        <v>0</v>
      </c>
      <c r="M7" s="93"/>
      <c r="N7" s="90"/>
      <c r="O7" s="90"/>
      <c r="P7" s="92" t="s">
        <v>1358</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1133</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30</v>
      </c>
      <c r="J9" s="90" t="s">
        <v>47</v>
      </c>
      <c r="K9" s="90"/>
      <c r="L9" s="93">
        <f>General!$A$10</f>
        <v>0</v>
      </c>
      <c r="M9" s="93"/>
      <c r="N9" s="90"/>
      <c r="O9" s="90"/>
      <c r="P9" s="92" t="s">
        <v>1359</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1085</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1086</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1087</v>
      </c>
      <c r="Q12" s="90"/>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1360</v>
      </c>
      <c r="Q13" s="90"/>
    </row>
    <row r="14" spans="1:18" ht="4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30</v>
      </c>
      <c r="J14" s="90" t="s">
        <v>47</v>
      </c>
      <c r="K14" s="90"/>
      <c r="L14" s="93">
        <f>General!$A$10</f>
        <v>0</v>
      </c>
      <c r="M14" s="93"/>
      <c r="N14" s="90"/>
      <c r="O14" s="90"/>
      <c r="P14" s="92" t="s">
        <v>1361</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1088</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1089</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1090</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1091</v>
      </c>
      <c r="Q18" s="90"/>
    </row>
    <row r="19" spans="1:17" ht="4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1362</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29</v>
      </c>
      <c r="J22" s="90" t="s">
        <v>47</v>
      </c>
      <c r="K22" s="90"/>
      <c r="L22" s="93">
        <f>General!$A$10</f>
        <v>0</v>
      </c>
      <c r="M22" s="93"/>
      <c r="N22" s="90"/>
      <c r="O22" s="90"/>
      <c r="P22" s="92" t="s">
        <v>1367</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1061</v>
      </c>
      <c r="Q23" s="90"/>
    </row>
    <row r="24" spans="1:17" ht="30">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1368</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883</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884</v>
      </c>
      <c r="Q26" s="90" t="str">
        <f>CONCATENATE(General!$B$7," ",General!$B$6)</f>
        <v>Nicolay García José Ramos Ramírez</v>
      </c>
    </row>
    <row r="27" spans="1:17" ht="33.7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29</v>
      </c>
      <c r="J27" s="90" t="s">
        <v>47</v>
      </c>
      <c r="K27" s="90"/>
      <c r="L27" s="93">
        <f>General!$A$10</f>
        <v>0</v>
      </c>
      <c r="M27" s="93"/>
      <c r="N27" s="90"/>
      <c r="O27" s="90"/>
      <c r="P27" s="92" t="s">
        <v>1369</v>
      </c>
      <c r="Q27" s="90"/>
    </row>
    <row r="28" spans="1:17" ht="33.7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29</v>
      </c>
      <c r="J28" s="90" t="s">
        <v>47</v>
      </c>
      <c r="K28" s="90"/>
      <c r="L28" s="93">
        <f>General!$A$10</f>
        <v>0</v>
      </c>
      <c r="M28" s="93"/>
      <c r="N28" s="90"/>
      <c r="O28" s="90"/>
      <c r="P28" s="92" t="s">
        <v>1370</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885</v>
      </c>
      <c r="Q29" s="90" t="str">
        <f>CONCATENATE(General!$B$7," ",General!$B$6)</f>
        <v>Nicolay García José Ramos Ramírez</v>
      </c>
    </row>
    <row r="30" spans="1:17" ht="33.75">
      <c r="A30" s="90" t="s">
        <v>159</v>
      </c>
      <c r="B30" s="168" t="s">
        <v>886</v>
      </c>
      <c r="C30" s="90" t="s">
        <v>170</v>
      </c>
      <c r="D30" s="31" t="s">
        <v>893</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1036</v>
      </c>
      <c r="Q30" s="90"/>
    </row>
    <row r="31" spans="1:17" ht="30">
      <c r="A31" s="90" t="s">
        <v>159</v>
      </c>
      <c r="B31" s="168" t="s">
        <v>887</v>
      </c>
      <c r="C31" s="90" t="s">
        <v>170</v>
      </c>
      <c r="D31" s="31" t="s">
        <v>894</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1037</v>
      </c>
      <c r="Q31" s="90"/>
    </row>
    <row r="32" spans="1:17" ht="56.25">
      <c r="A32" s="90" t="s">
        <v>159</v>
      </c>
      <c r="B32" s="168" t="s">
        <v>888</v>
      </c>
      <c r="C32" s="90" t="s">
        <v>170</v>
      </c>
      <c r="D32" s="31" t="s">
        <v>895</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1062</v>
      </c>
      <c r="Q32" s="90"/>
    </row>
    <row r="33" spans="1:17" ht="168.75">
      <c r="A33" s="90" t="s">
        <v>159</v>
      </c>
      <c r="B33" s="168" t="s">
        <v>889</v>
      </c>
      <c r="C33" s="90" t="s">
        <v>170</v>
      </c>
      <c r="D33" s="31" t="s">
        <v>896</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951</v>
      </c>
      <c r="Q33" s="90" t="str">
        <f>CONCATENATE(General!$B$7," ",General!$B$6)</f>
        <v>Nicolay García José Ramos Ramírez</v>
      </c>
    </row>
    <row r="34" spans="1:17" ht="33.75">
      <c r="A34" s="90" t="s">
        <v>159</v>
      </c>
      <c r="B34" s="168" t="s">
        <v>890</v>
      </c>
      <c r="C34" s="90" t="s">
        <v>170</v>
      </c>
      <c r="D34" s="31" t="s">
        <v>897</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1038</v>
      </c>
      <c r="Q34" s="90"/>
    </row>
    <row r="35" spans="1:17" ht="180">
      <c r="A35" s="90" t="s">
        <v>159</v>
      </c>
      <c r="B35" s="168" t="s">
        <v>891</v>
      </c>
      <c r="C35" s="90" t="s">
        <v>170</v>
      </c>
      <c r="D35" s="31" t="s">
        <v>898</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952</v>
      </c>
      <c r="Q35" s="90" t="str">
        <f>CONCATENATE(General!$B$7," ",General!$B$6)</f>
        <v>Nicolay García José Ramos Ramírez</v>
      </c>
    </row>
    <row r="36" spans="1:17" ht="168.75">
      <c r="A36" s="90" t="s">
        <v>159</v>
      </c>
      <c r="B36" s="168" t="s">
        <v>892</v>
      </c>
      <c r="C36" s="90" t="s">
        <v>170</v>
      </c>
      <c r="D36" s="31" t="s">
        <v>899</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953</v>
      </c>
      <c r="Q36" s="90" t="str">
        <f>CONCATENATE(General!$B$7," ",General!$B$6)</f>
        <v>Nicolay García José Ramos Ramírez</v>
      </c>
    </row>
    <row r="37" spans="1:17" ht="202.5">
      <c r="A37" s="90" t="s">
        <v>159</v>
      </c>
      <c r="B37" s="168" t="s">
        <v>903</v>
      </c>
      <c r="C37" s="90" t="s">
        <v>170</v>
      </c>
      <c r="D37" s="169" t="s">
        <v>900</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1021</v>
      </c>
      <c r="Q37" s="90" t="str">
        <f>CONCATENATE(General!$B$7," ",General!$B$6)</f>
        <v>Nicolay García José Ramos Ramírez</v>
      </c>
    </row>
    <row r="38" spans="1:17" ht="202.5">
      <c r="A38" s="90" t="s">
        <v>159</v>
      </c>
      <c r="B38" s="168" t="s">
        <v>904</v>
      </c>
      <c r="C38" s="90" t="s">
        <v>170</v>
      </c>
      <c r="D38" s="169" t="s">
        <v>901</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1022</v>
      </c>
      <c r="Q38" s="90" t="str">
        <f>CONCATENATE(General!$B$7," ",General!$B$6)</f>
        <v>Nicolay García José Ramos Ramírez</v>
      </c>
    </row>
    <row r="39" spans="1:17" ht="33.75">
      <c r="A39" s="90" t="s">
        <v>159</v>
      </c>
      <c r="B39" s="168" t="s">
        <v>905</v>
      </c>
      <c r="C39" s="90" t="s">
        <v>170</v>
      </c>
      <c r="D39" s="169" t="s">
        <v>902</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29</v>
      </c>
      <c r="J39" s="90" t="s">
        <v>47</v>
      </c>
      <c r="K39" s="168"/>
      <c r="L39" s="172">
        <f>General!$A$10</f>
        <v>0</v>
      </c>
      <c r="M39" s="172"/>
      <c r="N39" s="168"/>
      <c r="O39" s="168"/>
      <c r="P39" s="171" t="s">
        <v>1371</v>
      </c>
      <c r="Q39" s="90" t="str">
        <f>CONCATENATE(General!$B$7," ",General!$B$6)</f>
        <v>Nicolay García José Ramos Ramírez</v>
      </c>
    </row>
    <row r="40" spans="1:17" ht="56.25">
      <c r="A40" s="168" t="s">
        <v>159</v>
      </c>
      <c r="B40" s="168" t="s">
        <v>1182</v>
      </c>
      <c r="C40" s="90" t="s">
        <v>170</v>
      </c>
      <c r="D40" s="169" t="s">
        <v>1092</v>
      </c>
      <c r="E40" s="90" t="s">
        <v>160</v>
      </c>
      <c r="F40" s="91" t="str">
        <f>IF(CasoPrueba[[#This Row],[Estado Testing]]=Resumen!$P$28,"OK",IF(CasoPrueba[[#This Row],[Estado Testing]]=Resumen!$P$29,"NO OK",IF((CasoPrueba[[#This Row],[Estado Testing]]=Resumen!$P$30)+(CasoPrueba[[#This Row],[Estado Testing]]=Resumen!$P$31),"OBSERVADO","")))</f>
        <v>OK</v>
      </c>
      <c r="G40" s="92" t="s">
        <v>19</v>
      </c>
      <c r="H40" s="90" t="s">
        <v>28</v>
      </c>
      <c r="I40" s="92"/>
      <c r="J40" s="90"/>
      <c r="K40" s="168"/>
      <c r="L40" s="172">
        <f>General!$A$10</f>
        <v>0</v>
      </c>
      <c r="M40" s="172"/>
      <c r="N40" s="168"/>
      <c r="O40" s="168"/>
      <c r="P40" s="171" t="s">
        <v>1334</v>
      </c>
      <c r="Q40" s="90"/>
    </row>
    <row r="41" spans="1:17" ht="45">
      <c r="A41" s="168" t="s">
        <v>159</v>
      </c>
      <c r="B41" s="168" t="s">
        <v>1186</v>
      </c>
      <c r="C41" s="90" t="s">
        <v>170</v>
      </c>
      <c r="D41" s="31" t="s">
        <v>1187</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c r="J41" s="90"/>
      <c r="K41" s="168"/>
      <c r="L41" s="172">
        <f>General!$A$10</f>
        <v>0</v>
      </c>
      <c r="M41" s="172"/>
      <c r="N41" s="168"/>
      <c r="O41" s="168"/>
      <c r="P41" s="171" t="s">
        <v>1335</v>
      </c>
      <c r="Q41" s="90"/>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O465"/>
  <sheetViews>
    <sheetView tabSelected="1" topLeftCell="A457" zoomScale="85" zoomScaleNormal="85" workbookViewId="0">
      <selection activeCell="C466" sqref="C466"/>
    </sheetView>
  </sheetViews>
  <sheetFormatPr baseColWidth="10" defaultColWidth="0" defaultRowHeight="15"/>
  <cols>
    <col min="1" max="1" width="12.7109375" style="72" customWidth="1"/>
    <col min="2" max="2" width="12.7109375" style="34" customWidth="1"/>
    <col min="3" max="3" width="64.28515625" style="34" bestFit="1" customWidth="1"/>
    <col min="4" max="6" width="12.7109375" style="34" customWidth="1"/>
    <col min="7" max="8" width="12.7109375" style="73" customWidth="1"/>
    <col min="9" max="9" width="13.28515625" style="94" customWidth="1"/>
    <col min="10" max="10" width="41.5703125" style="34" customWidth="1"/>
    <col min="11" max="11" width="40.42578125" style="34" customWidth="1"/>
    <col min="12" max="12" width="12.7109375" style="31" customWidth="1"/>
    <col min="13" max="13" width="13.85546875" style="31" customWidth="1"/>
    <col min="14" max="16384" width="11.42578125" style="31" hidden="1"/>
  </cols>
  <sheetData>
    <row r="1" spans="1:15" customFormat="1" ht="31.5">
      <c r="A1" s="201" t="s">
        <v>96</v>
      </c>
      <c r="B1" s="201"/>
      <c r="C1" s="201"/>
      <c r="D1" s="201"/>
      <c r="E1" s="201"/>
      <c r="F1" s="201"/>
      <c r="G1" s="201"/>
      <c r="H1" s="201"/>
      <c r="I1" s="201"/>
      <c r="J1" s="201"/>
      <c r="K1" s="201"/>
      <c r="L1" s="201"/>
      <c r="O1" s="31" t="s">
        <v>132</v>
      </c>
    </row>
    <row r="2" spans="1:15" s="71" customFormat="1" ht="38.25">
      <c r="A2" s="153" t="s">
        <v>89</v>
      </c>
      <c r="B2" s="154" t="s">
        <v>90</v>
      </c>
      <c r="C2" s="154" t="s">
        <v>1380</v>
      </c>
      <c r="D2" s="154" t="s">
        <v>78</v>
      </c>
      <c r="E2" s="154" t="s">
        <v>79</v>
      </c>
      <c r="F2" s="154" t="s">
        <v>91</v>
      </c>
      <c r="G2" s="155" t="s">
        <v>92</v>
      </c>
      <c r="H2" s="155" t="s">
        <v>93</v>
      </c>
      <c r="I2" s="155" t="s">
        <v>129</v>
      </c>
      <c r="J2" s="154" t="s">
        <v>3</v>
      </c>
      <c r="K2" s="154" t="s">
        <v>94</v>
      </c>
      <c r="L2" s="156" t="s">
        <v>104</v>
      </c>
      <c r="M2" s="156" t="s">
        <v>143</v>
      </c>
      <c r="O2" s="31" t="s">
        <v>133</v>
      </c>
    </row>
    <row r="3" spans="1:15" ht="45" hidden="1">
      <c r="A3" s="72" t="s">
        <v>97</v>
      </c>
      <c r="B3" s="34" t="s">
        <v>88</v>
      </c>
      <c r="C3" s="34" t="str">
        <f>VLOOKUP(Observaciones[[#This Row],[Caso de Prueba]],CasoPrueba[[Código CP]:[Descripción Caso de Prueba]],3,0)</f>
        <v>MacroProceso - Gestión de Recursos Humanos</v>
      </c>
      <c r="D3" s="34" t="str">
        <f>VLOOKUP(Observaciones[Caso de Prueba],CasoPrueba[[#All],[Código CP]:[Prioridad]],7,TRUE)</f>
        <v>Alta</v>
      </c>
      <c r="E3" s="34" t="s">
        <v>30</v>
      </c>
      <c r="F3" s="34" t="s">
        <v>49</v>
      </c>
      <c r="G3" s="73">
        <v>40784</v>
      </c>
      <c r="H3" s="73">
        <v>40796</v>
      </c>
      <c r="I3" s="94" t="s">
        <v>132</v>
      </c>
      <c r="J3" s="34" t="s">
        <v>227</v>
      </c>
      <c r="K3" s="34" t="s">
        <v>228</v>
      </c>
      <c r="L3" s="34">
        <f>IF((Observaciones[[#This Row],[Fecha Levantamiento]]-Observaciones[[#This Row],[Fecha Detección]])&gt;=0,Observaciones[[#This Row],[Fecha Levantamiento]]-Observaciones[[#This Row],[Fecha Detección]]+1,0)</f>
        <v>13</v>
      </c>
      <c r="M3" s="34" t="str">
        <f>LOOKUP(Observaciones[[#This Row],[Caso de Prueba]],CasoPrueba[Código CP],CasoPrueba[Código de REQ])</f>
        <v>INSPECCIÓN</v>
      </c>
    </row>
    <row r="4" spans="1:15" ht="30" hidden="1">
      <c r="A4" s="166" t="s">
        <v>161</v>
      </c>
      <c r="B4" s="164" t="s">
        <v>88</v>
      </c>
      <c r="C4" s="164" t="str">
        <f>VLOOKUP(Observaciones[[#This Row],[Caso de Prueba]],CasoPrueba[[Código CP]:[Descripción Caso de Prueba]],3,0)</f>
        <v>MacroProceso - Gestión de Recursos Humanos</v>
      </c>
      <c r="D4" s="34" t="str">
        <f>VLOOKUP(Observaciones[Caso de Prueba],CasoPrueba[[#All],[Código CP]:[Prioridad]],7,TRUE)</f>
        <v>Alta</v>
      </c>
      <c r="E4" s="164" t="s">
        <v>30</v>
      </c>
      <c r="F4" s="34" t="s">
        <v>49</v>
      </c>
      <c r="G4" s="165">
        <v>40784</v>
      </c>
      <c r="H4" s="73">
        <v>40796</v>
      </c>
      <c r="I4" s="167" t="s">
        <v>132</v>
      </c>
      <c r="J4" s="164" t="s">
        <v>192</v>
      </c>
      <c r="K4" s="164" t="s">
        <v>193</v>
      </c>
      <c r="L4" s="34">
        <f>IF((Observaciones[[#This Row],[Fecha Levantamiento]]-Observaciones[[#This Row],[Fecha Detección]])&gt;=0,Observaciones[[#This Row],[Fecha Levantamiento]]-Observaciones[[#This Row],[Fecha Detección]]+1,0)</f>
        <v>13</v>
      </c>
      <c r="M4" s="34" t="str">
        <f>LOOKUP(Observaciones[[#This Row],[Caso de Prueba]],CasoPrueba[Código CP],CasoPrueba[Código de REQ])</f>
        <v>INSPECCIÓN</v>
      </c>
    </row>
    <row r="5" spans="1:15" ht="30" hidden="1">
      <c r="A5" s="166" t="s">
        <v>194</v>
      </c>
      <c r="B5" s="164" t="s">
        <v>88</v>
      </c>
      <c r="C5" s="164" t="str">
        <f>VLOOKUP(Observaciones[[#This Row],[Caso de Prueba]],CasoPrueba[[Código CP]:[Descripción Caso de Prueba]],3,0)</f>
        <v>MacroProceso - Gestión de Recursos Humanos</v>
      </c>
      <c r="D5" s="34" t="str">
        <f>VLOOKUP(Observaciones[Caso de Prueba],CasoPrueba[[#All],[Código CP]:[Prioridad]],7,TRUE)</f>
        <v>Alta</v>
      </c>
      <c r="E5" s="164" t="s">
        <v>162</v>
      </c>
      <c r="F5" s="34" t="s">
        <v>49</v>
      </c>
      <c r="G5" s="165">
        <v>40784</v>
      </c>
      <c r="H5" s="73">
        <v>40796</v>
      </c>
      <c r="I5" s="167" t="s">
        <v>132</v>
      </c>
      <c r="J5" s="164" t="s">
        <v>195</v>
      </c>
      <c r="K5" s="164" t="s">
        <v>196</v>
      </c>
      <c r="L5" s="34">
        <f>IF((Observaciones[[#This Row],[Fecha Levantamiento]]-Observaciones[[#This Row],[Fecha Detección]])&gt;=0,Observaciones[[#This Row],[Fecha Levantamiento]]-Observaciones[[#This Row],[Fecha Detección]]+1,0)</f>
        <v>13</v>
      </c>
      <c r="M5" s="34" t="str">
        <f>LOOKUP(Observaciones[[#This Row],[Caso de Prueba]],CasoPrueba[Código CP],CasoPrueba[Código de REQ])</f>
        <v>INSPECCIÓN</v>
      </c>
    </row>
    <row r="6" spans="1:15" ht="30" hidden="1">
      <c r="A6" s="166" t="s">
        <v>197</v>
      </c>
      <c r="B6" s="164" t="s">
        <v>88</v>
      </c>
      <c r="C6" s="164" t="str">
        <f>VLOOKUP(Observaciones[[#This Row],[Caso de Prueba]],CasoPrueba[[Código CP]:[Descripción Caso de Prueba]],3,0)</f>
        <v>MacroProceso - Gestión de Recursos Humanos</v>
      </c>
      <c r="D6" s="34" t="str">
        <f>VLOOKUP(Observaciones[Caso de Prueba],CasoPrueba[[#All],[Código CP]:[Prioridad]],7,TRUE)</f>
        <v>Alta</v>
      </c>
      <c r="E6" s="164" t="s">
        <v>162</v>
      </c>
      <c r="F6" s="34" t="s">
        <v>49</v>
      </c>
      <c r="G6" s="165">
        <v>40784</v>
      </c>
      <c r="H6" s="73">
        <v>40796</v>
      </c>
      <c r="I6" s="167" t="s">
        <v>132</v>
      </c>
      <c r="J6" s="164" t="s">
        <v>198</v>
      </c>
      <c r="K6" s="164" t="s">
        <v>199</v>
      </c>
      <c r="L6" s="34">
        <f>IF((Observaciones[[#This Row],[Fecha Levantamiento]]-Observaciones[[#This Row],[Fecha Detección]])&gt;=0,Observaciones[[#This Row],[Fecha Levantamiento]]-Observaciones[[#This Row],[Fecha Detección]]+1,0)</f>
        <v>13</v>
      </c>
      <c r="M6" s="34" t="str">
        <f>LOOKUP(Observaciones[[#This Row],[Caso de Prueba]],CasoPrueba[Código CP],CasoPrueba[Código de REQ])</f>
        <v>INSPECCIÓN</v>
      </c>
    </row>
    <row r="7" spans="1:15" hidden="1">
      <c r="A7" s="166" t="s">
        <v>200</v>
      </c>
      <c r="B7" s="164" t="s">
        <v>88</v>
      </c>
      <c r="C7" s="164" t="str">
        <f>VLOOKUP(Observaciones[[#This Row],[Caso de Prueba]],CasoPrueba[[Código CP]:[Descripción Caso de Prueba]],3,0)</f>
        <v>MacroProceso - Gestión de Recursos Humanos</v>
      </c>
      <c r="D7" s="34" t="str">
        <f>VLOOKUP(Observaciones[Caso de Prueba],CasoPrueba[[#All],[Código CP]:[Prioridad]],7,TRUE)</f>
        <v>Alta</v>
      </c>
      <c r="E7" s="164" t="s">
        <v>162</v>
      </c>
      <c r="F7" s="34" t="s">
        <v>49</v>
      </c>
      <c r="G7" s="165">
        <v>40784</v>
      </c>
      <c r="H7" s="73">
        <v>40796</v>
      </c>
      <c r="I7" s="167" t="s">
        <v>132</v>
      </c>
      <c r="J7" s="164" t="s">
        <v>426</v>
      </c>
      <c r="K7" s="164" t="s">
        <v>201</v>
      </c>
      <c r="L7" s="34">
        <f>IF((Observaciones[[#This Row],[Fecha Levantamiento]]-Observaciones[[#This Row],[Fecha Detección]])&gt;=0,Observaciones[[#This Row],[Fecha Levantamiento]]-Observaciones[[#This Row],[Fecha Detección]]+1,0)</f>
        <v>13</v>
      </c>
      <c r="M7" s="34" t="str">
        <f>LOOKUP(Observaciones[[#This Row],[Caso de Prueba]],CasoPrueba[Código CP],CasoPrueba[Código de REQ])</f>
        <v>INSPECCIÓN</v>
      </c>
    </row>
    <row r="8" spans="1:15" ht="30" hidden="1">
      <c r="A8" s="166" t="s">
        <v>202</v>
      </c>
      <c r="B8" s="164" t="s">
        <v>88</v>
      </c>
      <c r="C8" s="164" t="str">
        <f>VLOOKUP(Observaciones[[#This Row],[Caso de Prueba]],CasoPrueba[[Código CP]:[Descripción Caso de Prueba]],3,0)</f>
        <v>MacroProceso - Gestión de Recursos Humanos</v>
      </c>
      <c r="D8" s="34" t="str">
        <f>VLOOKUP(Observaciones[Caso de Prueba],CasoPrueba[[#All],[Código CP]:[Prioridad]],7,TRUE)</f>
        <v>Alta</v>
      </c>
      <c r="E8" s="164" t="s">
        <v>30</v>
      </c>
      <c r="F8" s="34" t="s">
        <v>49</v>
      </c>
      <c r="G8" s="165">
        <v>40793</v>
      </c>
      <c r="H8" s="73">
        <v>40796</v>
      </c>
      <c r="I8" s="167" t="s">
        <v>132</v>
      </c>
      <c r="J8" s="164" t="s">
        <v>203</v>
      </c>
      <c r="K8" s="164" t="s">
        <v>204</v>
      </c>
      <c r="L8" s="34">
        <f>IF((Observaciones[[#This Row],[Fecha Levantamiento]]-Observaciones[[#This Row],[Fecha Detección]])&gt;=0,Observaciones[[#This Row],[Fecha Levantamiento]]-Observaciones[[#This Row],[Fecha Detección]]+1,0)</f>
        <v>4</v>
      </c>
      <c r="M8" s="34" t="str">
        <f>LOOKUP(Observaciones[[#This Row],[Caso de Prueba]],CasoPrueba[Código CP],CasoPrueba[Código de REQ])</f>
        <v>INSPECCIÓN</v>
      </c>
    </row>
    <row r="9" spans="1:15" ht="30" hidden="1">
      <c r="A9" s="166" t="s">
        <v>205</v>
      </c>
      <c r="B9" s="164" t="s">
        <v>88</v>
      </c>
      <c r="C9" s="164" t="str">
        <f>VLOOKUP(Observaciones[[#This Row],[Caso de Prueba]],CasoPrueba[[Código CP]:[Descripción Caso de Prueba]],3,0)</f>
        <v>MacroProceso - Gestión de Recursos Humanos</v>
      </c>
      <c r="D9" s="34" t="str">
        <f>VLOOKUP(Observaciones[Caso de Prueba],CasoPrueba[[#All],[Código CP]:[Prioridad]],7,TRUE)</f>
        <v>Alta</v>
      </c>
      <c r="E9" s="164" t="s">
        <v>29</v>
      </c>
      <c r="F9" s="34" t="s">
        <v>49</v>
      </c>
      <c r="G9" s="165">
        <v>40784</v>
      </c>
      <c r="H9" s="73">
        <v>40796</v>
      </c>
      <c r="I9" s="167" t="s">
        <v>132</v>
      </c>
      <c r="J9" s="164" t="s">
        <v>206</v>
      </c>
      <c r="K9" s="164" t="s">
        <v>207</v>
      </c>
      <c r="L9" s="34">
        <f>IF((Observaciones[[#This Row],[Fecha Levantamiento]]-Observaciones[[#This Row],[Fecha Detección]])&gt;=0,Observaciones[[#This Row],[Fecha Levantamiento]]-Observaciones[[#This Row],[Fecha Detección]]+1,0)</f>
        <v>13</v>
      </c>
      <c r="M9" s="34" t="str">
        <f>LOOKUP(Observaciones[[#This Row],[Caso de Prueba]],CasoPrueba[Código CP],CasoPrueba[Código de REQ])</f>
        <v>INSPECCIÓN</v>
      </c>
    </row>
    <row r="10" spans="1:15" ht="60" hidden="1">
      <c r="A10" s="166" t="s">
        <v>208</v>
      </c>
      <c r="B10" s="164" t="s">
        <v>88</v>
      </c>
      <c r="C10" s="164" t="str">
        <f>VLOOKUP(Observaciones[[#This Row],[Caso de Prueba]],CasoPrueba[[Código CP]:[Descripción Caso de Prueba]],3,0)</f>
        <v>MacroProceso - Gestión de Recursos Humanos</v>
      </c>
      <c r="D10" s="34" t="str">
        <f>VLOOKUP(Observaciones[Caso de Prueba],CasoPrueba[[#All],[Código CP]:[Prioridad]],7,TRUE)</f>
        <v>Alta</v>
      </c>
      <c r="E10" s="164" t="s">
        <v>29</v>
      </c>
      <c r="F10" s="34" t="s">
        <v>49</v>
      </c>
      <c r="G10" s="165">
        <v>40784</v>
      </c>
      <c r="H10" s="73">
        <v>40796</v>
      </c>
      <c r="I10" s="167" t="s">
        <v>132</v>
      </c>
      <c r="J10" s="164" t="s">
        <v>209</v>
      </c>
      <c r="K10" s="164" t="s">
        <v>210</v>
      </c>
      <c r="L10" s="34">
        <f>IF((Observaciones[[#This Row],[Fecha Levantamiento]]-Observaciones[[#This Row],[Fecha Detección]])&gt;=0,Observaciones[[#This Row],[Fecha Levantamiento]]-Observaciones[[#This Row],[Fecha Detección]]+1,0)</f>
        <v>13</v>
      </c>
      <c r="M10" s="34" t="str">
        <f>LOOKUP(Observaciones[[#This Row],[Caso de Prueba]],CasoPrueba[Código CP],CasoPrueba[Código de REQ])</f>
        <v>INSPECCIÓN</v>
      </c>
    </row>
    <row r="11" spans="1:15" ht="30" hidden="1">
      <c r="A11" s="166" t="s">
        <v>211</v>
      </c>
      <c r="B11" s="164" t="s">
        <v>88</v>
      </c>
      <c r="C11" s="164" t="str">
        <f>VLOOKUP(Observaciones[[#This Row],[Caso de Prueba]],CasoPrueba[[Código CP]:[Descripción Caso de Prueba]],3,0)</f>
        <v>MacroProceso - Gestión de Recursos Humanos</v>
      </c>
      <c r="D11" s="34" t="str">
        <f>VLOOKUP(Observaciones[Caso de Prueba],CasoPrueba[[#All],[Código CP]:[Prioridad]],7,TRUE)</f>
        <v>Alta</v>
      </c>
      <c r="E11" s="164" t="s">
        <v>29</v>
      </c>
      <c r="F11" s="34" t="s">
        <v>49</v>
      </c>
      <c r="G11" s="165">
        <v>40784</v>
      </c>
      <c r="H11" s="73">
        <v>40796</v>
      </c>
      <c r="I11" s="167" t="s">
        <v>132</v>
      </c>
      <c r="J11" s="164" t="s">
        <v>212</v>
      </c>
      <c r="K11" s="164" t="s">
        <v>213</v>
      </c>
      <c r="L11" s="34">
        <f>IF((Observaciones[[#This Row],[Fecha Levantamiento]]-Observaciones[[#This Row],[Fecha Detección]])&gt;=0,Observaciones[[#This Row],[Fecha Levantamiento]]-Observaciones[[#This Row],[Fecha Detección]]+1,0)</f>
        <v>13</v>
      </c>
      <c r="M11" s="34" t="str">
        <f>LOOKUP(Observaciones[[#This Row],[Caso de Prueba]],CasoPrueba[Código CP],CasoPrueba[Código de REQ])</f>
        <v>INSPECCIÓN</v>
      </c>
    </row>
    <row r="12" spans="1:15" ht="60" hidden="1">
      <c r="A12" s="166" t="s">
        <v>214</v>
      </c>
      <c r="B12" s="164" t="s">
        <v>88</v>
      </c>
      <c r="C12" s="164" t="str">
        <f>VLOOKUP(Observaciones[[#This Row],[Caso de Prueba]],CasoPrueba[[Código CP]:[Descripción Caso de Prueba]],3,0)</f>
        <v>MacroProceso - Gestión de Recursos Humanos</v>
      </c>
      <c r="D12" s="34" t="str">
        <f>VLOOKUP(Observaciones[Caso de Prueba],CasoPrueba[[#All],[Código CP]:[Prioridad]],7,TRUE)</f>
        <v>Alta</v>
      </c>
      <c r="E12" s="164" t="s">
        <v>29</v>
      </c>
      <c r="F12" s="34" t="s">
        <v>49</v>
      </c>
      <c r="G12" s="165">
        <v>40784</v>
      </c>
      <c r="H12" s="73">
        <v>40796</v>
      </c>
      <c r="I12" s="167" t="s">
        <v>132</v>
      </c>
      <c r="J12" s="164" t="s">
        <v>215</v>
      </c>
      <c r="K12" s="164" t="s">
        <v>216</v>
      </c>
      <c r="L12" s="34">
        <f>IF((Observaciones[[#This Row],[Fecha Levantamiento]]-Observaciones[[#This Row],[Fecha Detección]])&gt;=0,Observaciones[[#This Row],[Fecha Levantamiento]]-Observaciones[[#This Row],[Fecha Detección]]+1,0)</f>
        <v>13</v>
      </c>
      <c r="M12" s="34" t="str">
        <f>LOOKUP(Observaciones[[#This Row],[Caso de Prueba]],CasoPrueba[Código CP],CasoPrueba[Código de REQ])</f>
        <v>INSPECCIÓN</v>
      </c>
    </row>
    <row r="13" spans="1:15" ht="45" hidden="1">
      <c r="A13" s="166" t="s">
        <v>217</v>
      </c>
      <c r="B13" s="164" t="s">
        <v>88</v>
      </c>
      <c r="C13" s="164" t="str">
        <f>VLOOKUP(Observaciones[[#This Row],[Caso de Prueba]],CasoPrueba[[Código CP]:[Descripción Caso de Prueba]],3,0)</f>
        <v>MacroProceso - Gestión de Recursos Humanos</v>
      </c>
      <c r="D13" s="34" t="str">
        <f>VLOOKUP(Observaciones[Caso de Prueba],CasoPrueba[[#All],[Código CP]:[Prioridad]],7,TRUE)</f>
        <v>Alta</v>
      </c>
      <c r="E13" s="164" t="s">
        <v>29</v>
      </c>
      <c r="F13" s="34" t="s">
        <v>49</v>
      </c>
      <c r="G13" s="165">
        <v>40784</v>
      </c>
      <c r="H13" s="73">
        <v>40796</v>
      </c>
      <c r="I13" s="167" t="s">
        <v>132</v>
      </c>
      <c r="J13" s="164" t="s">
        <v>218</v>
      </c>
      <c r="K13" s="164" t="s">
        <v>219</v>
      </c>
      <c r="L13" s="34">
        <f>IF((Observaciones[[#This Row],[Fecha Levantamiento]]-Observaciones[[#This Row],[Fecha Detección]])&gt;=0,Observaciones[[#This Row],[Fecha Levantamiento]]-Observaciones[[#This Row],[Fecha Detección]]+1,0)</f>
        <v>13</v>
      </c>
      <c r="M13" s="34" t="str">
        <f>LOOKUP(Observaciones[[#This Row],[Caso de Prueba]],CasoPrueba[Código CP],CasoPrueba[Código de REQ])</f>
        <v>INSPECCIÓN</v>
      </c>
    </row>
    <row r="14" spans="1:15" ht="30" hidden="1">
      <c r="A14" s="166" t="s">
        <v>220</v>
      </c>
      <c r="B14" s="164" t="s">
        <v>88</v>
      </c>
      <c r="C14" s="164" t="str">
        <f>VLOOKUP(Observaciones[[#This Row],[Caso de Prueba]],CasoPrueba[[Código CP]:[Descripción Caso de Prueba]],3,0)</f>
        <v>MacroProceso - Gestión de Recursos Humanos</v>
      </c>
      <c r="D14" s="34" t="str">
        <f>VLOOKUP(Observaciones[Caso de Prueba],CasoPrueba[[#All],[Código CP]:[Prioridad]],7,TRUE)</f>
        <v>Alta</v>
      </c>
      <c r="E14" s="164" t="s">
        <v>30</v>
      </c>
      <c r="F14" s="34" t="s">
        <v>49</v>
      </c>
      <c r="G14" s="165">
        <v>40784</v>
      </c>
      <c r="H14" s="73">
        <v>40796</v>
      </c>
      <c r="I14" s="167" t="s">
        <v>132</v>
      </c>
      <c r="J14" s="164" t="s">
        <v>221</v>
      </c>
      <c r="K14" s="164" t="s">
        <v>222</v>
      </c>
      <c r="L14" s="34">
        <f>IF((Observaciones[[#This Row],[Fecha Levantamiento]]-Observaciones[[#This Row],[Fecha Detección]])&gt;=0,Observaciones[[#This Row],[Fecha Levantamiento]]-Observaciones[[#This Row],[Fecha Detección]]+1,0)</f>
        <v>13</v>
      </c>
      <c r="M14" s="34" t="str">
        <f>LOOKUP(Observaciones[[#This Row],[Caso de Prueba]],CasoPrueba[Código CP],CasoPrueba[Código de REQ])</f>
        <v>INSPECCIÓN</v>
      </c>
    </row>
    <row r="15" spans="1:15" ht="60" hidden="1">
      <c r="A15" s="166" t="s">
        <v>223</v>
      </c>
      <c r="B15" s="164" t="s">
        <v>88</v>
      </c>
      <c r="C15" s="164" t="str">
        <f>VLOOKUP(Observaciones[[#This Row],[Caso de Prueba]],CasoPrueba[[Código CP]:[Descripción Caso de Prueba]],3,0)</f>
        <v>MacroProceso - Gestión de Recursos Humanos</v>
      </c>
      <c r="D15" s="34" t="str">
        <f>VLOOKUP(Observaciones[Caso de Prueba],CasoPrueba[[#All],[Código CP]:[Prioridad]],7,TRUE)</f>
        <v>Alta</v>
      </c>
      <c r="E15" s="164" t="s">
        <v>30</v>
      </c>
      <c r="F15" s="34" t="s">
        <v>49</v>
      </c>
      <c r="G15" s="165">
        <v>40784</v>
      </c>
      <c r="H15" s="73">
        <v>40796</v>
      </c>
      <c r="I15" s="167" t="s">
        <v>132</v>
      </c>
      <c r="J15" s="164" t="s">
        <v>224</v>
      </c>
      <c r="K15" s="164" t="s">
        <v>225</v>
      </c>
      <c r="L15" s="34">
        <f>IF((Observaciones[[#This Row],[Fecha Levantamiento]]-Observaciones[[#This Row],[Fecha Detección]])&gt;=0,Observaciones[[#This Row],[Fecha Levantamiento]]-Observaciones[[#This Row],[Fecha Detección]]+1,0)</f>
        <v>13</v>
      </c>
      <c r="M15" s="34" t="str">
        <f>LOOKUP(Observaciones[[#This Row],[Caso de Prueba]],CasoPrueba[Código CP],CasoPrueba[Código de REQ])</f>
        <v>INSPECCIÓN</v>
      </c>
    </row>
    <row r="16" spans="1:15" ht="45" hidden="1">
      <c r="A16" s="166" t="s">
        <v>226</v>
      </c>
      <c r="B16" s="164" t="s">
        <v>151</v>
      </c>
      <c r="C16" s="164" t="str">
        <f>VLOOKUP(Observaciones[[#This Row],[Caso de Prueba]],CasoPrueba[[Código CP]:[Descripción Caso de Prueba]],3,0)</f>
        <v>Proceso - Capacitación de Personal</v>
      </c>
      <c r="D16" s="34" t="str">
        <f>VLOOKUP(Observaciones[Caso de Prueba],CasoPrueba[[#All],[Código CP]:[Prioridad]],7,TRUE)</f>
        <v>Alta</v>
      </c>
      <c r="E16" s="164" t="s">
        <v>30</v>
      </c>
      <c r="F16" s="34" t="s">
        <v>49</v>
      </c>
      <c r="G16" s="165">
        <v>40786</v>
      </c>
      <c r="H16" s="73">
        <v>40796</v>
      </c>
      <c r="I16" s="167" t="s">
        <v>132</v>
      </c>
      <c r="J16" s="164" t="s">
        <v>227</v>
      </c>
      <c r="K16" s="164" t="s">
        <v>228</v>
      </c>
      <c r="L16" s="34">
        <f>IF((Observaciones[[#This Row],[Fecha Levantamiento]]-Observaciones[[#This Row],[Fecha Detección]])&gt;=0,Observaciones[[#This Row],[Fecha Levantamiento]]-Observaciones[[#This Row],[Fecha Detección]]+1,0)</f>
        <v>11</v>
      </c>
      <c r="M16" s="34" t="str">
        <f>LOOKUP(Observaciones[[#This Row],[Caso de Prueba]],CasoPrueba[Código CP],CasoPrueba[Código de REQ])</f>
        <v>INSPECCIÓN</v>
      </c>
    </row>
    <row r="17" spans="1:13" ht="30" hidden="1">
      <c r="A17" s="166" t="s">
        <v>229</v>
      </c>
      <c r="B17" s="164" t="s">
        <v>151</v>
      </c>
      <c r="C17" s="164" t="str">
        <f>VLOOKUP(Observaciones[[#This Row],[Caso de Prueba]],CasoPrueba[[Código CP]:[Descripción Caso de Prueba]],3,0)</f>
        <v>Proceso - Capacitación de Personal</v>
      </c>
      <c r="D17" s="34" t="str">
        <f>VLOOKUP(Observaciones[Caso de Prueba],CasoPrueba[[#All],[Código CP]:[Prioridad]],7,TRUE)</f>
        <v>Alta</v>
      </c>
      <c r="E17" s="164" t="s">
        <v>162</v>
      </c>
      <c r="F17" s="34" t="s">
        <v>49</v>
      </c>
      <c r="G17" s="165">
        <v>40786</v>
      </c>
      <c r="H17" s="73">
        <v>40796</v>
      </c>
      <c r="I17" s="167" t="s">
        <v>132</v>
      </c>
      <c r="J17" s="164" t="s">
        <v>230</v>
      </c>
      <c r="K17" s="164" t="s">
        <v>231</v>
      </c>
      <c r="L17" s="34">
        <f>IF((Observaciones[[#This Row],[Fecha Levantamiento]]-Observaciones[[#This Row],[Fecha Detección]])&gt;=0,Observaciones[[#This Row],[Fecha Levantamiento]]-Observaciones[[#This Row],[Fecha Detección]]+1,0)</f>
        <v>11</v>
      </c>
      <c r="M17" s="34" t="str">
        <f>LOOKUP(Observaciones[[#This Row],[Caso de Prueba]],CasoPrueba[Código CP],CasoPrueba[Código de REQ])</f>
        <v>INSPECCIÓN</v>
      </c>
    </row>
    <row r="18" spans="1:13" ht="30" hidden="1">
      <c r="A18" s="166" t="s">
        <v>232</v>
      </c>
      <c r="B18" s="164" t="s">
        <v>151</v>
      </c>
      <c r="C18" s="164" t="str">
        <f>VLOOKUP(Observaciones[[#This Row],[Caso de Prueba]],CasoPrueba[[Código CP]:[Descripción Caso de Prueba]],3,0)</f>
        <v>Proceso - Capacitación de Personal</v>
      </c>
      <c r="D18" s="34" t="str">
        <f>VLOOKUP(Observaciones[Caso de Prueba],CasoPrueba[[#All],[Código CP]:[Prioridad]],7,TRUE)</f>
        <v>Alta</v>
      </c>
      <c r="E18" s="164" t="s">
        <v>162</v>
      </c>
      <c r="F18" s="34" t="s">
        <v>49</v>
      </c>
      <c r="G18" s="165">
        <v>40786</v>
      </c>
      <c r="H18" s="73">
        <v>40796</v>
      </c>
      <c r="I18" s="167" t="s">
        <v>132</v>
      </c>
      <c r="J18" s="164" t="s">
        <v>233</v>
      </c>
      <c r="K18" s="164" t="s">
        <v>234</v>
      </c>
      <c r="L18" s="34">
        <f>IF((Observaciones[[#This Row],[Fecha Levantamiento]]-Observaciones[[#This Row],[Fecha Detección]])&gt;=0,Observaciones[[#This Row],[Fecha Levantamiento]]-Observaciones[[#This Row],[Fecha Detección]]+1,0)</f>
        <v>11</v>
      </c>
      <c r="M18" s="34" t="str">
        <f>LOOKUP(Observaciones[[#This Row],[Caso de Prueba]],CasoPrueba[Código CP],CasoPrueba[Código de REQ])</f>
        <v>INSPECCIÓN</v>
      </c>
    </row>
    <row r="19" spans="1:13" ht="30" hidden="1">
      <c r="A19" s="166" t="s">
        <v>235</v>
      </c>
      <c r="B19" s="164" t="s">
        <v>151</v>
      </c>
      <c r="C19" s="164" t="str">
        <f>VLOOKUP(Observaciones[[#This Row],[Caso de Prueba]],CasoPrueba[[Código CP]:[Descripción Caso de Prueba]],3,0)</f>
        <v>Proceso - Capacitación de Personal</v>
      </c>
      <c r="D19" s="34" t="str">
        <f>VLOOKUP(Observaciones[Caso de Prueba],CasoPrueba[[#All],[Código CP]:[Prioridad]],7,TRUE)</f>
        <v>Alta</v>
      </c>
      <c r="E19" s="164" t="s">
        <v>30</v>
      </c>
      <c r="F19" s="34" t="s">
        <v>49</v>
      </c>
      <c r="G19" s="165">
        <v>40793</v>
      </c>
      <c r="H19" s="73">
        <v>40796</v>
      </c>
      <c r="I19" s="167" t="s">
        <v>132</v>
      </c>
      <c r="J19" s="164" t="s">
        <v>236</v>
      </c>
      <c r="K19" s="164" t="s">
        <v>237</v>
      </c>
      <c r="L19" s="34">
        <f>IF((Observaciones[[#This Row],[Fecha Levantamiento]]-Observaciones[[#This Row],[Fecha Detección]])&gt;=0,Observaciones[[#This Row],[Fecha Levantamiento]]-Observaciones[[#This Row],[Fecha Detección]]+1,0)</f>
        <v>4</v>
      </c>
      <c r="M19" s="34" t="str">
        <f>LOOKUP(Observaciones[[#This Row],[Caso de Prueba]],CasoPrueba[Código CP],CasoPrueba[Código de REQ])</f>
        <v>INSPECCIÓN</v>
      </c>
    </row>
    <row r="20" spans="1:13" ht="30" hidden="1">
      <c r="A20" s="166" t="s">
        <v>238</v>
      </c>
      <c r="B20" s="164" t="s">
        <v>151</v>
      </c>
      <c r="C20" s="164" t="str">
        <f>VLOOKUP(Observaciones[[#This Row],[Caso de Prueba]],CasoPrueba[[Código CP]:[Descripción Caso de Prueba]],3,0)</f>
        <v>Proceso - Capacitación de Personal</v>
      </c>
      <c r="D20" s="34" t="str">
        <f>VLOOKUP(Observaciones[Caso de Prueba],CasoPrueba[[#All],[Código CP]:[Prioridad]],7,TRUE)</f>
        <v>Alta</v>
      </c>
      <c r="E20" s="164" t="s">
        <v>29</v>
      </c>
      <c r="F20" s="34" t="s">
        <v>49</v>
      </c>
      <c r="G20" s="165">
        <v>40786</v>
      </c>
      <c r="H20" s="73">
        <v>40796</v>
      </c>
      <c r="I20" s="167" t="s">
        <v>132</v>
      </c>
      <c r="J20" s="164" t="s">
        <v>239</v>
      </c>
      <c r="K20" s="164" t="s">
        <v>240</v>
      </c>
      <c r="L20" s="34">
        <f>IF((Observaciones[[#This Row],[Fecha Levantamiento]]-Observaciones[[#This Row],[Fecha Detección]])&gt;=0,Observaciones[[#This Row],[Fecha Levantamiento]]-Observaciones[[#This Row],[Fecha Detección]]+1,0)</f>
        <v>11</v>
      </c>
      <c r="M20" s="34" t="str">
        <f>LOOKUP(Observaciones[[#This Row],[Caso de Prueba]],CasoPrueba[Código CP],CasoPrueba[Código de REQ])</f>
        <v>INSPECCIÓN</v>
      </c>
    </row>
    <row r="21" spans="1:13" ht="45" hidden="1">
      <c r="A21" s="166" t="s">
        <v>241</v>
      </c>
      <c r="B21" s="164" t="s">
        <v>151</v>
      </c>
      <c r="C21" s="164" t="str">
        <f>VLOOKUP(Observaciones[[#This Row],[Caso de Prueba]],CasoPrueba[[Código CP]:[Descripción Caso de Prueba]],3,0)</f>
        <v>Proceso - Capacitación de Personal</v>
      </c>
      <c r="D21" s="34" t="str">
        <f>VLOOKUP(Observaciones[Caso de Prueba],CasoPrueba[[#All],[Código CP]:[Prioridad]],7,TRUE)</f>
        <v>Alta</v>
      </c>
      <c r="E21" s="164" t="s">
        <v>29</v>
      </c>
      <c r="F21" s="34" t="s">
        <v>49</v>
      </c>
      <c r="G21" s="165">
        <v>40786</v>
      </c>
      <c r="H21" s="73">
        <v>40796</v>
      </c>
      <c r="I21" s="167" t="s">
        <v>132</v>
      </c>
      <c r="J21" s="164" t="s">
        <v>242</v>
      </c>
      <c r="K21" s="164" t="s">
        <v>243</v>
      </c>
      <c r="L21" s="34">
        <f>IF((Observaciones[[#This Row],[Fecha Levantamiento]]-Observaciones[[#This Row],[Fecha Detección]])&gt;=0,Observaciones[[#This Row],[Fecha Levantamiento]]-Observaciones[[#This Row],[Fecha Detección]]+1,0)</f>
        <v>11</v>
      </c>
      <c r="M21" s="34" t="str">
        <f>LOOKUP(Observaciones[[#This Row],[Caso de Prueba]],CasoPrueba[Código CP],CasoPrueba[Código de REQ])</f>
        <v>INSPECCIÓN</v>
      </c>
    </row>
    <row r="22" spans="1:13" ht="30" hidden="1">
      <c r="A22" s="166" t="s">
        <v>244</v>
      </c>
      <c r="B22" s="164" t="s">
        <v>151</v>
      </c>
      <c r="C22" s="164" t="str">
        <f>VLOOKUP(Observaciones[[#This Row],[Caso de Prueba]],CasoPrueba[[Código CP]:[Descripción Caso de Prueba]],3,0)</f>
        <v>Proceso - Capacitación de Personal</v>
      </c>
      <c r="D22" s="34" t="str">
        <f>VLOOKUP(Observaciones[Caso de Prueba],CasoPrueba[[#All],[Código CP]:[Prioridad]],7,TRUE)</f>
        <v>Alta</v>
      </c>
      <c r="E22" s="164" t="s">
        <v>29</v>
      </c>
      <c r="F22" s="34" t="s">
        <v>49</v>
      </c>
      <c r="G22" s="165">
        <v>40786</v>
      </c>
      <c r="H22" s="73">
        <v>40796</v>
      </c>
      <c r="I22" s="167" t="s">
        <v>132</v>
      </c>
      <c r="J22" s="164" t="s">
        <v>245</v>
      </c>
      <c r="K22" s="164" t="s">
        <v>246</v>
      </c>
      <c r="L22" s="34">
        <f>IF((Observaciones[[#This Row],[Fecha Levantamiento]]-Observaciones[[#This Row],[Fecha Detección]])&gt;=0,Observaciones[[#This Row],[Fecha Levantamiento]]-Observaciones[[#This Row],[Fecha Detección]]+1,0)</f>
        <v>11</v>
      </c>
      <c r="M22" s="34" t="str">
        <f>LOOKUP(Observaciones[[#This Row],[Caso de Prueba]],CasoPrueba[Código CP],CasoPrueba[Código de REQ])</f>
        <v>INSPECCIÓN</v>
      </c>
    </row>
    <row r="23" spans="1:13" ht="30" hidden="1">
      <c r="A23" s="166" t="s">
        <v>247</v>
      </c>
      <c r="B23" s="164" t="s">
        <v>151</v>
      </c>
      <c r="C23" s="164" t="str">
        <f>VLOOKUP(Observaciones[[#This Row],[Caso de Prueba]],CasoPrueba[[Código CP]:[Descripción Caso de Prueba]],3,0)</f>
        <v>Proceso - Capacitación de Personal</v>
      </c>
      <c r="D23" s="34" t="str">
        <f>VLOOKUP(Observaciones[Caso de Prueba],CasoPrueba[[#All],[Código CP]:[Prioridad]],7,TRUE)</f>
        <v>Alta</v>
      </c>
      <c r="E23" s="164" t="s">
        <v>162</v>
      </c>
      <c r="F23" s="34" t="s">
        <v>49</v>
      </c>
      <c r="G23" s="165">
        <v>40786</v>
      </c>
      <c r="H23" s="73">
        <v>40796</v>
      </c>
      <c r="I23" s="167" t="s">
        <v>132</v>
      </c>
      <c r="J23" s="164" t="s">
        <v>248</v>
      </c>
      <c r="K23" s="164" t="s">
        <v>196</v>
      </c>
      <c r="L23" s="34">
        <f>IF((Observaciones[[#This Row],[Fecha Levantamiento]]-Observaciones[[#This Row],[Fecha Detección]])&gt;=0,Observaciones[[#This Row],[Fecha Levantamiento]]-Observaciones[[#This Row],[Fecha Detección]]+1,0)</f>
        <v>11</v>
      </c>
      <c r="M23" s="34" t="str">
        <f>LOOKUP(Observaciones[[#This Row],[Caso de Prueba]],CasoPrueba[Código CP],CasoPrueba[Código de REQ])</f>
        <v>INSPECCIÓN</v>
      </c>
    </row>
    <row r="24" spans="1:13" ht="30" hidden="1">
      <c r="A24" s="166" t="s">
        <v>249</v>
      </c>
      <c r="B24" s="164" t="s">
        <v>151</v>
      </c>
      <c r="C24" s="164" t="str">
        <f>VLOOKUP(Observaciones[[#This Row],[Caso de Prueba]],CasoPrueba[[Código CP]:[Descripción Caso de Prueba]],3,0)</f>
        <v>Proceso - Capacitación de Personal</v>
      </c>
      <c r="D24" s="34" t="str">
        <f>VLOOKUP(Observaciones[Caso de Prueba],CasoPrueba[[#All],[Código CP]:[Prioridad]],7,TRUE)</f>
        <v>Alta</v>
      </c>
      <c r="E24" s="164" t="s">
        <v>28</v>
      </c>
      <c r="F24" s="34" t="s">
        <v>49</v>
      </c>
      <c r="G24" s="165">
        <v>40786</v>
      </c>
      <c r="H24" s="73">
        <v>40796</v>
      </c>
      <c r="I24" s="167" t="s">
        <v>132</v>
      </c>
      <c r="J24" s="164" t="s">
        <v>250</v>
      </c>
      <c r="K24" s="164" t="s">
        <v>251</v>
      </c>
      <c r="L24" s="34">
        <f>IF((Observaciones[[#This Row],[Fecha Levantamiento]]-Observaciones[[#This Row],[Fecha Detección]])&gt;=0,Observaciones[[#This Row],[Fecha Levantamiento]]-Observaciones[[#This Row],[Fecha Detección]]+1,0)</f>
        <v>11</v>
      </c>
      <c r="M24" s="34" t="str">
        <f>LOOKUP(Observaciones[[#This Row],[Caso de Prueba]],CasoPrueba[Código CP],CasoPrueba[Código de REQ])</f>
        <v>INSPECCIÓN</v>
      </c>
    </row>
    <row r="25" spans="1:13" ht="45" hidden="1">
      <c r="A25" s="166" t="s">
        <v>252</v>
      </c>
      <c r="B25" s="164" t="s">
        <v>152</v>
      </c>
      <c r="C25" s="164" t="str">
        <f>VLOOKUP(Observaciones[[#This Row],[Caso de Prueba]],CasoPrueba[[Código CP]:[Descripción Caso de Prueba]],3,0)</f>
        <v>Proceso - Contratación e Inducción</v>
      </c>
      <c r="D25" s="34" t="str">
        <f>VLOOKUP(Observaciones[Caso de Prueba],CasoPrueba[[#All],[Código CP]:[Prioridad]],7,TRUE)</f>
        <v>Alta</v>
      </c>
      <c r="E25" s="164" t="s">
        <v>30</v>
      </c>
      <c r="F25" s="34" t="s">
        <v>49</v>
      </c>
      <c r="G25" s="165">
        <v>40786</v>
      </c>
      <c r="H25" s="73">
        <v>40796</v>
      </c>
      <c r="I25" s="167" t="s">
        <v>132</v>
      </c>
      <c r="J25" s="164" t="s">
        <v>253</v>
      </c>
      <c r="K25" s="164" t="s">
        <v>228</v>
      </c>
      <c r="L25" s="34">
        <f>IF((Observaciones[[#This Row],[Fecha Levantamiento]]-Observaciones[[#This Row],[Fecha Detección]])&gt;=0,Observaciones[[#This Row],[Fecha Levantamiento]]-Observaciones[[#This Row],[Fecha Detección]]+1,0)</f>
        <v>11</v>
      </c>
      <c r="M25" s="34" t="str">
        <f>LOOKUP(Observaciones[[#This Row],[Caso de Prueba]],CasoPrueba[Código CP],CasoPrueba[Código de REQ])</f>
        <v>INSPECCIÓN</v>
      </c>
    </row>
    <row r="26" spans="1:13" ht="30" hidden="1">
      <c r="A26" s="166" t="s">
        <v>254</v>
      </c>
      <c r="B26" s="164" t="s">
        <v>152</v>
      </c>
      <c r="C26" s="164" t="str">
        <f>VLOOKUP(Observaciones[[#This Row],[Caso de Prueba]],CasoPrueba[[Código CP]:[Descripción Caso de Prueba]],3,0)</f>
        <v>Proceso - Contratación e Inducción</v>
      </c>
      <c r="D26" s="34" t="str">
        <f>VLOOKUP(Observaciones[Caso de Prueba],CasoPrueba[[#All],[Código CP]:[Prioridad]],7,TRUE)</f>
        <v>Alta</v>
      </c>
      <c r="E26" s="164" t="s">
        <v>30</v>
      </c>
      <c r="F26" s="164" t="s">
        <v>49</v>
      </c>
      <c r="G26" s="165">
        <v>40793</v>
      </c>
      <c r="H26" s="73">
        <v>40796</v>
      </c>
      <c r="I26" s="167" t="s">
        <v>132</v>
      </c>
      <c r="J26" s="164" t="s">
        <v>236</v>
      </c>
      <c r="K26" s="164" t="s">
        <v>255</v>
      </c>
      <c r="L26" s="34">
        <f>IF((Observaciones[[#This Row],[Fecha Levantamiento]]-Observaciones[[#This Row],[Fecha Detección]])&gt;=0,Observaciones[[#This Row],[Fecha Levantamiento]]-Observaciones[[#This Row],[Fecha Detección]]+1,0)</f>
        <v>4</v>
      </c>
      <c r="M26" s="34" t="str">
        <f>LOOKUP(Observaciones[[#This Row],[Caso de Prueba]],CasoPrueba[Código CP],CasoPrueba[Código de REQ])</f>
        <v>INSPECCIÓN</v>
      </c>
    </row>
    <row r="27" spans="1:13" ht="30" hidden="1">
      <c r="A27" s="166" t="s">
        <v>256</v>
      </c>
      <c r="B27" s="164" t="s">
        <v>152</v>
      </c>
      <c r="C27" s="164" t="str">
        <f>VLOOKUP(Observaciones[[#This Row],[Caso de Prueba]],CasoPrueba[[Código CP]:[Descripción Caso de Prueba]],3,0)</f>
        <v>Proceso - Contratación e Inducción</v>
      </c>
      <c r="D27" s="34" t="str">
        <f>VLOOKUP(Observaciones[Caso de Prueba],CasoPrueba[[#All],[Código CP]:[Prioridad]],7,TRUE)</f>
        <v>Alta</v>
      </c>
      <c r="E27" s="164" t="s">
        <v>29</v>
      </c>
      <c r="F27" s="164" t="s">
        <v>49</v>
      </c>
      <c r="G27" s="165">
        <v>40786</v>
      </c>
      <c r="H27" s="73">
        <v>40796</v>
      </c>
      <c r="I27" s="167" t="s">
        <v>132</v>
      </c>
      <c r="J27" s="164" t="s">
        <v>257</v>
      </c>
      <c r="K27" s="164" t="s">
        <v>258</v>
      </c>
      <c r="L27" s="34">
        <f>IF((Observaciones[[#This Row],[Fecha Levantamiento]]-Observaciones[[#This Row],[Fecha Detección]])&gt;=0,Observaciones[[#This Row],[Fecha Levantamiento]]-Observaciones[[#This Row],[Fecha Detección]]+1,0)</f>
        <v>11</v>
      </c>
      <c r="M27" s="34" t="str">
        <f>LOOKUP(Observaciones[[#This Row],[Caso de Prueba]],CasoPrueba[Código CP],CasoPrueba[Código de REQ])</f>
        <v>INSPECCIÓN</v>
      </c>
    </row>
    <row r="28" spans="1:13" ht="60" hidden="1">
      <c r="A28" s="166" t="s">
        <v>259</v>
      </c>
      <c r="B28" s="164" t="s">
        <v>152</v>
      </c>
      <c r="C28" s="164" t="str">
        <f>VLOOKUP(Observaciones[[#This Row],[Caso de Prueba]],CasoPrueba[[Código CP]:[Descripción Caso de Prueba]],3,0)</f>
        <v>Proceso - Contratación e Inducción</v>
      </c>
      <c r="D28" s="34" t="str">
        <f>VLOOKUP(Observaciones[Caso de Prueba],CasoPrueba[[#All],[Código CP]:[Prioridad]],7,TRUE)</f>
        <v>Alta</v>
      </c>
      <c r="E28" s="164" t="s">
        <v>29</v>
      </c>
      <c r="F28" s="164" t="s">
        <v>49</v>
      </c>
      <c r="G28" s="165">
        <v>40786</v>
      </c>
      <c r="H28" s="73">
        <v>40796</v>
      </c>
      <c r="I28" s="167" t="s">
        <v>132</v>
      </c>
      <c r="J28" s="164" t="s">
        <v>260</v>
      </c>
      <c r="K28" s="164" t="s">
        <v>261</v>
      </c>
      <c r="L28" s="34">
        <f>IF((Observaciones[[#This Row],[Fecha Levantamiento]]-Observaciones[[#This Row],[Fecha Detección]])&gt;=0,Observaciones[[#This Row],[Fecha Levantamiento]]-Observaciones[[#This Row],[Fecha Detección]]+1,0)</f>
        <v>11</v>
      </c>
      <c r="M28" s="34" t="str">
        <f>LOOKUP(Observaciones[[#This Row],[Caso de Prueba]],CasoPrueba[Código CP],CasoPrueba[Código de REQ])</f>
        <v>INSPECCIÓN</v>
      </c>
    </row>
    <row r="29" spans="1:13" ht="30" hidden="1">
      <c r="A29" s="166" t="s">
        <v>262</v>
      </c>
      <c r="B29" s="164" t="s">
        <v>152</v>
      </c>
      <c r="C29" s="164" t="str">
        <f>VLOOKUP(Observaciones[[#This Row],[Caso de Prueba]],CasoPrueba[[Código CP]:[Descripción Caso de Prueba]],3,0)</f>
        <v>Proceso - Contratación e Inducción</v>
      </c>
      <c r="D29" s="34" t="str">
        <f>VLOOKUP(Observaciones[Caso de Prueba],CasoPrueba[[#All],[Código CP]:[Prioridad]],7,TRUE)</f>
        <v>Alta</v>
      </c>
      <c r="E29" s="164" t="s">
        <v>162</v>
      </c>
      <c r="F29" s="164" t="s">
        <v>49</v>
      </c>
      <c r="G29" s="165">
        <v>40786</v>
      </c>
      <c r="H29" s="73">
        <v>40796</v>
      </c>
      <c r="I29" s="167" t="s">
        <v>132</v>
      </c>
      <c r="J29" s="164" t="s">
        <v>263</v>
      </c>
      <c r="K29" s="164" t="s">
        <v>264</v>
      </c>
      <c r="L29" s="34">
        <f>IF((Observaciones[[#This Row],[Fecha Levantamiento]]-Observaciones[[#This Row],[Fecha Detección]])&gt;=0,Observaciones[[#This Row],[Fecha Levantamiento]]-Observaciones[[#This Row],[Fecha Detección]]+1,0)</f>
        <v>11</v>
      </c>
      <c r="M29" s="34" t="str">
        <f>LOOKUP(Observaciones[[#This Row],[Caso de Prueba]],CasoPrueba[Código CP],CasoPrueba[Código de REQ])</f>
        <v>INSPECCIÓN</v>
      </c>
    </row>
    <row r="30" spans="1:13" hidden="1">
      <c r="A30" s="166" t="s">
        <v>265</v>
      </c>
      <c r="B30" s="164" t="s">
        <v>152</v>
      </c>
      <c r="C30" s="164" t="str">
        <f>VLOOKUP(Observaciones[[#This Row],[Caso de Prueba]],CasoPrueba[[Código CP]:[Descripción Caso de Prueba]],3,0)</f>
        <v>Proceso - Contratación e Inducción</v>
      </c>
      <c r="D30" s="34" t="str">
        <f>VLOOKUP(Observaciones[Caso de Prueba],CasoPrueba[[#All],[Código CP]:[Prioridad]],7,TRUE)</f>
        <v>Alta</v>
      </c>
      <c r="E30" s="164" t="s">
        <v>28</v>
      </c>
      <c r="F30" s="164" t="s">
        <v>49</v>
      </c>
      <c r="G30" s="165">
        <v>40793</v>
      </c>
      <c r="H30" s="73">
        <v>40796</v>
      </c>
      <c r="I30" s="167" t="s">
        <v>132</v>
      </c>
      <c r="J30" s="164" t="s">
        <v>250</v>
      </c>
      <c r="K30" s="164" t="s">
        <v>266</v>
      </c>
      <c r="L30" s="34">
        <f>IF((Observaciones[[#This Row],[Fecha Levantamiento]]-Observaciones[[#This Row],[Fecha Detección]])&gt;=0,Observaciones[[#This Row],[Fecha Levantamiento]]-Observaciones[[#This Row],[Fecha Detección]]+1,0)</f>
        <v>4</v>
      </c>
      <c r="M30" s="34" t="str">
        <f>LOOKUP(Observaciones[[#This Row],[Caso de Prueba]],CasoPrueba[Código CP],CasoPrueba[Código de REQ])</f>
        <v>INSPECCIÓN</v>
      </c>
    </row>
    <row r="31" spans="1:13" ht="30" hidden="1">
      <c r="A31" s="166" t="s">
        <v>267</v>
      </c>
      <c r="B31" s="164" t="s">
        <v>153</v>
      </c>
      <c r="C31" s="164" t="str">
        <f>VLOOKUP(Observaciones[[#This Row],[Caso de Prueba]],CasoPrueba[[Código CP]:[Descripción Caso de Prueba]],3,0)</f>
        <v>Proceso - Despido o Retiro de Personal</v>
      </c>
      <c r="D31" s="34" t="str">
        <f>VLOOKUP(Observaciones[Caso de Prueba],CasoPrueba[[#All],[Código CP]:[Prioridad]],7,TRUE)</f>
        <v>Alta</v>
      </c>
      <c r="E31" s="164" t="s">
        <v>30</v>
      </c>
      <c r="F31" s="164" t="s">
        <v>49</v>
      </c>
      <c r="G31" s="165">
        <v>40788</v>
      </c>
      <c r="H31" s="73">
        <v>40796</v>
      </c>
      <c r="I31" s="167" t="s">
        <v>132</v>
      </c>
      <c r="J31" s="164" t="s">
        <v>268</v>
      </c>
      <c r="K31" s="164" t="s">
        <v>269</v>
      </c>
      <c r="L31" s="34">
        <f>IF((Observaciones[[#This Row],[Fecha Levantamiento]]-Observaciones[[#This Row],[Fecha Detección]])&gt;=0,Observaciones[[#This Row],[Fecha Levantamiento]]-Observaciones[[#This Row],[Fecha Detección]]+1,0)</f>
        <v>9</v>
      </c>
      <c r="M31" s="34" t="str">
        <f>LOOKUP(Observaciones[[#This Row],[Caso de Prueba]],CasoPrueba[Código CP],CasoPrueba[Código de REQ])</f>
        <v>INSPECCIÓN</v>
      </c>
    </row>
    <row r="32" spans="1:13" ht="45" hidden="1">
      <c r="A32" s="166" t="s">
        <v>270</v>
      </c>
      <c r="B32" s="164" t="s">
        <v>153</v>
      </c>
      <c r="C32" s="164" t="str">
        <f>VLOOKUP(Observaciones[[#This Row],[Caso de Prueba]],CasoPrueba[[Código CP]:[Descripción Caso de Prueba]],3,0)</f>
        <v>Proceso - Despido o Retiro de Personal</v>
      </c>
      <c r="D32" s="34" t="str">
        <f>VLOOKUP(Observaciones[Caso de Prueba],CasoPrueba[[#All],[Código CP]:[Prioridad]],7,TRUE)</f>
        <v>Alta</v>
      </c>
      <c r="E32" s="164" t="s">
        <v>30</v>
      </c>
      <c r="F32" s="164" t="s">
        <v>49</v>
      </c>
      <c r="G32" s="165">
        <v>40788</v>
      </c>
      <c r="H32" s="73">
        <v>40796</v>
      </c>
      <c r="I32" s="167" t="s">
        <v>132</v>
      </c>
      <c r="J32" s="164" t="s">
        <v>253</v>
      </c>
      <c r="K32" s="164" t="s">
        <v>228</v>
      </c>
      <c r="L32" s="34">
        <f>IF((Observaciones[[#This Row],[Fecha Levantamiento]]-Observaciones[[#This Row],[Fecha Detección]])&gt;=0,Observaciones[[#This Row],[Fecha Levantamiento]]-Observaciones[[#This Row],[Fecha Detección]]+1,0)</f>
        <v>9</v>
      </c>
      <c r="M32" s="34" t="str">
        <f>LOOKUP(Observaciones[[#This Row],[Caso de Prueba]],CasoPrueba[Código CP],CasoPrueba[Código de REQ])</f>
        <v>INSPECCIÓN</v>
      </c>
    </row>
    <row r="33" spans="1:13" ht="30" hidden="1">
      <c r="A33" s="166" t="s">
        <v>271</v>
      </c>
      <c r="B33" s="164" t="s">
        <v>153</v>
      </c>
      <c r="C33" s="164" t="str">
        <f>VLOOKUP(Observaciones[[#This Row],[Caso de Prueba]],CasoPrueba[[Código CP]:[Descripción Caso de Prueba]],3,0)</f>
        <v>Proceso - Despido o Retiro de Personal</v>
      </c>
      <c r="D33" s="34" t="str">
        <f>VLOOKUP(Observaciones[Caso de Prueba],CasoPrueba[[#All],[Código CP]:[Prioridad]],7,TRUE)</f>
        <v>Alta</v>
      </c>
      <c r="E33" s="164" t="s">
        <v>30</v>
      </c>
      <c r="F33" s="164" t="s">
        <v>49</v>
      </c>
      <c r="G33" s="165">
        <v>40793</v>
      </c>
      <c r="H33" s="73">
        <v>40796</v>
      </c>
      <c r="I33" s="167" t="s">
        <v>132</v>
      </c>
      <c r="J33" s="164" t="s">
        <v>236</v>
      </c>
      <c r="K33" s="164" t="s">
        <v>272</v>
      </c>
      <c r="L33" s="34">
        <f>IF((Observaciones[[#This Row],[Fecha Levantamiento]]-Observaciones[[#This Row],[Fecha Detección]])&gt;=0,Observaciones[[#This Row],[Fecha Levantamiento]]-Observaciones[[#This Row],[Fecha Detección]]+1,0)</f>
        <v>4</v>
      </c>
      <c r="M33" s="34" t="str">
        <f>LOOKUP(Observaciones[[#This Row],[Caso de Prueba]],CasoPrueba[Código CP],CasoPrueba[Código de REQ])</f>
        <v>INSPECCIÓN</v>
      </c>
    </row>
    <row r="34" spans="1:13" ht="30" hidden="1">
      <c r="A34" s="166" t="s">
        <v>273</v>
      </c>
      <c r="B34" s="164" t="s">
        <v>153</v>
      </c>
      <c r="C34" s="164" t="str">
        <f>VLOOKUP(Observaciones[[#This Row],[Caso de Prueba]],CasoPrueba[[Código CP]:[Descripción Caso de Prueba]],3,0)</f>
        <v>Proceso - Despido o Retiro de Personal</v>
      </c>
      <c r="D34" s="34" t="str">
        <f>VLOOKUP(Observaciones[Caso de Prueba],CasoPrueba[[#All],[Código CP]:[Prioridad]],7,TRUE)</f>
        <v>Alta</v>
      </c>
      <c r="E34" s="164" t="s">
        <v>29</v>
      </c>
      <c r="F34" s="164" t="s">
        <v>49</v>
      </c>
      <c r="G34" s="165">
        <v>40788</v>
      </c>
      <c r="H34" s="73">
        <v>40796</v>
      </c>
      <c r="I34" s="167" t="s">
        <v>132</v>
      </c>
      <c r="J34" s="164" t="s">
        <v>206</v>
      </c>
      <c r="K34" s="164" t="s">
        <v>274</v>
      </c>
      <c r="L34" s="34">
        <f>IF((Observaciones[[#This Row],[Fecha Levantamiento]]-Observaciones[[#This Row],[Fecha Detección]])&gt;=0,Observaciones[[#This Row],[Fecha Levantamiento]]-Observaciones[[#This Row],[Fecha Detección]]+1,0)</f>
        <v>9</v>
      </c>
      <c r="M34" s="34" t="str">
        <f>LOOKUP(Observaciones[[#This Row],[Caso de Prueba]],CasoPrueba[Código CP],CasoPrueba[Código de REQ])</f>
        <v>INSPECCIÓN</v>
      </c>
    </row>
    <row r="35" spans="1:13" ht="45" hidden="1">
      <c r="A35" s="166" t="s">
        <v>275</v>
      </c>
      <c r="B35" s="164" t="s">
        <v>153</v>
      </c>
      <c r="C35" s="164" t="str">
        <f>VLOOKUP(Observaciones[[#This Row],[Caso de Prueba]],CasoPrueba[[Código CP]:[Descripción Caso de Prueba]],3,0)</f>
        <v>Proceso - Despido o Retiro de Personal</v>
      </c>
      <c r="D35" s="34" t="str">
        <f>VLOOKUP(Observaciones[Caso de Prueba],CasoPrueba[[#All],[Código CP]:[Prioridad]],7,TRUE)</f>
        <v>Alta</v>
      </c>
      <c r="E35" s="164" t="s">
        <v>30</v>
      </c>
      <c r="F35" s="164" t="s">
        <v>49</v>
      </c>
      <c r="G35" s="165">
        <v>40788</v>
      </c>
      <c r="H35" s="73">
        <v>40796</v>
      </c>
      <c r="I35" s="167" t="s">
        <v>132</v>
      </c>
      <c r="J35" s="164" t="s">
        <v>276</v>
      </c>
      <c r="K35" s="164" t="s">
        <v>277</v>
      </c>
      <c r="L35" s="34">
        <f>IF((Observaciones[[#This Row],[Fecha Levantamiento]]-Observaciones[[#This Row],[Fecha Detección]])&gt;=0,Observaciones[[#This Row],[Fecha Levantamiento]]-Observaciones[[#This Row],[Fecha Detección]]+1,0)</f>
        <v>9</v>
      </c>
      <c r="M35" s="34" t="str">
        <f>LOOKUP(Observaciones[[#This Row],[Caso de Prueba]],CasoPrueba[Código CP],CasoPrueba[Código de REQ])</f>
        <v>INSPECCIÓN</v>
      </c>
    </row>
    <row r="36" spans="1:13" ht="60" hidden="1">
      <c r="A36" s="166" t="s">
        <v>278</v>
      </c>
      <c r="B36" s="164" t="s">
        <v>153</v>
      </c>
      <c r="C36" s="164" t="str">
        <f>VLOOKUP(Observaciones[[#This Row],[Caso de Prueba]],CasoPrueba[[Código CP]:[Descripción Caso de Prueba]],3,0)</f>
        <v>Proceso - Despido o Retiro de Personal</v>
      </c>
      <c r="D36" s="34" t="str">
        <f>VLOOKUP(Observaciones[Caso de Prueba],CasoPrueba[[#All],[Código CP]:[Prioridad]],7,TRUE)</f>
        <v>Alta</v>
      </c>
      <c r="E36" s="164" t="s">
        <v>29</v>
      </c>
      <c r="F36" s="164" t="s">
        <v>49</v>
      </c>
      <c r="G36" s="165">
        <v>40788</v>
      </c>
      <c r="H36" s="73">
        <v>40796</v>
      </c>
      <c r="I36" s="167" t="s">
        <v>132</v>
      </c>
      <c r="J36" s="164" t="s">
        <v>279</v>
      </c>
      <c r="K36" s="164" t="s">
        <v>280</v>
      </c>
      <c r="L36" s="34">
        <f>IF((Observaciones[[#This Row],[Fecha Levantamiento]]-Observaciones[[#This Row],[Fecha Detección]])&gt;=0,Observaciones[[#This Row],[Fecha Levantamiento]]-Observaciones[[#This Row],[Fecha Detección]]+1,0)</f>
        <v>9</v>
      </c>
      <c r="M36" s="34" t="str">
        <f>LOOKUP(Observaciones[[#This Row],[Caso de Prueba]],CasoPrueba[Código CP],CasoPrueba[Código de REQ])</f>
        <v>INSPECCIÓN</v>
      </c>
    </row>
    <row r="37" spans="1:13" ht="30" hidden="1">
      <c r="A37" s="166" t="s">
        <v>281</v>
      </c>
      <c r="B37" s="164" t="s">
        <v>153</v>
      </c>
      <c r="C37" s="164" t="str">
        <f>VLOOKUP(Observaciones[[#This Row],[Caso de Prueba]],CasoPrueba[[Código CP]:[Descripción Caso de Prueba]],3,0)</f>
        <v>Proceso - Despido o Retiro de Personal</v>
      </c>
      <c r="D37" s="34" t="str">
        <f>VLOOKUP(Observaciones[Caso de Prueba],CasoPrueba[[#All],[Código CP]:[Prioridad]],7,TRUE)</f>
        <v>Alta</v>
      </c>
      <c r="E37" s="164" t="s">
        <v>29</v>
      </c>
      <c r="F37" s="164" t="s">
        <v>49</v>
      </c>
      <c r="G37" s="165">
        <v>40788</v>
      </c>
      <c r="H37" s="73">
        <v>40796</v>
      </c>
      <c r="I37" s="167" t="s">
        <v>132</v>
      </c>
      <c r="J37" s="164" t="s">
        <v>282</v>
      </c>
      <c r="K37" s="164" t="s">
        <v>283</v>
      </c>
      <c r="L37" s="34">
        <f>IF((Observaciones[[#This Row],[Fecha Levantamiento]]-Observaciones[[#This Row],[Fecha Detección]])&gt;=0,Observaciones[[#This Row],[Fecha Levantamiento]]-Observaciones[[#This Row],[Fecha Detección]]+1,0)</f>
        <v>9</v>
      </c>
      <c r="M37" s="34" t="str">
        <f>LOOKUP(Observaciones[[#This Row],[Caso de Prueba]],CasoPrueba[Código CP],CasoPrueba[Código de REQ])</f>
        <v>INSPECCIÓN</v>
      </c>
    </row>
    <row r="38" spans="1:13" ht="30" hidden="1">
      <c r="A38" s="166" t="s">
        <v>284</v>
      </c>
      <c r="B38" s="164" t="s">
        <v>153</v>
      </c>
      <c r="C38" s="164" t="str">
        <f>VLOOKUP(Observaciones[[#This Row],[Caso de Prueba]],CasoPrueba[[Código CP]:[Descripción Caso de Prueba]],3,0)</f>
        <v>Proceso - Despido o Retiro de Personal</v>
      </c>
      <c r="D38" s="34" t="str">
        <f>VLOOKUP(Observaciones[Caso de Prueba],CasoPrueba[[#All],[Código CP]:[Prioridad]],7,TRUE)</f>
        <v>Alta</v>
      </c>
      <c r="E38" s="164" t="s">
        <v>29</v>
      </c>
      <c r="F38" s="164" t="s">
        <v>49</v>
      </c>
      <c r="G38" s="165">
        <v>40788</v>
      </c>
      <c r="H38" s="73">
        <v>40796</v>
      </c>
      <c r="I38" s="167" t="s">
        <v>132</v>
      </c>
      <c r="J38" s="164" t="s">
        <v>285</v>
      </c>
      <c r="K38" s="164" t="s">
        <v>286</v>
      </c>
      <c r="L38" s="34">
        <f>IF((Observaciones[[#This Row],[Fecha Levantamiento]]-Observaciones[[#This Row],[Fecha Detección]])&gt;=0,Observaciones[[#This Row],[Fecha Levantamiento]]-Observaciones[[#This Row],[Fecha Detección]]+1,0)</f>
        <v>9</v>
      </c>
      <c r="M38" s="34" t="str">
        <f>LOOKUP(Observaciones[[#This Row],[Caso de Prueba]],CasoPrueba[Código CP],CasoPrueba[Código de REQ])</f>
        <v>INSPECCIÓN</v>
      </c>
    </row>
    <row r="39" spans="1:13" ht="45" hidden="1">
      <c r="A39" s="166" t="s">
        <v>287</v>
      </c>
      <c r="B39" s="164" t="s">
        <v>153</v>
      </c>
      <c r="C39" s="164" t="str">
        <f>VLOOKUP(Observaciones[[#This Row],[Caso de Prueba]],CasoPrueba[[Código CP]:[Descripción Caso de Prueba]],3,0)</f>
        <v>Proceso - Despido o Retiro de Personal</v>
      </c>
      <c r="D39" s="34" t="str">
        <f>VLOOKUP(Observaciones[Caso de Prueba],CasoPrueba[[#All],[Código CP]:[Prioridad]],7,TRUE)</f>
        <v>Alta</v>
      </c>
      <c r="E39" s="164" t="s">
        <v>29</v>
      </c>
      <c r="F39" s="164" t="s">
        <v>49</v>
      </c>
      <c r="G39" s="165">
        <v>40788</v>
      </c>
      <c r="H39" s="73">
        <v>40796</v>
      </c>
      <c r="I39" s="167" t="s">
        <v>132</v>
      </c>
      <c r="J39" s="164" t="s">
        <v>288</v>
      </c>
      <c r="K39" s="164" t="s">
        <v>289</v>
      </c>
      <c r="L39" s="34">
        <f>IF((Observaciones[[#This Row],[Fecha Levantamiento]]-Observaciones[[#This Row],[Fecha Detección]])&gt;=0,Observaciones[[#This Row],[Fecha Levantamiento]]-Observaciones[[#This Row],[Fecha Detección]]+1,0)</f>
        <v>9</v>
      </c>
      <c r="M39" s="34" t="str">
        <f>LOOKUP(Observaciones[[#This Row],[Caso de Prueba]],CasoPrueba[Código CP],CasoPrueba[Código de REQ])</f>
        <v>INSPECCIÓN</v>
      </c>
    </row>
    <row r="40" spans="1:13" ht="30" hidden="1">
      <c r="A40" s="166" t="s">
        <v>290</v>
      </c>
      <c r="B40" s="164" t="s">
        <v>153</v>
      </c>
      <c r="C40" s="164" t="str">
        <f>VLOOKUP(Observaciones[[#This Row],[Caso de Prueba]],CasoPrueba[[Código CP]:[Descripción Caso de Prueba]],3,0)</f>
        <v>Proceso - Despido o Retiro de Personal</v>
      </c>
      <c r="D40" s="34" t="str">
        <f>VLOOKUP(Observaciones[Caso de Prueba],CasoPrueba[[#All],[Código CP]:[Prioridad]],7,TRUE)</f>
        <v>Alta</v>
      </c>
      <c r="E40" s="164" t="s">
        <v>162</v>
      </c>
      <c r="F40" s="164" t="s">
        <v>49</v>
      </c>
      <c r="G40" s="165">
        <v>40788</v>
      </c>
      <c r="H40" s="73">
        <v>40796</v>
      </c>
      <c r="I40" s="167" t="s">
        <v>132</v>
      </c>
      <c r="J40" s="164" t="s">
        <v>291</v>
      </c>
      <c r="K40" s="164" t="s">
        <v>199</v>
      </c>
      <c r="L40" s="34">
        <f>IF((Observaciones[[#This Row],[Fecha Levantamiento]]-Observaciones[[#This Row],[Fecha Detección]])&gt;=0,Observaciones[[#This Row],[Fecha Levantamiento]]-Observaciones[[#This Row],[Fecha Detección]]+1,0)</f>
        <v>9</v>
      </c>
      <c r="M40" s="34" t="str">
        <f>LOOKUP(Observaciones[[#This Row],[Caso de Prueba]],CasoPrueba[Código CP],CasoPrueba[Código de REQ])</f>
        <v>INSPECCIÓN</v>
      </c>
    </row>
    <row r="41" spans="1:13" ht="30" hidden="1">
      <c r="A41" s="166" t="s">
        <v>292</v>
      </c>
      <c r="B41" s="164" t="s">
        <v>153</v>
      </c>
      <c r="C41" s="164" t="str">
        <f>VLOOKUP(Observaciones[[#This Row],[Caso de Prueba]],CasoPrueba[[Código CP]:[Descripción Caso de Prueba]],3,0)</f>
        <v>Proceso - Despido o Retiro de Personal</v>
      </c>
      <c r="D41" s="34" t="str">
        <f>VLOOKUP(Observaciones[Caso de Prueba],CasoPrueba[[#All],[Código CP]:[Prioridad]],7,TRUE)</f>
        <v>Alta</v>
      </c>
      <c r="E41" s="164" t="s">
        <v>30</v>
      </c>
      <c r="F41" s="164" t="s">
        <v>49</v>
      </c>
      <c r="G41" s="165">
        <v>40788</v>
      </c>
      <c r="H41" s="73">
        <v>40796</v>
      </c>
      <c r="I41" s="167" t="s">
        <v>132</v>
      </c>
      <c r="J41" s="164" t="s">
        <v>293</v>
      </c>
      <c r="K41" s="164" t="s">
        <v>294</v>
      </c>
      <c r="L41" s="34">
        <f>IF((Observaciones[[#This Row],[Fecha Levantamiento]]-Observaciones[[#This Row],[Fecha Detección]])&gt;=0,Observaciones[[#This Row],[Fecha Levantamiento]]-Observaciones[[#This Row],[Fecha Detección]]+1,0)</f>
        <v>9</v>
      </c>
      <c r="M41" s="34" t="str">
        <f>LOOKUP(Observaciones[[#This Row],[Caso de Prueba]],CasoPrueba[Código CP],CasoPrueba[Código de REQ])</f>
        <v>INSPECCIÓN</v>
      </c>
    </row>
    <row r="42" spans="1:13" ht="30" hidden="1">
      <c r="A42" s="166" t="s">
        <v>295</v>
      </c>
      <c r="B42" s="164" t="s">
        <v>153</v>
      </c>
      <c r="C42" s="164" t="str">
        <f>VLOOKUP(Observaciones[[#This Row],[Caso de Prueba]],CasoPrueba[[Código CP]:[Descripción Caso de Prueba]],3,0)</f>
        <v>Proceso - Despido o Retiro de Personal</v>
      </c>
      <c r="D42" s="34" t="str">
        <f>VLOOKUP(Observaciones[Caso de Prueba],CasoPrueba[[#All],[Código CP]:[Prioridad]],7,TRUE)</f>
        <v>Alta</v>
      </c>
      <c r="E42" s="164" t="s">
        <v>29</v>
      </c>
      <c r="F42" s="164" t="s">
        <v>49</v>
      </c>
      <c r="G42" s="165">
        <v>40788</v>
      </c>
      <c r="H42" s="73">
        <v>40796</v>
      </c>
      <c r="I42" s="167" t="s">
        <v>132</v>
      </c>
      <c r="J42" s="164" t="s">
        <v>296</v>
      </c>
      <c r="K42" s="164" t="s">
        <v>297</v>
      </c>
      <c r="L42" s="34">
        <f>IF((Observaciones[[#This Row],[Fecha Levantamiento]]-Observaciones[[#This Row],[Fecha Detección]])&gt;=0,Observaciones[[#This Row],[Fecha Levantamiento]]-Observaciones[[#This Row],[Fecha Detección]]+1,0)</f>
        <v>9</v>
      </c>
      <c r="M42" s="34" t="str">
        <f>LOOKUP(Observaciones[[#This Row],[Caso de Prueba]],CasoPrueba[Código CP],CasoPrueba[Código de REQ])</f>
        <v>INSPECCIÓN</v>
      </c>
    </row>
    <row r="43" spans="1:13" ht="45" hidden="1">
      <c r="A43" s="166" t="s">
        <v>298</v>
      </c>
      <c r="B43" s="164" t="s">
        <v>154</v>
      </c>
      <c r="C43" s="164" t="str">
        <f>VLOOKUP(Observaciones[[#This Row],[Caso de Prueba]],CasoPrueba[[Código CP]:[Descripción Caso de Prueba]],3,0)</f>
        <v>Proceso - Evaluación de Postulantes</v>
      </c>
      <c r="D43" s="34" t="str">
        <f>VLOOKUP(Observaciones[Caso de Prueba],CasoPrueba[[#All],[Código CP]:[Prioridad]],7,TRUE)</f>
        <v>Alta</v>
      </c>
      <c r="E43" s="164" t="s">
        <v>30</v>
      </c>
      <c r="F43" s="164" t="s">
        <v>49</v>
      </c>
      <c r="G43" s="165">
        <v>40788</v>
      </c>
      <c r="H43" s="73">
        <v>40796</v>
      </c>
      <c r="I43" s="167" t="s">
        <v>132</v>
      </c>
      <c r="J43" s="164" t="s">
        <v>253</v>
      </c>
      <c r="K43" s="164" t="s">
        <v>228</v>
      </c>
      <c r="L43" s="34">
        <f>IF((Observaciones[[#This Row],[Fecha Levantamiento]]-Observaciones[[#This Row],[Fecha Detección]])&gt;=0,Observaciones[[#This Row],[Fecha Levantamiento]]-Observaciones[[#This Row],[Fecha Detección]]+1,0)</f>
        <v>9</v>
      </c>
      <c r="M43" s="34" t="str">
        <f>LOOKUP(Observaciones[[#This Row],[Caso de Prueba]],CasoPrueba[Código CP],CasoPrueba[Código de REQ])</f>
        <v>INSPECCIÓN</v>
      </c>
    </row>
    <row r="44" spans="1:13" ht="30" hidden="1">
      <c r="A44" s="166" t="s">
        <v>299</v>
      </c>
      <c r="B44" s="164" t="s">
        <v>154</v>
      </c>
      <c r="C44" s="164" t="str">
        <f>VLOOKUP(Observaciones[[#This Row],[Caso de Prueba]],CasoPrueba[[Código CP]:[Descripción Caso de Prueba]],3,0)</f>
        <v>Proceso - Evaluación de Postulantes</v>
      </c>
      <c r="D44" s="34" t="str">
        <f>VLOOKUP(Observaciones[Caso de Prueba],CasoPrueba[[#All],[Código CP]:[Prioridad]],7,TRUE)</f>
        <v>Alta</v>
      </c>
      <c r="E44" s="164" t="s">
        <v>30</v>
      </c>
      <c r="F44" s="164" t="s">
        <v>49</v>
      </c>
      <c r="G44" s="165">
        <v>40793</v>
      </c>
      <c r="H44" s="73">
        <v>40796</v>
      </c>
      <c r="I44" s="167" t="s">
        <v>132</v>
      </c>
      <c r="J44" s="164" t="s">
        <v>236</v>
      </c>
      <c r="K44" s="164" t="s">
        <v>255</v>
      </c>
      <c r="L44" s="34">
        <f>IF((Observaciones[[#This Row],[Fecha Levantamiento]]-Observaciones[[#This Row],[Fecha Detección]])&gt;=0,Observaciones[[#This Row],[Fecha Levantamiento]]-Observaciones[[#This Row],[Fecha Detección]]+1,0)</f>
        <v>4</v>
      </c>
      <c r="M44" s="34" t="str">
        <f>LOOKUP(Observaciones[[#This Row],[Caso de Prueba]],CasoPrueba[Código CP],CasoPrueba[Código de REQ])</f>
        <v>INSPECCIÓN</v>
      </c>
    </row>
    <row r="45" spans="1:13" ht="30" hidden="1">
      <c r="A45" s="166" t="s">
        <v>300</v>
      </c>
      <c r="B45" s="164" t="s">
        <v>154</v>
      </c>
      <c r="C45" s="164" t="str">
        <f>VLOOKUP(Observaciones[[#This Row],[Caso de Prueba]],CasoPrueba[[Código CP]:[Descripción Caso de Prueba]],3,0)</f>
        <v>Proceso - Evaluación de Postulantes</v>
      </c>
      <c r="D45" s="34" t="str">
        <f>VLOOKUP(Observaciones[Caso de Prueba],CasoPrueba[[#All],[Código CP]:[Prioridad]],7,TRUE)</f>
        <v>Alta</v>
      </c>
      <c r="E45" s="164" t="s">
        <v>29</v>
      </c>
      <c r="F45" s="164" t="s">
        <v>49</v>
      </c>
      <c r="G45" s="165">
        <v>40788</v>
      </c>
      <c r="H45" s="73">
        <v>40796</v>
      </c>
      <c r="I45" s="167" t="s">
        <v>132</v>
      </c>
      <c r="J45" s="164" t="s">
        <v>301</v>
      </c>
      <c r="K45" s="164" t="s">
        <v>258</v>
      </c>
      <c r="L45" s="34">
        <f>IF((Observaciones[[#This Row],[Fecha Levantamiento]]-Observaciones[[#This Row],[Fecha Detección]])&gt;=0,Observaciones[[#This Row],[Fecha Levantamiento]]-Observaciones[[#This Row],[Fecha Detección]]+1,0)</f>
        <v>9</v>
      </c>
      <c r="M45" s="34" t="str">
        <f>LOOKUP(Observaciones[[#This Row],[Caso de Prueba]],CasoPrueba[Código CP],CasoPrueba[Código de REQ])</f>
        <v>INSPECCIÓN</v>
      </c>
    </row>
    <row r="46" spans="1:13" ht="60" hidden="1">
      <c r="A46" s="166" t="s">
        <v>302</v>
      </c>
      <c r="B46" s="164" t="s">
        <v>154</v>
      </c>
      <c r="C46" s="164" t="str">
        <f>VLOOKUP(Observaciones[[#This Row],[Caso de Prueba]],CasoPrueba[[Código CP]:[Descripción Caso de Prueba]],3,0)</f>
        <v>Proceso - Evaluación de Postulantes</v>
      </c>
      <c r="D46" s="34" t="str">
        <f>VLOOKUP(Observaciones[Caso de Prueba],CasoPrueba[[#All],[Código CP]:[Prioridad]],7,TRUE)</f>
        <v>Alta</v>
      </c>
      <c r="E46" s="164" t="s">
        <v>29</v>
      </c>
      <c r="F46" s="164" t="s">
        <v>49</v>
      </c>
      <c r="G46" s="165">
        <v>40788</v>
      </c>
      <c r="H46" s="73">
        <v>40796</v>
      </c>
      <c r="I46" s="167" t="s">
        <v>132</v>
      </c>
      <c r="J46" s="164" t="s">
        <v>303</v>
      </c>
      <c r="K46" s="164" t="s">
        <v>261</v>
      </c>
      <c r="L46" s="34">
        <f>IF((Observaciones[[#This Row],[Fecha Levantamiento]]-Observaciones[[#This Row],[Fecha Detección]])&gt;=0,Observaciones[[#This Row],[Fecha Levantamiento]]-Observaciones[[#This Row],[Fecha Detección]]+1,0)</f>
        <v>9</v>
      </c>
      <c r="M46" s="34" t="str">
        <f>LOOKUP(Observaciones[[#This Row],[Caso de Prueba]],CasoPrueba[Código CP],CasoPrueba[Código de REQ])</f>
        <v>INSPECCIÓN</v>
      </c>
    </row>
    <row r="47" spans="1:13" hidden="1">
      <c r="A47" s="166" t="s">
        <v>304</v>
      </c>
      <c r="B47" s="164" t="s">
        <v>154</v>
      </c>
      <c r="C47" s="164" t="str">
        <f>VLOOKUP(Observaciones[[#This Row],[Caso de Prueba]],CasoPrueba[[Código CP]:[Descripción Caso de Prueba]],3,0)</f>
        <v>Proceso - Evaluación de Postulantes</v>
      </c>
      <c r="D47" s="34" t="str">
        <f>VLOOKUP(Observaciones[Caso de Prueba],CasoPrueba[[#All],[Código CP]:[Prioridad]],7,TRUE)</f>
        <v>Alta</v>
      </c>
      <c r="E47" s="164" t="s">
        <v>28</v>
      </c>
      <c r="F47" s="164" t="s">
        <v>49</v>
      </c>
      <c r="G47" s="165">
        <v>40793</v>
      </c>
      <c r="H47" s="73">
        <v>40796</v>
      </c>
      <c r="I47" s="167" t="s">
        <v>132</v>
      </c>
      <c r="J47" s="164" t="s">
        <v>250</v>
      </c>
      <c r="K47" s="164" t="s">
        <v>305</v>
      </c>
      <c r="L47" s="34">
        <f>IF((Observaciones[[#This Row],[Fecha Levantamiento]]-Observaciones[[#This Row],[Fecha Detección]])&gt;=0,Observaciones[[#This Row],[Fecha Levantamiento]]-Observaciones[[#This Row],[Fecha Detección]]+1,0)</f>
        <v>4</v>
      </c>
      <c r="M47" s="34" t="str">
        <f>LOOKUP(Observaciones[[#This Row],[Caso de Prueba]],CasoPrueba[Código CP],CasoPrueba[Código de REQ])</f>
        <v>INSPECCIÓN</v>
      </c>
    </row>
    <row r="48" spans="1:13" ht="45" hidden="1">
      <c r="A48" s="166" t="s">
        <v>306</v>
      </c>
      <c r="B48" s="164" t="s">
        <v>155</v>
      </c>
      <c r="C48" s="164" t="str">
        <f>VLOOKUP(Observaciones[[#This Row],[Caso de Prueba]],CasoPrueba[[Código CP]:[Descripción Caso de Prueba]],3,0)</f>
        <v>Proceso - Reclutamiento de Postulantes</v>
      </c>
      <c r="D48" s="34" t="str">
        <f>VLOOKUP(Observaciones[Caso de Prueba],CasoPrueba[[#All],[Código CP]:[Prioridad]],7,TRUE)</f>
        <v>Alta</v>
      </c>
      <c r="E48" s="164" t="s">
        <v>30</v>
      </c>
      <c r="F48" s="164" t="s">
        <v>49</v>
      </c>
      <c r="G48" s="165">
        <v>40788</v>
      </c>
      <c r="H48" s="73">
        <v>40796</v>
      </c>
      <c r="I48" s="167" t="s">
        <v>132</v>
      </c>
      <c r="J48" s="164" t="s">
        <v>253</v>
      </c>
      <c r="K48" s="164" t="s">
        <v>228</v>
      </c>
      <c r="L48" s="34">
        <f>IF((Observaciones[[#This Row],[Fecha Levantamiento]]-Observaciones[[#This Row],[Fecha Detección]])&gt;=0,Observaciones[[#This Row],[Fecha Levantamiento]]-Observaciones[[#This Row],[Fecha Detección]]+1,0)</f>
        <v>9</v>
      </c>
      <c r="M48" s="34" t="str">
        <f>LOOKUP(Observaciones[[#This Row],[Caso de Prueba]],CasoPrueba[Código CP],CasoPrueba[Código de REQ])</f>
        <v>INSPECCIÓN</v>
      </c>
    </row>
    <row r="49" spans="1:13" ht="30" hidden="1">
      <c r="A49" s="166" t="s">
        <v>307</v>
      </c>
      <c r="B49" s="164" t="s">
        <v>155</v>
      </c>
      <c r="C49" s="164" t="str">
        <f>VLOOKUP(Observaciones[[#This Row],[Caso de Prueba]],CasoPrueba[[Código CP]:[Descripción Caso de Prueba]],3,0)</f>
        <v>Proceso - Reclutamiento de Postulantes</v>
      </c>
      <c r="D49" s="34" t="str">
        <f>VLOOKUP(Observaciones[Caso de Prueba],CasoPrueba[[#All],[Código CP]:[Prioridad]],7,TRUE)</f>
        <v>Alta</v>
      </c>
      <c r="E49" s="164" t="s">
        <v>30</v>
      </c>
      <c r="F49" s="164" t="s">
        <v>49</v>
      </c>
      <c r="G49" s="165">
        <v>40793</v>
      </c>
      <c r="H49" s="73">
        <v>40796</v>
      </c>
      <c r="I49" s="167" t="s">
        <v>132</v>
      </c>
      <c r="J49" s="164" t="s">
        <v>236</v>
      </c>
      <c r="K49" s="164" t="s">
        <v>255</v>
      </c>
      <c r="L49" s="34">
        <f>IF((Observaciones[[#This Row],[Fecha Levantamiento]]-Observaciones[[#This Row],[Fecha Detección]])&gt;=0,Observaciones[[#This Row],[Fecha Levantamiento]]-Observaciones[[#This Row],[Fecha Detección]]+1,0)</f>
        <v>4</v>
      </c>
      <c r="M49" s="34" t="str">
        <f>LOOKUP(Observaciones[[#This Row],[Caso de Prueba]],CasoPrueba[Código CP],CasoPrueba[Código de REQ])</f>
        <v>INSPECCIÓN</v>
      </c>
    </row>
    <row r="50" spans="1:13" ht="30" hidden="1">
      <c r="A50" s="166" t="s">
        <v>308</v>
      </c>
      <c r="B50" s="164" t="s">
        <v>155</v>
      </c>
      <c r="C50" s="164" t="str">
        <f>VLOOKUP(Observaciones[[#This Row],[Caso de Prueba]],CasoPrueba[[Código CP]:[Descripción Caso de Prueba]],3,0)</f>
        <v>Proceso - Reclutamiento de Postulantes</v>
      </c>
      <c r="D50" s="34" t="str">
        <f>VLOOKUP(Observaciones[Caso de Prueba],CasoPrueba[[#All],[Código CP]:[Prioridad]],7,TRUE)</f>
        <v>Alta</v>
      </c>
      <c r="E50" s="164" t="s">
        <v>29</v>
      </c>
      <c r="F50" s="164" t="s">
        <v>49</v>
      </c>
      <c r="G50" s="165">
        <v>40788</v>
      </c>
      <c r="H50" s="73">
        <v>40796</v>
      </c>
      <c r="I50" s="167" t="s">
        <v>132</v>
      </c>
      <c r="J50" s="164" t="s">
        <v>301</v>
      </c>
      <c r="K50" s="164" t="s">
        <v>258</v>
      </c>
      <c r="L50" s="34">
        <f>IF((Observaciones[[#This Row],[Fecha Levantamiento]]-Observaciones[[#This Row],[Fecha Detección]])&gt;=0,Observaciones[[#This Row],[Fecha Levantamiento]]-Observaciones[[#This Row],[Fecha Detección]]+1,0)</f>
        <v>9</v>
      </c>
      <c r="M50" s="34" t="str">
        <f>LOOKUP(Observaciones[[#This Row],[Caso de Prueba]],CasoPrueba[Código CP],CasoPrueba[Código de REQ])</f>
        <v>INSPECCIÓN</v>
      </c>
    </row>
    <row r="51" spans="1:13" ht="45" hidden="1">
      <c r="A51" s="166" t="s">
        <v>309</v>
      </c>
      <c r="B51" s="164" t="s">
        <v>156</v>
      </c>
      <c r="C51" s="164" t="str">
        <f>VLOOKUP(Observaciones[[#This Row],[Caso de Prueba]],CasoPrueba[[Código CP]:[Descripción Caso de Prueba]],3,0)</f>
        <v>Proceso - Rendición de Gastos de Viaje</v>
      </c>
      <c r="D51" s="34" t="str">
        <f>VLOOKUP(Observaciones[Caso de Prueba],CasoPrueba[[#All],[Código CP]:[Prioridad]],7,TRUE)</f>
        <v>Alta</v>
      </c>
      <c r="E51" s="164" t="s">
        <v>30</v>
      </c>
      <c r="F51" s="164" t="s">
        <v>49</v>
      </c>
      <c r="G51" s="165">
        <v>40789</v>
      </c>
      <c r="H51" s="73">
        <v>40796</v>
      </c>
      <c r="I51" s="167" t="s">
        <v>132</v>
      </c>
      <c r="J51" s="164" t="s">
        <v>253</v>
      </c>
      <c r="K51" s="164" t="s">
        <v>228</v>
      </c>
      <c r="L51" s="34">
        <f>IF((Observaciones[[#This Row],[Fecha Levantamiento]]-Observaciones[[#This Row],[Fecha Detección]])&gt;=0,Observaciones[[#This Row],[Fecha Levantamiento]]-Observaciones[[#This Row],[Fecha Detección]]+1,0)</f>
        <v>8</v>
      </c>
      <c r="M51" s="34" t="str">
        <f>LOOKUP(Observaciones[[#This Row],[Caso de Prueba]],CasoPrueba[Código CP],CasoPrueba[Código de REQ])</f>
        <v>INSPECCIÓN</v>
      </c>
    </row>
    <row r="52" spans="1:13" ht="30" hidden="1">
      <c r="A52" s="166" t="s">
        <v>310</v>
      </c>
      <c r="B52" s="164" t="s">
        <v>156</v>
      </c>
      <c r="C52" s="164" t="str">
        <f>VLOOKUP(Observaciones[[#This Row],[Caso de Prueba]],CasoPrueba[[Código CP]:[Descripción Caso de Prueba]],3,0)</f>
        <v>Proceso - Rendición de Gastos de Viaje</v>
      </c>
      <c r="D52" s="34" t="str">
        <f>VLOOKUP(Observaciones[Caso de Prueba],CasoPrueba[[#All],[Código CP]:[Prioridad]],7,TRUE)</f>
        <v>Alta</v>
      </c>
      <c r="E52" s="164" t="s">
        <v>30</v>
      </c>
      <c r="F52" s="164" t="s">
        <v>49</v>
      </c>
      <c r="G52" s="165">
        <v>40793</v>
      </c>
      <c r="H52" s="73">
        <v>40796</v>
      </c>
      <c r="I52" s="167" t="s">
        <v>132</v>
      </c>
      <c r="J52" s="164" t="s">
        <v>236</v>
      </c>
      <c r="K52" s="164" t="s">
        <v>255</v>
      </c>
      <c r="L52" s="34">
        <f>IF((Observaciones[[#This Row],[Fecha Levantamiento]]-Observaciones[[#This Row],[Fecha Detección]])&gt;=0,Observaciones[[#This Row],[Fecha Levantamiento]]-Observaciones[[#This Row],[Fecha Detección]]+1,0)</f>
        <v>4</v>
      </c>
      <c r="M52" s="34" t="str">
        <f>LOOKUP(Observaciones[[#This Row],[Caso de Prueba]],CasoPrueba[Código CP],CasoPrueba[Código de REQ])</f>
        <v>INSPECCIÓN</v>
      </c>
    </row>
    <row r="53" spans="1:13" ht="30" hidden="1">
      <c r="A53" s="166" t="s">
        <v>311</v>
      </c>
      <c r="B53" s="164" t="s">
        <v>156</v>
      </c>
      <c r="C53" s="164" t="str">
        <f>VLOOKUP(Observaciones[[#This Row],[Caso de Prueba]],CasoPrueba[[Código CP]:[Descripción Caso de Prueba]],3,0)</f>
        <v>Proceso - Rendición de Gastos de Viaje</v>
      </c>
      <c r="D53" s="34" t="str">
        <f>VLOOKUP(Observaciones[Caso de Prueba],CasoPrueba[[#All],[Código CP]:[Prioridad]],7,TRUE)</f>
        <v>Alta</v>
      </c>
      <c r="E53" s="164" t="s">
        <v>30</v>
      </c>
      <c r="F53" s="164" t="s">
        <v>49</v>
      </c>
      <c r="G53" s="165">
        <v>40789</v>
      </c>
      <c r="H53" s="73">
        <v>40796</v>
      </c>
      <c r="I53" s="167" t="s">
        <v>132</v>
      </c>
      <c r="J53" s="164" t="s">
        <v>312</v>
      </c>
      <c r="K53" s="164" t="s">
        <v>313</v>
      </c>
      <c r="L53" s="34">
        <f>IF((Observaciones[[#This Row],[Fecha Levantamiento]]-Observaciones[[#This Row],[Fecha Detección]])&gt;=0,Observaciones[[#This Row],[Fecha Levantamiento]]-Observaciones[[#This Row],[Fecha Detección]]+1,0)</f>
        <v>8</v>
      </c>
      <c r="M53" s="34" t="str">
        <f>LOOKUP(Observaciones[[#This Row],[Caso de Prueba]],CasoPrueba[Código CP],CasoPrueba[Código de REQ])</f>
        <v>INSPECCIÓN</v>
      </c>
    </row>
    <row r="54" spans="1:13" ht="45" hidden="1">
      <c r="A54" s="166" t="s">
        <v>314</v>
      </c>
      <c r="B54" s="164" t="s">
        <v>156</v>
      </c>
      <c r="C54" s="164" t="str">
        <f>VLOOKUP(Observaciones[[#This Row],[Caso de Prueba]],CasoPrueba[[Código CP]:[Descripción Caso de Prueba]],3,0)</f>
        <v>Proceso - Rendición de Gastos de Viaje</v>
      </c>
      <c r="D54" s="34" t="str">
        <f>VLOOKUP(Observaciones[Caso de Prueba],CasoPrueba[[#All],[Código CP]:[Prioridad]],7,TRUE)</f>
        <v>Alta</v>
      </c>
      <c r="E54" s="164" t="s">
        <v>29</v>
      </c>
      <c r="F54" s="164" t="s">
        <v>49</v>
      </c>
      <c r="G54" s="165">
        <v>40789</v>
      </c>
      <c r="H54" s="73">
        <v>40796</v>
      </c>
      <c r="I54" s="167" t="s">
        <v>132</v>
      </c>
      <c r="J54" s="164" t="s">
        <v>315</v>
      </c>
      <c r="K54" s="164" t="s">
        <v>261</v>
      </c>
      <c r="L54" s="34">
        <f>IF((Observaciones[[#This Row],[Fecha Levantamiento]]-Observaciones[[#This Row],[Fecha Detección]])&gt;=0,Observaciones[[#This Row],[Fecha Levantamiento]]-Observaciones[[#This Row],[Fecha Detección]]+1,0)</f>
        <v>8</v>
      </c>
      <c r="M54" s="34" t="str">
        <f>LOOKUP(Observaciones[[#This Row],[Caso de Prueba]],CasoPrueba[Código CP],CasoPrueba[Código de REQ])</f>
        <v>INSPECCIÓN</v>
      </c>
    </row>
    <row r="55" spans="1:13" ht="60" hidden="1">
      <c r="A55" s="166" t="s">
        <v>316</v>
      </c>
      <c r="B55" s="164" t="s">
        <v>156</v>
      </c>
      <c r="C55" s="164" t="str">
        <f>VLOOKUP(Observaciones[[#This Row],[Caso de Prueba]],CasoPrueba[[Código CP]:[Descripción Caso de Prueba]],3,0)</f>
        <v>Proceso - Rendición de Gastos de Viaje</v>
      </c>
      <c r="D55" s="34" t="str">
        <f>VLOOKUP(Observaciones[Caso de Prueba],CasoPrueba[[#All],[Código CP]:[Prioridad]],7,TRUE)</f>
        <v>Alta</v>
      </c>
      <c r="E55" s="164" t="s">
        <v>30</v>
      </c>
      <c r="F55" s="164" t="s">
        <v>49</v>
      </c>
      <c r="G55" s="165">
        <v>40793</v>
      </c>
      <c r="H55" s="73">
        <v>40796</v>
      </c>
      <c r="I55" s="167" t="s">
        <v>132</v>
      </c>
      <c r="J55" s="164" t="s">
        <v>317</v>
      </c>
      <c r="K55" s="164" t="s">
        <v>318</v>
      </c>
      <c r="L55" s="34">
        <f>IF((Observaciones[[#This Row],[Fecha Levantamiento]]-Observaciones[[#This Row],[Fecha Detección]])&gt;=0,Observaciones[[#This Row],[Fecha Levantamiento]]-Observaciones[[#This Row],[Fecha Detección]]+1,0)</f>
        <v>4</v>
      </c>
      <c r="M55" s="34" t="str">
        <f>LOOKUP(Observaciones[[#This Row],[Caso de Prueba]],CasoPrueba[Código CP],CasoPrueba[Código de REQ])</f>
        <v>INSPECCIÓN</v>
      </c>
    </row>
    <row r="56" spans="1:13" ht="60" hidden="1">
      <c r="A56" s="166" t="s">
        <v>319</v>
      </c>
      <c r="B56" s="164" t="s">
        <v>156</v>
      </c>
      <c r="C56" s="164" t="str">
        <f>VLOOKUP(Observaciones[[#This Row],[Caso de Prueba]],CasoPrueba[[Código CP]:[Descripción Caso de Prueba]],3,0)</f>
        <v>Proceso - Rendición de Gastos de Viaje</v>
      </c>
      <c r="D56" s="34" t="str">
        <f>VLOOKUP(Observaciones[Caso de Prueba],CasoPrueba[[#All],[Código CP]:[Prioridad]],7,TRUE)</f>
        <v>Alta</v>
      </c>
      <c r="E56" s="164" t="s">
        <v>30</v>
      </c>
      <c r="F56" s="164" t="s">
        <v>49</v>
      </c>
      <c r="G56" s="165">
        <v>40789</v>
      </c>
      <c r="H56" s="73">
        <v>40796</v>
      </c>
      <c r="I56" s="167" t="s">
        <v>132</v>
      </c>
      <c r="J56" s="164" t="s">
        <v>320</v>
      </c>
      <c r="K56" s="164" t="s">
        <v>321</v>
      </c>
      <c r="L56" s="34">
        <f>IF((Observaciones[[#This Row],[Fecha Levantamiento]]-Observaciones[[#This Row],[Fecha Detección]])&gt;=0,Observaciones[[#This Row],[Fecha Levantamiento]]-Observaciones[[#This Row],[Fecha Detección]]+1,0)</f>
        <v>8</v>
      </c>
      <c r="M56" s="34" t="str">
        <f>LOOKUP(Observaciones[[#This Row],[Caso de Prueba]],CasoPrueba[Código CP],CasoPrueba[Código de REQ])</f>
        <v>INSPECCIÓN</v>
      </c>
    </row>
    <row r="57" spans="1:13" ht="30" hidden="1">
      <c r="A57" s="166" t="s">
        <v>322</v>
      </c>
      <c r="B57" s="164" t="s">
        <v>156</v>
      </c>
      <c r="C57" s="164" t="str">
        <f>VLOOKUP(Observaciones[[#This Row],[Caso de Prueba]],CasoPrueba[[Código CP]:[Descripción Caso de Prueba]],3,0)</f>
        <v>Proceso - Rendición de Gastos de Viaje</v>
      </c>
      <c r="D57" s="34" t="str">
        <f>VLOOKUP(Observaciones[Caso de Prueba],CasoPrueba[[#All],[Código CP]:[Prioridad]],7,TRUE)</f>
        <v>Alta</v>
      </c>
      <c r="E57" s="164" t="s">
        <v>29</v>
      </c>
      <c r="F57" s="164" t="s">
        <v>49</v>
      </c>
      <c r="G57" s="165">
        <v>40789</v>
      </c>
      <c r="H57" s="73">
        <v>40796</v>
      </c>
      <c r="I57" s="167" t="s">
        <v>132</v>
      </c>
      <c r="J57" s="164" t="s">
        <v>323</v>
      </c>
      <c r="K57" s="164" t="s">
        <v>324</v>
      </c>
      <c r="L57" s="34">
        <f>IF((Observaciones[[#This Row],[Fecha Levantamiento]]-Observaciones[[#This Row],[Fecha Detección]])&gt;=0,Observaciones[[#This Row],[Fecha Levantamiento]]-Observaciones[[#This Row],[Fecha Detección]]+1,0)</f>
        <v>8</v>
      </c>
      <c r="M57" s="34" t="str">
        <f>LOOKUP(Observaciones[[#This Row],[Caso de Prueba]],CasoPrueba[Código CP],CasoPrueba[Código de REQ])</f>
        <v>INSPECCIÓN</v>
      </c>
    </row>
    <row r="58" spans="1:13" ht="45" hidden="1">
      <c r="A58" s="166" t="s">
        <v>325</v>
      </c>
      <c r="B58" s="164" t="s">
        <v>157</v>
      </c>
      <c r="C58" s="164" t="str">
        <f>VLOOKUP(Observaciones[[#This Row],[Caso de Prueba]],CasoPrueba[[Código CP]:[Descripción Caso de Prueba]],3,0)</f>
        <v>Proceso - Seguimiento de Personal</v>
      </c>
      <c r="D58" s="34" t="str">
        <f>VLOOKUP(Observaciones[Caso de Prueba],CasoPrueba[[#All],[Código CP]:[Prioridad]],7,TRUE)</f>
        <v>Alta</v>
      </c>
      <c r="E58" s="164" t="s">
        <v>30</v>
      </c>
      <c r="F58" s="164" t="s">
        <v>49</v>
      </c>
      <c r="G58" s="165">
        <v>40789</v>
      </c>
      <c r="H58" s="73">
        <v>40796</v>
      </c>
      <c r="I58" s="167" t="s">
        <v>132</v>
      </c>
      <c r="J58" s="164" t="s">
        <v>253</v>
      </c>
      <c r="K58" s="164" t="s">
        <v>228</v>
      </c>
      <c r="L58" s="34">
        <f>IF((Observaciones[[#This Row],[Fecha Levantamiento]]-Observaciones[[#This Row],[Fecha Detección]])&gt;=0,Observaciones[[#This Row],[Fecha Levantamiento]]-Observaciones[[#This Row],[Fecha Detección]]+1,0)</f>
        <v>8</v>
      </c>
      <c r="M58" s="34" t="str">
        <f>LOOKUP(Observaciones[[#This Row],[Caso de Prueba]],CasoPrueba[Código CP],CasoPrueba[Código de REQ])</f>
        <v>INSPECCIÓN</v>
      </c>
    </row>
    <row r="59" spans="1:13" ht="30" hidden="1">
      <c r="A59" s="166" t="s">
        <v>326</v>
      </c>
      <c r="B59" s="164" t="s">
        <v>157</v>
      </c>
      <c r="C59" s="164" t="str">
        <f>VLOOKUP(Observaciones[[#This Row],[Caso de Prueba]],CasoPrueba[[Código CP]:[Descripción Caso de Prueba]],3,0)</f>
        <v>Proceso - Seguimiento de Personal</v>
      </c>
      <c r="D59" s="34" t="str">
        <f>VLOOKUP(Observaciones[Caso de Prueba],CasoPrueba[[#All],[Código CP]:[Prioridad]],7,TRUE)</f>
        <v>Alta</v>
      </c>
      <c r="E59" s="164" t="s">
        <v>30</v>
      </c>
      <c r="F59" s="164" t="s">
        <v>49</v>
      </c>
      <c r="G59" s="165">
        <v>40793</v>
      </c>
      <c r="H59" s="73">
        <v>40796</v>
      </c>
      <c r="I59" s="167" t="s">
        <v>132</v>
      </c>
      <c r="J59" s="164" t="s">
        <v>236</v>
      </c>
      <c r="K59" s="164" t="s">
        <v>272</v>
      </c>
      <c r="L59" s="34">
        <f>IF((Observaciones[[#This Row],[Fecha Levantamiento]]-Observaciones[[#This Row],[Fecha Detección]])&gt;=0,Observaciones[[#This Row],[Fecha Levantamiento]]-Observaciones[[#This Row],[Fecha Detección]]+1,0)</f>
        <v>4</v>
      </c>
      <c r="M59" s="34" t="str">
        <f>LOOKUP(Observaciones[[#This Row],[Caso de Prueba]],CasoPrueba[Código CP],CasoPrueba[Código de REQ])</f>
        <v>INSPECCIÓN</v>
      </c>
    </row>
    <row r="60" spans="1:13" ht="30" hidden="1">
      <c r="A60" s="166" t="s">
        <v>327</v>
      </c>
      <c r="B60" s="164" t="s">
        <v>157</v>
      </c>
      <c r="C60" s="164" t="str">
        <f>VLOOKUP(Observaciones[[#This Row],[Caso de Prueba]],CasoPrueba[[Código CP]:[Descripción Caso de Prueba]],3,0)</f>
        <v>Proceso - Seguimiento de Personal</v>
      </c>
      <c r="D60" s="34" t="str">
        <f>VLOOKUP(Observaciones[Caso de Prueba],CasoPrueba[[#All],[Código CP]:[Prioridad]],7,TRUE)</f>
        <v>Alta</v>
      </c>
      <c r="E60" s="164" t="s">
        <v>162</v>
      </c>
      <c r="F60" s="164" t="s">
        <v>49</v>
      </c>
      <c r="G60" s="165">
        <v>40789</v>
      </c>
      <c r="H60" s="73">
        <v>40796</v>
      </c>
      <c r="I60" s="167" t="s">
        <v>132</v>
      </c>
      <c r="J60" s="164" t="s">
        <v>328</v>
      </c>
      <c r="K60" s="164" t="s">
        <v>199</v>
      </c>
      <c r="L60" s="34">
        <f>IF((Observaciones[[#This Row],[Fecha Levantamiento]]-Observaciones[[#This Row],[Fecha Detección]])&gt;=0,Observaciones[[#This Row],[Fecha Levantamiento]]-Observaciones[[#This Row],[Fecha Detección]]+1,0)</f>
        <v>8</v>
      </c>
      <c r="M60" s="34" t="str">
        <f>LOOKUP(Observaciones[[#This Row],[Caso de Prueba]],CasoPrueba[Código CP],CasoPrueba[Código de REQ])</f>
        <v>INSPECCIÓN</v>
      </c>
    </row>
    <row r="61" spans="1:13" ht="30" hidden="1">
      <c r="A61" s="166" t="s">
        <v>329</v>
      </c>
      <c r="B61" s="164" t="s">
        <v>157</v>
      </c>
      <c r="C61" s="164" t="str">
        <f>VLOOKUP(Observaciones[[#This Row],[Caso de Prueba]],CasoPrueba[[Código CP]:[Descripción Caso de Prueba]],3,0)</f>
        <v>Proceso - Seguimiento de Personal</v>
      </c>
      <c r="D61" s="34" t="str">
        <f>VLOOKUP(Observaciones[Caso de Prueba],CasoPrueba[[#All],[Código CP]:[Prioridad]],7,TRUE)</f>
        <v>Alta</v>
      </c>
      <c r="E61" s="164" t="s">
        <v>29</v>
      </c>
      <c r="F61" s="164" t="s">
        <v>49</v>
      </c>
      <c r="G61" s="165">
        <v>40789</v>
      </c>
      <c r="H61" s="73">
        <v>40796</v>
      </c>
      <c r="I61" s="167" t="s">
        <v>132</v>
      </c>
      <c r="J61" s="164" t="s">
        <v>330</v>
      </c>
      <c r="K61" s="164" t="s">
        <v>331</v>
      </c>
      <c r="L61" s="34">
        <f>IF((Observaciones[[#This Row],[Fecha Levantamiento]]-Observaciones[[#This Row],[Fecha Detección]])&gt;=0,Observaciones[[#This Row],[Fecha Levantamiento]]-Observaciones[[#This Row],[Fecha Detección]]+1,0)</f>
        <v>8</v>
      </c>
      <c r="M61" s="34" t="str">
        <f>LOOKUP(Observaciones[[#This Row],[Caso de Prueba]],CasoPrueba[Código CP],CasoPrueba[Código de REQ])</f>
        <v>INSPECCIÓN</v>
      </c>
    </row>
    <row r="62" spans="1:13" ht="45" hidden="1">
      <c r="A62" s="166" t="s">
        <v>332</v>
      </c>
      <c r="B62" s="164" t="s">
        <v>157</v>
      </c>
      <c r="C62" s="164" t="str">
        <f>VLOOKUP(Observaciones[[#This Row],[Caso de Prueba]],CasoPrueba[[Código CP]:[Descripción Caso de Prueba]],3,0)</f>
        <v>Proceso - Seguimiento de Personal</v>
      </c>
      <c r="D62" s="34" t="str">
        <f>VLOOKUP(Observaciones[Caso de Prueba],CasoPrueba[[#All],[Código CP]:[Prioridad]],7,TRUE)</f>
        <v>Alta</v>
      </c>
      <c r="E62" s="164" t="s">
        <v>29</v>
      </c>
      <c r="F62" s="164" t="s">
        <v>49</v>
      </c>
      <c r="G62" s="165">
        <v>40789</v>
      </c>
      <c r="H62" s="73">
        <v>40796</v>
      </c>
      <c r="I62" s="167" t="s">
        <v>132</v>
      </c>
      <c r="J62" s="164" t="s">
        <v>333</v>
      </c>
      <c r="K62" s="164" t="s">
        <v>280</v>
      </c>
      <c r="L62" s="34">
        <f>IF((Observaciones[[#This Row],[Fecha Levantamiento]]-Observaciones[[#This Row],[Fecha Detección]])&gt;=0,Observaciones[[#This Row],[Fecha Levantamiento]]-Observaciones[[#This Row],[Fecha Detección]]+1,0)</f>
        <v>8</v>
      </c>
      <c r="M62" s="34" t="str">
        <f>LOOKUP(Observaciones[[#This Row],[Caso de Prueba]],CasoPrueba[Código CP],CasoPrueba[Código de REQ])</f>
        <v>INSPECCIÓN</v>
      </c>
    </row>
    <row r="63" spans="1:13" hidden="1">
      <c r="A63" s="166" t="s">
        <v>334</v>
      </c>
      <c r="B63" s="164" t="s">
        <v>157</v>
      </c>
      <c r="C63" s="164" t="str">
        <f>VLOOKUP(Observaciones[[#This Row],[Caso de Prueba]],CasoPrueba[[Código CP]:[Descripción Caso de Prueba]],3,0)</f>
        <v>Proceso - Seguimiento de Personal</v>
      </c>
      <c r="D63" s="34" t="str">
        <f>VLOOKUP(Observaciones[Caso de Prueba],CasoPrueba[[#All],[Código CP]:[Prioridad]],7,TRUE)</f>
        <v>Alta</v>
      </c>
      <c r="E63" s="164" t="s">
        <v>28</v>
      </c>
      <c r="F63" s="164" t="s">
        <v>49</v>
      </c>
      <c r="G63" s="165">
        <v>40793</v>
      </c>
      <c r="H63" s="73">
        <v>40796</v>
      </c>
      <c r="I63" s="167" t="s">
        <v>132</v>
      </c>
      <c r="J63" s="164" t="s">
        <v>250</v>
      </c>
      <c r="K63" s="164" t="s">
        <v>335</v>
      </c>
      <c r="L63" s="34">
        <f>IF((Observaciones[[#This Row],[Fecha Levantamiento]]-Observaciones[[#This Row],[Fecha Detección]])&gt;=0,Observaciones[[#This Row],[Fecha Levantamiento]]-Observaciones[[#This Row],[Fecha Detección]]+1,0)</f>
        <v>4</v>
      </c>
      <c r="M63" s="34" t="str">
        <f>LOOKUP(Observaciones[[#This Row],[Caso de Prueba]],CasoPrueba[Código CP],CasoPrueba[Código de REQ])</f>
        <v>INSPECCIÓN</v>
      </c>
    </row>
    <row r="64" spans="1:13" ht="45" hidden="1">
      <c r="A64" s="166" t="s">
        <v>336</v>
      </c>
      <c r="B64" s="164" t="s">
        <v>158</v>
      </c>
      <c r="C64" s="164" t="str">
        <f>VLOOKUP(Observaciones[[#This Row],[Caso de Prueba]],CasoPrueba[[Código CP]:[Descripción Caso de Prueba]],3,0)</f>
        <v>Proceso - Solicitud de Fondos de Viaje</v>
      </c>
      <c r="D64" s="34" t="str">
        <f>VLOOKUP(Observaciones[Caso de Prueba],CasoPrueba[[#All],[Código CP]:[Prioridad]],7,TRUE)</f>
        <v>Alta</v>
      </c>
      <c r="E64" s="164" t="s">
        <v>30</v>
      </c>
      <c r="F64" s="164" t="s">
        <v>49</v>
      </c>
      <c r="G64" s="165">
        <v>40791</v>
      </c>
      <c r="H64" s="73">
        <v>40796</v>
      </c>
      <c r="I64" s="167" t="s">
        <v>132</v>
      </c>
      <c r="J64" s="164" t="s">
        <v>253</v>
      </c>
      <c r="K64" s="164" t="s">
        <v>228</v>
      </c>
      <c r="L64" s="34">
        <f>IF((Observaciones[[#This Row],[Fecha Levantamiento]]-Observaciones[[#This Row],[Fecha Detección]])&gt;=0,Observaciones[[#This Row],[Fecha Levantamiento]]-Observaciones[[#This Row],[Fecha Detección]]+1,0)</f>
        <v>6</v>
      </c>
      <c r="M64" s="34" t="str">
        <f>LOOKUP(Observaciones[[#This Row],[Caso de Prueba]],CasoPrueba[Código CP],CasoPrueba[Código de REQ])</f>
        <v>INSPECCIÓN</v>
      </c>
    </row>
    <row r="65" spans="1:13" ht="30" hidden="1">
      <c r="A65" s="166" t="s">
        <v>337</v>
      </c>
      <c r="B65" s="164" t="s">
        <v>158</v>
      </c>
      <c r="C65" s="164" t="str">
        <f>VLOOKUP(Observaciones[[#This Row],[Caso de Prueba]],CasoPrueba[[Código CP]:[Descripción Caso de Prueba]],3,0)</f>
        <v>Proceso - Solicitud de Fondos de Viaje</v>
      </c>
      <c r="D65" s="34" t="str">
        <f>VLOOKUP(Observaciones[Caso de Prueba],CasoPrueba[[#All],[Código CP]:[Prioridad]],7,TRUE)</f>
        <v>Alta</v>
      </c>
      <c r="E65" s="164" t="s">
        <v>30</v>
      </c>
      <c r="F65" s="164" t="s">
        <v>49</v>
      </c>
      <c r="G65" s="165">
        <v>40793</v>
      </c>
      <c r="H65" s="73">
        <v>40796</v>
      </c>
      <c r="I65" s="167" t="s">
        <v>132</v>
      </c>
      <c r="J65" s="164" t="s">
        <v>236</v>
      </c>
      <c r="K65" s="164" t="s">
        <v>255</v>
      </c>
      <c r="L65" s="34">
        <f>IF((Observaciones[[#This Row],[Fecha Levantamiento]]-Observaciones[[#This Row],[Fecha Detección]])&gt;=0,Observaciones[[#This Row],[Fecha Levantamiento]]-Observaciones[[#This Row],[Fecha Detección]]+1,0)</f>
        <v>4</v>
      </c>
      <c r="M65" s="34" t="str">
        <f>LOOKUP(Observaciones[[#This Row],[Caso de Prueba]],CasoPrueba[Código CP],CasoPrueba[Código de REQ])</f>
        <v>INSPECCIÓN</v>
      </c>
    </row>
    <row r="66" spans="1:13" ht="60" hidden="1">
      <c r="A66" s="166" t="s">
        <v>338</v>
      </c>
      <c r="B66" s="164" t="s">
        <v>158</v>
      </c>
      <c r="C66" s="164" t="str">
        <f>VLOOKUP(Observaciones[[#This Row],[Caso de Prueba]],CasoPrueba[[Código CP]:[Descripción Caso de Prueba]],3,0)</f>
        <v>Proceso - Solicitud de Fondos de Viaje</v>
      </c>
      <c r="D66" s="34" t="str">
        <f>VLOOKUP(Observaciones[Caso de Prueba],CasoPrueba[[#All],[Código CP]:[Prioridad]],7,TRUE)</f>
        <v>Alta</v>
      </c>
      <c r="E66" s="164" t="s">
        <v>30</v>
      </c>
      <c r="F66" s="164" t="s">
        <v>49</v>
      </c>
      <c r="G66" s="165">
        <v>40793</v>
      </c>
      <c r="H66" s="73">
        <v>40796</v>
      </c>
      <c r="I66" s="167" t="s">
        <v>132</v>
      </c>
      <c r="J66" s="164" t="s">
        <v>317</v>
      </c>
      <c r="K66" s="164" t="s">
        <v>318</v>
      </c>
      <c r="L66" s="34">
        <f>IF((Observaciones[[#This Row],[Fecha Levantamiento]]-Observaciones[[#This Row],[Fecha Detección]])&gt;=0,Observaciones[[#This Row],[Fecha Levantamiento]]-Observaciones[[#This Row],[Fecha Detección]]+1,0)</f>
        <v>4</v>
      </c>
      <c r="M66" s="34" t="str">
        <f>LOOKUP(Observaciones[[#This Row],[Caso de Prueba]],CasoPrueba[Código CP],CasoPrueba[Código de REQ])</f>
        <v>INSPECCIÓN</v>
      </c>
    </row>
    <row r="67" spans="1:13" ht="45" hidden="1">
      <c r="A67" s="166" t="s">
        <v>339</v>
      </c>
      <c r="B67" s="164" t="s">
        <v>158</v>
      </c>
      <c r="C67" s="164" t="str">
        <f>VLOOKUP(Observaciones[[#This Row],[Caso de Prueba]],CasoPrueba[[Código CP]:[Descripción Caso de Prueba]],3,0)</f>
        <v>Proceso - Solicitud de Fondos de Viaje</v>
      </c>
      <c r="D67" s="34" t="str">
        <f>VLOOKUP(Observaciones[Caso de Prueba],CasoPrueba[[#All],[Código CP]:[Prioridad]],7,TRUE)</f>
        <v>Alta</v>
      </c>
      <c r="E67" s="164" t="s">
        <v>29</v>
      </c>
      <c r="F67" s="164" t="s">
        <v>49</v>
      </c>
      <c r="G67" s="165">
        <v>40791</v>
      </c>
      <c r="H67" s="73">
        <v>40796</v>
      </c>
      <c r="I67" s="167" t="s">
        <v>132</v>
      </c>
      <c r="J67" s="164" t="s">
        <v>340</v>
      </c>
      <c r="K67" s="164" t="s">
        <v>261</v>
      </c>
      <c r="L67" s="34">
        <f>IF((Observaciones[[#This Row],[Fecha Levantamiento]]-Observaciones[[#This Row],[Fecha Detección]])&gt;=0,Observaciones[[#This Row],[Fecha Levantamiento]]-Observaciones[[#This Row],[Fecha Detección]]+1,0)</f>
        <v>6</v>
      </c>
      <c r="M67" s="34" t="str">
        <f>LOOKUP(Observaciones[[#This Row],[Caso de Prueba]],CasoPrueba[Código CP],CasoPrueba[Código de REQ])</f>
        <v>INSPECCIÓN</v>
      </c>
    </row>
    <row r="68" spans="1:13" ht="45" hidden="1">
      <c r="A68" s="166" t="s">
        <v>341</v>
      </c>
      <c r="B68" s="164" t="s">
        <v>158</v>
      </c>
      <c r="C68" s="164" t="str">
        <f>VLOOKUP(Observaciones[[#This Row],[Caso de Prueba]],CasoPrueba[[Código CP]:[Descripción Caso de Prueba]],3,0)</f>
        <v>Proceso - Solicitud de Fondos de Viaje</v>
      </c>
      <c r="D68" s="34" t="str">
        <f>VLOOKUP(Observaciones[Caso de Prueba],CasoPrueba[[#All],[Código CP]:[Prioridad]],7,TRUE)</f>
        <v>Alta</v>
      </c>
      <c r="E68" s="164" t="s">
        <v>162</v>
      </c>
      <c r="F68" s="164" t="s">
        <v>49</v>
      </c>
      <c r="G68" s="165">
        <v>40791</v>
      </c>
      <c r="H68" s="73">
        <v>40796</v>
      </c>
      <c r="I68" s="167" t="s">
        <v>132</v>
      </c>
      <c r="J68" s="164" t="s">
        <v>342</v>
      </c>
      <c r="K68" s="164" t="s">
        <v>264</v>
      </c>
      <c r="L68" s="34">
        <f>IF((Observaciones[[#This Row],[Fecha Levantamiento]]-Observaciones[[#This Row],[Fecha Detección]])&gt;=0,Observaciones[[#This Row],[Fecha Levantamiento]]-Observaciones[[#This Row],[Fecha Detección]]+1,0)</f>
        <v>6</v>
      </c>
      <c r="M68" s="34" t="str">
        <f>LOOKUP(Observaciones[[#This Row],[Caso de Prueba]],CasoPrueba[Código CP],CasoPrueba[Código de REQ])</f>
        <v>INSPECCIÓN</v>
      </c>
    </row>
    <row r="69" spans="1:13" ht="30" hidden="1">
      <c r="A69" s="166" t="s">
        <v>343</v>
      </c>
      <c r="B69" s="164" t="s">
        <v>158</v>
      </c>
      <c r="C69" s="164" t="str">
        <f>VLOOKUP(Observaciones[[#This Row],[Caso de Prueba]],CasoPrueba[[Código CP]:[Descripción Caso de Prueba]],3,0)</f>
        <v>Proceso - Solicitud de Fondos de Viaje</v>
      </c>
      <c r="D69" s="34" t="str">
        <f>VLOOKUP(Observaciones[Caso de Prueba],CasoPrueba[[#All],[Código CP]:[Prioridad]],7,TRUE)</f>
        <v>Alta</v>
      </c>
      <c r="E69" s="164" t="s">
        <v>29</v>
      </c>
      <c r="F69" s="164" t="s">
        <v>49</v>
      </c>
      <c r="G69" s="165">
        <v>40791</v>
      </c>
      <c r="H69" s="73">
        <v>40796</v>
      </c>
      <c r="I69" s="167" t="s">
        <v>132</v>
      </c>
      <c r="J69" s="164" t="s">
        <v>323</v>
      </c>
      <c r="K69" s="164" t="s">
        <v>324</v>
      </c>
      <c r="L69" s="34">
        <f>IF((Observaciones[[#This Row],[Fecha Levantamiento]]-Observaciones[[#This Row],[Fecha Detección]])&gt;=0,Observaciones[[#This Row],[Fecha Levantamiento]]-Observaciones[[#This Row],[Fecha Detección]]+1,0)</f>
        <v>6</v>
      </c>
      <c r="M69" s="34" t="str">
        <f>LOOKUP(Observaciones[[#This Row],[Caso de Prueba]],CasoPrueba[Código CP],CasoPrueba[Código de REQ])</f>
        <v>INSPECCIÓN</v>
      </c>
    </row>
    <row r="70" spans="1:13" ht="45" hidden="1">
      <c r="A70" s="166" t="s">
        <v>344</v>
      </c>
      <c r="B70" s="164" t="s">
        <v>171</v>
      </c>
      <c r="C70" s="164" t="str">
        <f>VLOOKUP(Observaciones[[#This Row],[Caso de Prueba]],CasoPrueba[[Código CP]:[Descripción Caso de Prueba]],3,0)</f>
        <v>Proceso - Solicitud de Personal</v>
      </c>
      <c r="D70" s="34" t="str">
        <f>VLOOKUP(Observaciones[Caso de Prueba],CasoPrueba[[#All],[Código CP]:[Prioridad]],7,TRUE)</f>
        <v>Alta</v>
      </c>
      <c r="E70" s="164" t="s">
        <v>30</v>
      </c>
      <c r="F70" s="164" t="s">
        <v>49</v>
      </c>
      <c r="G70" s="165">
        <v>40791</v>
      </c>
      <c r="H70" s="73">
        <v>40796</v>
      </c>
      <c r="I70" s="167" t="s">
        <v>132</v>
      </c>
      <c r="J70" s="164" t="s">
        <v>253</v>
      </c>
      <c r="K70" s="164" t="s">
        <v>228</v>
      </c>
      <c r="L70" s="34">
        <f>IF((Observaciones[[#This Row],[Fecha Levantamiento]]-Observaciones[[#This Row],[Fecha Detección]])&gt;=0,Observaciones[[#This Row],[Fecha Levantamiento]]-Observaciones[[#This Row],[Fecha Detección]]+1,0)</f>
        <v>6</v>
      </c>
      <c r="M70" s="34" t="str">
        <f>LOOKUP(Observaciones[[#This Row],[Caso de Prueba]],CasoPrueba[Código CP],CasoPrueba[Código de REQ])</f>
        <v>INSPECCIÓN</v>
      </c>
    </row>
    <row r="71" spans="1:13" ht="30" hidden="1">
      <c r="A71" s="166" t="s">
        <v>345</v>
      </c>
      <c r="B71" s="164" t="s">
        <v>171</v>
      </c>
      <c r="C71" s="164" t="str">
        <f>VLOOKUP(Observaciones[[#This Row],[Caso de Prueba]],CasoPrueba[[Código CP]:[Descripción Caso de Prueba]],3,0)</f>
        <v>Proceso - Solicitud de Personal</v>
      </c>
      <c r="D71" s="34" t="str">
        <f>VLOOKUP(Observaciones[Caso de Prueba],CasoPrueba[[#All],[Código CP]:[Prioridad]],7,TRUE)</f>
        <v>Alta</v>
      </c>
      <c r="E71" s="164" t="s">
        <v>30</v>
      </c>
      <c r="F71" s="164" t="s">
        <v>49</v>
      </c>
      <c r="G71" s="165">
        <v>40793</v>
      </c>
      <c r="H71" s="73">
        <v>40796</v>
      </c>
      <c r="I71" s="167" t="s">
        <v>132</v>
      </c>
      <c r="J71" s="164" t="s">
        <v>236</v>
      </c>
      <c r="K71" s="164" t="s">
        <v>255</v>
      </c>
      <c r="L71" s="34">
        <f>IF((Observaciones[[#This Row],[Fecha Levantamiento]]-Observaciones[[#This Row],[Fecha Detección]])&gt;=0,Observaciones[[#This Row],[Fecha Levantamiento]]-Observaciones[[#This Row],[Fecha Detección]]+1,0)</f>
        <v>4</v>
      </c>
      <c r="M71" s="34" t="str">
        <f>LOOKUP(Observaciones[[#This Row],[Caso de Prueba]],CasoPrueba[Código CP],CasoPrueba[Código de REQ])</f>
        <v>INSPECCIÓN</v>
      </c>
    </row>
    <row r="72" spans="1:13" ht="30" hidden="1">
      <c r="A72" s="166" t="s">
        <v>346</v>
      </c>
      <c r="B72" s="164" t="s">
        <v>171</v>
      </c>
      <c r="C72" s="164" t="str">
        <f>VLOOKUP(Observaciones[[#This Row],[Caso de Prueba]],CasoPrueba[[Código CP]:[Descripción Caso de Prueba]],3,0)</f>
        <v>Proceso - Solicitud de Personal</v>
      </c>
      <c r="D72" s="34" t="str">
        <f>VLOOKUP(Observaciones[Caso de Prueba],CasoPrueba[[#All],[Código CP]:[Prioridad]],7,TRUE)</f>
        <v>Alta</v>
      </c>
      <c r="E72" s="164" t="s">
        <v>29</v>
      </c>
      <c r="F72" s="164" t="s">
        <v>49</v>
      </c>
      <c r="G72" s="165">
        <v>40791</v>
      </c>
      <c r="H72" s="73">
        <v>40796</v>
      </c>
      <c r="I72" s="167" t="s">
        <v>132</v>
      </c>
      <c r="J72" s="164" t="s">
        <v>323</v>
      </c>
      <c r="K72" s="164" t="s">
        <v>324</v>
      </c>
      <c r="L72" s="34">
        <f>IF((Observaciones[[#This Row],[Fecha Levantamiento]]-Observaciones[[#This Row],[Fecha Detección]])&gt;=0,Observaciones[[#This Row],[Fecha Levantamiento]]-Observaciones[[#This Row],[Fecha Detección]]+1,0)</f>
        <v>6</v>
      </c>
      <c r="M72" s="34" t="str">
        <f>LOOKUP(Observaciones[[#This Row],[Caso de Prueba]],CasoPrueba[Código CP],CasoPrueba[Código de REQ])</f>
        <v>INSPECCIÓN</v>
      </c>
    </row>
    <row r="73" spans="1:13" hidden="1">
      <c r="A73" s="166" t="s">
        <v>347</v>
      </c>
      <c r="B73" s="164" t="s">
        <v>171</v>
      </c>
      <c r="C73" s="164" t="str">
        <f>VLOOKUP(Observaciones[[#This Row],[Caso de Prueba]],CasoPrueba[[Código CP]:[Descripción Caso de Prueba]],3,0)</f>
        <v>Proceso - Solicitud de Personal</v>
      </c>
      <c r="D73" s="34" t="str">
        <f>VLOOKUP(Observaciones[Caso de Prueba],CasoPrueba[[#All],[Código CP]:[Prioridad]],7,TRUE)</f>
        <v>Alta</v>
      </c>
      <c r="E73" s="164" t="s">
        <v>28</v>
      </c>
      <c r="F73" s="164" t="s">
        <v>49</v>
      </c>
      <c r="G73" s="165">
        <v>40793</v>
      </c>
      <c r="H73" s="73">
        <v>40796</v>
      </c>
      <c r="I73" s="167" t="s">
        <v>132</v>
      </c>
      <c r="J73" s="164" t="s">
        <v>250</v>
      </c>
      <c r="K73" s="164" t="s">
        <v>266</v>
      </c>
      <c r="L73" s="34">
        <f>IF((Observaciones[[#This Row],[Fecha Levantamiento]]-Observaciones[[#This Row],[Fecha Detección]])&gt;=0,Observaciones[[#This Row],[Fecha Levantamiento]]-Observaciones[[#This Row],[Fecha Detección]]+1,0)</f>
        <v>4</v>
      </c>
      <c r="M73" s="34" t="str">
        <f>LOOKUP(Observaciones[[#This Row],[Caso de Prueba]],CasoPrueba[Código CP],CasoPrueba[Código de REQ])</f>
        <v>INSPECCIÓN</v>
      </c>
    </row>
    <row r="74" spans="1:13" ht="45" hidden="1">
      <c r="A74" s="166" t="s">
        <v>348</v>
      </c>
      <c r="B74" s="164" t="s">
        <v>172</v>
      </c>
      <c r="C74" s="164" t="str">
        <f>VLOOKUP(Observaciones[[#This Row],[Caso de Prueba]],CasoPrueba[[Código CP]:[Descripción Caso de Prueba]],3,0)</f>
        <v>MacroProceso - Gestión de Educación Rural</v>
      </c>
      <c r="D74" s="34" t="str">
        <f>VLOOKUP(Observaciones[Caso de Prueba],CasoPrueba[[#All],[Código CP]:[Prioridad]],7,TRUE)</f>
        <v>Alta</v>
      </c>
      <c r="E74" s="164" t="s">
        <v>162</v>
      </c>
      <c r="F74" s="164" t="s">
        <v>49</v>
      </c>
      <c r="G74" s="165">
        <v>40793</v>
      </c>
      <c r="H74" s="73">
        <v>40796</v>
      </c>
      <c r="I74" s="167" t="s">
        <v>132</v>
      </c>
      <c r="J74" s="164" t="s">
        <v>349</v>
      </c>
      <c r="K74" s="164" t="s">
        <v>196</v>
      </c>
      <c r="L74" s="34">
        <f>IF((Observaciones[[#This Row],[Fecha Levantamiento]]-Observaciones[[#This Row],[Fecha Detección]])&gt;=0,Observaciones[[#This Row],[Fecha Levantamiento]]-Observaciones[[#This Row],[Fecha Detección]]+1,0)</f>
        <v>4</v>
      </c>
      <c r="M74" s="34" t="str">
        <f>LOOKUP(Observaciones[[#This Row],[Caso de Prueba]],CasoPrueba[Código CP],CasoPrueba[Código de REQ])</f>
        <v>INSPECCIÓN</v>
      </c>
    </row>
    <row r="75" spans="1:13" ht="30" hidden="1">
      <c r="A75" s="166" t="s">
        <v>350</v>
      </c>
      <c r="B75" s="164" t="s">
        <v>172</v>
      </c>
      <c r="C75" s="164" t="str">
        <f>VLOOKUP(Observaciones[[#This Row],[Caso de Prueba]],CasoPrueba[[Código CP]:[Descripción Caso de Prueba]],3,0)</f>
        <v>MacroProceso - Gestión de Educación Rural</v>
      </c>
      <c r="D75" s="34" t="str">
        <f>VLOOKUP(Observaciones[Caso de Prueba],CasoPrueba[[#All],[Código CP]:[Prioridad]],7,TRUE)</f>
        <v>Alta</v>
      </c>
      <c r="E75" s="164" t="s">
        <v>162</v>
      </c>
      <c r="F75" s="164" t="s">
        <v>49</v>
      </c>
      <c r="G75" s="165">
        <v>40793</v>
      </c>
      <c r="H75" s="73">
        <v>40796</v>
      </c>
      <c r="I75" s="167" t="s">
        <v>132</v>
      </c>
      <c r="J75" s="164" t="s">
        <v>351</v>
      </c>
      <c r="K75" s="164" t="s">
        <v>352</v>
      </c>
      <c r="L75" s="34">
        <f>IF((Observaciones[[#This Row],[Fecha Levantamiento]]-Observaciones[[#This Row],[Fecha Detección]])&gt;=0,Observaciones[[#This Row],[Fecha Levantamiento]]-Observaciones[[#This Row],[Fecha Detección]]+1,0)</f>
        <v>4</v>
      </c>
      <c r="M75" s="34" t="str">
        <f>LOOKUP(Observaciones[[#This Row],[Caso de Prueba]],CasoPrueba[Código CP],CasoPrueba[Código de REQ])</f>
        <v>INSPECCIÓN</v>
      </c>
    </row>
    <row r="76" spans="1:13" ht="30" hidden="1">
      <c r="A76" s="166" t="s">
        <v>353</v>
      </c>
      <c r="B76" s="164" t="s">
        <v>172</v>
      </c>
      <c r="C76" s="164" t="str">
        <f>VLOOKUP(Observaciones[[#This Row],[Caso de Prueba]],CasoPrueba[[Código CP]:[Descripción Caso de Prueba]],3,0)</f>
        <v>MacroProceso - Gestión de Educación Rural</v>
      </c>
      <c r="D76" s="34" t="str">
        <f>VLOOKUP(Observaciones[Caso de Prueba],CasoPrueba[[#All],[Código CP]:[Prioridad]],7,TRUE)</f>
        <v>Alta</v>
      </c>
      <c r="E76" s="164" t="s">
        <v>30</v>
      </c>
      <c r="F76" s="164" t="s">
        <v>49</v>
      </c>
      <c r="G76" s="165">
        <v>40793</v>
      </c>
      <c r="H76" s="73">
        <v>40796</v>
      </c>
      <c r="I76" s="167" t="s">
        <v>132</v>
      </c>
      <c r="J76" s="164" t="s">
        <v>354</v>
      </c>
      <c r="K76" s="164" t="s">
        <v>355</v>
      </c>
      <c r="L76" s="34">
        <f>IF((Observaciones[[#This Row],[Fecha Levantamiento]]-Observaciones[[#This Row],[Fecha Detección]])&gt;=0,Observaciones[[#This Row],[Fecha Levantamiento]]-Observaciones[[#This Row],[Fecha Detección]]+1,0)</f>
        <v>4</v>
      </c>
      <c r="M76" s="34" t="str">
        <f>LOOKUP(Observaciones[[#This Row],[Caso de Prueba]],CasoPrueba[Código CP],CasoPrueba[Código de REQ])</f>
        <v>INSPECCIÓN</v>
      </c>
    </row>
    <row r="77" spans="1:13" ht="45" hidden="1">
      <c r="A77" s="166" t="s">
        <v>356</v>
      </c>
      <c r="B77" s="164" t="s">
        <v>172</v>
      </c>
      <c r="C77" s="164" t="str">
        <f>VLOOKUP(Observaciones[[#This Row],[Caso de Prueba]],CasoPrueba[[Código CP]:[Descripción Caso de Prueba]],3,0)</f>
        <v>MacroProceso - Gestión de Educación Rural</v>
      </c>
      <c r="D77" s="34" t="str">
        <f>VLOOKUP(Observaciones[Caso de Prueba],CasoPrueba[[#All],[Código CP]:[Prioridad]],7,TRUE)</f>
        <v>Alta</v>
      </c>
      <c r="E77" s="164" t="s">
        <v>28</v>
      </c>
      <c r="F77" s="164" t="s">
        <v>49</v>
      </c>
      <c r="G77" s="165">
        <v>40793</v>
      </c>
      <c r="H77" s="73">
        <v>40796</v>
      </c>
      <c r="I77" s="167" t="s">
        <v>132</v>
      </c>
      <c r="J77" s="164" t="s">
        <v>357</v>
      </c>
      <c r="K77" s="164" t="s">
        <v>358</v>
      </c>
      <c r="L77" s="34">
        <f>IF((Observaciones[[#This Row],[Fecha Levantamiento]]-Observaciones[[#This Row],[Fecha Detección]])&gt;=0,Observaciones[[#This Row],[Fecha Levantamiento]]-Observaciones[[#This Row],[Fecha Detección]]+1,0)</f>
        <v>4</v>
      </c>
      <c r="M77" s="34" t="str">
        <f>LOOKUP(Observaciones[[#This Row],[Caso de Prueba]],CasoPrueba[Código CP],CasoPrueba[Código de REQ])</f>
        <v>INSPECCIÓN</v>
      </c>
    </row>
    <row r="78" spans="1:13" hidden="1">
      <c r="A78" s="166" t="s">
        <v>359</v>
      </c>
      <c r="B78" s="164" t="s">
        <v>172</v>
      </c>
      <c r="C78" s="164" t="str">
        <f>VLOOKUP(Observaciones[[#This Row],[Caso de Prueba]],CasoPrueba[[Código CP]:[Descripción Caso de Prueba]],3,0)</f>
        <v>MacroProceso - Gestión de Educación Rural</v>
      </c>
      <c r="D78" s="34" t="str">
        <f>VLOOKUP(Observaciones[Caso de Prueba],CasoPrueba[[#All],[Código CP]:[Prioridad]],7,TRUE)</f>
        <v>Alta</v>
      </c>
      <c r="E78" s="164" t="s">
        <v>28</v>
      </c>
      <c r="F78" s="164" t="s">
        <v>49</v>
      </c>
      <c r="G78" s="165">
        <v>40793</v>
      </c>
      <c r="H78" s="73">
        <v>40796</v>
      </c>
      <c r="I78" s="167" t="s">
        <v>132</v>
      </c>
      <c r="J78" s="164" t="s">
        <v>250</v>
      </c>
      <c r="K78" s="164" t="s">
        <v>360</v>
      </c>
      <c r="L78" s="34">
        <f>IF((Observaciones[[#This Row],[Fecha Levantamiento]]-Observaciones[[#This Row],[Fecha Detección]])&gt;=0,Observaciones[[#This Row],[Fecha Levantamiento]]-Observaciones[[#This Row],[Fecha Detección]]+1,0)</f>
        <v>4</v>
      </c>
      <c r="M78" s="34" t="str">
        <f>LOOKUP(Observaciones[[#This Row],[Caso de Prueba]],CasoPrueba[Código CP],CasoPrueba[Código de REQ])</f>
        <v>INSPECCIÓN</v>
      </c>
    </row>
    <row r="79" spans="1:13" ht="30" hidden="1">
      <c r="A79" s="166" t="s">
        <v>361</v>
      </c>
      <c r="B79" s="164" t="s">
        <v>172</v>
      </c>
      <c r="C79" s="164" t="str">
        <f>VLOOKUP(Observaciones[[#This Row],[Caso de Prueba]],CasoPrueba[[Código CP]:[Descripción Caso de Prueba]],3,0)</f>
        <v>MacroProceso - Gestión de Educación Rural</v>
      </c>
      <c r="D79" s="34" t="str">
        <f>VLOOKUP(Observaciones[Caso de Prueba],CasoPrueba[[#All],[Código CP]:[Prioridad]],7,TRUE)</f>
        <v>Alta</v>
      </c>
      <c r="E79" s="164" t="s">
        <v>29</v>
      </c>
      <c r="F79" s="164" t="s">
        <v>49</v>
      </c>
      <c r="G79" s="165">
        <v>40793</v>
      </c>
      <c r="H79" s="73">
        <v>40796</v>
      </c>
      <c r="I79" s="167" t="s">
        <v>132</v>
      </c>
      <c r="J79" s="164" t="s">
        <v>301</v>
      </c>
      <c r="K79" s="164" t="s">
        <v>362</v>
      </c>
      <c r="L79" s="34">
        <f>IF((Observaciones[[#This Row],[Fecha Levantamiento]]-Observaciones[[#This Row],[Fecha Detección]])&gt;=0,Observaciones[[#This Row],[Fecha Levantamiento]]-Observaciones[[#This Row],[Fecha Detección]]+1,0)</f>
        <v>4</v>
      </c>
      <c r="M79" s="34" t="str">
        <f>LOOKUP(Observaciones[[#This Row],[Caso de Prueba]],CasoPrueba[Código CP],CasoPrueba[Código de REQ])</f>
        <v>INSPECCIÓN</v>
      </c>
    </row>
    <row r="80" spans="1:13" ht="45" hidden="1">
      <c r="A80" s="166" t="s">
        <v>363</v>
      </c>
      <c r="B80" s="164" t="s">
        <v>172</v>
      </c>
      <c r="C80" s="164" t="str">
        <f>VLOOKUP(Observaciones[[#This Row],[Caso de Prueba]],CasoPrueba[[Código CP]:[Descripción Caso de Prueba]],3,0)</f>
        <v>MacroProceso - Gestión de Educación Rural</v>
      </c>
      <c r="D80" s="34" t="str">
        <f>VLOOKUP(Observaciones[Caso de Prueba],CasoPrueba[[#All],[Código CP]:[Prioridad]],7,TRUE)</f>
        <v>Alta</v>
      </c>
      <c r="E80" s="164" t="s">
        <v>29</v>
      </c>
      <c r="F80" s="164" t="s">
        <v>49</v>
      </c>
      <c r="G80" s="165">
        <v>40793</v>
      </c>
      <c r="H80" s="73">
        <v>40796</v>
      </c>
      <c r="I80" s="167" t="s">
        <v>132</v>
      </c>
      <c r="J80" s="164" t="s">
        <v>364</v>
      </c>
      <c r="K80" s="164" t="s">
        <v>365</v>
      </c>
      <c r="L80" s="34">
        <f>IF((Observaciones[[#This Row],[Fecha Levantamiento]]-Observaciones[[#This Row],[Fecha Detección]])&gt;=0,Observaciones[[#This Row],[Fecha Levantamiento]]-Observaciones[[#This Row],[Fecha Detección]]+1,0)</f>
        <v>4</v>
      </c>
      <c r="M80" s="34" t="str">
        <f>LOOKUP(Observaciones[[#This Row],[Caso de Prueba]],CasoPrueba[Código CP],CasoPrueba[Código de REQ])</f>
        <v>INSPECCIÓN</v>
      </c>
    </row>
    <row r="81" spans="1:13" ht="45" hidden="1">
      <c r="A81" s="166" t="s">
        <v>366</v>
      </c>
      <c r="B81" s="164" t="s">
        <v>172</v>
      </c>
      <c r="C81" s="164" t="str">
        <f>VLOOKUP(Observaciones[[#This Row],[Caso de Prueba]],CasoPrueba[[Código CP]:[Descripción Caso de Prueba]],3,0)</f>
        <v>MacroProceso - Gestión de Educación Rural</v>
      </c>
      <c r="D81" s="34" t="str">
        <f>VLOOKUP(Observaciones[Caso de Prueba],CasoPrueba[[#All],[Código CP]:[Prioridad]],7,TRUE)</f>
        <v>Alta</v>
      </c>
      <c r="E81" s="164" t="s">
        <v>30</v>
      </c>
      <c r="F81" s="164" t="s">
        <v>49</v>
      </c>
      <c r="G81" s="165">
        <v>40793</v>
      </c>
      <c r="H81" s="73">
        <v>40796</v>
      </c>
      <c r="I81" s="167" t="s">
        <v>132</v>
      </c>
      <c r="J81" s="164" t="s">
        <v>460</v>
      </c>
      <c r="K81" s="164" t="s">
        <v>367</v>
      </c>
      <c r="L81" s="34">
        <f>IF((Observaciones[[#This Row],[Fecha Levantamiento]]-Observaciones[[#This Row],[Fecha Detección]])&gt;=0,Observaciones[[#This Row],[Fecha Levantamiento]]-Observaciones[[#This Row],[Fecha Detección]]+1,0)</f>
        <v>4</v>
      </c>
      <c r="M81" s="34" t="str">
        <f>LOOKUP(Observaciones[[#This Row],[Caso de Prueba]],CasoPrueba[Código CP],CasoPrueba[Código de REQ])</f>
        <v>INSPECCIÓN</v>
      </c>
    </row>
    <row r="82" spans="1:13" ht="60" hidden="1">
      <c r="A82" s="166" t="s">
        <v>368</v>
      </c>
      <c r="B82" s="164" t="s">
        <v>172</v>
      </c>
      <c r="C82" s="164" t="str">
        <f>VLOOKUP(Observaciones[[#This Row],[Caso de Prueba]],CasoPrueba[[Código CP]:[Descripción Caso de Prueba]],3,0)</f>
        <v>MacroProceso - Gestión de Educación Rural</v>
      </c>
      <c r="D82" s="34" t="str">
        <f>VLOOKUP(Observaciones[Caso de Prueba],CasoPrueba[[#All],[Código CP]:[Prioridad]],7,TRUE)</f>
        <v>Alta</v>
      </c>
      <c r="E82" s="164" t="s">
        <v>29</v>
      </c>
      <c r="F82" s="164" t="s">
        <v>49</v>
      </c>
      <c r="G82" s="165">
        <v>40793</v>
      </c>
      <c r="H82" s="73">
        <v>40796</v>
      </c>
      <c r="I82" s="167" t="s">
        <v>132</v>
      </c>
      <c r="J82" s="164" t="s">
        <v>369</v>
      </c>
      <c r="K82" s="164" t="s">
        <v>370</v>
      </c>
      <c r="L82" s="34">
        <f>IF((Observaciones[[#This Row],[Fecha Levantamiento]]-Observaciones[[#This Row],[Fecha Detección]])&gt;=0,Observaciones[[#This Row],[Fecha Levantamiento]]-Observaciones[[#This Row],[Fecha Detección]]+1,0)</f>
        <v>4</v>
      </c>
      <c r="M82" s="34" t="str">
        <f>LOOKUP(Observaciones[[#This Row],[Caso de Prueba]],CasoPrueba[Código CP],CasoPrueba[Código de REQ])</f>
        <v>INSPECCIÓN</v>
      </c>
    </row>
    <row r="83" spans="1:13" ht="60" hidden="1">
      <c r="A83" s="166" t="s">
        <v>371</v>
      </c>
      <c r="B83" s="164" t="s">
        <v>172</v>
      </c>
      <c r="C83" s="164" t="str">
        <f>VLOOKUP(Observaciones[[#This Row],[Caso de Prueba]],CasoPrueba[[Código CP]:[Descripción Caso de Prueba]],3,0)</f>
        <v>MacroProceso - Gestión de Educación Rural</v>
      </c>
      <c r="D83" s="34" t="str">
        <f>VLOOKUP(Observaciones[Caso de Prueba],CasoPrueba[[#All],[Código CP]:[Prioridad]],7,TRUE)</f>
        <v>Alta</v>
      </c>
      <c r="E83" s="164" t="s">
        <v>29</v>
      </c>
      <c r="F83" s="164" t="s">
        <v>49</v>
      </c>
      <c r="G83" s="165">
        <v>40793</v>
      </c>
      <c r="H83" s="73">
        <v>40796</v>
      </c>
      <c r="I83" s="167" t="s">
        <v>132</v>
      </c>
      <c r="J83" s="164" t="s">
        <v>372</v>
      </c>
      <c r="K83" s="164" t="s">
        <v>370</v>
      </c>
      <c r="L83" s="34">
        <f>IF((Observaciones[[#This Row],[Fecha Levantamiento]]-Observaciones[[#This Row],[Fecha Detección]])&gt;=0,Observaciones[[#This Row],[Fecha Levantamiento]]-Observaciones[[#This Row],[Fecha Detección]]+1,0)</f>
        <v>4</v>
      </c>
      <c r="M83" s="34" t="str">
        <f>LOOKUP(Observaciones[[#This Row],[Caso de Prueba]],CasoPrueba[Código CP],CasoPrueba[Código de REQ])</f>
        <v>INSPECCIÓN</v>
      </c>
    </row>
    <row r="84" spans="1:13" ht="30" hidden="1">
      <c r="A84" s="166" t="s">
        <v>373</v>
      </c>
      <c r="B84" s="164" t="s">
        <v>172</v>
      </c>
      <c r="C84" s="164" t="str">
        <f>VLOOKUP(Observaciones[[#This Row],[Caso de Prueba]],CasoPrueba[[Código CP]:[Descripción Caso de Prueba]],3,0)</f>
        <v>MacroProceso - Gestión de Educación Rural</v>
      </c>
      <c r="D84" s="34" t="str">
        <f>VLOOKUP(Observaciones[Caso de Prueba],CasoPrueba[[#All],[Código CP]:[Prioridad]],7,TRUE)</f>
        <v>Alta</v>
      </c>
      <c r="E84" s="164" t="s">
        <v>29</v>
      </c>
      <c r="F84" s="164" t="s">
        <v>49</v>
      </c>
      <c r="G84" s="165">
        <v>40793</v>
      </c>
      <c r="H84" s="73">
        <v>40796</v>
      </c>
      <c r="I84" s="167" t="s">
        <v>132</v>
      </c>
      <c r="J84" s="164" t="s">
        <v>374</v>
      </c>
      <c r="K84" s="164" t="s">
        <v>375</v>
      </c>
      <c r="L84" s="34">
        <f>IF((Observaciones[[#This Row],[Fecha Levantamiento]]-Observaciones[[#This Row],[Fecha Detección]])&gt;=0,Observaciones[[#This Row],[Fecha Levantamiento]]-Observaciones[[#This Row],[Fecha Detección]]+1,0)</f>
        <v>4</v>
      </c>
      <c r="M84" s="34" t="str">
        <f>LOOKUP(Observaciones[[#This Row],[Caso de Prueba]],CasoPrueba[Código CP],CasoPrueba[Código de REQ])</f>
        <v>INSPECCIÓN</v>
      </c>
    </row>
    <row r="85" spans="1:13" ht="90" hidden="1">
      <c r="A85" s="166" t="s">
        <v>376</v>
      </c>
      <c r="B85" s="164" t="s">
        <v>172</v>
      </c>
      <c r="C85" s="164" t="str">
        <f>VLOOKUP(Observaciones[[#This Row],[Caso de Prueba]],CasoPrueba[[Código CP]:[Descripción Caso de Prueba]],3,0)</f>
        <v>MacroProceso - Gestión de Educación Rural</v>
      </c>
      <c r="D85" s="34" t="str">
        <f>VLOOKUP(Observaciones[Caso de Prueba],CasoPrueba[[#All],[Código CP]:[Prioridad]],7,TRUE)</f>
        <v>Alta</v>
      </c>
      <c r="E85" s="164" t="s">
        <v>29</v>
      </c>
      <c r="F85" s="164" t="s">
        <v>49</v>
      </c>
      <c r="G85" s="165">
        <v>40793</v>
      </c>
      <c r="H85" s="73">
        <v>40796</v>
      </c>
      <c r="I85" s="167" t="s">
        <v>132</v>
      </c>
      <c r="J85" s="164" t="s">
        <v>377</v>
      </c>
      <c r="K85" s="164" t="s">
        <v>378</v>
      </c>
      <c r="L85" s="34">
        <f>IF((Observaciones[[#This Row],[Fecha Levantamiento]]-Observaciones[[#This Row],[Fecha Detección]])&gt;=0,Observaciones[[#This Row],[Fecha Levantamiento]]-Observaciones[[#This Row],[Fecha Detección]]+1,0)</f>
        <v>4</v>
      </c>
      <c r="M85" s="34" t="str">
        <f>LOOKUP(Observaciones[[#This Row],[Caso de Prueba]],CasoPrueba[Código CP],CasoPrueba[Código de REQ])</f>
        <v>INSPECCIÓN</v>
      </c>
    </row>
    <row r="86" spans="1:13" ht="45" hidden="1">
      <c r="A86" s="166" t="s">
        <v>379</v>
      </c>
      <c r="B86" s="164" t="s">
        <v>172</v>
      </c>
      <c r="C86" s="164" t="str">
        <f>VLOOKUP(Observaciones[[#This Row],[Caso de Prueba]],CasoPrueba[[Código CP]:[Descripción Caso de Prueba]],3,0)</f>
        <v>MacroProceso - Gestión de Educación Rural</v>
      </c>
      <c r="D86" s="34" t="str">
        <f>VLOOKUP(Observaciones[Caso de Prueba],CasoPrueba[[#All],[Código CP]:[Prioridad]],7,TRUE)</f>
        <v>Alta</v>
      </c>
      <c r="E86" s="164" t="s">
        <v>162</v>
      </c>
      <c r="F86" s="164" t="s">
        <v>49</v>
      </c>
      <c r="G86" s="165">
        <v>40793</v>
      </c>
      <c r="H86" s="73">
        <v>40796</v>
      </c>
      <c r="I86" s="167" t="s">
        <v>132</v>
      </c>
      <c r="J86" s="164" t="s">
        <v>380</v>
      </c>
      <c r="K86" s="164" t="s">
        <v>234</v>
      </c>
      <c r="L86" s="34">
        <f>IF((Observaciones[[#This Row],[Fecha Levantamiento]]-Observaciones[[#This Row],[Fecha Detección]])&gt;=0,Observaciones[[#This Row],[Fecha Levantamiento]]-Observaciones[[#This Row],[Fecha Detección]]+1,0)</f>
        <v>4</v>
      </c>
      <c r="M86" s="34" t="str">
        <f>LOOKUP(Observaciones[[#This Row],[Caso de Prueba]],CasoPrueba[Código CP],CasoPrueba[Código de REQ])</f>
        <v>INSPECCIÓN</v>
      </c>
    </row>
    <row r="87" spans="1:13" ht="90" hidden="1">
      <c r="A87" s="166" t="s">
        <v>381</v>
      </c>
      <c r="B87" s="164" t="s">
        <v>172</v>
      </c>
      <c r="C87" s="164" t="str">
        <f>VLOOKUP(Observaciones[[#This Row],[Caso de Prueba]],CasoPrueba[[Código CP]:[Descripción Caso de Prueba]],3,0)</f>
        <v>MacroProceso - Gestión de Educación Rural</v>
      </c>
      <c r="D87" s="34" t="str">
        <f>VLOOKUP(Observaciones[Caso de Prueba],CasoPrueba[[#All],[Código CP]:[Prioridad]],7,TRUE)</f>
        <v>Alta</v>
      </c>
      <c r="E87" s="164" t="s">
        <v>29</v>
      </c>
      <c r="F87" s="164" t="s">
        <v>49</v>
      </c>
      <c r="G87" s="165">
        <v>40793</v>
      </c>
      <c r="H87" s="73">
        <v>40796</v>
      </c>
      <c r="I87" s="167" t="s">
        <v>132</v>
      </c>
      <c r="J87" s="164" t="s">
        <v>382</v>
      </c>
      <c r="K87" s="164" t="s">
        <v>383</v>
      </c>
      <c r="L87" s="34">
        <f>IF((Observaciones[[#This Row],[Fecha Levantamiento]]-Observaciones[[#This Row],[Fecha Detección]])&gt;=0,Observaciones[[#This Row],[Fecha Levantamiento]]-Observaciones[[#This Row],[Fecha Detección]]+1,0)</f>
        <v>4</v>
      </c>
      <c r="M87" s="34" t="str">
        <f>LOOKUP(Observaciones[[#This Row],[Caso de Prueba]],CasoPrueba[Código CP],CasoPrueba[Código de REQ])</f>
        <v>INSPECCIÓN</v>
      </c>
    </row>
    <row r="88" spans="1:13" ht="30" hidden="1">
      <c r="A88" s="166" t="s">
        <v>384</v>
      </c>
      <c r="B88" s="164" t="s">
        <v>173</v>
      </c>
      <c r="C88" s="164" t="str">
        <f>VLOOKUP(Observaciones[[#This Row],[Caso de Prueba]],CasoPrueba[[Código CP]:[Descripción Caso de Prueba]],3,0)</f>
        <v>Proceso - Acompañamiento a los Programas Educativos Rurales</v>
      </c>
      <c r="D88" s="34" t="str">
        <f>VLOOKUP(Observaciones[Caso de Prueba],CasoPrueba[[#All],[Código CP]:[Prioridad]],7,TRUE)</f>
        <v>Alta</v>
      </c>
      <c r="E88" s="164" t="s">
        <v>162</v>
      </c>
      <c r="F88" s="164" t="s">
        <v>49</v>
      </c>
      <c r="G88" s="165">
        <v>40795</v>
      </c>
      <c r="H88" s="73">
        <v>40796</v>
      </c>
      <c r="I88" s="167" t="s">
        <v>132</v>
      </c>
      <c r="J88" s="164" t="s">
        <v>385</v>
      </c>
      <c r="K88" s="164" t="s">
        <v>386</v>
      </c>
      <c r="L88" s="34">
        <f>IF((Observaciones[[#This Row],[Fecha Levantamiento]]-Observaciones[[#This Row],[Fecha Detección]])&gt;=0,Observaciones[[#This Row],[Fecha Levantamiento]]-Observaciones[[#This Row],[Fecha Detección]]+1,0)</f>
        <v>2</v>
      </c>
      <c r="M88" s="34" t="str">
        <f>LOOKUP(Observaciones[[#This Row],[Caso de Prueba]],CasoPrueba[Código CP],CasoPrueba[Código de REQ])</f>
        <v>INSPECCIÓN</v>
      </c>
    </row>
    <row r="89" spans="1:13" ht="75" hidden="1">
      <c r="A89" s="166" t="s">
        <v>387</v>
      </c>
      <c r="B89" s="164" t="s">
        <v>173</v>
      </c>
      <c r="C89" s="164" t="str">
        <f>VLOOKUP(Observaciones[[#This Row],[Caso de Prueba]],CasoPrueba[[Código CP]:[Descripción Caso de Prueba]],3,0)</f>
        <v>Proceso - Acompañamiento a los Programas Educativos Rurales</v>
      </c>
      <c r="D89" s="34" t="str">
        <f>VLOOKUP(Observaciones[Caso de Prueba],CasoPrueba[[#All],[Código CP]:[Prioridad]],7,TRUE)</f>
        <v>Alta</v>
      </c>
      <c r="E89" s="164" t="s">
        <v>162</v>
      </c>
      <c r="F89" s="164" t="s">
        <v>49</v>
      </c>
      <c r="G89" s="165">
        <v>40795</v>
      </c>
      <c r="H89" s="73">
        <v>40796</v>
      </c>
      <c r="I89" s="167" t="s">
        <v>132</v>
      </c>
      <c r="J89" s="164" t="s">
        <v>388</v>
      </c>
      <c r="K89" s="164" t="s">
        <v>389</v>
      </c>
      <c r="L89" s="34">
        <f>IF((Observaciones[[#This Row],[Fecha Levantamiento]]-Observaciones[[#This Row],[Fecha Detección]])&gt;=0,Observaciones[[#This Row],[Fecha Levantamiento]]-Observaciones[[#This Row],[Fecha Detección]]+1,0)</f>
        <v>2</v>
      </c>
      <c r="M89" s="34" t="str">
        <f>LOOKUP(Observaciones[[#This Row],[Caso de Prueba]],CasoPrueba[Código CP],CasoPrueba[Código de REQ])</f>
        <v>INSPECCIÓN</v>
      </c>
    </row>
    <row r="90" spans="1:13" ht="30" hidden="1">
      <c r="A90" s="166" t="s">
        <v>390</v>
      </c>
      <c r="B90" s="164" t="s">
        <v>173</v>
      </c>
      <c r="C90" s="164" t="str">
        <f>VLOOKUP(Observaciones[[#This Row],[Caso de Prueba]],CasoPrueba[[Código CP]:[Descripción Caso de Prueba]],3,0)</f>
        <v>Proceso - Acompañamiento a los Programas Educativos Rurales</v>
      </c>
      <c r="D90" s="34" t="str">
        <f>VLOOKUP(Observaciones[Caso de Prueba],CasoPrueba[[#All],[Código CP]:[Prioridad]],7,TRUE)</f>
        <v>Alta</v>
      </c>
      <c r="E90" s="164" t="s">
        <v>30</v>
      </c>
      <c r="F90" s="164" t="s">
        <v>49</v>
      </c>
      <c r="G90" s="165">
        <v>40795</v>
      </c>
      <c r="H90" s="73">
        <v>40796</v>
      </c>
      <c r="I90" s="167" t="s">
        <v>132</v>
      </c>
      <c r="J90" s="164" t="s">
        <v>354</v>
      </c>
      <c r="K90" s="164" t="s">
        <v>391</v>
      </c>
      <c r="L90" s="34">
        <f>IF((Observaciones[[#This Row],[Fecha Levantamiento]]-Observaciones[[#This Row],[Fecha Detección]])&gt;=0,Observaciones[[#This Row],[Fecha Levantamiento]]-Observaciones[[#This Row],[Fecha Detección]]+1,0)</f>
        <v>2</v>
      </c>
      <c r="M90" s="34" t="str">
        <f>LOOKUP(Observaciones[[#This Row],[Caso de Prueba]],CasoPrueba[Código CP],CasoPrueba[Código de REQ])</f>
        <v>INSPECCIÓN</v>
      </c>
    </row>
    <row r="91" spans="1:13" ht="45" hidden="1">
      <c r="A91" s="166" t="s">
        <v>392</v>
      </c>
      <c r="B91" s="164" t="s">
        <v>173</v>
      </c>
      <c r="C91" s="164" t="str">
        <f>VLOOKUP(Observaciones[[#This Row],[Caso de Prueba]],CasoPrueba[[Código CP]:[Descripción Caso de Prueba]],3,0)</f>
        <v>Proceso - Acompañamiento a los Programas Educativos Rurales</v>
      </c>
      <c r="D91" s="34" t="str">
        <f>VLOOKUP(Observaciones[Caso de Prueba],CasoPrueba[[#All],[Código CP]:[Prioridad]],7,TRUE)</f>
        <v>Alta</v>
      </c>
      <c r="E91" s="164" t="s">
        <v>28</v>
      </c>
      <c r="F91" s="164" t="s">
        <v>49</v>
      </c>
      <c r="G91" s="165">
        <v>40795</v>
      </c>
      <c r="H91" s="73">
        <v>40796</v>
      </c>
      <c r="I91" s="167" t="s">
        <v>132</v>
      </c>
      <c r="J91" s="164" t="s">
        <v>393</v>
      </c>
      <c r="K91" s="164" t="s">
        <v>394</v>
      </c>
      <c r="L91" s="34">
        <f>IF((Observaciones[[#This Row],[Fecha Levantamiento]]-Observaciones[[#This Row],[Fecha Detección]])&gt;=0,Observaciones[[#This Row],[Fecha Levantamiento]]-Observaciones[[#This Row],[Fecha Detección]]+1,0)</f>
        <v>2</v>
      </c>
      <c r="M91" s="34" t="str">
        <f>LOOKUP(Observaciones[[#This Row],[Caso de Prueba]],CasoPrueba[Código CP],CasoPrueba[Código de REQ])</f>
        <v>INSPECCIÓN</v>
      </c>
    </row>
    <row r="92" spans="1:13" ht="45" hidden="1">
      <c r="A92" s="166" t="s">
        <v>395</v>
      </c>
      <c r="B92" s="164" t="s">
        <v>173</v>
      </c>
      <c r="C92" s="164" t="str">
        <f>VLOOKUP(Observaciones[[#This Row],[Caso de Prueba]],CasoPrueba[[Código CP]:[Descripción Caso de Prueba]],3,0)</f>
        <v>Proceso - Acompañamiento a los Programas Educativos Rurales</v>
      </c>
      <c r="D92" s="34" t="str">
        <f>VLOOKUP(Observaciones[Caso de Prueba],CasoPrueba[[#All],[Código CP]:[Prioridad]],7,TRUE)</f>
        <v>Alta</v>
      </c>
      <c r="E92" s="164" t="s">
        <v>30</v>
      </c>
      <c r="F92" s="164" t="s">
        <v>49</v>
      </c>
      <c r="G92" s="165">
        <v>40795</v>
      </c>
      <c r="H92" s="73">
        <v>40796</v>
      </c>
      <c r="I92" s="167" t="s">
        <v>132</v>
      </c>
      <c r="J92" s="164" t="s">
        <v>396</v>
      </c>
      <c r="K92" s="164" t="s">
        <v>397</v>
      </c>
      <c r="L92" s="34">
        <f>IF((Observaciones[[#This Row],[Fecha Levantamiento]]-Observaciones[[#This Row],[Fecha Detección]])&gt;=0,Observaciones[[#This Row],[Fecha Levantamiento]]-Observaciones[[#This Row],[Fecha Detección]]+1,0)</f>
        <v>2</v>
      </c>
      <c r="M92" s="34" t="str">
        <f>LOOKUP(Observaciones[[#This Row],[Caso de Prueba]],CasoPrueba[Código CP],CasoPrueba[Código de REQ])</f>
        <v>INSPECCIÓN</v>
      </c>
    </row>
    <row r="93" spans="1:13" ht="45" hidden="1">
      <c r="A93" s="166" t="s">
        <v>398</v>
      </c>
      <c r="B93" s="164" t="s">
        <v>173</v>
      </c>
      <c r="C93" s="164" t="str">
        <f>VLOOKUP(Observaciones[[#This Row],[Caso de Prueba]],CasoPrueba[[Código CP]:[Descripción Caso de Prueba]],3,0)</f>
        <v>Proceso - Acompañamiento a los Programas Educativos Rurales</v>
      </c>
      <c r="D93" s="34" t="str">
        <f>VLOOKUP(Observaciones[Caso de Prueba],CasoPrueba[[#All],[Código CP]:[Prioridad]],7,TRUE)</f>
        <v>Alta</v>
      </c>
      <c r="E93" s="164" t="s">
        <v>30</v>
      </c>
      <c r="F93" s="164" t="s">
        <v>49</v>
      </c>
      <c r="G93" s="165">
        <v>40795</v>
      </c>
      <c r="H93" s="73">
        <v>40796</v>
      </c>
      <c r="I93" s="167" t="s">
        <v>132</v>
      </c>
      <c r="J93" s="164" t="s">
        <v>399</v>
      </c>
      <c r="K93" s="164" t="s">
        <v>400</v>
      </c>
      <c r="L93" s="34">
        <f>IF((Observaciones[[#This Row],[Fecha Levantamiento]]-Observaciones[[#This Row],[Fecha Detección]])&gt;=0,Observaciones[[#This Row],[Fecha Levantamiento]]-Observaciones[[#This Row],[Fecha Detección]]+1,0)</f>
        <v>2</v>
      </c>
      <c r="M93" s="34" t="str">
        <f>LOOKUP(Observaciones[[#This Row],[Caso de Prueba]],CasoPrueba[Código CP],CasoPrueba[Código de REQ])</f>
        <v>INSPECCIÓN</v>
      </c>
    </row>
    <row r="94" spans="1:13" ht="60" hidden="1">
      <c r="A94" s="166" t="s">
        <v>401</v>
      </c>
      <c r="B94" s="164" t="s">
        <v>173</v>
      </c>
      <c r="C94" s="164" t="str">
        <f>VLOOKUP(Observaciones[[#This Row],[Caso de Prueba]],CasoPrueba[[Código CP]:[Descripción Caso de Prueba]],3,0)</f>
        <v>Proceso - Acompañamiento a los Programas Educativos Rurales</v>
      </c>
      <c r="D94" s="34" t="str">
        <f>VLOOKUP(Observaciones[Caso de Prueba],CasoPrueba[[#All],[Código CP]:[Prioridad]],7,TRUE)</f>
        <v>Alta</v>
      </c>
      <c r="E94" s="164" t="s">
        <v>30</v>
      </c>
      <c r="F94" s="164" t="s">
        <v>49</v>
      </c>
      <c r="G94" s="165">
        <v>40795</v>
      </c>
      <c r="H94" s="73">
        <v>40796</v>
      </c>
      <c r="I94" s="167" t="s">
        <v>132</v>
      </c>
      <c r="J94" s="164" t="s">
        <v>402</v>
      </c>
      <c r="K94" s="164" t="s">
        <v>403</v>
      </c>
      <c r="L94" s="34">
        <f>IF((Observaciones[[#This Row],[Fecha Levantamiento]]-Observaciones[[#This Row],[Fecha Detección]])&gt;=0,Observaciones[[#This Row],[Fecha Levantamiento]]-Observaciones[[#This Row],[Fecha Detección]]+1,0)</f>
        <v>2</v>
      </c>
      <c r="M94" s="34" t="str">
        <f>LOOKUP(Observaciones[[#This Row],[Caso de Prueba]],CasoPrueba[Código CP],CasoPrueba[Código de REQ])</f>
        <v>INSPECCIÓN</v>
      </c>
    </row>
    <row r="95" spans="1:13" ht="60" hidden="1">
      <c r="A95" s="166" t="s">
        <v>404</v>
      </c>
      <c r="B95" s="164" t="s">
        <v>175</v>
      </c>
      <c r="C95" s="164" t="str">
        <f>VLOOKUP(Observaciones[[#This Row],[Caso de Prueba]],CasoPrueba[[Código CP]:[Descripción Caso de Prueba]],3,0)</f>
        <v>Proceso - Planificación de los Programas Educativos Rurales</v>
      </c>
      <c r="D95" s="34" t="str">
        <f>VLOOKUP(Observaciones[Caso de Prueba],CasoPrueba[[#All],[Código CP]:[Prioridad]],7,TRUE)</f>
        <v>Alta</v>
      </c>
      <c r="E95" s="164" t="s">
        <v>162</v>
      </c>
      <c r="F95" s="164" t="s">
        <v>49</v>
      </c>
      <c r="G95" s="165">
        <v>40795</v>
      </c>
      <c r="H95" s="73">
        <v>40796</v>
      </c>
      <c r="I95" s="167" t="s">
        <v>132</v>
      </c>
      <c r="J95" s="164" t="s">
        <v>405</v>
      </c>
      <c r="K95" s="164" t="s">
        <v>406</v>
      </c>
      <c r="L95" s="34">
        <f>IF((Observaciones[[#This Row],[Fecha Levantamiento]]-Observaciones[[#This Row],[Fecha Detección]])&gt;=0,Observaciones[[#This Row],[Fecha Levantamiento]]-Observaciones[[#This Row],[Fecha Detección]]+1,0)</f>
        <v>2</v>
      </c>
      <c r="M95" s="34" t="str">
        <f>LOOKUP(Observaciones[[#This Row],[Caso de Prueba]],CasoPrueba[Código CP],CasoPrueba[Código de REQ])</f>
        <v>INSPECCIÓN</v>
      </c>
    </row>
    <row r="96" spans="1:13" ht="30" hidden="1">
      <c r="A96" s="166" t="s">
        <v>407</v>
      </c>
      <c r="B96" s="164" t="s">
        <v>175</v>
      </c>
      <c r="C96" s="164" t="str">
        <f>VLOOKUP(Observaciones[[#This Row],[Caso de Prueba]],CasoPrueba[[Código CP]:[Descripción Caso de Prueba]],3,0)</f>
        <v>Proceso - Planificación de los Programas Educativos Rurales</v>
      </c>
      <c r="D96" s="34" t="str">
        <f>VLOOKUP(Observaciones[Caso de Prueba],CasoPrueba[[#All],[Código CP]:[Prioridad]],7,TRUE)</f>
        <v>Alta</v>
      </c>
      <c r="E96" s="164" t="s">
        <v>30</v>
      </c>
      <c r="F96" s="164" t="s">
        <v>49</v>
      </c>
      <c r="G96" s="165">
        <v>40795</v>
      </c>
      <c r="H96" s="73">
        <v>40796</v>
      </c>
      <c r="I96" s="167" t="s">
        <v>132</v>
      </c>
      <c r="J96" s="164" t="s">
        <v>354</v>
      </c>
      <c r="K96" s="164" t="s">
        <v>408</v>
      </c>
      <c r="L96" s="34">
        <f>IF((Observaciones[[#This Row],[Fecha Levantamiento]]-Observaciones[[#This Row],[Fecha Detección]])&gt;=0,Observaciones[[#This Row],[Fecha Levantamiento]]-Observaciones[[#This Row],[Fecha Detección]]+1,0)</f>
        <v>2</v>
      </c>
      <c r="M96" s="34" t="str">
        <f>LOOKUP(Observaciones[[#This Row],[Caso de Prueba]],CasoPrueba[Código CP],CasoPrueba[Código de REQ])</f>
        <v>INSPECCIÓN</v>
      </c>
    </row>
    <row r="97" spans="1:13" ht="45" hidden="1">
      <c r="A97" s="166" t="s">
        <v>409</v>
      </c>
      <c r="B97" s="164" t="s">
        <v>175</v>
      </c>
      <c r="C97" s="164" t="str">
        <f>VLOOKUP(Observaciones[[#This Row],[Caso de Prueba]],CasoPrueba[[Código CP]:[Descripción Caso de Prueba]],3,0)</f>
        <v>Proceso - Planificación de los Programas Educativos Rurales</v>
      </c>
      <c r="D97" s="34" t="str">
        <f>VLOOKUP(Observaciones[Caso de Prueba],CasoPrueba[[#All],[Código CP]:[Prioridad]],7,TRUE)</f>
        <v>Alta</v>
      </c>
      <c r="E97" s="164" t="s">
        <v>162</v>
      </c>
      <c r="F97" s="164" t="s">
        <v>49</v>
      </c>
      <c r="G97" s="165">
        <v>40795</v>
      </c>
      <c r="H97" s="73">
        <v>40796</v>
      </c>
      <c r="I97" s="167" t="s">
        <v>132</v>
      </c>
      <c r="J97" s="164" t="s">
        <v>410</v>
      </c>
      <c r="K97" s="164" t="s">
        <v>411</v>
      </c>
      <c r="L97" s="34">
        <f>IF((Observaciones[[#This Row],[Fecha Levantamiento]]-Observaciones[[#This Row],[Fecha Detección]])&gt;=0,Observaciones[[#This Row],[Fecha Levantamiento]]-Observaciones[[#This Row],[Fecha Detección]]+1,0)</f>
        <v>2</v>
      </c>
      <c r="M97" s="34" t="str">
        <f>LOOKUP(Observaciones[[#This Row],[Caso de Prueba]],CasoPrueba[Código CP],CasoPrueba[Código de REQ])</f>
        <v>INSPECCIÓN</v>
      </c>
    </row>
    <row r="98" spans="1:13" ht="48" hidden="1" customHeight="1">
      <c r="A98" s="166" t="s">
        <v>412</v>
      </c>
      <c r="B98" s="164" t="s">
        <v>175</v>
      </c>
      <c r="C98" s="164" t="str">
        <f>VLOOKUP(Observaciones[[#This Row],[Caso de Prueba]],CasoPrueba[[Código CP]:[Descripción Caso de Prueba]],3,0)</f>
        <v>Proceso - Planificación de los Programas Educativos Rurales</v>
      </c>
      <c r="D98" s="34" t="str">
        <f>VLOOKUP(Observaciones[Caso de Prueba],CasoPrueba[[#All],[Código CP]:[Prioridad]],7,TRUE)</f>
        <v>Alta</v>
      </c>
      <c r="E98" s="164" t="s">
        <v>29</v>
      </c>
      <c r="F98" s="164" t="s">
        <v>49</v>
      </c>
      <c r="G98" s="165">
        <v>40795</v>
      </c>
      <c r="H98" s="73">
        <v>40796</v>
      </c>
      <c r="I98" s="167" t="s">
        <v>132</v>
      </c>
      <c r="J98" s="164" t="s">
        <v>413</v>
      </c>
      <c r="K98" s="164" t="s">
        <v>414</v>
      </c>
      <c r="L98" s="34">
        <f>IF((Observaciones[[#This Row],[Fecha Levantamiento]]-Observaciones[[#This Row],[Fecha Detección]])&gt;=0,Observaciones[[#This Row],[Fecha Levantamiento]]-Observaciones[[#This Row],[Fecha Detección]]+1,0)</f>
        <v>2</v>
      </c>
      <c r="M98" s="34" t="str">
        <f>LOOKUP(Observaciones[[#This Row],[Caso de Prueba]],CasoPrueba[Código CP],CasoPrueba[Código de REQ])</f>
        <v>INSPECCIÓN</v>
      </c>
    </row>
    <row r="99" spans="1:13" ht="60" hidden="1">
      <c r="A99" s="166" t="s">
        <v>415</v>
      </c>
      <c r="B99" s="164" t="s">
        <v>175</v>
      </c>
      <c r="C99" s="164" t="str">
        <f>VLOOKUP(Observaciones[[#This Row],[Caso de Prueba]],CasoPrueba[[Código CP]:[Descripción Caso de Prueba]],3,0)</f>
        <v>Proceso - Planificación de los Programas Educativos Rurales</v>
      </c>
      <c r="D99" s="34" t="str">
        <f>VLOOKUP(Observaciones[Caso de Prueba],CasoPrueba[[#All],[Código CP]:[Prioridad]],7,TRUE)</f>
        <v>Alta</v>
      </c>
      <c r="E99" s="164" t="s">
        <v>30</v>
      </c>
      <c r="F99" s="164" t="s">
        <v>49</v>
      </c>
      <c r="G99" s="165">
        <v>40795</v>
      </c>
      <c r="H99" s="73">
        <v>40796</v>
      </c>
      <c r="I99" s="167" t="s">
        <v>132</v>
      </c>
      <c r="J99" s="164" t="s">
        <v>416</v>
      </c>
      <c r="K99" s="164" t="s">
        <v>417</v>
      </c>
      <c r="L99" s="34">
        <f>IF((Observaciones[[#This Row],[Fecha Levantamiento]]-Observaciones[[#This Row],[Fecha Detección]])&gt;=0,Observaciones[[#This Row],[Fecha Levantamiento]]-Observaciones[[#This Row],[Fecha Detección]]+1,0)</f>
        <v>2</v>
      </c>
      <c r="M99" s="34" t="str">
        <f>LOOKUP(Observaciones[[#This Row],[Caso de Prueba]],CasoPrueba[Código CP],CasoPrueba[Código de REQ])</f>
        <v>INSPECCIÓN</v>
      </c>
    </row>
    <row r="100" spans="1:13" ht="30" hidden="1">
      <c r="A100" s="166" t="s">
        <v>418</v>
      </c>
      <c r="B100" s="164" t="s">
        <v>175</v>
      </c>
      <c r="C100" s="164" t="str">
        <f>VLOOKUP(Observaciones[[#This Row],[Caso de Prueba]],CasoPrueba[[Código CP]:[Descripción Caso de Prueba]],3,0)</f>
        <v>Proceso - Planificación de los Programas Educativos Rurales</v>
      </c>
      <c r="D100" s="34" t="str">
        <f>VLOOKUP(Observaciones[Caso de Prueba],CasoPrueba[[#All],[Código CP]:[Prioridad]],7,TRUE)</f>
        <v>Alta</v>
      </c>
      <c r="E100" s="164" t="s">
        <v>162</v>
      </c>
      <c r="F100" s="164" t="s">
        <v>49</v>
      </c>
      <c r="G100" s="165">
        <v>40795</v>
      </c>
      <c r="H100" s="73">
        <v>40796</v>
      </c>
      <c r="I100" s="167" t="s">
        <v>132</v>
      </c>
      <c r="J100" s="164" t="s">
        <v>419</v>
      </c>
      <c r="K100" s="164" t="s">
        <v>196</v>
      </c>
      <c r="L100" s="34">
        <f>IF((Observaciones[[#This Row],[Fecha Levantamiento]]-Observaciones[[#This Row],[Fecha Detección]])&gt;=0,Observaciones[[#This Row],[Fecha Levantamiento]]-Observaciones[[#This Row],[Fecha Detección]]+1,0)</f>
        <v>2</v>
      </c>
      <c r="M100" s="34" t="str">
        <f>LOOKUP(Observaciones[[#This Row],[Caso de Prueba]],CasoPrueba[Código CP],CasoPrueba[Código de REQ])</f>
        <v>INSPECCIÓN</v>
      </c>
    </row>
    <row r="101" spans="1:13" ht="30" hidden="1">
      <c r="A101" s="166" t="s">
        <v>420</v>
      </c>
      <c r="B101" s="164" t="s">
        <v>176</v>
      </c>
      <c r="C101" s="164" t="str">
        <f>VLOOKUP(Observaciones[[#This Row],[Caso de Prueba]],CasoPrueba[[Código CP]:[Descripción Caso de Prueba]],3,0)</f>
        <v>Proceso - Seguimiento  a los Programas Educativos Rurales</v>
      </c>
      <c r="D101" s="34" t="str">
        <f>VLOOKUP(Observaciones[Caso de Prueba],CasoPrueba[[#All],[Código CP]:[Prioridad]],7,TRUE)</f>
        <v>Alta</v>
      </c>
      <c r="E101" s="164" t="s">
        <v>30</v>
      </c>
      <c r="F101" s="164" t="s">
        <v>49</v>
      </c>
      <c r="G101" s="165">
        <v>40795</v>
      </c>
      <c r="H101" s="73">
        <v>40796</v>
      </c>
      <c r="I101" s="167" t="s">
        <v>132</v>
      </c>
      <c r="J101" s="164" t="s">
        <v>354</v>
      </c>
      <c r="K101" s="164" t="s">
        <v>408</v>
      </c>
      <c r="L101" s="34">
        <f>IF((Observaciones[[#This Row],[Fecha Levantamiento]]-Observaciones[[#This Row],[Fecha Detección]])&gt;=0,Observaciones[[#This Row],[Fecha Levantamiento]]-Observaciones[[#This Row],[Fecha Detección]]+1,0)</f>
        <v>2</v>
      </c>
      <c r="M101" s="34" t="str">
        <f>LOOKUP(Observaciones[[#This Row],[Caso de Prueba]],CasoPrueba[Código CP],CasoPrueba[Código de REQ])</f>
        <v>INSPECCIÓN</v>
      </c>
    </row>
    <row r="102" spans="1:13" hidden="1">
      <c r="A102" s="166" t="s">
        <v>421</v>
      </c>
      <c r="B102" s="164" t="s">
        <v>176</v>
      </c>
      <c r="C102" s="164" t="str">
        <f>VLOOKUP(Observaciones[[#This Row],[Caso de Prueba]],CasoPrueba[[Código CP]:[Descripción Caso de Prueba]],3,0)</f>
        <v>Proceso - Seguimiento  a los Programas Educativos Rurales</v>
      </c>
      <c r="D102" s="34" t="str">
        <f>VLOOKUP(Observaciones[Caso de Prueba],CasoPrueba[[#All],[Código CP]:[Prioridad]],7,TRUE)</f>
        <v>Alta</v>
      </c>
      <c r="E102" s="164" t="s">
        <v>29</v>
      </c>
      <c r="F102" s="164" t="s">
        <v>49</v>
      </c>
      <c r="G102" s="165">
        <v>40795</v>
      </c>
      <c r="H102" s="73">
        <v>40796</v>
      </c>
      <c r="I102" s="167" t="s">
        <v>132</v>
      </c>
      <c r="J102" s="164" t="s">
        <v>422</v>
      </c>
      <c r="K102" s="164" t="s">
        <v>362</v>
      </c>
      <c r="L102" s="34">
        <f>IF((Observaciones[[#This Row],[Fecha Levantamiento]]-Observaciones[[#This Row],[Fecha Detección]])&gt;=0,Observaciones[[#This Row],[Fecha Levantamiento]]-Observaciones[[#This Row],[Fecha Detección]]+1,0)</f>
        <v>2</v>
      </c>
      <c r="M102" s="34" t="str">
        <f>LOOKUP(Observaciones[[#This Row],[Caso de Prueba]],CasoPrueba[Código CP],CasoPrueba[Código de REQ])</f>
        <v>INSPECCIÓN</v>
      </c>
    </row>
    <row r="103" spans="1:13" ht="45" hidden="1">
      <c r="A103" s="166" t="s">
        <v>423</v>
      </c>
      <c r="B103" s="164" t="s">
        <v>176</v>
      </c>
      <c r="C103" s="164" t="str">
        <f>VLOOKUP(Observaciones[[#This Row],[Caso de Prueba]],CasoPrueba[[Código CP]:[Descripción Caso de Prueba]],3,0)</f>
        <v>Proceso - Seguimiento  a los Programas Educativos Rurales</v>
      </c>
      <c r="D103" s="34" t="str">
        <f>VLOOKUP(Observaciones[Caso de Prueba],CasoPrueba[[#All],[Código CP]:[Prioridad]],7,TRUE)</f>
        <v>Alta</v>
      </c>
      <c r="E103" s="164" t="s">
        <v>30</v>
      </c>
      <c r="F103" s="164" t="s">
        <v>49</v>
      </c>
      <c r="G103" s="165">
        <v>40795</v>
      </c>
      <c r="H103" s="73">
        <v>40796</v>
      </c>
      <c r="I103" s="167" t="s">
        <v>132</v>
      </c>
      <c r="J103" s="164" t="s">
        <v>424</v>
      </c>
      <c r="K103" s="164" t="s">
        <v>425</v>
      </c>
      <c r="L103" s="34">
        <f>IF((Observaciones[[#This Row],[Fecha Levantamiento]]-Observaciones[[#This Row],[Fecha Detección]])&gt;=0,Observaciones[[#This Row],[Fecha Levantamiento]]-Observaciones[[#This Row],[Fecha Detección]]+1,0)</f>
        <v>2</v>
      </c>
      <c r="M103" s="34" t="str">
        <f>LOOKUP(Observaciones[[#This Row],[Caso de Prueba]],CasoPrueba[Código CP],CasoPrueba[Código de REQ])</f>
        <v>INSPECCIÓN</v>
      </c>
    </row>
    <row r="104" spans="1:13" ht="45" hidden="1">
      <c r="A104" s="166" t="s">
        <v>427</v>
      </c>
      <c r="B104" s="34" t="s">
        <v>88</v>
      </c>
      <c r="C104" s="34" t="str">
        <f>VLOOKUP(Observaciones[[#This Row],[Caso de Prueba]],CasoPrueba[[Código CP]:[Descripción Caso de Prueba]],3,0)</f>
        <v>MacroProceso - Gestión de Recursos Humanos</v>
      </c>
      <c r="D104" s="34" t="str">
        <f>VLOOKUP(Observaciones[Caso de Prueba],CasoPrueba[[#All],[Código CP]:[Prioridad]],7,TRUE)</f>
        <v>Alta</v>
      </c>
      <c r="E104" s="34" t="s">
        <v>162</v>
      </c>
      <c r="F104" s="34" t="s">
        <v>49</v>
      </c>
      <c r="G104" s="73">
        <v>40798</v>
      </c>
      <c r="H104" s="73">
        <v>40803</v>
      </c>
      <c r="I104" s="167" t="s">
        <v>132</v>
      </c>
      <c r="J104" s="34" t="s">
        <v>438</v>
      </c>
      <c r="K104" s="34" t="s">
        <v>196</v>
      </c>
      <c r="L104" s="34">
        <f>IF((Observaciones[[#This Row],[Fecha Levantamiento]]-Observaciones[[#This Row],[Fecha Detección]])&gt;=0,Observaciones[[#This Row],[Fecha Levantamiento]]-Observaciones[[#This Row],[Fecha Detección]]+1,0)</f>
        <v>6</v>
      </c>
      <c r="M104" s="34" t="str">
        <f>LOOKUP(Observaciones[[#This Row],[Caso de Prueba]],CasoPrueba[Código CP],CasoPrueba[Código de REQ])</f>
        <v>INSPECCIÓN</v>
      </c>
    </row>
    <row r="105" spans="1:13" ht="76.5" hidden="1" customHeight="1">
      <c r="A105" s="166" t="s">
        <v>428</v>
      </c>
      <c r="B105" s="34" t="s">
        <v>88</v>
      </c>
      <c r="C105" s="34" t="str">
        <f>VLOOKUP(Observaciones[[#This Row],[Caso de Prueba]],CasoPrueba[[Código CP]:[Descripción Caso de Prueba]],3,0)</f>
        <v>MacroProceso - Gestión de Recursos Humanos</v>
      </c>
      <c r="D105" s="34" t="str">
        <f>VLOOKUP(Observaciones[Caso de Prueba],CasoPrueba[[#All],[Código CP]:[Prioridad]],7,TRUE)</f>
        <v>Alta</v>
      </c>
      <c r="E105" s="34" t="s">
        <v>29</v>
      </c>
      <c r="F105" s="34" t="s">
        <v>49</v>
      </c>
      <c r="G105" s="73">
        <v>40798</v>
      </c>
      <c r="H105" s="73">
        <v>40803</v>
      </c>
      <c r="I105" s="167" t="s">
        <v>132</v>
      </c>
      <c r="J105" s="34" t="s">
        <v>439</v>
      </c>
      <c r="K105" s="34" t="s">
        <v>465</v>
      </c>
      <c r="L105" s="34">
        <f>IF((Observaciones[[#This Row],[Fecha Levantamiento]]-Observaciones[[#This Row],[Fecha Detección]])&gt;=0,Observaciones[[#This Row],[Fecha Levantamiento]]-Observaciones[[#This Row],[Fecha Detección]]+1,0)</f>
        <v>6</v>
      </c>
      <c r="M105" s="34" t="str">
        <f>LOOKUP(Observaciones[[#This Row],[Caso de Prueba]],CasoPrueba[Código CP],CasoPrueba[Código de REQ])</f>
        <v>INSPECCIÓN</v>
      </c>
    </row>
    <row r="106" spans="1:13" ht="48" hidden="1" customHeight="1">
      <c r="A106" s="166" t="s">
        <v>429</v>
      </c>
      <c r="B106" s="34" t="s">
        <v>88</v>
      </c>
      <c r="C106" s="34" t="str">
        <f>VLOOKUP(Observaciones[[#This Row],[Caso de Prueba]],CasoPrueba[[Código CP]:[Descripción Caso de Prueba]],3,0)</f>
        <v>MacroProceso - Gestión de Recursos Humanos</v>
      </c>
      <c r="D106" s="34" t="str">
        <f>VLOOKUP(Observaciones[Caso de Prueba],CasoPrueba[[#All],[Código CP]:[Prioridad]],7,TRUE)</f>
        <v>Alta</v>
      </c>
      <c r="E106" s="34" t="s">
        <v>162</v>
      </c>
      <c r="F106" s="34" t="s">
        <v>49</v>
      </c>
      <c r="G106" s="73">
        <v>40798</v>
      </c>
      <c r="H106" s="73">
        <v>40803</v>
      </c>
      <c r="I106" s="167" t="s">
        <v>132</v>
      </c>
      <c r="J106" s="34" t="s">
        <v>440</v>
      </c>
      <c r="K106" s="34" t="s">
        <v>466</v>
      </c>
      <c r="L106" s="34">
        <f>IF((Observaciones[[#This Row],[Fecha Levantamiento]]-Observaciones[[#This Row],[Fecha Detección]])&gt;=0,Observaciones[[#This Row],[Fecha Levantamiento]]-Observaciones[[#This Row],[Fecha Detección]]+1,0)</f>
        <v>6</v>
      </c>
      <c r="M106" s="34" t="str">
        <f>LOOKUP(Observaciones[[#This Row],[Caso de Prueba]],CasoPrueba[Código CP],CasoPrueba[Código de REQ])</f>
        <v>INSPECCIÓN</v>
      </c>
    </row>
    <row r="107" spans="1:13" ht="45" hidden="1">
      <c r="A107" s="166" t="s">
        <v>430</v>
      </c>
      <c r="B107" s="34" t="s">
        <v>88</v>
      </c>
      <c r="C107" s="34" t="str">
        <f>VLOOKUP(Observaciones[[#This Row],[Caso de Prueba]],CasoPrueba[[Código CP]:[Descripción Caso de Prueba]],3,0)</f>
        <v>MacroProceso - Gestión de Recursos Humanos</v>
      </c>
      <c r="D107" s="34" t="str">
        <f>VLOOKUP(Observaciones[Caso de Prueba],CasoPrueba[[#All],[Código CP]:[Prioridad]],7,TRUE)</f>
        <v>Alta</v>
      </c>
      <c r="E107" s="34" t="s">
        <v>30</v>
      </c>
      <c r="F107" s="34" t="s">
        <v>49</v>
      </c>
      <c r="G107" s="73">
        <v>40798</v>
      </c>
      <c r="H107" s="73">
        <v>40803</v>
      </c>
      <c r="I107" s="167" t="s">
        <v>132</v>
      </c>
      <c r="J107" s="34" t="s">
        <v>458</v>
      </c>
      <c r="K107" s="34" t="s">
        <v>467</v>
      </c>
      <c r="L107" s="34">
        <f>IF((Observaciones[[#This Row],[Fecha Levantamiento]]-Observaciones[[#This Row],[Fecha Detección]])&gt;=0,Observaciones[[#This Row],[Fecha Levantamiento]]-Observaciones[[#This Row],[Fecha Detección]]+1,0)</f>
        <v>6</v>
      </c>
      <c r="M107" s="34" t="str">
        <f>LOOKUP(Observaciones[[#This Row],[Caso de Prueba]],CasoPrueba[Código CP],CasoPrueba[Código de REQ])</f>
        <v>INSPECCIÓN</v>
      </c>
    </row>
    <row r="108" spans="1:13" ht="30" hidden="1">
      <c r="A108" s="166" t="s">
        <v>431</v>
      </c>
      <c r="B108" s="34" t="s">
        <v>151</v>
      </c>
      <c r="C108" s="34" t="str">
        <f>VLOOKUP(Observaciones[[#This Row],[Caso de Prueba]],CasoPrueba[[Código CP]:[Descripción Caso de Prueba]],3,0)</f>
        <v>Proceso - Capacitación de Personal</v>
      </c>
      <c r="D108" s="34" t="str">
        <f>VLOOKUP(Observaciones[Caso de Prueba],CasoPrueba[[#All],[Código CP]:[Prioridad]],7,TRUE)</f>
        <v>Alta</v>
      </c>
      <c r="E108" s="34" t="s">
        <v>162</v>
      </c>
      <c r="F108" s="34" t="s">
        <v>49</v>
      </c>
      <c r="G108" s="73">
        <v>40798</v>
      </c>
      <c r="H108" s="73">
        <v>40803</v>
      </c>
      <c r="I108" s="167" t="s">
        <v>132</v>
      </c>
      <c r="J108" s="34" t="s">
        <v>441</v>
      </c>
      <c r="K108" s="34" t="s">
        <v>234</v>
      </c>
      <c r="L108" s="34">
        <f>IF((Observaciones[[#This Row],[Fecha Levantamiento]]-Observaciones[[#This Row],[Fecha Detección]])&gt;=0,Observaciones[[#This Row],[Fecha Levantamiento]]-Observaciones[[#This Row],[Fecha Detección]]+1,0)</f>
        <v>6</v>
      </c>
      <c r="M108" s="34" t="str">
        <f>LOOKUP(Observaciones[[#This Row],[Caso de Prueba]],CasoPrueba[Código CP],CasoPrueba[Código de REQ])</f>
        <v>INSPECCIÓN</v>
      </c>
    </row>
    <row r="109" spans="1:13" ht="45" hidden="1">
      <c r="A109" s="166" t="s">
        <v>432</v>
      </c>
      <c r="B109" s="34" t="s">
        <v>152</v>
      </c>
      <c r="C109" s="34" t="str">
        <f>VLOOKUP(Observaciones[[#This Row],[Caso de Prueba]],CasoPrueba[[Código CP]:[Descripción Caso de Prueba]],3,0)</f>
        <v>Proceso - Contratación e Inducción</v>
      </c>
      <c r="D109" s="34" t="str">
        <f>VLOOKUP(Observaciones[Caso de Prueba],CasoPrueba[[#All],[Código CP]:[Prioridad]],7,TRUE)</f>
        <v>Alta</v>
      </c>
      <c r="E109" s="34" t="s">
        <v>29</v>
      </c>
      <c r="F109" s="34" t="s">
        <v>49</v>
      </c>
      <c r="G109" s="73">
        <v>40798</v>
      </c>
      <c r="H109" s="73">
        <v>40803</v>
      </c>
      <c r="I109" s="167" t="s">
        <v>132</v>
      </c>
      <c r="J109" s="34" t="s">
        <v>442</v>
      </c>
      <c r="K109" s="34" t="s">
        <v>468</v>
      </c>
      <c r="L109" s="34">
        <f>IF((Observaciones[[#This Row],[Fecha Levantamiento]]-Observaciones[[#This Row],[Fecha Detección]])&gt;=0,Observaciones[[#This Row],[Fecha Levantamiento]]-Observaciones[[#This Row],[Fecha Detección]]+1,0)</f>
        <v>6</v>
      </c>
      <c r="M109" s="34" t="str">
        <f>LOOKUP(Observaciones[[#This Row],[Caso de Prueba]],CasoPrueba[Código CP],CasoPrueba[Código de REQ])</f>
        <v>INSPECCIÓN</v>
      </c>
    </row>
    <row r="110" spans="1:13" ht="30" hidden="1">
      <c r="A110" s="166" t="s">
        <v>433</v>
      </c>
      <c r="B110" s="34" t="s">
        <v>153</v>
      </c>
      <c r="C110" s="34" t="str">
        <f>VLOOKUP(Observaciones[[#This Row],[Caso de Prueba]],CasoPrueba[[Código CP]:[Descripción Caso de Prueba]],3,0)</f>
        <v>Proceso - Despido o Retiro de Personal</v>
      </c>
      <c r="D110" s="34" t="str">
        <f>VLOOKUP(Observaciones[Caso de Prueba],CasoPrueba[[#All],[Código CP]:[Prioridad]],7,TRUE)</f>
        <v>Alta</v>
      </c>
      <c r="E110" s="34" t="s">
        <v>162</v>
      </c>
      <c r="F110" s="34" t="s">
        <v>49</v>
      </c>
      <c r="G110" s="73">
        <v>40800</v>
      </c>
      <c r="H110" s="73">
        <v>40803</v>
      </c>
      <c r="I110" s="94" t="s">
        <v>132</v>
      </c>
      <c r="J110" s="34" t="s">
        <v>443</v>
      </c>
      <c r="K110" s="34" t="s">
        <v>234</v>
      </c>
      <c r="L110" s="34">
        <f>IF((Observaciones[[#This Row],[Fecha Levantamiento]]-Observaciones[[#This Row],[Fecha Detección]])&gt;=0,Observaciones[[#This Row],[Fecha Levantamiento]]-Observaciones[[#This Row],[Fecha Detección]]+1,0)</f>
        <v>4</v>
      </c>
      <c r="M110" s="34" t="str">
        <f>LOOKUP(Observaciones[[#This Row],[Caso de Prueba]],CasoPrueba[Código CP],CasoPrueba[Código de REQ])</f>
        <v>INSPECCIÓN</v>
      </c>
    </row>
    <row r="111" spans="1:13" ht="30" hidden="1">
      <c r="A111" s="166" t="s">
        <v>434</v>
      </c>
      <c r="B111" s="34" t="s">
        <v>153</v>
      </c>
      <c r="C111" s="34" t="str">
        <f>VLOOKUP(Observaciones[[#This Row],[Caso de Prueba]],CasoPrueba[[Código CP]:[Descripción Caso de Prueba]],3,0)</f>
        <v>Proceso - Despido o Retiro de Personal</v>
      </c>
      <c r="D111" s="34" t="str">
        <f>VLOOKUP(Observaciones[Caso de Prueba],CasoPrueba[[#All],[Código CP]:[Prioridad]],7,TRUE)</f>
        <v>Alta</v>
      </c>
      <c r="E111" s="34" t="s">
        <v>162</v>
      </c>
      <c r="F111" s="34" t="s">
        <v>49</v>
      </c>
      <c r="G111" s="73">
        <v>40800</v>
      </c>
      <c r="H111" s="73">
        <v>40803</v>
      </c>
      <c r="I111" s="94" t="s">
        <v>132</v>
      </c>
      <c r="J111" s="34" t="s">
        <v>444</v>
      </c>
      <c r="K111" s="34" t="s">
        <v>234</v>
      </c>
      <c r="L111" s="34">
        <f>IF((Observaciones[[#This Row],[Fecha Levantamiento]]-Observaciones[[#This Row],[Fecha Detección]])&gt;=0,Observaciones[[#This Row],[Fecha Levantamiento]]-Observaciones[[#This Row],[Fecha Detección]]+1,0)</f>
        <v>4</v>
      </c>
      <c r="M111" s="34" t="str">
        <f>LOOKUP(Observaciones[[#This Row],[Caso de Prueba]],CasoPrueba[Código CP],CasoPrueba[Código de REQ])</f>
        <v>INSPECCIÓN</v>
      </c>
    </row>
    <row r="112" spans="1:13" ht="45" hidden="1">
      <c r="A112" s="166" t="s">
        <v>435</v>
      </c>
      <c r="B112" s="34" t="s">
        <v>153</v>
      </c>
      <c r="C112" s="34" t="str">
        <f>VLOOKUP(Observaciones[[#This Row],[Caso de Prueba]],CasoPrueba[[Código CP]:[Descripción Caso de Prueba]],3,0)</f>
        <v>Proceso - Despido o Retiro de Personal</v>
      </c>
      <c r="D112" s="34" t="str">
        <f>VLOOKUP(Observaciones[Caso de Prueba],CasoPrueba[[#All],[Código CP]:[Prioridad]],7,TRUE)</f>
        <v>Alta</v>
      </c>
      <c r="E112" s="34" t="s">
        <v>29</v>
      </c>
      <c r="F112" s="34" t="s">
        <v>49</v>
      </c>
      <c r="G112" s="73">
        <v>40800</v>
      </c>
      <c r="H112" s="73">
        <v>40803</v>
      </c>
      <c r="I112" s="94" t="s">
        <v>132</v>
      </c>
      <c r="J112" s="34" t="s">
        <v>446</v>
      </c>
      <c r="K112" s="34" t="s">
        <v>469</v>
      </c>
      <c r="L112" s="34"/>
      <c r="M112" s="34"/>
    </row>
    <row r="113" spans="1:13" ht="120" hidden="1">
      <c r="A113" s="166" t="s">
        <v>436</v>
      </c>
      <c r="B113" s="34" t="s">
        <v>154</v>
      </c>
      <c r="C113" s="34" t="str">
        <f>VLOOKUP(Observaciones[[#This Row],[Caso de Prueba]],CasoPrueba[[Código CP]:[Descripción Caso de Prueba]],3,0)</f>
        <v>Proceso - Evaluación de Postulantes</v>
      </c>
      <c r="D113" s="34" t="str">
        <f>VLOOKUP(Observaciones[Caso de Prueba],CasoPrueba[[#All],[Código CP]:[Prioridad]],7,TRUE)</f>
        <v>Alta</v>
      </c>
      <c r="E113" s="34" t="s">
        <v>30</v>
      </c>
      <c r="F113" s="34" t="s">
        <v>49</v>
      </c>
      <c r="G113" s="73">
        <v>40800</v>
      </c>
      <c r="H113" s="73">
        <v>40803</v>
      </c>
      <c r="I113" s="94" t="s">
        <v>132</v>
      </c>
      <c r="J113" s="34" t="s">
        <v>445</v>
      </c>
      <c r="K113" s="34" t="s">
        <v>470</v>
      </c>
      <c r="L113" s="34">
        <f>IF((Observaciones[[#This Row],[Fecha Levantamiento]]-Observaciones[[#This Row],[Fecha Detección]])&gt;=0,Observaciones[[#This Row],[Fecha Levantamiento]]-Observaciones[[#This Row],[Fecha Detección]]+1,0)</f>
        <v>4</v>
      </c>
      <c r="M113" s="34" t="str">
        <f>LOOKUP(Observaciones[[#This Row],[Caso de Prueba]],CasoPrueba[Código CP],CasoPrueba[Código de REQ])</f>
        <v>INSPECCIÓN</v>
      </c>
    </row>
    <row r="114" spans="1:13" ht="30" hidden="1">
      <c r="A114" s="166" t="s">
        <v>437</v>
      </c>
      <c r="B114" s="34" t="s">
        <v>154</v>
      </c>
      <c r="C114" s="34" t="str">
        <f>VLOOKUP(Observaciones[[#This Row],[Caso de Prueba]],CasoPrueba[[Código CP]:[Descripción Caso de Prueba]],3,0)</f>
        <v>Proceso - Evaluación de Postulantes</v>
      </c>
      <c r="D114" s="34" t="str">
        <f>VLOOKUP(Observaciones[Caso de Prueba],CasoPrueba[[#All],[Código CP]:[Prioridad]],7,TRUE)</f>
        <v>Alta</v>
      </c>
      <c r="E114" s="34" t="s">
        <v>29</v>
      </c>
      <c r="F114" s="34" t="s">
        <v>49</v>
      </c>
      <c r="G114" s="73">
        <v>40800</v>
      </c>
      <c r="H114" s="73">
        <v>40803</v>
      </c>
      <c r="I114" s="94" t="s">
        <v>132</v>
      </c>
      <c r="J114" s="34" t="s">
        <v>455</v>
      </c>
      <c r="K114" s="34" t="s">
        <v>471</v>
      </c>
      <c r="L114" s="34">
        <f>IF((Observaciones[[#This Row],[Fecha Levantamiento]]-Observaciones[[#This Row],[Fecha Detección]])&gt;=0,Observaciones[[#This Row],[Fecha Levantamiento]]-Observaciones[[#This Row],[Fecha Detección]]+1,0)</f>
        <v>4</v>
      </c>
      <c r="M114" s="34" t="str">
        <f>LOOKUP(Observaciones[[#This Row],[Caso de Prueba]],CasoPrueba[Código CP],CasoPrueba[Código de REQ])</f>
        <v>INSPECCIÓN</v>
      </c>
    </row>
    <row r="115" spans="1:13" ht="45" hidden="1">
      <c r="A115" s="166" t="s">
        <v>447</v>
      </c>
      <c r="B115" s="34" t="s">
        <v>156</v>
      </c>
      <c r="C115" s="34" t="str">
        <f>VLOOKUP(Observaciones[[#This Row],[Caso de Prueba]],CasoPrueba[[Código CP]:[Descripción Caso de Prueba]],3,0)</f>
        <v>Proceso - Rendición de Gastos de Viaje</v>
      </c>
      <c r="D115" s="34" t="str">
        <f>VLOOKUP(Observaciones[Caso de Prueba],CasoPrueba[[#All],[Código CP]:[Prioridad]],7,TRUE)</f>
        <v>Alta</v>
      </c>
      <c r="E115" s="34" t="s">
        <v>30</v>
      </c>
      <c r="F115" s="34" t="s">
        <v>49</v>
      </c>
      <c r="G115" s="73">
        <v>40800</v>
      </c>
      <c r="H115" s="73">
        <v>40803</v>
      </c>
      <c r="I115" s="94" t="s">
        <v>132</v>
      </c>
      <c r="J115" s="34" t="s">
        <v>456</v>
      </c>
      <c r="K115" s="34" t="s">
        <v>470</v>
      </c>
      <c r="L115" s="34">
        <f>IF((Observaciones[[#This Row],[Fecha Levantamiento]]-Observaciones[[#This Row],[Fecha Detección]])&gt;=0,Observaciones[[#This Row],[Fecha Levantamiento]]-Observaciones[[#This Row],[Fecha Detección]]+1,0)</f>
        <v>4</v>
      </c>
      <c r="M115" s="34" t="str">
        <f>LOOKUP(Observaciones[[#This Row],[Caso de Prueba]],CasoPrueba[Código CP],CasoPrueba[Código de REQ])</f>
        <v>INSPECCIÓN</v>
      </c>
    </row>
    <row r="116" spans="1:13" ht="45" hidden="1">
      <c r="A116" s="166" t="s">
        <v>448</v>
      </c>
      <c r="B116" s="34" t="s">
        <v>156</v>
      </c>
      <c r="C116" s="34" t="str">
        <f>VLOOKUP(Observaciones[[#This Row],[Caso de Prueba]],CasoPrueba[[Código CP]:[Descripción Caso de Prueba]],3,0)</f>
        <v>Proceso - Rendición de Gastos de Viaje</v>
      </c>
      <c r="D116" s="34" t="str">
        <f>VLOOKUP(Observaciones[Caso de Prueba],CasoPrueba[[#All],[Código CP]:[Prioridad]],7,TRUE)</f>
        <v>Alta</v>
      </c>
      <c r="E116" s="34" t="s">
        <v>29</v>
      </c>
      <c r="F116" s="34" t="s">
        <v>49</v>
      </c>
      <c r="G116" s="73">
        <v>40800</v>
      </c>
      <c r="H116" s="73">
        <v>40803</v>
      </c>
      <c r="I116" s="94" t="s">
        <v>132</v>
      </c>
      <c r="J116" s="34" t="s">
        <v>457</v>
      </c>
      <c r="K116" s="34" t="s">
        <v>472</v>
      </c>
      <c r="L116" s="34">
        <f>IF((Observaciones[[#This Row],[Fecha Levantamiento]]-Observaciones[[#This Row],[Fecha Detección]])&gt;=0,Observaciones[[#This Row],[Fecha Levantamiento]]-Observaciones[[#This Row],[Fecha Detección]]+1,0)</f>
        <v>4</v>
      </c>
      <c r="M116" s="34" t="str">
        <f>LOOKUP(Observaciones[[#This Row],[Caso de Prueba]],CasoPrueba[Código CP],CasoPrueba[Código de REQ])</f>
        <v>INSPECCIÓN</v>
      </c>
    </row>
    <row r="117" spans="1:13" ht="45" hidden="1">
      <c r="A117" s="166" t="s">
        <v>449</v>
      </c>
      <c r="B117" s="34" t="s">
        <v>158</v>
      </c>
      <c r="C117" s="34" t="str">
        <f>VLOOKUP(Observaciones[[#This Row],[Caso de Prueba]],CasoPrueba[[Código CP]:[Descripción Caso de Prueba]],3,0)</f>
        <v>Proceso - Solicitud de Fondos de Viaje</v>
      </c>
      <c r="D117" s="34" t="str">
        <f>VLOOKUP(Observaciones[Caso de Prueba],CasoPrueba[[#All],[Código CP]:[Prioridad]],7,TRUE)</f>
        <v>Alta</v>
      </c>
      <c r="E117" s="34" t="s">
        <v>30</v>
      </c>
      <c r="F117" s="34" t="s">
        <v>49</v>
      </c>
      <c r="G117" s="73">
        <v>40800</v>
      </c>
      <c r="H117" s="73">
        <v>40803</v>
      </c>
      <c r="I117" s="94" t="s">
        <v>132</v>
      </c>
      <c r="J117" s="34" t="s">
        <v>456</v>
      </c>
      <c r="K117" s="34" t="s">
        <v>470</v>
      </c>
      <c r="L117" s="34">
        <f>IF((Observaciones[[#This Row],[Fecha Levantamiento]]-Observaciones[[#This Row],[Fecha Detección]])&gt;=0,Observaciones[[#This Row],[Fecha Levantamiento]]-Observaciones[[#This Row],[Fecha Detección]]+1,0)</f>
        <v>4</v>
      </c>
      <c r="M117" s="34" t="str">
        <f>LOOKUP(Observaciones[[#This Row],[Caso de Prueba]],CasoPrueba[Código CP],CasoPrueba[Código de REQ])</f>
        <v>INSPECCIÓN</v>
      </c>
    </row>
    <row r="118" spans="1:13" ht="45" hidden="1">
      <c r="A118" s="166" t="s">
        <v>450</v>
      </c>
      <c r="B118" s="34" t="s">
        <v>172</v>
      </c>
      <c r="C118" s="34" t="str">
        <f>VLOOKUP(Observaciones[[#This Row],[Caso de Prueba]],CasoPrueba[[Código CP]:[Descripción Caso de Prueba]],3,0)</f>
        <v>MacroProceso - Gestión de Educación Rural</v>
      </c>
      <c r="D118" s="34" t="str">
        <f>VLOOKUP(Observaciones[Caso de Prueba],CasoPrueba[[#All],[Código CP]:[Prioridad]],7,TRUE)</f>
        <v>Alta</v>
      </c>
      <c r="E118" s="34" t="s">
        <v>28</v>
      </c>
      <c r="F118" s="34" t="s">
        <v>49</v>
      </c>
      <c r="G118" s="73">
        <v>40800</v>
      </c>
      <c r="H118" s="73">
        <v>40803</v>
      </c>
      <c r="I118" s="94" t="s">
        <v>132</v>
      </c>
      <c r="J118" s="34" t="s">
        <v>459</v>
      </c>
      <c r="K118" s="34" t="s">
        <v>467</v>
      </c>
      <c r="L118" s="34">
        <f>IF((Observaciones[[#This Row],[Fecha Levantamiento]]-Observaciones[[#This Row],[Fecha Detección]])&gt;=0,Observaciones[[#This Row],[Fecha Levantamiento]]-Observaciones[[#This Row],[Fecha Detección]]+1,0)</f>
        <v>4</v>
      </c>
      <c r="M118" s="34" t="str">
        <f>LOOKUP(Observaciones[[#This Row],[Caso de Prueba]],CasoPrueba[Código CP],CasoPrueba[Código de REQ])</f>
        <v>INSPECCIÓN</v>
      </c>
    </row>
    <row r="119" spans="1:13" ht="93" hidden="1" customHeight="1">
      <c r="A119" s="166" t="s">
        <v>451</v>
      </c>
      <c r="B119" s="34" t="s">
        <v>172</v>
      </c>
      <c r="C119" s="34" t="str">
        <f>VLOOKUP(Observaciones[[#This Row],[Caso de Prueba]],CasoPrueba[[Código CP]:[Descripción Caso de Prueba]],3,0)</f>
        <v>MacroProceso - Gestión de Educación Rural</v>
      </c>
      <c r="D119" s="34" t="str">
        <f>VLOOKUP(Observaciones[Caso de Prueba],CasoPrueba[[#All],[Código CP]:[Prioridad]],7,TRUE)</f>
        <v>Alta</v>
      </c>
      <c r="E119" s="34" t="s">
        <v>29</v>
      </c>
      <c r="F119" s="34" t="s">
        <v>49</v>
      </c>
      <c r="G119" s="73">
        <v>40800</v>
      </c>
      <c r="H119" s="73">
        <v>40803</v>
      </c>
      <c r="I119" s="94" t="s">
        <v>132</v>
      </c>
      <c r="J119" s="34" t="s">
        <v>476</v>
      </c>
      <c r="K119" s="34" t="s">
        <v>473</v>
      </c>
      <c r="L119" s="34">
        <f>IF((Observaciones[[#This Row],[Fecha Levantamiento]]-Observaciones[[#This Row],[Fecha Detección]])&gt;=0,Observaciones[[#This Row],[Fecha Levantamiento]]-Observaciones[[#This Row],[Fecha Detección]]+1,0)</f>
        <v>4</v>
      </c>
      <c r="M119" s="34" t="str">
        <f>LOOKUP(Observaciones[[#This Row],[Caso de Prueba]],CasoPrueba[Código CP],CasoPrueba[Código de REQ])</f>
        <v>INSPECCIÓN</v>
      </c>
    </row>
    <row r="120" spans="1:13" ht="105" hidden="1">
      <c r="A120" s="166" t="s">
        <v>452</v>
      </c>
      <c r="B120" s="34" t="s">
        <v>172</v>
      </c>
      <c r="C120" s="34" t="str">
        <f>VLOOKUP(Observaciones[[#This Row],[Caso de Prueba]],CasoPrueba[[Código CP]:[Descripción Caso de Prueba]],3,0)</f>
        <v>MacroProceso - Gestión de Educación Rural</v>
      </c>
      <c r="D120" s="34" t="str">
        <f>VLOOKUP(Observaciones[Caso de Prueba],CasoPrueba[[#All],[Código CP]:[Prioridad]],7,TRUE)</f>
        <v>Alta</v>
      </c>
      <c r="E120" s="34" t="s">
        <v>29</v>
      </c>
      <c r="F120" s="34" t="s">
        <v>49</v>
      </c>
      <c r="G120" s="73">
        <v>40800</v>
      </c>
      <c r="H120" s="73">
        <v>40803</v>
      </c>
      <c r="I120" s="94" t="s">
        <v>132</v>
      </c>
      <c r="J120" s="34" t="s">
        <v>477</v>
      </c>
      <c r="K120" s="34" t="s">
        <v>474</v>
      </c>
      <c r="L120" s="34">
        <f>IF((Observaciones[[#This Row],[Fecha Levantamiento]]-Observaciones[[#This Row],[Fecha Detección]])&gt;=0,Observaciones[[#This Row],[Fecha Levantamiento]]-Observaciones[[#This Row],[Fecha Detección]]+1,0)</f>
        <v>4</v>
      </c>
      <c r="M120" s="34" t="str">
        <f>LOOKUP(Observaciones[[#This Row],[Caso de Prueba]],CasoPrueba[Código CP],CasoPrueba[Código de REQ])</f>
        <v>INSPECCIÓN</v>
      </c>
    </row>
    <row r="121" spans="1:13" ht="105" hidden="1">
      <c r="A121" s="166" t="s">
        <v>453</v>
      </c>
      <c r="B121" s="34" t="s">
        <v>173</v>
      </c>
      <c r="C121" s="34" t="str">
        <f>VLOOKUP(Observaciones[[#This Row],[Caso de Prueba]],CasoPrueba[[Código CP]:[Descripción Caso de Prueba]],3,0)</f>
        <v>Proceso - Acompañamiento a los Programas Educativos Rurales</v>
      </c>
      <c r="D121" s="34" t="str">
        <f>VLOOKUP(Observaciones[Caso de Prueba],CasoPrueba[[#All],[Código CP]:[Prioridad]],7,TRUE)</f>
        <v>Alta</v>
      </c>
      <c r="E121" s="34" t="s">
        <v>28</v>
      </c>
      <c r="F121" s="34" t="s">
        <v>49</v>
      </c>
      <c r="G121" s="73">
        <v>40800</v>
      </c>
      <c r="H121" s="73">
        <v>40803</v>
      </c>
      <c r="I121" s="94" t="s">
        <v>132</v>
      </c>
      <c r="J121" s="34" t="s">
        <v>461</v>
      </c>
      <c r="K121" s="34" t="s">
        <v>266</v>
      </c>
      <c r="L121" s="34">
        <f>IF((Observaciones[[#This Row],[Fecha Levantamiento]]-Observaciones[[#This Row],[Fecha Detección]])&gt;=0,Observaciones[[#This Row],[Fecha Levantamiento]]-Observaciones[[#This Row],[Fecha Detección]]+1,0)</f>
        <v>4</v>
      </c>
      <c r="M121" s="34" t="str">
        <f>LOOKUP(Observaciones[[#This Row],[Caso de Prueba]],CasoPrueba[Código CP],CasoPrueba[Código de REQ])</f>
        <v>INSPECCIÓN</v>
      </c>
    </row>
    <row r="122" spans="1:13" ht="30" hidden="1">
      <c r="A122" s="166" t="s">
        <v>454</v>
      </c>
      <c r="B122" s="34" t="s">
        <v>174</v>
      </c>
      <c r="C122" s="34" t="str">
        <f>VLOOKUP(Observaciones[[#This Row],[Caso de Prueba]],CasoPrueba[[Código CP]:[Descripción Caso de Prueba]],3,0)</f>
        <v>Proceso - Creación de Programa Educativo Rural</v>
      </c>
      <c r="D122" s="34" t="str">
        <f>VLOOKUP(Observaciones[Caso de Prueba],CasoPrueba[[#All],[Código CP]:[Prioridad]],7,TRUE)</f>
        <v>Alta</v>
      </c>
      <c r="E122" s="34" t="s">
        <v>30</v>
      </c>
      <c r="F122" s="34" t="s">
        <v>49</v>
      </c>
      <c r="G122" s="73">
        <v>40800</v>
      </c>
      <c r="H122" s="73">
        <v>40803</v>
      </c>
      <c r="I122" s="94" t="s">
        <v>132</v>
      </c>
      <c r="J122" s="34" t="s">
        <v>462</v>
      </c>
      <c r="K122" s="34" t="s">
        <v>475</v>
      </c>
      <c r="L122" s="34">
        <f>IF((Observaciones[[#This Row],[Fecha Levantamiento]]-Observaciones[[#This Row],[Fecha Detección]])&gt;=0,Observaciones[[#This Row],[Fecha Levantamiento]]-Observaciones[[#This Row],[Fecha Detección]]+1,0)</f>
        <v>4</v>
      </c>
      <c r="M122" s="34" t="str">
        <f>LOOKUP(Observaciones[[#This Row],[Caso de Prueba]],CasoPrueba[Código CP],CasoPrueba[Código de REQ])</f>
        <v>INSPECCIÓN</v>
      </c>
    </row>
    <row r="123" spans="1:13" ht="45" hidden="1">
      <c r="A123" s="166" t="s">
        <v>478</v>
      </c>
      <c r="B123" s="34" t="s">
        <v>173</v>
      </c>
      <c r="C123" s="34" t="str">
        <f>VLOOKUP(Observaciones[[#This Row],[Caso de Prueba]],CasoPrueba[[Código CP]:[Descripción Caso de Prueba]],3,0)</f>
        <v>Proceso - Acompañamiento a los Programas Educativos Rurales</v>
      </c>
      <c r="D123" s="34" t="str">
        <f>VLOOKUP(Observaciones[Caso de Prueba],CasoPrueba[[#All],[Código CP]:[Prioridad]],7,TRUE)</f>
        <v>Alta</v>
      </c>
      <c r="E123" s="34" t="s">
        <v>162</v>
      </c>
      <c r="F123" s="34" t="s">
        <v>49</v>
      </c>
      <c r="G123" s="73">
        <v>40802</v>
      </c>
      <c r="H123" s="73">
        <v>40805</v>
      </c>
      <c r="I123" s="94" t="s">
        <v>132</v>
      </c>
      <c r="J123" s="34" t="s">
        <v>484</v>
      </c>
      <c r="K123" s="34" t="s">
        <v>493</v>
      </c>
      <c r="L123" s="34">
        <f>IF((Observaciones[[#This Row],[Fecha Levantamiento]]-Observaciones[[#This Row],[Fecha Detección]])&gt;=0,Observaciones[[#This Row],[Fecha Levantamiento]]-Observaciones[[#This Row],[Fecha Detección]]+1,0)</f>
        <v>4</v>
      </c>
      <c r="M123" s="34" t="str">
        <f>LOOKUP(Observaciones[[#This Row],[Caso de Prueba]],CasoPrueba[Código CP],CasoPrueba[Código de REQ])</f>
        <v>INSPECCIÓN</v>
      </c>
    </row>
    <row r="124" spans="1:13" ht="45.75" hidden="1" customHeight="1">
      <c r="A124" s="166" t="s">
        <v>479</v>
      </c>
      <c r="B124" s="34" t="s">
        <v>173</v>
      </c>
      <c r="C124" s="34" t="str">
        <f>VLOOKUP(Observaciones[[#This Row],[Caso de Prueba]],CasoPrueba[[Código CP]:[Descripción Caso de Prueba]],3,0)</f>
        <v>Proceso - Acompañamiento a los Programas Educativos Rurales</v>
      </c>
      <c r="D124" s="34" t="str">
        <f>VLOOKUP(Observaciones[Caso de Prueba],CasoPrueba[[#All],[Código CP]:[Prioridad]],7,TRUE)</f>
        <v>Alta</v>
      </c>
      <c r="E124" s="34" t="s">
        <v>29</v>
      </c>
      <c r="F124" s="34" t="s">
        <v>49</v>
      </c>
      <c r="G124" s="73">
        <v>40802</v>
      </c>
      <c r="H124" s="73">
        <v>40805</v>
      </c>
      <c r="I124" s="94" t="s">
        <v>132</v>
      </c>
      <c r="J124" s="34" t="s">
        <v>485</v>
      </c>
      <c r="K124" s="34" t="s">
        <v>494</v>
      </c>
      <c r="L124" s="34">
        <f>IF((Observaciones[[#This Row],[Fecha Levantamiento]]-Observaciones[[#This Row],[Fecha Detección]])&gt;=0,Observaciones[[#This Row],[Fecha Levantamiento]]-Observaciones[[#This Row],[Fecha Detección]]+1,0)</f>
        <v>4</v>
      </c>
      <c r="M124" s="34" t="str">
        <f>LOOKUP(Observaciones[[#This Row],[Caso de Prueba]],CasoPrueba[Código CP],CasoPrueba[Código de REQ])</f>
        <v>INSPECCIÓN</v>
      </c>
    </row>
    <row r="125" spans="1:13" ht="30" hidden="1">
      <c r="A125" s="166" t="s">
        <v>480</v>
      </c>
      <c r="B125" s="34" t="s">
        <v>173</v>
      </c>
      <c r="C125" s="34" t="str">
        <f>VLOOKUP(Observaciones[[#This Row],[Caso de Prueba]],CasoPrueba[[Código CP]:[Descripción Caso de Prueba]],3,0)</f>
        <v>Proceso - Acompañamiento a los Programas Educativos Rurales</v>
      </c>
      <c r="D125" s="34" t="str">
        <f>VLOOKUP(Observaciones[Caso de Prueba],CasoPrueba[[#All],[Código CP]:[Prioridad]],7,TRUE)</f>
        <v>Alta</v>
      </c>
      <c r="E125" s="34" t="s">
        <v>29</v>
      </c>
      <c r="F125" s="34" t="s">
        <v>49</v>
      </c>
      <c r="G125" s="73">
        <v>40802</v>
      </c>
      <c r="H125" s="73">
        <v>40805</v>
      </c>
      <c r="I125" s="94" t="s">
        <v>132</v>
      </c>
      <c r="J125" s="34" t="s">
        <v>486</v>
      </c>
      <c r="K125" s="34" t="s">
        <v>495</v>
      </c>
      <c r="L125" s="34">
        <f>IF((Observaciones[[#This Row],[Fecha Levantamiento]]-Observaciones[[#This Row],[Fecha Detección]])&gt;=0,Observaciones[[#This Row],[Fecha Levantamiento]]-Observaciones[[#This Row],[Fecha Detección]]+1,0)</f>
        <v>4</v>
      </c>
      <c r="M125" s="34" t="str">
        <f>LOOKUP(Observaciones[[#This Row],[Caso de Prueba]],CasoPrueba[Código CP],CasoPrueba[Código de REQ])</f>
        <v>INSPECCIÓN</v>
      </c>
    </row>
    <row r="126" spans="1:13" ht="45" hidden="1">
      <c r="A126" s="166" t="s">
        <v>481</v>
      </c>
      <c r="B126" s="34" t="s">
        <v>487</v>
      </c>
      <c r="C126" s="34" t="str">
        <f>VLOOKUP(Observaciones[[#This Row],[Caso de Prueba]],CasoPrueba[[Código CP]:[Descripción Caso de Prueba]],3,0)</f>
        <v>MP - Planificación</v>
      </c>
      <c r="D126" s="34" t="str">
        <f>VLOOKUP(Observaciones[Caso de Prueba],CasoPrueba[[#All],[Código CP]:[Prioridad]],7,TRUE)</f>
        <v>Alta</v>
      </c>
      <c r="E126" s="34" t="s">
        <v>162</v>
      </c>
      <c r="F126" s="34" t="s">
        <v>49</v>
      </c>
      <c r="G126" s="73">
        <v>40805</v>
      </c>
      <c r="H126" s="73">
        <v>40831</v>
      </c>
      <c r="I126" s="94" t="s">
        <v>132</v>
      </c>
      <c r="J126" s="34" t="s">
        <v>624</v>
      </c>
      <c r="K126" s="34" t="s">
        <v>816</v>
      </c>
      <c r="L126" s="34">
        <f>IF((Observaciones[[#This Row],[Fecha Levantamiento]]-Observaciones[[#This Row],[Fecha Detección]])&gt;=0,Observaciones[[#This Row],[Fecha Levantamiento]]-Observaciones[[#This Row],[Fecha Detección]]+1,0)</f>
        <v>27</v>
      </c>
      <c r="M126" s="34" t="str">
        <f>LOOKUP(Observaciones[[#This Row],[Caso de Prueba]],CasoPrueba[Código CP],CasoPrueba[Código de REQ])</f>
        <v>INSPECCIÓN</v>
      </c>
    </row>
    <row r="127" spans="1:13" ht="90" hidden="1">
      <c r="A127" s="166" t="s">
        <v>482</v>
      </c>
      <c r="B127" s="34" t="s">
        <v>487</v>
      </c>
      <c r="C127" s="34" t="str">
        <f>VLOOKUP(Observaciones[[#This Row],[Caso de Prueba]],CasoPrueba[[Código CP]:[Descripción Caso de Prueba]],3,0)</f>
        <v>MP - Planificación</v>
      </c>
      <c r="D127" s="34" t="str">
        <f>VLOOKUP(Observaciones[Caso de Prueba],CasoPrueba[[#All],[Código CP]:[Prioridad]],7,TRUE)</f>
        <v>Alta</v>
      </c>
      <c r="E127" s="34" t="s">
        <v>30</v>
      </c>
      <c r="F127" s="34" t="s">
        <v>49</v>
      </c>
      <c r="G127" s="73">
        <v>40805</v>
      </c>
      <c r="H127" s="73">
        <v>40831</v>
      </c>
      <c r="I127" s="94" t="s">
        <v>132</v>
      </c>
      <c r="J127" s="34" t="s">
        <v>599</v>
      </c>
      <c r="K127" s="34" t="s">
        <v>817</v>
      </c>
      <c r="L127" s="34">
        <f>IF((Observaciones[[#This Row],[Fecha Levantamiento]]-Observaciones[[#This Row],[Fecha Detección]])&gt;=0,Observaciones[[#This Row],[Fecha Levantamiento]]-Observaciones[[#This Row],[Fecha Detección]]+1,0)</f>
        <v>27</v>
      </c>
      <c r="M127" s="34" t="str">
        <f>LOOKUP(Observaciones[[#This Row],[Caso de Prueba]],CasoPrueba[Código CP],CasoPrueba[Código de REQ])</f>
        <v>INSPECCIÓN</v>
      </c>
    </row>
    <row r="128" spans="1:13" ht="30" hidden="1">
      <c r="A128" s="166" t="s">
        <v>483</v>
      </c>
      <c r="B128" s="34" t="s">
        <v>487</v>
      </c>
      <c r="C128" s="34" t="str">
        <f>VLOOKUP(Observaciones[[#This Row],[Caso de Prueba]],CasoPrueba[[Código CP]:[Descripción Caso de Prueba]],3,0)</f>
        <v>MP - Planificación</v>
      </c>
      <c r="D128" s="34" t="str">
        <f>VLOOKUP(Observaciones[Caso de Prueba],CasoPrueba[[#All],[Código CP]:[Prioridad]],7,TRUE)</f>
        <v>Alta</v>
      </c>
      <c r="E128" s="34" t="s">
        <v>29</v>
      </c>
      <c r="F128" s="34" t="s">
        <v>49</v>
      </c>
      <c r="G128" s="73">
        <v>40805</v>
      </c>
      <c r="H128" s="73">
        <v>40831</v>
      </c>
      <c r="I128" s="94" t="s">
        <v>132</v>
      </c>
      <c r="J128" s="34" t="s">
        <v>583</v>
      </c>
      <c r="K128" s="34" t="s">
        <v>818</v>
      </c>
      <c r="L128" s="34">
        <f>IF((Observaciones[[#This Row],[Fecha Levantamiento]]-Observaciones[[#This Row],[Fecha Detección]])&gt;=0,Observaciones[[#This Row],[Fecha Levantamiento]]-Observaciones[[#This Row],[Fecha Detección]]+1,0)</f>
        <v>27</v>
      </c>
      <c r="M128" s="34" t="str">
        <f>LOOKUP(Observaciones[[#This Row],[Caso de Prueba]],CasoPrueba[Código CP],CasoPrueba[Código de REQ])</f>
        <v>INSPECCIÓN</v>
      </c>
    </row>
    <row r="129" spans="1:13" ht="30" hidden="1">
      <c r="A129" s="166" t="s">
        <v>496</v>
      </c>
      <c r="B129" s="34" t="s">
        <v>487</v>
      </c>
      <c r="C129" s="34" t="str">
        <f>VLOOKUP(Observaciones[[#This Row],[Caso de Prueba]],CasoPrueba[[Código CP]:[Descripción Caso de Prueba]],3,0)</f>
        <v>MP - Planificación</v>
      </c>
      <c r="D129" s="34" t="str">
        <f>VLOOKUP(Observaciones[Caso de Prueba],CasoPrueba[[#All],[Código CP]:[Prioridad]],7,TRUE)</f>
        <v>Alta</v>
      </c>
      <c r="E129" s="34" t="s">
        <v>28</v>
      </c>
      <c r="F129" s="34" t="s">
        <v>49</v>
      </c>
      <c r="G129" s="73">
        <v>40805</v>
      </c>
      <c r="H129" s="73">
        <v>40831</v>
      </c>
      <c r="I129" s="94" t="s">
        <v>132</v>
      </c>
      <c r="J129" s="34" t="s">
        <v>584</v>
      </c>
      <c r="K129" s="34" t="s">
        <v>819</v>
      </c>
      <c r="L129" s="34">
        <f>IF((Observaciones[[#This Row],[Fecha Levantamiento]]-Observaciones[[#This Row],[Fecha Detección]])&gt;=0,Observaciones[[#This Row],[Fecha Levantamiento]]-Observaciones[[#This Row],[Fecha Detección]]+1,0)</f>
        <v>27</v>
      </c>
      <c r="M129" s="34" t="str">
        <f>LOOKUP(Observaciones[[#This Row],[Caso de Prueba]],CasoPrueba[Código CP],CasoPrueba[Código de REQ])</f>
        <v>INSPECCIÓN</v>
      </c>
    </row>
    <row r="130" spans="1:13" ht="30" hidden="1">
      <c r="A130" s="166" t="s">
        <v>497</v>
      </c>
      <c r="B130" s="34" t="s">
        <v>487</v>
      </c>
      <c r="C130" s="34" t="str">
        <f>VLOOKUP(Observaciones[[#This Row],[Caso de Prueba]],CasoPrueba[[Código CP]:[Descripción Caso de Prueba]],3,0)</f>
        <v>MP - Planificación</v>
      </c>
      <c r="D130" s="34" t="str">
        <f>VLOOKUP(Observaciones[Caso de Prueba],CasoPrueba[[#All],[Código CP]:[Prioridad]],7,TRUE)</f>
        <v>Alta</v>
      </c>
      <c r="E130" s="34" t="s">
        <v>30</v>
      </c>
      <c r="F130" s="34" t="s">
        <v>49</v>
      </c>
      <c r="G130" s="73">
        <v>40805</v>
      </c>
      <c r="H130" s="73">
        <v>40831</v>
      </c>
      <c r="I130" s="94" t="s">
        <v>132</v>
      </c>
      <c r="J130" s="34" t="s">
        <v>585</v>
      </c>
      <c r="K130" s="34" t="s">
        <v>820</v>
      </c>
      <c r="L130" s="34">
        <f>IF((Observaciones[[#This Row],[Fecha Levantamiento]]-Observaciones[[#This Row],[Fecha Detección]])&gt;=0,Observaciones[[#This Row],[Fecha Levantamiento]]-Observaciones[[#This Row],[Fecha Detección]]+1,0)</f>
        <v>27</v>
      </c>
      <c r="M130" s="34" t="str">
        <f>LOOKUP(Observaciones[[#This Row],[Caso de Prueba]],CasoPrueba[Código CP],CasoPrueba[Código de REQ])</f>
        <v>INSPECCIÓN</v>
      </c>
    </row>
    <row r="131" spans="1:13" ht="60" hidden="1">
      <c r="A131" s="166" t="s">
        <v>498</v>
      </c>
      <c r="B131" s="34" t="s">
        <v>487</v>
      </c>
      <c r="C131" s="34" t="str">
        <f>VLOOKUP(Observaciones[[#This Row],[Caso de Prueba]],CasoPrueba[[Código CP]:[Descripción Caso de Prueba]],3,0)</f>
        <v>MP - Planificación</v>
      </c>
      <c r="D131" s="34" t="str">
        <f>VLOOKUP(Observaciones[Caso de Prueba],CasoPrueba[[#All],[Código CP]:[Prioridad]],7,TRUE)</f>
        <v>Alta</v>
      </c>
      <c r="E131" s="34" t="s">
        <v>29</v>
      </c>
      <c r="F131" s="34" t="s">
        <v>49</v>
      </c>
      <c r="G131" s="73">
        <v>40805</v>
      </c>
      <c r="H131" s="73">
        <v>40831</v>
      </c>
      <c r="I131" s="94" t="s">
        <v>132</v>
      </c>
      <c r="J131" s="34" t="s">
        <v>586</v>
      </c>
      <c r="K131" s="34" t="s">
        <v>821</v>
      </c>
      <c r="L131" s="34">
        <f>IF((Observaciones[[#This Row],[Fecha Levantamiento]]-Observaciones[[#This Row],[Fecha Detección]])&gt;=0,Observaciones[[#This Row],[Fecha Levantamiento]]-Observaciones[[#This Row],[Fecha Detección]]+1,0)</f>
        <v>27</v>
      </c>
      <c r="M131" s="34" t="str">
        <f>LOOKUP(Observaciones[[#This Row],[Caso de Prueba]],CasoPrueba[Código CP],CasoPrueba[Código de REQ])</f>
        <v>INSPECCIÓN</v>
      </c>
    </row>
    <row r="132" spans="1:13" ht="60" hidden="1">
      <c r="A132" s="166" t="s">
        <v>499</v>
      </c>
      <c r="B132" s="34" t="s">
        <v>487</v>
      </c>
      <c r="C132" s="34" t="str">
        <f>VLOOKUP(Observaciones[[#This Row],[Caso de Prueba]],CasoPrueba[[Código CP]:[Descripción Caso de Prueba]],3,0)</f>
        <v>MP - Planificación</v>
      </c>
      <c r="D132" s="34" t="str">
        <f>VLOOKUP(Observaciones[Caso de Prueba],CasoPrueba[[#All],[Código CP]:[Prioridad]],7,TRUE)</f>
        <v>Alta</v>
      </c>
      <c r="E132" s="34" t="s">
        <v>30</v>
      </c>
      <c r="F132" s="34" t="s">
        <v>49</v>
      </c>
      <c r="G132" s="73">
        <v>40805</v>
      </c>
      <c r="H132" s="73">
        <v>40831</v>
      </c>
      <c r="I132" s="94" t="s">
        <v>132</v>
      </c>
      <c r="J132" s="34" t="s">
        <v>626</v>
      </c>
      <c r="K132" s="34" t="s">
        <v>822</v>
      </c>
      <c r="L132" s="34">
        <f>IF((Observaciones[[#This Row],[Fecha Levantamiento]]-Observaciones[[#This Row],[Fecha Detección]])&gt;=0,Observaciones[[#This Row],[Fecha Levantamiento]]-Observaciones[[#This Row],[Fecha Detección]]+1,0)</f>
        <v>27</v>
      </c>
      <c r="M132" s="34" t="str">
        <f>LOOKUP(Observaciones[[#This Row],[Caso de Prueba]],CasoPrueba[Código CP],CasoPrueba[Código de REQ])</f>
        <v>INSPECCIÓN</v>
      </c>
    </row>
    <row r="133" spans="1:13" ht="45" hidden="1">
      <c r="A133" s="166" t="s">
        <v>500</v>
      </c>
      <c r="B133" s="34" t="s">
        <v>487</v>
      </c>
      <c r="C133" s="34" t="str">
        <f>VLOOKUP(Observaciones[[#This Row],[Caso de Prueba]],CasoPrueba[[Código CP]:[Descripción Caso de Prueba]],3,0)</f>
        <v>MP - Planificación</v>
      </c>
      <c r="D133" s="34" t="str">
        <f>VLOOKUP(Observaciones[Caso de Prueba],CasoPrueba[[#All],[Código CP]:[Prioridad]],7,TRUE)</f>
        <v>Alta</v>
      </c>
      <c r="E133" s="34" t="s">
        <v>162</v>
      </c>
      <c r="F133" s="34" t="s">
        <v>49</v>
      </c>
      <c r="G133" s="73">
        <v>40805</v>
      </c>
      <c r="H133" s="73">
        <v>40831</v>
      </c>
      <c r="I133" s="94" t="s">
        <v>132</v>
      </c>
      <c r="J133" s="34" t="s">
        <v>587</v>
      </c>
      <c r="K133" s="34" t="s">
        <v>823</v>
      </c>
      <c r="L133" s="34">
        <f>IF((Observaciones[[#This Row],[Fecha Levantamiento]]-Observaciones[[#This Row],[Fecha Detección]])&gt;=0,Observaciones[[#This Row],[Fecha Levantamiento]]-Observaciones[[#This Row],[Fecha Detección]]+1,0)</f>
        <v>27</v>
      </c>
      <c r="M133" s="34" t="str">
        <f>LOOKUP(Observaciones[[#This Row],[Caso de Prueba]],CasoPrueba[Código CP],CasoPrueba[Código de REQ])</f>
        <v>INSPECCIÓN</v>
      </c>
    </row>
    <row r="134" spans="1:13" ht="45" hidden="1">
      <c r="A134" s="166" t="s">
        <v>501</v>
      </c>
      <c r="B134" s="34" t="s">
        <v>487</v>
      </c>
      <c r="C134" s="34" t="str">
        <f>VLOOKUP(Observaciones[[#This Row],[Caso de Prueba]],CasoPrueba[[Código CP]:[Descripción Caso de Prueba]],3,0)</f>
        <v>MP - Planificación</v>
      </c>
      <c r="D134" s="34" t="str">
        <f>VLOOKUP(Observaciones[Caso de Prueba],CasoPrueba[[#All],[Código CP]:[Prioridad]],7,TRUE)</f>
        <v>Alta</v>
      </c>
      <c r="E134" s="34" t="s">
        <v>29</v>
      </c>
      <c r="F134" s="34" t="s">
        <v>49</v>
      </c>
      <c r="G134" s="73">
        <v>40805</v>
      </c>
      <c r="H134" s="73">
        <v>40831</v>
      </c>
      <c r="I134" s="94" t="s">
        <v>132</v>
      </c>
      <c r="J134" s="34" t="s">
        <v>588</v>
      </c>
      <c r="K134" s="34" t="s">
        <v>824</v>
      </c>
      <c r="L134" s="34">
        <f>IF((Observaciones[[#This Row],[Fecha Levantamiento]]-Observaciones[[#This Row],[Fecha Detección]])&gt;=0,Observaciones[[#This Row],[Fecha Levantamiento]]-Observaciones[[#This Row],[Fecha Detección]]+1,0)</f>
        <v>27</v>
      </c>
      <c r="M134" s="34" t="str">
        <f>LOOKUP(Observaciones[[#This Row],[Caso de Prueba]],CasoPrueba[Código CP],CasoPrueba[Código de REQ])</f>
        <v>INSPECCIÓN</v>
      </c>
    </row>
    <row r="135" spans="1:13" ht="45" hidden="1">
      <c r="A135" s="166" t="s">
        <v>502</v>
      </c>
      <c r="B135" s="34" t="s">
        <v>487</v>
      </c>
      <c r="C135" s="34" t="str">
        <f>VLOOKUP(Observaciones[[#This Row],[Caso de Prueba]],CasoPrueba[[Código CP]:[Descripción Caso de Prueba]],3,0)</f>
        <v>MP - Planificación</v>
      </c>
      <c r="D135" s="34" t="str">
        <f>VLOOKUP(Observaciones[Caso de Prueba],CasoPrueba[[#All],[Código CP]:[Prioridad]],7,TRUE)</f>
        <v>Alta</v>
      </c>
      <c r="E135" s="34" t="s">
        <v>29</v>
      </c>
      <c r="F135" s="34" t="s">
        <v>49</v>
      </c>
      <c r="G135" s="73">
        <v>40805</v>
      </c>
      <c r="H135" s="73">
        <v>40831</v>
      </c>
      <c r="I135" s="94" t="s">
        <v>132</v>
      </c>
      <c r="J135" s="34" t="s">
        <v>589</v>
      </c>
      <c r="K135" s="34" t="s">
        <v>825</v>
      </c>
      <c r="L135" s="34">
        <f>IF((Observaciones[[#This Row],[Fecha Levantamiento]]-Observaciones[[#This Row],[Fecha Detección]])&gt;=0,Observaciones[[#This Row],[Fecha Levantamiento]]-Observaciones[[#This Row],[Fecha Detección]]+1,0)</f>
        <v>27</v>
      </c>
      <c r="M135" s="34" t="str">
        <f>LOOKUP(Observaciones[[#This Row],[Caso de Prueba]],CasoPrueba[Código CP],CasoPrueba[Código de REQ])</f>
        <v>INSPECCIÓN</v>
      </c>
    </row>
    <row r="136" spans="1:13" ht="105" hidden="1">
      <c r="A136" s="166" t="s">
        <v>503</v>
      </c>
      <c r="B136" s="34" t="s">
        <v>487</v>
      </c>
      <c r="C136" s="34" t="str">
        <f>VLOOKUP(Observaciones[[#This Row],[Caso de Prueba]],CasoPrueba[[Código CP]:[Descripción Caso de Prueba]],3,0)</f>
        <v>MP - Planificación</v>
      </c>
      <c r="D136" s="34" t="str">
        <f>VLOOKUP(Observaciones[Caso de Prueba],CasoPrueba[[#All],[Código CP]:[Prioridad]],7,TRUE)</f>
        <v>Alta</v>
      </c>
      <c r="E136" s="34" t="s">
        <v>29</v>
      </c>
      <c r="F136" s="34" t="s">
        <v>49</v>
      </c>
      <c r="G136" s="73">
        <v>40805</v>
      </c>
      <c r="H136" s="73">
        <v>40831</v>
      </c>
      <c r="I136" s="94" t="s">
        <v>132</v>
      </c>
      <c r="J136" s="34" t="s">
        <v>590</v>
      </c>
      <c r="K136" s="34" t="s">
        <v>826</v>
      </c>
      <c r="L136" s="34">
        <f>IF((Observaciones[[#This Row],[Fecha Levantamiento]]-Observaciones[[#This Row],[Fecha Detección]])&gt;=0,Observaciones[[#This Row],[Fecha Levantamiento]]-Observaciones[[#This Row],[Fecha Detección]]+1,0)</f>
        <v>27</v>
      </c>
      <c r="M136" s="34" t="str">
        <f>LOOKUP(Observaciones[[#This Row],[Caso de Prueba]],CasoPrueba[Código CP],CasoPrueba[Código de REQ])</f>
        <v>INSPECCIÓN</v>
      </c>
    </row>
    <row r="137" spans="1:13" ht="60" hidden="1">
      <c r="A137" s="166" t="s">
        <v>504</v>
      </c>
      <c r="B137" s="34" t="s">
        <v>487</v>
      </c>
      <c r="C137" s="34" t="str">
        <f>VLOOKUP(Observaciones[[#This Row],[Caso de Prueba]],CasoPrueba[[Código CP]:[Descripción Caso de Prueba]],3,0)</f>
        <v>MP - Planificación</v>
      </c>
      <c r="D137" s="34" t="str">
        <f>VLOOKUP(Observaciones[Caso de Prueba],CasoPrueba[[#All],[Código CP]:[Prioridad]],7,TRUE)</f>
        <v>Alta</v>
      </c>
      <c r="E137" s="34" t="s">
        <v>29</v>
      </c>
      <c r="F137" s="34" t="s">
        <v>49</v>
      </c>
      <c r="G137" s="73">
        <v>40805</v>
      </c>
      <c r="H137" s="73">
        <v>40831</v>
      </c>
      <c r="I137" s="94" t="s">
        <v>132</v>
      </c>
      <c r="J137" s="34" t="s">
        <v>591</v>
      </c>
      <c r="K137" s="34" t="s">
        <v>827</v>
      </c>
      <c r="L137" s="34">
        <f>IF((Observaciones[[#This Row],[Fecha Levantamiento]]-Observaciones[[#This Row],[Fecha Detección]])&gt;=0,Observaciones[[#This Row],[Fecha Levantamiento]]-Observaciones[[#This Row],[Fecha Detección]]+1,0)</f>
        <v>27</v>
      </c>
      <c r="M137" s="34" t="str">
        <f>LOOKUP(Observaciones[[#This Row],[Caso de Prueba]],CasoPrueba[Código CP],CasoPrueba[Código de REQ])</f>
        <v>INSPECCIÓN</v>
      </c>
    </row>
    <row r="138" spans="1:13" ht="30" hidden="1">
      <c r="A138" s="166" t="s">
        <v>505</v>
      </c>
      <c r="B138" s="34" t="s">
        <v>487</v>
      </c>
      <c r="C138" s="34" t="str">
        <f>VLOOKUP(Observaciones[[#This Row],[Caso de Prueba]],CasoPrueba[[Código CP]:[Descripción Caso de Prueba]],3,0)</f>
        <v>MP - Planificación</v>
      </c>
      <c r="D138" s="34" t="str">
        <f>VLOOKUP(Observaciones[Caso de Prueba],CasoPrueba[[#All],[Código CP]:[Prioridad]],7,TRUE)</f>
        <v>Alta</v>
      </c>
      <c r="E138" s="34" t="s">
        <v>162</v>
      </c>
      <c r="F138" s="34" t="s">
        <v>49</v>
      </c>
      <c r="G138" s="73">
        <v>40805</v>
      </c>
      <c r="H138" s="73">
        <v>40831</v>
      </c>
      <c r="I138" s="94" t="s">
        <v>132</v>
      </c>
      <c r="J138" s="34" t="s">
        <v>592</v>
      </c>
      <c r="K138" s="34" t="s">
        <v>234</v>
      </c>
      <c r="L138" s="34">
        <f>IF((Observaciones[[#This Row],[Fecha Levantamiento]]-Observaciones[[#This Row],[Fecha Detección]])&gt;=0,Observaciones[[#This Row],[Fecha Levantamiento]]-Observaciones[[#This Row],[Fecha Detección]]+1,0)</f>
        <v>27</v>
      </c>
      <c r="M138" s="34" t="str">
        <f>LOOKUP(Observaciones[[#This Row],[Caso de Prueba]],CasoPrueba[Código CP],CasoPrueba[Código de REQ])</f>
        <v>INSPECCIÓN</v>
      </c>
    </row>
    <row r="139" spans="1:13" ht="78.75" hidden="1" customHeight="1">
      <c r="A139" s="166" t="s">
        <v>506</v>
      </c>
      <c r="B139" s="34" t="s">
        <v>487</v>
      </c>
      <c r="C139" s="34" t="str">
        <f>VLOOKUP(Observaciones[[#This Row],[Caso de Prueba]],CasoPrueba[[Código CP]:[Descripción Caso de Prueba]],3,0)</f>
        <v>MP - Planificación</v>
      </c>
      <c r="D139" s="34" t="str">
        <f>VLOOKUP(Observaciones[Caso de Prueba],CasoPrueba[[#All],[Código CP]:[Prioridad]],7,TRUE)</f>
        <v>Alta</v>
      </c>
      <c r="E139" s="34" t="s">
        <v>29</v>
      </c>
      <c r="F139" s="34" t="s">
        <v>49</v>
      </c>
      <c r="G139" s="73">
        <v>40805</v>
      </c>
      <c r="H139" s="73">
        <v>40831</v>
      </c>
      <c r="I139" s="94" t="s">
        <v>132</v>
      </c>
      <c r="J139" s="34" t="s">
        <v>593</v>
      </c>
      <c r="K139" s="34" t="s">
        <v>828</v>
      </c>
      <c r="L139" s="34">
        <f>IF((Observaciones[[#This Row],[Fecha Levantamiento]]-Observaciones[[#This Row],[Fecha Detección]])&gt;=0,Observaciones[[#This Row],[Fecha Levantamiento]]-Observaciones[[#This Row],[Fecha Detección]]+1,0)</f>
        <v>27</v>
      </c>
      <c r="M139" s="34" t="str">
        <f>LOOKUP(Observaciones[[#This Row],[Caso de Prueba]],CasoPrueba[Código CP],CasoPrueba[Código de REQ])</f>
        <v>INSPECCIÓN</v>
      </c>
    </row>
    <row r="140" spans="1:13" hidden="1">
      <c r="A140" s="166" t="s">
        <v>507</v>
      </c>
      <c r="B140" s="34" t="s">
        <v>487</v>
      </c>
      <c r="C140" s="34" t="str">
        <f>VLOOKUP(Observaciones[[#This Row],[Caso de Prueba]],CasoPrueba[[Código CP]:[Descripción Caso de Prueba]],3,0)</f>
        <v>MP - Planificación</v>
      </c>
      <c r="D140" s="34" t="str">
        <f>VLOOKUP(Observaciones[Caso de Prueba],CasoPrueba[[#All],[Código CP]:[Prioridad]],7,TRUE)</f>
        <v>Alta</v>
      </c>
      <c r="E140" s="34" t="s">
        <v>30</v>
      </c>
      <c r="F140" s="34" t="s">
        <v>49</v>
      </c>
      <c r="G140" s="73">
        <v>40805</v>
      </c>
      <c r="H140" s="73">
        <v>40831</v>
      </c>
      <c r="I140" s="94" t="s">
        <v>132</v>
      </c>
      <c r="J140" s="34" t="s">
        <v>594</v>
      </c>
      <c r="K140" s="34" t="s">
        <v>829</v>
      </c>
      <c r="L140" s="34">
        <f>IF((Observaciones[[#This Row],[Fecha Levantamiento]]-Observaciones[[#This Row],[Fecha Detección]])&gt;=0,Observaciones[[#This Row],[Fecha Levantamiento]]-Observaciones[[#This Row],[Fecha Detección]]+1,0)</f>
        <v>27</v>
      </c>
      <c r="M140" s="34" t="str">
        <f>LOOKUP(Observaciones[[#This Row],[Caso de Prueba]],CasoPrueba[Código CP],CasoPrueba[Código de REQ])</f>
        <v>INSPECCIÓN</v>
      </c>
    </row>
    <row r="141" spans="1:13" ht="30" hidden="1">
      <c r="A141" s="166" t="s">
        <v>508</v>
      </c>
      <c r="B141" s="34" t="s">
        <v>487</v>
      </c>
      <c r="C141" s="34" t="str">
        <f>VLOOKUP(Observaciones[[#This Row],[Caso de Prueba]],CasoPrueba[[Código CP]:[Descripción Caso de Prueba]],3,0)</f>
        <v>MP - Planificación</v>
      </c>
      <c r="D141" s="34" t="str">
        <f>VLOOKUP(Observaciones[Caso de Prueba],CasoPrueba[[#All],[Código CP]:[Prioridad]],7,TRUE)</f>
        <v>Alta</v>
      </c>
      <c r="E141" s="34" t="s">
        <v>162</v>
      </c>
      <c r="F141" s="34" t="s">
        <v>49</v>
      </c>
      <c r="G141" s="73">
        <v>40805</v>
      </c>
      <c r="H141" s="73">
        <v>40831</v>
      </c>
      <c r="I141" s="94" t="s">
        <v>132</v>
      </c>
      <c r="J141" s="34" t="s">
        <v>595</v>
      </c>
      <c r="K141" s="34" t="s">
        <v>823</v>
      </c>
      <c r="L141" s="34">
        <f>IF((Observaciones[[#This Row],[Fecha Levantamiento]]-Observaciones[[#This Row],[Fecha Detección]])&gt;=0,Observaciones[[#This Row],[Fecha Levantamiento]]-Observaciones[[#This Row],[Fecha Detección]]+1,0)</f>
        <v>27</v>
      </c>
      <c r="M141" s="34" t="str">
        <f>LOOKUP(Observaciones[[#This Row],[Caso de Prueba]],CasoPrueba[Código CP],CasoPrueba[Código de REQ])</f>
        <v>INSPECCIÓN</v>
      </c>
    </row>
    <row r="142" spans="1:13" ht="45" hidden="1">
      <c r="A142" s="166" t="s">
        <v>509</v>
      </c>
      <c r="B142" s="34" t="s">
        <v>487</v>
      </c>
      <c r="C142" s="34" t="str">
        <f>VLOOKUP(Observaciones[[#This Row],[Caso de Prueba]],CasoPrueba[[Código CP]:[Descripción Caso de Prueba]],3,0)</f>
        <v>MP - Planificación</v>
      </c>
      <c r="D142" s="34" t="str">
        <f>VLOOKUP(Observaciones[Caso de Prueba],CasoPrueba[[#All],[Código CP]:[Prioridad]],7,TRUE)</f>
        <v>Alta</v>
      </c>
      <c r="E142" s="34" t="s">
        <v>29</v>
      </c>
      <c r="F142" s="34" t="s">
        <v>49</v>
      </c>
      <c r="G142" s="73">
        <v>40805</v>
      </c>
      <c r="H142" s="73">
        <v>40831</v>
      </c>
      <c r="I142" s="94" t="s">
        <v>132</v>
      </c>
      <c r="J142" s="34" t="s">
        <v>596</v>
      </c>
      <c r="K142" s="34" t="s">
        <v>826</v>
      </c>
      <c r="L142" s="34">
        <f>IF((Observaciones[[#This Row],[Fecha Levantamiento]]-Observaciones[[#This Row],[Fecha Detección]])&gt;=0,Observaciones[[#This Row],[Fecha Levantamiento]]-Observaciones[[#This Row],[Fecha Detección]]+1,0)</f>
        <v>27</v>
      </c>
      <c r="M142" s="34" t="str">
        <f>LOOKUP(Observaciones[[#This Row],[Caso de Prueba]],CasoPrueba[Código CP],CasoPrueba[Código de REQ])</f>
        <v>INSPECCIÓN</v>
      </c>
    </row>
    <row r="143" spans="1:13" ht="63.75" hidden="1" customHeight="1">
      <c r="A143" s="166" t="s">
        <v>510</v>
      </c>
      <c r="B143" s="34" t="s">
        <v>488</v>
      </c>
      <c r="C143" s="34" t="str">
        <f>VLOOKUP(Observaciones[[#This Row],[Caso de Prueba]],CasoPrueba[[Código CP]:[Descripción Caso de Prueba]],3,0)</f>
        <v>PROCESO - Elaboración del Plan Operativo Institucional</v>
      </c>
      <c r="D143" s="34" t="str">
        <f>VLOOKUP(Observaciones[Caso de Prueba],CasoPrueba[[#All],[Código CP]:[Prioridad]],7,TRUE)</f>
        <v>Alta</v>
      </c>
      <c r="E143" s="34" t="s">
        <v>29</v>
      </c>
      <c r="F143" s="34" t="s">
        <v>49</v>
      </c>
      <c r="G143" s="73">
        <v>40805</v>
      </c>
      <c r="H143" s="73">
        <v>40831</v>
      </c>
      <c r="I143" s="94" t="s">
        <v>132</v>
      </c>
      <c r="J143" s="34" t="s">
        <v>597</v>
      </c>
      <c r="K143" s="34" t="s">
        <v>830</v>
      </c>
      <c r="L143" s="34">
        <f>IF((Observaciones[[#This Row],[Fecha Levantamiento]]-Observaciones[[#This Row],[Fecha Detección]])&gt;=0,Observaciones[[#This Row],[Fecha Levantamiento]]-Observaciones[[#This Row],[Fecha Detección]]+1,0)</f>
        <v>27</v>
      </c>
      <c r="M143" s="34" t="str">
        <f>LOOKUP(Observaciones[[#This Row],[Caso de Prueba]],CasoPrueba[Código CP],CasoPrueba[Código de REQ])</f>
        <v>INSPECCIÓN</v>
      </c>
    </row>
    <row r="144" spans="1:13" ht="30" hidden="1">
      <c r="A144" s="166" t="s">
        <v>511</v>
      </c>
      <c r="B144" s="34" t="s">
        <v>488</v>
      </c>
      <c r="C144" s="34" t="str">
        <f>VLOOKUP(Observaciones[[#This Row],[Caso de Prueba]],CasoPrueba[[Código CP]:[Descripción Caso de Prueba]],3,0)</f>
        <v>PROCESO - Elaboración del Plan Operativo Institucional</v>
      </c>
      <c r="D144" s="34" t="str">
        <f>VLOOKUP(Observaciones[Caso de Prueba],CasoPrueba[[#All],[Código CP]:[Prioridad]],7,TRUE)</f>
        <v>Alta</v>
      </c>
      <c r="E144" s="34" t="s">
        <v>162</v>
      </c>
      <c r="F144" s="34" t="s">
        <v>49</v>
      </c>
      <c r="G144" s="73">
        <v>40805</v>
      </c>
      <c r="H144" s="73">
        <v>40831</v>
      </c>
      <c r="I144" s="94" t="s">
        <v>132</v>
      </c>
      <c r="J144" s="34" t="s">
        <v>598</v>
      </c>
      <c r="K144" s="34" t="s">
        <v>831</v>
      </c>
      <c r="L144" s="34">
        <f>IF((Observaciones[[#This Row],[Fecha Levantamiento]]-Observaciones[[#This Row],[Fecha Detección]])&gt;=0,Observaciones[[#This Row],[Fecha Levantamiento]]-Observaciones[[#This Row],[Fecha Detección]]+1,0)</f>
        <v>27</v>
      </c>
      <c r="M144" s="34" t="str">
        <f>LOOKUP(Observaciones[[#This Row],[Caso de Prueba]],CasoPrueba[Código CP],CasoPrueba[Código de REQ])</f>
        <v>INSPECCIÓN</v>
      </c>
    </row>
    <row r="145" spans="1:13" ht="30" hidden="1">
      <c r="A145" s="166" t="s">
        <v>512</v>
      </c>
      <c r="B145" s="34" t="s">
        <v>488</v>
      </c>
      <c r="C145" s="34" t="str">
        <f>VLOOKUP(Observaciones[[#This Row],[Caso de Prueba]],CasoPrueba[[Código CP]:[Descripción Caso de Prueba]],3,0)</f>
        <v>PROCESO - Elaboración del Plan Operativo Institucional</v>
      </c>
      <c r="D145" s="34" t="str">
        <f>VLOOKUP(Observaciones[Caso de Prueba],CasoPrueba[[#All],[Código CP]:[Prioridad]],7,TRUE)</f>
        <v>Alta</v>
      </c>
      <c r="E145" s="34" t="s">
        <v>28</v>
      </c>
      <c r="F145" s="34" t="s">
        <v>49</v>
      </c>
      <c r="G145" s="73">
        <v>40805</v>
      </c>
      <c r="H145" s="73">
        <v>40831</v>
      </c>
      <c r="I145" s="94" t="s">
        <v>132</v>
      </c>
      <c r="J145" s="34" t="s">
        <v>584</v>
      </c>
      <c r="K145" s="34" t="s">
        <v>832</v>
      </c>
      <c r="L145" s="34">
        <f>IF((Observaciones[[#This Row],[Fecha Levantamiento]]-Observaciones[[#This Row],[Fecha Detección]])&gt;=0,Observaciones[[#This Row],[Fecha Levantamiento]]-Observaciones[[#This Row],[Fecha Detección]]+1,0)</f>
        <v>27</v>
      </c>
      <c r="M145" s="34" t="str">
        <f>LOOKUP(Observaciones[[#This Row],[Caso de Prueba]],CasoPrueba[Código CP],CasoPrueba[Código de REQ])</f>
        <v>INSPECCIÓN</v>
      </c>
    </row>
    <row r="146" spans="1:13" ht="90" hidden="1">
      <c r="A146" s="166" t="s">
        <v>513</v>
      </c>
      <c r="B146" s="34" t="s">
        <v>488</v>
      </c>
      <c r="C146" s="34" t="str">
        <f>VLOOKUP(Observaciones[[#This Row],[Caso de Prueba]],CasoPrueba[[Código CP]:[Descripción Caso de Prueba]],3,0)</f>
        <v>PROCESO - Elaboración del Plan Operativo Institucional</v>
      </c>
      <c r="D146" s="34" t="str">
        <f>VLOOKUP(Observaciones[Caso de Prueba],CasoPrueba[[#All],[Código CP]:[Prioridad]],7,TRUE)</f>
        <v>Alta</v>
      </c>
      <c r="E146" s="34" t="s">
        <v>30</v>
      </c>
      <c r="F146" s="34" t="s">
        <v>49</v>
      </c>
      <c r="G146" s="73">
        <v>40805</v>
      </c>
      <c r="H146" s="73">
        <v>40831</v>
      </c>
      <c r="I146" s="94" t="s">
        <v>132</v>
      </c>
      <c r="J146" s="34" t="s">
        <v>599</v>
      </c>
      <c r="K146" s="34" t="s">
        <v>817</v>
      </c>
      <c r="L146" s="34">
        <f>IF((Observaciones[[#This Row],[Fecha Levantamiento]]-Observaciones[[#This Row],[Fecha Detección]])&gt;=0,Observaciones[[#This Row],[Fecha Levantamiento]]-Observaciones[[#This Row],[Fecha Detección]]+1,0)</f>
        <v>27</v>
      </c>
      <c r="M146" s="34" t="str">
        <f>LOOKUP(Observaciones[[#This Row],[Caso de Prueba]],CasoPrueba[Código CP],CasoPrueba[Código de REQ])</f>
        <v>INSPECCIÓN</v>
      </c>
    </row>
    <row r="147" spans="1:13" ht="30" hidden="1">
      <c r="A147" s="166" t="s">
        <v>514</v>
      </c>
      <c r="B147" s="34" t="s">
        <v>488</v>
      </c>
      <c r="C147" s="34" t="str">
        <f>VLOOKUP(Observaciones[[#This Row],[Caso de Prueba]],CasoPrueba[[Código CP]:[Descripción Caso de Prueba]],3,0)</f>
        <v>PROCESO - Elaboración del Plan Operativo Institucional</v>
      </c>
      <c r="D147" s="34" t="str">
        <f>VLOOKUP(Observaciones[Caso de Prueba],CasoPrueba[[#All],[Código CP]:[Prioridad]],7,TRUE)</f>
        <v>Alta</v>
      </c>
      <c r="E147" s="34" t="s">
        <v>30</v>
      </c>
      <c r="F147" s="34" t="s">
        <v>49</v>
      </c>
      <c r="G147" s="73">
        <v>40805</v>
      </c>
      <c r="H147" s="73">
        <v>40831</v>
      </c>
      <c r="I147" s="94" t="s">
        <v>132</v>
      </c>
      <c r="J147" s="34" t="s">
        <v>600</v>
      </c>
      <c r="K147" s="34" t="s">
        <v>833</v>
      </c>
      <c r="L147" s="34">
        <f>IF((Observaciones[[#This Row],[Fecha Levantamiento]]-Observaciones[[#This Row],[Fecha Detección]])&gt;=0,Observaciones[[#This Row],[Fecha Levantamiento]]-Observaciones[[#This Row],[Fecha Detección]]+1,0)</f>
        <v>27</v>
      </c>
      <c r="M147" s="34" t="str">
        <f>LOOKUP(Observaciones[[#This Row],[Caso de Prueba]],CasoPrueba[Código CP],CasoPrueba[Código de REQ])</f>
        <v>INSPECCIÓN</v>
      </c>
    </row>
    <row r="148" spans="1:13" ht="80.25" hidden="1" customHeight="1">
      <c r="A148" s="166" t="s">
        <v>515</v>
      </c>
      <c r="B148" s="34" t="s">
        <v>488</v>
      </c>
      <c r="C148" s="34" t="str">
        <f>VLOOKUP(Observaciones[[#This Row],[Caso de Prueba]],CasoPrueba[[Código CP]:[Descripción Caso de Prueba]],3,0)</f>
        <v>PROCESO - Elaboración del Plan Operativo Institucional</v>
      </c>
      <c r="D148" s="34" t="str">
        <f>VLOOKUP(Observaciones[Caso de Prueba],CasoPrueba[[#All],[Código CP]:[Prioridad]],7,TRUE)</f>
        <v>Alta</v>
      </c>
      <c r="E148" s="34" t="s">
        <v>28</v>
      </c>
      <c r="F148" s="34" t="s">
        <v>49</v>
      </c>
      <c r="G148" s="73">
        <v>40805</v>
      </c>
      <c r="H148" s="73">
        <v>40831</v>
      </c>
      <c r="I148" s="94" t="s">
        <v>132</v>
      </c>
      <c r="J148" s="34" t="s">
        <v>601</v>
      </c>
      <c r="K148" s="34" t="s">
        <v>834</v>
      </c>
      <c r="L148" s="34">
        <f>IF((Observaciones[[#This Row],[Fecha Levantamiento]]-Observaciones[[#This Row],[Fecha Detección]])&gt;=0,Observaciones[[#This Row],[Fecha Levantamiento]]-Observaciones[[#This Row],[Fecha Detección]]+1,0)</f>
        <v>27</v>
      </c>
      <c r="M148" s="34" t="str">
        <f>LOOKUP(Observaciones[[#This Row],[Caso de Prueba]],CasoPrueba[Código CP],CasoPrueba[Código de REQ])</f>
        <v>INSPECCIÓN</v>
      </c>
    </row>
    <row r="149" spans="1:13" ht="78" hidden="1" customHeight="1">
      <c r="A149" s="166" t="s">
        <v>516</v>
      </c>
      <c r="B149" s="34" t="s">
        <v>488</v>
      </c>
      <c r="C149" s="34" t="str">
        <f>VLOOKUP(Observaciones[[#This Row],[Caso de Prueba]],CasoPrueba[[Código CP]:[Descripción Caso de Prueba]],3,0)</f>
        <v>PROCESO - Elaboración del Plan Operativo Institucional</v>
      </c>
      <c r="D149" s="34" t="str">
        <f>VLOOKUP(Observaciones[Caso de Prueba],CasoPrueba[[#All],[Código CP]:[Prioridad]],7,TRUE)</f>
        <v>Alta</v>
      </c>
      <c r="E149" s="34" t="s">
        <v>29</v>
      </c>
      <c r="F149" s="34" t="s">
        <v>49</v>
      </c>
      <c r="G149" s="73">
        <v>40805</v>
      </c>
      <c r="H149" s="73">
        <v>40831</v>
      </c>
      <c r="I149" s="94" t="s">
        <v>132</v>
      </c>
      <c r="J149" s="34" t="s">
        <v>602</v>
      </c>
      <c r="K149" s="34" t="s">
        <v>835</v>
      </c>
      <c r="L149" s="34">
        <f>IF((Observaciones[[#This Row],[Fecha Levantamiento]]-Observaciones[[#This Row],[Fecha Detección]])&gt;=0,Observaciones[[#This Row],[Fecha Levantamiento]]-Observaciones[[#This Row],[Fecha Detección]]+1,0)</f>
        <v>27</v>
      </c>
      <c r="M149" s="34" t="str">
        <f>LOOKUP(Observaciones[[#This Row],[Caso de Prueba]],CasoPrueba[Código CP],CasoPrueba[Código de REQ])</f>
        <v>INSPECCIÓN</v>
      </c>
    </row>
    <row r="150" spans="1:13" ht="49.5" hidden="1" customHeight="1">
      <c r="A150" s="166" t="s">
        <v>517</v>
      </c>
      <c r="B150" s="34" t="s">
        <v>488</v>
      </c>
      <c r="C150" s="34" t="str">
        <f>VLOOKUP(Observaciones[[#This Row],[Caso de Prueba]],CasoPrueba[[Código CP]:[Descripción Caso de Prueba]],3,0)</f>
        <v>PROCESO - Elaboración del Plan Operativo Institucional</v>
      </c>
      <c r="D150" s="34" t="str">
        <f>VLOOKUP(Observaciones[Caso de Prueba],CasoPrueba[[#All],[Código CP]:[Prioridad]],7,TRUE)</f>
        <v>Alta</v>
      </c>
      <c r="E150" s="34" t="s">
        <v>162</v>
      </c>
      <c r="F150" s="34" t="s">
        <v>49</v>
      </c>
      <c r="G150" s="73">
        <v>40805</v>
      </c>
      <c r="H150" s="73">
        <v>40831</v>
      </c>
      <c r="I150" s="94" t="s">
        <v>132</v>
      </c>
      <c r="J150" s="34" t="s">
        <v>603</v>
      </c>
      <c r="K150" s="34" t="s">
        <v>234</v>
      </c>
      <c r="L150" s="34">
        <f>IF((Observaciones[[#This Row],[Fecha Levantamiento]]-Observaciones[[#This Row],[Fecha Detección]])&gt;=0,Observaciones[[#This Row],[Fecha Levantamiento]]-Observaciones[[#This Row],[Fecha Detección]]+1,0)</f>
        <v>27</v>
      </c>
      <c r="M150" s="34" t="str">
        <f>LOOKUP(Observaciones[[#This Row],[Caso de Prueba]],CasoPrueba[Código CP],CasoPrueba[Código de REQ])</f>
        <v>INSPECCIÓN</v>
      </c>
    </row>
    <row r="151" spans="1:13" ht="45" hidden="1">
      <c r="A151" s="166" t="s">
        <v>518</v>
      </c>
      <c r="B151" s="34" t="s">
        <v>488</v>
      </c>
      <c r="C151" s="34" t="str">
        <f>VLOOKUP(Observaciones[[#This Row],[Caso de Prueba]],CasoPrueba[[Código CP]:[Descripción Caso de Prueba]],3,0)</f>
        <v>PROCESO - Elaboración del Plan Operativo Institucional</v>
      </c>
      <c r="D151" s="34" t="str">
        <f>VLOOKUP(Observaciones[Caso de Prueba],CasoPrueba[[#All],[Código CP]:[Prioridad]],7,TRUE)</f>
        <v>Alta</v>
      </c>
      <c r="E151" s="34" t="s">
        <v>162</v>
      </c>
      <c r="F151" s="34" t="s">
        <v>49</v>
      </c>
      <c r="G151" s="73">
        <v>40805</v>
      </c>
      <c r="H151" s="73">
        <v>40831</v>
      </c>
      <c r="I151" s="94" t="s">
        <v>132</v>
      </c>
      <c r="J151" s="34" t="s">
        <v>604</v>
      </c>
      <c r="K151" s="34" t="s">
        <v>234</v>
      </c>
      <c r="L151" s="34">
        <f>IF((Observaciones[[#This Row],[Fecha Levantamiento]]-Observaciones[[#This Row],[Fecha Detección]])&gt;=0,Observaciones[[#This Row],[Fecha Levantamiento]]-Observaciones[[#This Row],[Fecha Detección]]+1,0)</f>
        <v>27</v>
      </c>
      <c r="M151" s="34" t="str">
        <f>LOOKUP(Observaciones[[#This Row],[Caso de Prueba]],CasoPrueba[Código CP],CasoPrueba[Código de REQ])</f>
        <v>INSPECCIÓN</v>
      </c>
    </row>
    <row r="152" spans="1:13" ht="30" hidden="1">
      <c r="A152" s="166" t="s">
        <v>519</v>
      </c>
      <c r="B152" s="34" t="s">
        <v>488</v>
      </c>
      <c r="C152" s="34" t="str">
        <f>VLOOKUP(Observaciones[[#This Row],[Caso de Prueba]],CasoPrueba[[Código CP]:[Descripción Caso de Prueba]],3,0)</f>
        <v>PROCESO - Elaboración del Plan Operativo Institucional</v>
      </c>
      <c r="D152" s="34" t="str">
        <f>VLOOKUP(Observaciones[Caso de Prueba],CasoPrueba[[#All],[Código CP]:[Prioridad]],7,TRUE)</f>
        <v>Alta</v>
      </c>
      <c r="E152" s="34" t="s">
        <v>162</v>
      </c>
      <c r="F152" s="34" t="s">
        <v>49</v>
      </c>
      <c r="G152" s="73">
        <v>40805</v>
      </c>
      <c r="H152" s="73">
        <v>40831</v>
      </c>
      <c r="I152" s="94" t="s">
        <v>132</v>
      </c>
      <c r="J152" s="34" t="s">
        <v>595</v>
      </c>
      <c r="K152" s="34" t="s">
        <v>234</v>
      </c>
      <c r="L152" s="34">
        <f>IF((Observaciones[[#This Row],[Fecha Levantamiento]]-Observaciones[[#This Row],[Fecha Detección]])&gt;=0,Observaciones[[#This Row],[Fecha Levantamiento]]-Observaciones[[#This Row],[Fecha Detección]]+1,0)</f>
        <v>27</v>
      </c>
      <c r="M152" s="34" t="str">
        <f>LOOKUP(Observaciones[[#This Row],[Caso de Prueba]],CasoPrueba[Código CP],CasoPrueba[Código de REQ])</f>
        <v>INSPECCIÓN</v>
      </c>
    </row>
    <row r="153" spans="1:13" ht="66" hidden="1" customHeight="1">
      <c r="A153" s="166" t="s">
        <v>520</v>
      </c>
      <c r="B153" s="34" t="s">
        <v>489</v>
      </c>
      <c r="C153" s="34" t="str">
        <f>VLOOKUP(Observaciones[[#This Row],[Caso de Prueba]],CasoPrueba[[Código CP]:[Descripción Caso de Prueba]],3,0)</f>
        <v>PROCESO - Planificación del Departamento de Proyectos</v>
      </c>
      <c r="D153" s="34" t="str">
        <f>VLOOKUP(Observaciones[Caso de Prueba],CasoPrueba[[#All],[Código CP]:[Prioridad]],7,TRUE)</f>
        <v>Alta</v>
      </c>
      <c r="E153" s="34" t="s">
        <v>29</v>
      </c>
      <c r="F153" s="34" t="s">
        <v>49</v>
      </c>
      <c r="G153" s="73">
        <v>40807</v>
      </c>
      <c r="H153" s="73">
        <v>40831</v>
      </c>
      <c r="I153" s="94" t="s">
        <v>132</v>
      </c>
      <c r="J153" s="34" t="s">
        <v>597</v>
      </c>
      <c r="K153" s="34" t="s">
        <v>830</v>
      </c>
      <c r="L153" s="34">
        <f>IF((Observaciones[[#This Row],[Fecha Levantamiento]]-Observaciones[[#This Row],[Fecha Detección]])&gt;=0,Observaciones[[#This Row],[Fecha Levantamiento]]-Observaciones[[#This Row],[Fecha Detección]]+1,0)</f>
        <v>25</v>
      </c>
      <c r="M153" s="34" t="str">
        <f>LOOKUP(Observaciones[[#This Row],[Caso de Prueba]],CasoPrueba[Código CP],CasoPrueba[Código de REQ])</f>
        <v>INSPECCIÓN</v>
      </c>
    </row>
    <row r="154" spans="1:13" ht="30" hidden="1">
      <c r="A154" s="166" t="s">
        <v>521</v>
      </c>
      <c r="B154" s="34" t="s">
        <v>489</v>
      </c>
      <c r="C154" s="34" t="str">
        <f>VLOOKUP(Observaciones[[#This Row],[Caso de Prueba]],CasoPrueba[[Código CP]:[Descripción Caso de Prueba]],3,0)</f>
        <v>PROCESO - Planificación del Departamento de Proyectos</v>
      </c>
      <c r="D154" s="34" t="str">
        <f>VLOOKUP(Observaciones[Caso de Prueba],CasoPrueba[[#All],[Código CP]:[Prioridad]],7,TRUE)</f>
        <v>Alta</v>
      </c>
      <c r="E154" s="34" t="s">
        <v>28</v>
      </c>
      <c r="F154" s="34" t="s">
        <v>49</v>
      </c>
      <c r="G154" s="73">
        <v>40807</v>
      </c>
      <c r="H154" s="73">
        <v>40831</v>
      </c>
      <c r="I154" s="94" t="s">
        <v>132</v>
      </c>
      <c r="J154" s="34" t="s">
        <v>584</v>
      </c>
      <c r="K154" s="34" t="s">
        <v>832</v>
      </c>
      <c r="L154" s="34">
        <f>IF((Observaciones[[#This Row],[Fecha Levantamiento]]-Observaciones[[#This Row],[Fecha Detección]])&gt;=0,Observaciones[[#This Row],[Fecha Levantamiento]]-Observaciones[[#This Row],[Fecha Detección]]+1,0)</f>
        <v>25</v>
      </c>
      <c r="M154" s="34" t="str">
        <f>LOOKUP(Observaciones[[#This Row],[Caso de Prueba]],CasoPrueba[Código CP],CasoPrueba[Código de REQ])</f>
        <v>INSPECCIÓN</v>
      </c>
    </row>
    <row r="155" spans="1:13" ht="45" hidden="1">
      <c r="A155" s="166" t="s">
        <v>522</v>
      </c>
      <c r="B155" s="34" t="s">
        <v>489</v>
      </c>
      <c r="C155" s="34" t="str">
        <f>VLOOKUP(Observaciones[[#This Row],[Caso de Prueba]],CasoPrueba[[Código CP]:[Descripción Caso de Prueba]],3,0)</f>
        <v>PROCESO - Planificación del Departamento de Proyectos</v>
      </c>
      <c r="D155" s="34" t="str">
        <f>VLOOKUP(Observaciones[Caso de Prueba],CasoPrueba[[#All],[Código CP]:[Prioridad]],7,TRUE)</f>
        <v>Alta</v>
      </c>
      <c r="E155" s="34" t="s">
        <v>162</v>
      </c>
      <c r="F155" s="34" t="s">
        <v>49</v>
      </c>
      <c r="G155" s="73">
        <v>40807</v>
      </c>
      <c r="H155" s="73">
        <v>40831</v>
      </c>
      <c r="I155" s="94" t="s">
        <v>132</v>
      </c>
      <c r="J155" s="34" t="s">
        <v>605</v>
      </c>
      <c r="K155" s="34" t="s">
        <v>836</v>
      </c>
      <c r="L155" s="34">
        <f>IF((Observaciones[[#This Row],[Fecha Levantamiento]]-Observaciones[[#This Row],[Fecha Detección]])&gt;=0,Observaciones[[#This Row],[Fecha Levantamiento]]-Observaciones[[#This Row],[Fecha Detección]]+1,0)</f>
        <v>25</v>
      </c>
      <c r="M155" s="34" t="str">
        <f>LOOKUP(Observaciones[[#This Row],[Caso de Prueba]],CasoPrueba[Código CP],CasoPrueba[Código de REQ])</f>
        <v>INSPECCIÓN</v>
      </c>
    </row>
    <row r="156" spans="1:13" ht="45" hidden="1">
      <c r="A156" s="166" t="s">
        <v>523</v>
      </c>
      <c r="B156" s="34" t="s">
        <v>489</v>
      </c>
      <c r="C156" s="34" t="str">
        <f>VLOOKUP(Observaciones[[#This Row],[Caso de Prueba]],CasoPrueba[[Código CP]:[Descripción Caso de Prueba]],3,0)</f>
        <v>PROCESO - Planificación del Departamento de Proyectos</v>
      </c>
      <c r="D156" s="34" t="str">
        <f>VLOOKUP(Observaciones[Caso de Prueba],CasoPrueba[[#All],[Código CP]:[Prioridad]],7,TRUE)</f>
        <v>Alta</v>
      </c>
      <c r="E156" s="34" t="s">
        <v>29</v>
      </c>
      <c r="F156" s="34" t="s">
        <v>49</v>
      </c>
      <c r="G156" s="73">
        <v>40807</v>
      </c>
      <c r="H156" s="73">
        <v>40831</v>
      </c>
      <c r="I156" s="94" t="s">
        <v>132</v>
      </c>
      <c r="J156" s="34" t="s">
        <v>606</v>
      </c>
      <c r="K156" s="34" t="s">
        <v>266</v>
      </c>
      <c r="L156" s="34">
        <f>IF((Observaciones[[#This Row],[Fecha Levantamiento]]-Observaciones[[#This Row],[Fecha Detección]])&gt;=0,Observaciones[[#This Row],[Fecha Levantamiento]]-Observaciones[[#This Row],[Fecha Detección]]+1,0)</f>
        <v>25</v>
      </c>
      <c r="M156" s="34" t="str">
        <f>LOOKUP(Observaciones[[#This Row],[Caso de Prueba]],CasoPrueba[Código CP],CasoPrueba[Código de REQ])</f>
        <v>INSPECCIÓN</v>
      </c>
    </row>
    <row r="157" spans="1:13" ht="90" hidden="1">
      <c r="A157" s="166" t="s">
        <v>524</v>
      </c>
      <c r="B157" s="34" t="s">
        <v>489</v>
      </c>
      <c r="C157" s="34" t="str">
        <f>VLOOKUP(Observaciones[[#This Row],[Caso de Prueba]],CasoPrueba[[Código CP]:[Descripción Caso de Prueba]],3,0)</f>
        <v>PROCESO - Planificación del Departamento de Proyectos</v>
      </c>
      <c r="D157" s="34" t="str">
        <f>VLOOKUP(Observaciones[Caso de Prueba],CasoPrueba[[#All],[Código CP]:[Prioridad]],7,TRUE)</f>
        <v>Alta</v>
      </c>
      <c r="E157" s="34" t="s">
        <v>29</v>
      </c>
      <c r="F157" s="34" t="s">
        <v>49</v>
      </c>
      <c r="G157" s="73">
        <v>40807</v>
      </c>
      <c r="H157" s="73">
        <v>40831</v>
      </c>
      <c r="I157" s="94" t="s">
        <v>132</v>
      </c>
      <c r="J157" s="34" t="s">
        <v>599</v>
      </c>
      <c r="K157" s="34" t="s">
        <v>817</v>
      </c>
      <c r="L157" s="34">
        <f>IF((Observaciones[[#This Row],[Fecha Levantamiento]]-Observaciones[[#This Row],[Fecha Detección]])&gt;=0,Observaciones[[#This Row],[Fecha Levantamiento]]-Observaciones[[#This Row],[Fecha Detección]]+1,0)</f>
        <v>25</v>
      </c>
      <c r="M157" s="34" t="str">
        <f>LOOKUP(Observaciones[[#This Row],[Caso de Prueba]],CasoPrueba[Código CP],CasoPrueba[Código de REQ])</f>
        <v>INSPECCIÓN</v>
      </c>
    </row>
    <row r="158" spans="1:13" ht="75" hidden="1">
      <c r="A158" s="166" t="s">
        <v>525</v>
      </c>
      <c r="B158" s="34" t="s">
        <v>489</v>
      </c>
      <c r="C158" s="34" t="str">
        <f>VLOOKUP(Observaciones[[#This Row],[Caso de Prueba]],CasoPrueba[[Código CP]:[Descripción Caso de Prueba]],3,0)</f>
        <v>PROCESO - Planificación del Departamento de Proyectos</v>
      </c>
      <c r="D158" s="34" t="str">
        <f>VLOOKUP(Observaciones[Caso de Prueba],CasoPrueba[[#All],[Código CP]:[Prioridad]],7,TRUE)</f>
        <v>Alta</v>
      </c>
      <c r="E158" s="34" t="s">
        <v>30</v>
      </c>
      <c r="F158" s="34" t="s">
        <v>49</v>
      </c>
      <c r="G158" s="73">
        <v>40807</v>
      </c>
      <c r="H158" s="73">
        <v>40831</v>
      </c>
      <c r="I158" s="94" t="s">
        <v>132</v>
      </c>
      <c r="J158" s="34" t="s">
        <v>607</v>
      </c>
      <c r="K158" s="34" t="s">
        <v>837</v>
      </c>
      <c r="L158" s="34">
        <f>IF((Observaciones[[#This Row],[Fecha Levantamiento]]-Observaciones[[#This Row],[Fecha Detección]])&gt;=0,Observaciones[[#This Row],[Fecha Levantamiento]]-Observaciones[[#This Row],[Fecha Detección]]+1,0)</f>
        <v>25</v>
      </c>
      <c r="M158" s="34" t="str">
        <f>LOOKUP(Observaciones[[#This Row],[Caso de Prueba]],CasoPrueba[Código CP],CasoPrueba[Código de REQ])</f>
        <v>INSPECCIÓN</v>
      </c>
    </row>
    <row r="159" spans="1:13" ht="60" hidden="1">
      <c r="A159" s="166" t="s">
        <v>526</v>
      </c>
      <c r="B159" s="34" t="s">
        <v>489</v>
      </c>
      <c r="C159" s="34" t="str">
        <f>VLOOKUP(Observaciones[[#This Row],[Caso de Prueba]],CasoPrueba[[Código CP]:[Descripción Caso de Prueba]],3,0)</f>
        <v>PROCESO - Planificación del Departamento de Proyectos</v>
      </c>
      <c r="D159" s="34" t="str">
        <f>VLOOKUP(Observaciones[Caso de Prueba],CasoPrueba[[#All],[Código CP]:[Prioridad]],7,TRUE)</f>
        <v>Alta</v>
      </c>
      <c r="E159" s="34" t="s">
        <v>29</v>
      </c>
      <c r="F159" s="34" t="s">
        <v>49</v>
      </c>
      <c r="G159" s="73">
        <v>40807</v>
      </c>
      <c r="H159" s="73">
        <v>40831</v>
      </c>
      <c r="I159" s="94" t="s">
        <v>132</v>
      </c>
      <c r="J159" s="34" t="s">
        <v>608</v>
      </c>
      <c r="K159" s="34" t="s">
        <v>838</v>
      </c>
      <c r="L159" s="34">
        <f>IF((Observaciones[[#This Row],[Fecha Levantamiento]]-Observaciones[[#This Row],[Fecha Detección]])&gt;=0,Observaciones[[#This Row],[Fecha Levantamiento]]-Observaciones[[#This Row],[Fecha Detección]]+1,0)</f>
        <v>25</v>
      </c>
      <c r="M159" s="34" t="str">
        <f>LOOKUP(Observaciones[[#This Row],[Caso de Prueba]],CasoPrueba[Código CP],CasoPrueba[Código de REQ])</f>
        <v>INSPECCIÓN</v>
      </c>
    </row>
    <row r="160" spans="1:13" ht="30" hidden="1">
      <c r="A160" s="166" t="s">
        <v>527</v>
      </c>
      <c r="B160" s="34" t="s">
        <v>489</v>
      </c>
      <c r="C160" s="34" t="str">
        <f>VLOOKUP(Observaciones[[#This Row],[Caso de Prueba]],CasoPrueba[[Código CP]:[Descripción Caso de Prueba]],3,0)</f>
        <v>PROCESO - Planificación del Departamento de Proyectos</v>
      </c>
      <c r="D160" s="34" t="str">
        <f>VLOOKUP(Observaciones[Caso de Prueba],CasoPrueba[[#All],[Código CP]:[Prioridad]],7,TRUE)</f>
        <v>Alta</v>
      </c>
      <c r="E160" s="34" t="s">
        <v>28</v>
      </c>
      <c r="F160" s="34" t="s">
        <v>49</v>
      </c>
      <c r="G160" s="73">
        <v>40807</v>
      </c>
      <c r="H160" s="73">
        <v>40831</v>
      </c>
      <c r="I160" s="94" t="s">
        <v>132</v>
      </c>
      <c r="J160" s="34" t="s">
        <v>609</v>
      </c>
      <c r="K160" s="34" t="s">
        <v>266</v>
      </c>
      <c r="L160" s="34">
        <f>IF((Observaciones[[#This Row],[Fecha Levantamiento]]-Observaciones[[#This Row],[Fecha Detección]])&gt;=0,Observaciones[[#This Row],[Fecha Levantamiento]]-Observaciones[[#This Row],[Fecha Detección]]+1,0)</f>
        <v>25</v>
      </c>
      <c r="M160" s="34" t="str">
        <f>LOOKUP(Observaciones[[#This Row],[Caso de Prueba]],CasoPrueba[Código CP],CasoPrueba[Código de REQ])</f>
        <v>INSPECCIÓN</v>
      </c>
    </row>
    <row r="161" spans="1:13" ht="45" hidden="1">
      <c r="A161" s="166" t="s">
        <v>528</v>
      </c>
      <c r="B161" s="34" t="s">
        <v>489</v>
      </c>
      <c r="C161" s="34" t="str">
        <f>VLOOKUP(Observaciones[[#This Row],[Caso de Prueba]],CasoPrueba[[Código CP]:[Descripción Caso de Prueba]],3,0)</f>
        <v>PROCESO - Planificación del Departamento de Proyectos</v>
      </c>
      <c r="D161" s="34" t="str">
        <f>VLOOKUP(Observaciones[Caso de Prueba],CasoPrueba[[#All],[Código CP]:[Prioridad]],7,TRUE)</f>
        <v>Alta</v>
      </c>
      <c r="E161" s="34" t="s">
        <v>29</v>
      </c>
      <c r="F161" s="34" t="s">
        <v>49</v>
      </c>
      <c r="G161" s="73">
        <v>40807</v>
      </c>
      <c r="H161" s="73">
        <v>40831</v>
      </c>
      <c r="I161" s="94" t="s">
        <v>132</v>
      </c>
      <c r="J161" s="34" t="s">
        <v>610</v>
      </c>
      <c r="K161" s="34" t="s">
        <v>839</v>
      </c>
      <c r="L161" s="34">
        <f>IF((Observaciones[[#This Row],[Fecha Levantamiento]]-Observaciones[[#This Row],[Fecha Detección]])&gt;=0,Observaciones[[#This Row],[Fecha Levantamiento]]-Observaciones[[#This Row],[Fecha Detección]]+1,0)</f>
        <v>25</v>
      </c>
      <c r="M161" s="34" t="str">
        <f>LOOKUP(Observaciones[[#This Row],[Caso de Prueba]],CasoPrueba[Código CP],CasoPrueba[Código de REQ])</f>
        <v>INSPECCIÓN</v>
      </c>
    </row>
    <row r="162" spans="1:13" ht="45" hidden="1">
      <c r="A162" s="166" t="s">
        <v>529</v>
      </c>
      <c r="B162" s="34" t="s">
        <v>489</v>
      </c>
      <c r="C162" s="34" t="str">
        <f>VLOOKUP(Observaciones[[#This Row],[Caso de Prueba]],CasoPrueba[[Código CP]:[Descripción Caso de Prueba]],3,0)</f>
        <v>PROCESO - Planificación del Departamento de Proyectos</v>
      </c>
      <c r="D162" s="34" t="str">
        <f>VLOOKUP(Observaciones[Caso de Prueba],CasoPrueba[[#All],[Código CP]:[Prioridad]],7,TRUE)</f>
        <v>Alta</v>
      </c>
      <c r="E162" s="34" t="s">
        <v>162</v>
      </c>
      <c r="F162" s="34" t="s">
        <v>49</v>
      </c>
      <c r="G162" s="73">
        <v>40807</v>
      </c>
      <c r="H162" s="73">
        <v>40831</v>
      </c>
      <c r="I162" s="94" t="s">
        <v>132</v>
      </c>
      <c r="J162" s="34" t="s">
        <v>611</v>
      </c>
      <c r="K162" s="34" t="s">
        <v>234</v>
      </c>
      <c r="L162" s="34">
        <f>IF((Observaciones[[#This Row],[Fecha Levantamiento]]-Observaciones[[#This Row],[Fecha Detección]])&gt;=0,Observaciones[[#This Row],[Fecha Levantamiento]]-Observaciones[[#This Row],[Fecha Detección]]+1,0)</f>
        <v>25</v>
      </c>
      <c r="M162" s="34" t="str">
        <f>LOOKUP(Observaciones[[#This Row],[Caso de Prueba]],CasoPrueba[Código CP],CasoPrueba[Código de REQ])</f>
        <v>INSPECCIÓN</v>
      </c>
    </row>
    <row r="163" spans="1:13" ht="75" hidden="1">
      <c r="A163" s="166" t="s">
        <v>530</v>
      </c>
      <c r="B163" s="34" t="s">
        <v>489</v>
      </c>
      <c r="C163" s="34" t="str">
        <f>VLOOKUP(Observaciones[[#This Row],[Caso de Prueba]],CasoPrueba[[Código CP]:[Descripción Caso de Prueba]],3,0)</f>
        <v>PROCESO - Planificación del Departamento de Proyectos</v>
      </c>
      <c r="D163" s="34" t="str">
        <f>VLOOKUP(Observaciones[Caso de Prueba],CasoPrueba[[#All],[Código CP]:[Prioridad]],7,TRUE)</f>
        <v>Alta</v>
      </c>
      <c r="E163" s="34" t="s">
        <v>29</v>
      </c>
      <c r="F163" s="34" t="s">
        <v>49</v>
      </c>
      <c r="G163" s="73">
        <v>40807</v>
      </c>
      <c r="H163" s="73">
        <v>40831</v>
      </c>
      <c r="I163" s="94" t="s">
        <v>132</v>
      </c>
      <c r="J163" s="34" t="s">
        <v>612</v>
      </c>
      <c r="K163" s="34" t="s">
        <v>266</v>
      </c>
      <c r="L163" s="34">
        <f>IF((Observaciones[[#This Row],[Fecha Levantamiento]]-Observaciones[[#This Row],[Fecha Detección]])&gt;=0,Observaciones[[#This Row],[Fecha Levantamiento]]-Observaciones[[#This Row],[Fecha Detección]]+1,0)</f>
        <v>25</v>
      </c>
      <c r="M163" s="34" t="str">
        <f>LOOKUP(Observaciones[[#This Row],[Caso de Prueba]],CasoPrueba[Código CP],CasoPrueba[Código de REQ])</f>
        <v>INSPECCIÓN</v>
      </c>
    </row>
    <row r="164" spans="1:13" ht="59.25" hidden="1" customHeight="1">
      <c r="A164" s="166" t="s">
        <v>531</v>
      </c>
      <c r="B164" s="34" t="s">
        <v>489</v>
      </c>
      <c r="C164" s="34" t="str">
        <f>VLOOKUP(Observaciones[[#This Row],[Caso de Prueba]],CasoPrueba[[Código CP]:[Descripción Caso de Prueba]],3,0)</f>
        <v>PROCESO - Planificación del Departamento de Proyectos</v>
      </c>
      <c r="D164" s="34" t="str">
        <f>VLOOKUP(Observaciones[Caso de Prueba],CasoPrueba[[#All],[Código CP]:[Prioridad]],7,TRUE)</f>
        <v>Alta</v>
      </c>
      <c r="E164" s="34" t="s">
        <v>162</v>
      </c>
      <c r="F164" s="34" t="s">
        <v>49</v>
      </c>
      <c r="G164" s="73">
        <v>40807</v>
      </c>
      <c r="H164" s="73">
        <v>40831</v>
      </c>
      <c r="I164" s="94" t="s">
        <v>132</v>
      </c>
      <c r="J164" s="34" t="s">
        <v>613</v>
      </c>
      <c r="K164" s="34" t="s">
        <v>264</v>
      </c>
      <c r="L164" s="34">
        <f>IF((Observaciones[[#This Row],[Fecha Levantamiento]]-Observaciones[[#This Row],[Fecha Detección]])&gt;=0,Observaciones[[#This Row],[Fecha Levantamiento]]-Observaciones[[#This Row],[Fecha Detección]]+1,0)</f>
        <v>25</v>
      </c>
      <c r="M164" s="34" t="str">
        <f>LOOKUP(Observaciones[[#This Row],[Caso de Prueba]],CasoPrueba[Código CP],CasoPrueba[Código de REQ])</f>
        <v>INSPECCIÓN</v>
      </c>
    </row>
    <row r="165" spans="1:13" ht="30" hidden="1">
      <c r="A165" s="166" t="s">
        <v>532</v>
      </c>
      <c r="B165" s="34" t="s">
        <v>614</v>
      </c>
      <c r="C165" s="34" t="str">
        <f>VLOOKUP(Observaciones[[#This Row],[Caso de Prueba]],CasoPrueba[[Código CP]:[Descripción Caso de Prueba]],3,0)</f>
        <v>MP - Gestión de Imagen Institucional y Donaciones</v>
      </c>
      <c r="D165" s="34" t="str">
        <f>VLOOKUP(Observaciones[Caso de Prueba],CasoPrueba[[#All],[Código CP]:[Prioridad]],7,TRUE)</f>
        <v>Alta</v>
      </c>
      <c r="E165" s="34" t="s">
        <v>162</v>
      </c>
      <c r="F165" s="34" t="s">
        <v>49</v>
      </c>
      <c r="G165" s="73">
        <v>40807</v>
      </c>
      <c r="H165" s="73">
        <v>40831</v>
      </c>
      <c r="I165" s="94" t="s">
        <v>132</v>
      </c>
      <c r="J165" s="34" t="s">
        <v>625</v>
      </c>
      <c r="K165" s="34" t="s">
        <v>199</v>
      </c>
      <c r="L165" s="34">
        <f>IF((Observaciones[[#This Row],[Fecha Levantamiento]]-Observaciones[[#This Row],[Fecha Detección]])&gt;=0,Observaciones[[#This Row],[Fecha Levantamiento]]-Observaciones[[#This Row],[Fecha Detección]]+1,0)</f>
        <v>25</v>
      </c>
      <c r="M165" s="34" t="str">
        <f>LOOKUP(Observaciones[[#This Row],[Caso de Prueba]],CasoPrueba[Código CP],CasoPrueba[Código de REQ])</f>
        <v>INSPECCIÓN</v>
      </c>
    </row>
    <row r="166" spans="1:13" ht="30" hidden="1">
      <c r="A166" s="166" t="s">
        <v>533</v>
      </c>
      <c r="B166" s="34" t="s">
        <v>614</v>
      </c>
      <c r="C166" s="34" t="str">
        <f>VLOOKUP(Observaciones[[#This Row],[Caso de Prueba]],CasoPrueba[[Código CP]:[Descripción Caso de Prueba]],3,0)</f>
        <v>MP - Gestión de Imagen Institucional y Donaciones</v>
      </c>
      <c r="D166" s="34" t="str">
        <f>VLOOKUP(Observaciones[Caso de Prueba],CasoPrueba[[#All],[Código CP]:[Prioridad]],7,TRUE)</f>
        <v>Alta</v>
      </c>
      <c r="E166" s="34" t="s">
        <v>28</v>
      </c>
      <c r="F166" s="34" t="s">
        <v>49</v>
      </c>
      <c r="G166" s="73">
        <v>40807</v>
      </c>
      <c r="H166" s="73">
        <v>40831</v>
      </c>
      <c r="I166" s="94" t="s">
        <v>132</v>
      </c>
      <c r="J166" s="34" t="s">
        <v>584</v>
      </c>
      <c r="K166" s="34" t="s">
        <v>819</v>
      </c>
      <c r="L166" s="34">
        <f>IF((Observaciones[[#This Row],[Fecha Levantamiento]]-Observaciones[[#This Row],[Fecha Detección]])&gt;=0,Observaciones[[#This Row],[Fecha Levantamiento]]-Observaciones[[#This Row],[Fecha Detección]]+1,0)</f>
        <v>25</v>
      </c>
      <c r="M166" s="34" t="str">
        <f>LOOKUP(Observaciones[[#This Row],[Caso de Prueba]],CasoPrueba[Código CP],CasoPrueba[Código de REQ])</f>
        <v>INSPECCIÓN</v>
      </c>
    </row>
    <row r="167" spans="1:13" ht="90" hidden="1">
      <c r="A167" s="166" t="s">
        <v>534</v>
      </c>
      <c r="B167" s="34" t="s">
        <v>614</v>
      </c>
      <c r="C167" s="34" t="str">
        <f>VLOOKUP(Observaciones[[#This Row],[Caso de Prueba]],CasoPrueba[[Código CP]:[Descripción Caso de Prueba]],3,0)</f>
        <v>MP - Gestión de Imagen Institucional y Donaciones</v>
      </c>
      <c r="D167" s="34" t="str">
        <f>VLOOKUP(Observaciones[Caso de Prueba],CasoPrueba[[#All],[Código CP]:[Prioridad]],7,TRUE)</f>
        <v>Alta</v>
      </c>
      <c r="E167" s="34" t="s">
        <v>29</v>
      </c>
      <c r="F167" s="34" t="s">
        <v>49</v>
      </c>
      <c r="G167" s="73">
        <v>40807</v>
      </c>
      <c r="H167" s="73">
        <v>40831</v>
      </c>
      <c r="I167" s="94" t="s">
        <v>132</v>
      </c>
      <c r="J167" s="34" t="s">
        <v>599</v>
      </c>
      <c r="K167" s="34" t="s">
        <v>840</v>
      </c>
      <c r="L167" s="34">
        <f>IF((Observaciones[[#This Row],[Fecha Levantamiento]]-Observaciones[[#This Row],[Fecha Detección]])&gt;=0,Observaciones[[#This Row],[Fecha Levantamiento]]-Observaciones[[#This Row],[Fecha Detección]]+1,0)</f>
        <v>25</v>
      </c>
      <c r="M167" s="34" t="str">
        <f>LOOKUP(Observaciones[[#This Row],[Caso de Prueba]],CasoPrueba[Código CP],CasoPrueba[Código de REQ])</f>
        <v>INSPECCIÓN</v>
      </c>
    </row>
    <row r="168" spans="1:13" ht="30" hidden="1">
      <c r="A168" s="166" t="s">
        <v>535</v>
      </c>
      <c r="B168" s="34" t="s">
        <v>614</v>
      </c>
      <c r="C168" s="34" t="str">
        <f>VLOOKUP(Observaciones[[#This Row],[Caso de Prueba]],CasoPrueba[[Código CP]:[Descripción Caso de Prueba]],3,0)</f>
        <v>MP - Gestión de Imagen Institucional y Donaciones</v>
      </c>
      <c r="D168" s="34" t="str">
        <f>VLOOKUP(Observaciones[Caso de Prueba],CasoPrueba[[#All],[Código CP]:[Prioridad]],7,TRUE)</f>
        <v>Alta</v>
      </c>
      <c r="E168" s="34" t="s">
        <v>162</v>
      </c>
      <c r="F168" s="34" t="s">
        <v>49</v>
      </c>
      <c r="G168" s="73">
        <v>40807</v>
      </c>
      <c r="H168" s="73">
        <v>40831</v>
      </c>
      <c r="I168" s="94" t="s">
        <v>132</v>
      </c>
      <c r="J168" s="34" t="s">
        <v>634</v>
      </c>
      <c r="K168" s="34" t="s">
        <v>467</v>
      </c>
      <c r="L168" s="34">
        <f>IF((Observaciones[[#This Row],[Fecha Levantamiento]]-Observaciones[[#This Row],[Fecha Detección]])&gt;=0,Observaciones[[#This Row],[Fecha Levantamiento]]-Observaciones[[#This Row],[Fecha Detección]]+1,0)</f>
        <v>25</v>
      </c>
      <c r="M168" s="34" t="str">
        <f>LOOKUP(Observaciones[[#This Row],[Caso de Prueba]],CasoPrueba[Código CP],CasoPrueba[Código de REQ])</f>
        <v>INSPECCIÓN</v>
      </c>
    </row>
    <row r="169" spans="1:13" ht="45" hidden="1">
      <c r="A169" s="166" t="s">
        <v>536</v>
      </c>
      <c r="B169" s="34" t="s">
        <v>614</v>
      </c>
      <c r="C169" s="34" t="str">
        <f>VLOOKUP(Observaciones[[#This Row],[Caso de Prueba]],CasoPrueba[[Código CP]:[Descripción Caso de Prueba]],3,0)</f>
        <v>MP - Gestión de Imagen Institucional y Donaciones</v>
      </c>
      <c r="D169" s="34" t="str">
        <f>VLOOKUP(Observaciones[Caso de Prueba],CasoPrueba[[#All],[Código CP]:[Prioridad]],7,TRUE)</f>
        <v>Alta</v>
      </c>
      <c r="E169" s="34" t="s">
        <v>30</v>
      </c>
      <c r="F169" s="34" t="s">
        <v>49</v>
      </c>
      <c r="G169" s="73">
        <v>40807</v>
      </c>
      <c r="H169" s="73">
        <v>40831</v>
      </c>
      <c r="I169" s="94" t="s">
        <v>132</v>
      </c>
      <c r="J169" s="34" t="s">
        <v>630</v>
      </c>
      <c r="K169" s="34" t="s">
        <v>841</v>
      </c>
      <c r="L169" s="34">
        <f>IF((Observaciones[[#This Row],[Fecha Levantamiento]]-Observaciones[[#This Row],[Fecha Detección]])&gt;=0,Observaciones[[#This Row],[Fecha Levantamiento]]-Observaciones[[#This Row],[Fecha Detección]]+1,0)</f>
        <v>25</v>
      </c>
      <c r="M169" s="34" t="str">
        <f>LOOKUP(Observaciones[[#This Row],[Caso de Prueba]],CasoPrueba[Código CP],CasoPrueba[Código de REQ])</f>
        <v>INSPECCIÓN</v>
      </c>
    </row>
    <row r="170" spans="1:13" ht="45" hidden="1">
      <c r="A170" s="166" t="s">
        <v>537</v>
      </c>
      <c r="B170" s="34" t="s">
        <v>614</v>
      </c>
      <c r="C170" s="34" t="str">
        <f>VLOOKUP(Observaciones[[#This Row],[Caso de Prueba]],CasoPrueba[[Código CP]:[Descripción Caso de Prueba]],3,0)</f>
        <v>MP - Gestión de Imagen Institucional y Donaciones</v>
      </c>
      <c r="D170" s="34" t="str">
        <f>VLOOKUP(Observaciones[Caso de Prueba],CasoPrueba[[#All],[Código CP]:[Prioridad]],7,TRUE)</f>
        <v>Alta</v>
      </c>
      <c r="E170" s="34" t="s">
        <v>162</v>
      </c>
      <c r="F170" s="34" t="s">
        <v>49</v>
      </c>
      <c r="G170" s="73">
        <v>40807</v>
      </c>
      <c r="H170" s="73">
        <v>40831</v>
      </c>
      <c r="I170" s="94" t="s">
        <v>132</v>
      </c>
      <c r="J170" s="34" t="s">
        <v>627</v>
      </c>
      <c r="K170" s="34" t="s">
        <v>842</v>
      </c>
      <c r="L170" s="34">
        <f>IF((Observaciones[[#This Row],[Fecha Levantamiento]]-Observaciones[[#This Row],[Fecha Detección]])&gt;=0,Observaciones[[#This Row],[Fecha Levantamiento]]-Observaciones[[#This Row],[Fecha Detección]]+1,0)</f>
        <v>25</v>
      </c>
      <c r="M170" s="34" t="str">
        <f>LOOKUP(Observaciones[[#This Row],[Caso de Prueba]],CasoPrueba[Código CP],CasoPrueba[Código de REQ])</f>
        <v>INSPECCIÓN</v>
      </c>
    </row>
    <row r="171" spans="1:13" ht="30" hidden="1">
      <c r="A171" s="166" t="s">
        <v>538</v>
      </c>
      <c r="B171" s="34" t="s">
        <v>614</v>
      </c>
      <c r="C171" s="34" t="str">
        <f>VLOOKUP(Observaciones[[#This Row],[Caso de Prueba]],CasoPrueba[[Código CP]:[Descripción Caso de Prueba]],3,0)</f>
        <v>MP - Gestión de Imagen Institucional y Donaciones</v>
      </c>
      <c r="D171" s="34" t="str">
        <f>VLOOKUP(Observaciones[Caso de Prueba],CasoPrueba[[#All],[Código CP]:[Prioridad]],7,TRUE)</f>
        <v>Alta</v>
      </c>
      <c r="E171" s="34" t="s">
        <v>162</v>
      </c>
      <c r="F171" s="34" t="s">
        <v>49</v>
      </c>
      <c r="G171" s="73">
        <v>40807</v>
      </c>
      <c r="H171" s="73">
        <v>40831</v>
      </c>
      <c r="I171" s="94" t="s">
        <v>132</v>
      </c>
      <c r="J171" s="34" t="s">
        <v>628</v>
      </c>
      <c r="K171" s="34" t="s">
        <v>467</v>
      </c>
      <c r="L171" s="34">
        <f>IF((Observaciones[[#This Row],[Fecha Levantamiento]]-Observaciones[[#This Row],[Fecha Detección]])&gt;=0,Observaciones[[#This Row],[Fecha Levantamiento]]-Observaciones[[#This Row],[Fecha Detección]]+1,0)</f>
        <v>25</v>
      </c>
      <c r="M171" s="34" t="str">
        <f>LOOKUP(Observaciones[[#This Row],[Caso de Prueba]],CasoPrueba[Código CP],CasoPrueba[Código de REQ])</f>
        <v>INSPECCIÓN</v>
      </c>
    </row>
    <row r="172" spans="1:13" ht="45" hidden="1">
      <c r="A172" s="166" t="s">
        <v>539</v>
      </c>
      <c r="B172" s="34" t="s">
        <v>614</v>
      </c>
      <c r="C172" s="34" t="str">
        <f>VLOOKUP(Observaciones[[#This Row],[Caso de Prueba]],CasoPrueba[[Código CP]:[Descripción Caso de Prueba]],3,0)</f>
        <v>MP - Gestión de Imagen Institucional y Donaciones</v>
      </c>
      <c r="D172" s="34" t="str">
        <f>VLOOKUP(Observaciones[Caso de Prueba],CasoPrueba[[#All],[Código CP]:[Prioridad]],7,TRUE)</f>
        <v>Alta</v>
      </c>
      <c r="E172" s="34" t="s">
        <v>162</v>
      </c>
      <c r="F172" s="34" t="s">
        <v>49</v>
      </c>
      <c r="G172" s="73">
        <v>40807</v>
      </c>
      <c r="H172" s="73">
        <v>40831</v>
      </c>
      <c r="I172" s="94" t="s">
        <v>132</v>
      </c>
      <c r="J172" s="34" t="s">
        <v>629</v>
      </c>
      <c r="K172" s="34" t="s">
        <v>467</v>
      </c>
      <c r="L172" s="34">
        <f>IF((Observaciones[[#This Row],[Fecha Levantamiento]]-Observaciones[[#This Row],[Fecha Detección]])&gt;=0,Observaciones[[#This Row],[Fecha Levantamiento]]-Observaciones[[#This Row],[Fecha Detección]]+1,0)</f>
        <v>25</v>
      </c>
      <c r="M172" s="34" t="str">
        <f>LOOKUP(Observaciones[[#This Row],[Caso de Prueba]],CasoPrueba[Código CP],CasoPrueba[Código de REQ])</f>
        <v>INSPECCIÓN</v>
      </c>
    </row>
    <row r="173" spans="1:13" ht="30" hidden="1">
      <c r="A173" s="166" t="s">
        <v>540</v>
      </c>
      <c r="B173" s="34" t="s">
        <v>614</v>
      </c>
      <c r="C173" s="34" t="str">
        <f>VLOOKUP(Observaciones[[#This Row],[Caso de Prueba]],CasoPrueba[[Código CP]:[Descripción Caso de Prueba]],3,0)</f>
        <v>MP - Gestión de Imagen Institucional y Donaciones</v>
      </c>
      <c r="D173" s="34" t="str">
        <f>VLOOKUP(Observaciones[Caso de Prueba],CasoPrueba[[#All],[Código CP]:[Prioridad]],7,TRUE)</f>
        <v>Alta</v>
      </c>
      <c r="E173" s="34" t="s">
        <v>162</v>
      </c>
      <c r="F173" s="34" t="s">
        <v>49</v>
      </c>
      <c r="G173" s="73">
        <v>40807</v>
      </c>
      <c r="H173" s="73">
        <v>40831</v>
      </c>
      <c r="I173" s="94" t="s">
        <v>132</v>
      </c>
      <c r="J173" s="34" t="s">
        <v>631</v>
      </c>
      <c r="K173" s="34" t="s">
        <v>199</v>
      </c>
      <c r="L173" s="34">
        <f>IF((Observaciones[[#This Row],[Fecha Levantamiento]]-Observaciones[[#This Row],[Fecha Detección]])&gt;=0,Observaciones[[#This Row],[Fecha Levantamiento]]-Observaciones[[#This Row],[Fecha Detección]]+1,0)</f>
        <v>25</v>
      </c>
      <c r="M173" s="34" t="str">
        <f>LOOKUP(Observaciones[[#This Row],[Caso de Prueba]],CasoPrueba[Código CP],CasoPrueba[Código de REQ])</f>
        <v>INSPECCIÓN</v>
      </c>
    </row>
    <row r="174" spans="1:13" ht="45" hidden="1">
      <c r="A174" s="166" t="s">
        <v>541</v>
      </c>
      <c r="B174" s="34" t="s">
        <v>614</v>
      </c>
      <c r="C174" s="34" t="str">
        <f>VLOOKUP(Observaciones[[#This Row],[Caso de Prueba]],CasoPrueba[[Código CP]:[Descripción Caso de Prueba]],3,0)</f>
        <v>MP - Gestión de Imagen Institucional y Donaciones</v>
      </c>
      <c r="D174" s="34" t="str">
        <f>VLOOKUP(Observaciones[Caso de Prueba],CasoPrueba[[#All],[Código CP]:[Prioridad]],7,TRUE)</f>
        <v>Alta</v>
      </c>
      <c r="E174" s="34" t="s">
        <v>29</v>
      </c>
      <c r="F174" s="34" t="s">
        <v>49</v>
      </c>
      <c r="G174" s="73">
        <v>40807</v>
      </c>
      <c r="H174" s="73">
        <v>40831</v>
      </c>
      <c r="I174" s="94" t="s">
        <v>132</v>
      </c>
      <c r="J174" s="34" t="s">
        <v>632</v>
      </c>
      <c r="K174" s="34" t="s">
        <v>843</v>
      </c>
      <c r="L174" s="34">
        <f>IF((Observaciones[[#This Row],[Fecha Levantamiento]]-Observaciones[[#This Row],[Fecha Detección]])&gt;=0,Observaciones[[#This Row],[Fecha Levantamiento]]-Observaciones[[#This Row],[Fecha Detección]]+1,0)</f>
        <v>25</v>
      </c>
      <c r="M174" s="34" t="str">
        <f>LOOKUP(Observaciones[[#This Row],[Caso de Prueba]],CasoPrueba[Código CP],CasoPrueba[Código de REQ])</f>
        <v>INSPECCIÓN</v>
      </c>
    </row>
    <row r="175" spans="1:13" ht="60" hidden="1">
      <c r="A175" s="166" t="s">
        <v>542</v>
      </c>
      <c r="B175" s="34" t="s">
        <v>614</v>
      </c>
      <c r="C175" s="34" t="str">
        <f>VLOOKUP(Observaciones[[#This Row],[Caso de Prueba]],CasoPrueba[[Código CP]:[Descripción Caso de Prueba]],3,0)</f>
        <v>MP - Gestión de Imagen Institucional y Donaciones</v>
      </c>
      <c r="D175" s="34" t="str">
        <f>VLOOKUP(Observaciones[Caso de Prueba],CasoPrueba[[#All],[Código CP]:[Prioridad]],7,TRUE)</f>
        <v>Alta</v>
      </c>
      <c r="E175" s="34" t="s">
        <v>29</v>
      </c>
      <c r="F175" s="34" t="s">
        <v>49</v>
      </c>
      <c r="G175" s="73">
        <v>40807</v>
      </c>
      <c r="H175" s="73">
        <v>40831</v>
      </c>
      <c r="I175" s="94" t="s">
        <v>132</v>
      </c>
      <c r="J175" s="34" t="s">
        <v>633</v>
      </c>
      <c r="K175" s="34" t="s">
        <v>844</v>
      </c>
      <c r="L175" s="34">
        <f>IF((Observaciones[[#This Row],[Fecha Levantamiento]]-Observaciones[[#This Row],[Fecha Detección]])&gt;=0,Observaciones[[#This Row],[Fecha Levantamiento]]-Observaciones[[#This Row],[Fecha Detección]]+1,0)</f>
        <v>25</v>
      </c>
      <c r="M175" s="34" t="str">
        <f>LOOKUP(Observaciones[[#This Row],[Caso de Prueba]],CasoPrueba[Código CP],CasoPrueba[Código de REQ])</f>
        <v>INSPECCIÓN</v>
      </c>
    </row>
    <row r="176" spans="1:13" ht="45" hidden="1">
      <c r="A176" s="166" t="s">
        <v>543</v>
      </c>
      <c r="B176" s="34" t="s">
        <v>616</v>
      </c>
      <c r="C176" s="34" t="str">
        <f>VLOOKUP(Observaciones[[#This Row],[Caso de Prueba]],CasoPrueba[[Código CP]:[Descripción Caso de Prueba]],3,0)</f>
        <v>Proceso - Elaboración de Campaña Publicitaria de Imagen Institucional</v>
      </c>
      <c r="D176" s="34" t="str">
        <f>VLOOKUP(Observaciones[Caso de Prueba],CasoPrueba[[#All],[Código CP]:[Prioridad]],7,TRUE)</f>
        <v>Alta</v>
      </c>
      <c r="E176" s="34" t="s">
        <v>29</v>
      </c>
      <c r="F176" s="34" t="s">
        <v>49</v>
      </c>
      <c r="G176" s="73">
        <v>40826</v>
      </c>
      <c r="H176" s="73">
        <v>40831</v>
      </c>
      <c r="I176" s="94" t="s">
        <v>132</v>
      </c>
      <c r="J176" s="34" t="s">
        <v>597</v>
      </c>
      <c r="K176" s="34" t="s">
        <v>830</v>
      </c>
      <c r="L176" s="34">
        <f>IF((Observaciones[[#This Row],[Fecha Levantamiento]]-Observaciones[[#This Row],[Fecha Detección]])&gt;=0,Observaciones[[#This Row],[Fecha Levantamiento]]-Observaciones[[#This Row],[Fecha Detección]]+1,0)</f>
        <v>6</v>
      </c>
      <c r="M176" s="34" t="str">
        <f>LOOKUP(Observaciones[[#This Row],[Caso de Prueba]],CasoPrueba[Código CP],CasoPrueba[Código de REQ])</f>
        <v>INSPECCIÓN</v>
      </c>
    </row>
    <row r="177" spans="1:13" ht="30" hidden="1">
      <c r="A177" s="166" t="s">
        <v>544</v>
      </c>
      <c r="B177" s="34" t="s">
        <v>616</v>
      </c>
      <c r="C177" s="34" t="str">
        <f>VLOOKUP(Observaciones[[#This Row],[Caso de Prueba]],CasoPrueba[[Código CP]:[Descripción Caso de Prueba]],3,0)</f>
        <v>Proceso - Elaboración de Campaña Publicitaria de Imagen Institucional</v>
      </c>
      <c r="D177" s="34" t="str">
        <f>VLOOKUP(Observaciones[Caso de Prueba],CasoPrueba[[#All],[Código CP]:[Prioridad]],7,TRUE)</f>
        <v>Alta</v>
      </c>
      <c r="E177" s="34" t="s">
        <v>28</v>
      </c>
      <c r="F177" s="34" t="s">
        <v>49</v>
      </c>
      <c r="G177" s="73">
        <v>40826</v>
      </c>
      <c r="H177" s="73">
        <v>40831</v>
      </c>
      <c r="I177" s="94" t="s">
        <v>132</v>
      </c>
      <c r="J177" s="34" t="s">
        <v>584</v>
      </c>
      <c r="K177" s="34" t="s">
        <v>832</v>
      </c>
      <c r="L177" s="34">
        <f>IF((Observaciones[[#This Row],[Fecha Levantamiento]]-Observaciones[[#This Row],[Fecha Detección]])&gt;=0,Observaciones[[#This Row],[Fecha Levantamiento]]-Observaciones[[#This Row],[Fecha Detección]]+1,0)</f>
        <v>6</v>
      </c>
      <c r="M177" s="34" t="str">
        <f>LOOKUP(Observaciones[[#This Row],[Caso de Prueba]],CasoPrueba[Código CP],CasoPrueba[Código de REQ])</f>
        <v>INSPECCIÓN</v>
      </c>
    </row>
    <row r="178" spans="1:13" ht="75" hidden="1">
      <c r="A178" s="166" t="s">
        <v>545</v>
      </c>
      <c r="B178" s="34" t="s">
        <v>616</v>
      </c>
      <c r="C178" s="34" t="str">
        <f>VLOOKUP(Observaciones[[#This Row],[Caso de Prueba]],CasoPrueba[[Código CP]:[Descripción Caso de Prueba]],3,0)</f>
        <v>Proceso - Elaboración de Campaña Publicitaria de Imagen Institucional</v>
      </c>
      <c r="D178" s="34" t="str">
        <f>VLOOKUP(Observaciones[Caso de Prueba],CasoPrueba[[#All],[Código CP]:[Prioridad]],7,TRUE)</f>
        <v>Alta</v>
      </c>
      <c r="E178" s="34" t="s">
        <v>28</v>
      </c>
      <c r="F178" s="34" t="s">
        <v>49</v>
      </c>
      <c r="G178" s="73">
        <v>40826</v>
      </c>
      <c r="H178" s="73">
        <v>40831</v>
      </c>
      <c r="I178" s="94" t="s">
        <v>132</v>
      </c>
      <c r="J178" s="34" t="s">
        <v>635</v>
      </c>
      <c r="K178" s="34" t="s">
        <v>845</v>
      </c>
      <c r="L178" s="34">
        <f>IF((Observaciones[[#This Row],[Fecha Levantamiento]]-Observaciones[[#This Row],[Fecha Detección]])&gt;=0,Observaciones[[#This Row],[Fecha Levantamiento]]-Observaciones[[#This Row],[Fecha Detección]]+1,0)</f>
        <v>6</v>
      </c>
      <c r="M178" s="34" t="str">
        <f>LOOKUP(Observaciones[[#This Row],[Caso de Prueba]],CasoPrueba[Código CP],CasoPrueba[Código de REQ])</f>
        <v>INSPECCIÓN</v>
      </c>
    </row>
    <row r="179" spans="1:13" ht="45" hidden="1">
      <c r="A179" s="166" t="s">
        <v>546</v>
      </c>
      <c r="B179" s="34" t="s">
        <v>616</v>
      </c>
      <c r="C179" s="34" t="str">
        <f>VLOOKUP(Observaciones[[#This Row],[Caso de Prueba]],CasoPrueba[[Código CP]:[Descripción Caso de Prueba]],3,0)</f>
        <v>Proceso - Elaboración de Campaña Publicitaria de Imagen Institucional</v>
      </c>
      <c r="D179" s="34" t="str">
        <f>VLOOKUP(Observaciones[Caso de Prueba],CasoPrueba[[#All],[Código CP]:[Prioridad]],7,TRUE)</f>
        <v>Alta</v>
      </c>
      <c r="E179" s="34" t="s">
        <v>30</v>
      </c>
      <c r="F179" s="34" t="s">
        <v>49</v>
      </c>
      <c r="G179" s="73">
        <v>40826</v>
      </c>
      <c r="H179" s="73">
        <v>40831</v>
      </c>
      <c r="I179" s="94" t="s">
        <v>132</v>
      </c>
      <c r="J179" s="34" t="s">
        <v>636</v>
      </c>
      <c r="K179" s="34" t="s">
        <v>846</v>
      </c>
      <c r="L179" s="34">
        <f>IF((Observaciones[[#This Row],[Fecha Levantamiento]]-Observaciones[[#This Row],[Fecha Detección]])&gt;=0,Observaciones[[#This Row],[Fecha Levantamiento]]-Observaciones[[#This Row],[Fecha Detección]]+1,0)</f>
        <v>6</v>
      </c>
      <c r="M179" s="34" t="str">
        <f>LOOKUP(Observaciones[[#This Row],[Caso de Prueba]],CasoPrueba[Código CP],CasoPrueba[Código de REQ])</f>
        <v>INSPECCIÓN</v>
      </c>
    </row>
    <row r="180" spans="1:13" ht="30" hidden="1">
      <c r="A180" s="166" t="s">
        <v>547</v>
      </c>
      <c r="B180" s="34" t="s">
        <v>616</v>
      </c>
      <c r="C180" s="34" t="str">
        <f>VLOOKUP(Observaciones[[#This Row],[Caso de Prueba]],CasoPrueba[[Código CP]:[Descripción Caso de Prueba]],3,0)</f>
        <v>Proceso - Elaboración de Campaña Publicitaria de Imagen Institucional</v>
      </c>
      <c r="D180" s="34" t="str">
        <f>VLOOKUP(Observaciones[Caso de Prueba],CasoPrueba[[#All],[Código CP]:[Prioridad]],7,TRUE)</f>
        <v>Alta</v>
      </c>
      <c r="E180" s="34" t="s">
        <v>29</v>
      </c>
      <c r="F180" s="34" t="s">
        <v>49</v>
      </c>
      <c r="G180" s="73">
        <v>40826</v>
      </c>
      <c r="H180" s="73">
        <v>40831</v>
      </c>
      <c r="I180" s="94" t="s">
        <v>132</v>
      </c>
      <c r="J180" s="34" t="s">
        <v>637</v>
      </c>
      <c r="K180" s="34" t="s">
        <v>847</v>
      </c>
      <c r="L180" s="34">
        <f>IF((Observaciones[[#This Row],[Fecha Levantamiento]]-Observaciones[[#This Row],[Fecha Detección]])&gt;=0,Observaciones[[#This Row],[Fecha Levantamiento]]-Observaciones[[#This Row],[Fecha Detección]]+1,0)</f>
        <v>6</v>
      </c>
      <c r="M180" s="34" t="str">
        <f>LOOKUP(Observaciones[[#This Row],[Caso de Prueba]],CasoPrueba[Código CP],CasoPrueba[Código de REQ])</f>
        <v>INSPECCIÓN</v>
      </c>
    </row>
    <row r="181" spans="1:13" ht="45" hidden="1">
      <c r="A181" s="166" t="s">
        <v>548</v>
      </c>
      <c r="B181" s="34" t="s">
        <v>616</v>
      </c>
      <c r="C181" s="34" t="str">
        <f>VLOOKUP(Observaciones[[#This Row],[Caso de Prueba]],CasoPrueba[[Código CP]:[Descripción Caso de Prueba]],3,0)</f>
        <v>Proceso - Elaboración de Campaña Publicitaria de Imagen Institucional</v>
      </c>
      <c r="D181" s="34" t="str">
        <f>VLOOKUP(Observaciones[Caso de Prueba],CasoPrueba[[#All],[Código CP]:[Prioridad]],7,TRUE)</f>
        <v>Alta</v>
      </c>
      <c r="E181" s="34" t="s">
        <v>30</v>
      </c>
      <c r="F181" s="34" t="s">
        <v>49</v>
      </c>
      <c r="G181" s="73">
        <v>40826</v>
      </c>
      <c r="H181" s="73">
        <v>40831</v>
      </c>
      <c r="I181" s="94" t="s">
        <v>132</v>
      </c>
      <c r="J181" s="34" t="s">
        <v>638</v>
      </c>
      <c r="K181" s="34" t="s">
        <v>848</v>
      </c>
      <c r="L181" s="34">
        <f>IF((Observaciones[[#This Row],[Fecha Levantamiento]]-Observaciones[[#This Row],[Fecha Detección]])&gt;=0,Observaciones[[#This Row],[Fecha Levantamiento]]-Observaciones[[#This Row],[Fecha Detección]]+1,0)</f>
        <v>6</v>
      </c>
      <c r="M181" s="34" t="str">
        <f>LOOKUP(Observaciones[[#This Row],[Caso de Prueba]],CasoPrueba[Código CP],CasoPrueba[Código de REQ])</f>
        <v>INSPECCIÓN</v>
      </c>
    </row>
    <row r="182" spans="1:13" ht="43.5" hidden="1" customHeight="1">
      <c r="A182" s="166" t="s">
        <v>549</v>
      </c>
      <c r="B182" s="34" t="s">
        <v>616</v>
      </c>
      <c r="C182" s="34" t="str">
        <f>VLOOKUP(Observaciones[[#This Row],[Caso de Prueba]],CasoPrueba[[Código CP]:[Descripción Caso de Prueba]],3,0)</f>
        <v>Proceso - Elaboración de Campaña Publicitaria de Imagen Institucional</v>
      </c>
      <c r="D182" s="34" t="str">
        <f>VLOOKUP(Observaciones[Caso de Prueba],CasoPrueba[[#All],[Código CP]:[Prioridad]],7,TRUE)</f>
        <v>Alta</v>
      </c>
      <c r="E182" s="34" t="s">
        <v>30</v>
      </c>
      <c r="F182" s="34" t="s">
        <v>49</v>
      </c>
      <c r="G182" s="73">
        <v>40826</v>
      </c>
      <c r="H182" s="73">
        <v>40831</v>
      </c>
      <c r="I182" s="94" t="s">
        <v>132</v>
      </c>
      <c r="J182" s="34" t="s">
        <v>639</v>
      </c>
      <c r="K182" s="34" t="s">
        <v>849</v>
      </c>
      <c r="L182" s="34">
        <f>IF((Observaciones[[#This Row],[Fecha Levantamiento]]-Observaciones[[#This Row],[Fecha Detección]])&gt;=0,Observaciones[[#This Row],[Fecha Levantamiento]]-Observaciones[[#This Row],[Fecha Detección]]+1,0)</f>
        <v>6</v>
      </c>
      <c r="M182" s="34" t="str">
        <f>LOOKUP(Observaciones[[#This Row],[Caso de Prueba]],CasoPrueba[Código CP],CasoPrueba[Código de REQ])</f>
        <v>INSPECCIÓN</v>
      </c>
    </row>
    <row r="183" spans="1:13" ht="30" hidden="1">
      <c r="A183" s="166" t="s">
        <v>550</v>
      </c>
      <c r="B183" s="34" t="s">
        <v>616</v>
      </c>
      <c r="C183" s="34" t="str">
        <f>VLOOKUP(Observaciones[[#This Row],[Caso de Prueba]],CasoPrueba[[Código CP]:[Descripción Caso de Prueba]],3,0)</f>
        <v>Proceso - Elaboración de Campaña Publicitaria de Imagen Institucional</v>
      </c>
      <c r="D183" s="34" t="str">
        <f>VLOOKUP(Observaciones[Caso de Prueba],CasoPrueba[[#All],[Código CP]:[Prioridad]],7,TRUE)</f>
        <v>Alta</v>
      </c>
      <c r="E183" s="34" t="s">
        <v>29</v>
      </c>
      <c r="F183" s="34" t="s">
        <v>49</v>
      </c>
      <c r="G183" s="73">
        <v>40828</v>
      </c>
      <c r="H183" s="73">
        <v>40831</v>
      </c>
      <c r="I183" s="94" t="s">
        <v>132</v>
      </c>
      <c r="J183" s="34" t="s">
        <v>640</v>
      </c>
      <c r="K183" s="34" t="s">
        <v>850</v>
      </c>
      <c r="L183" s="34">
        <f>IF((Observaciones[[#This Row],[Fecha Levantamiento]]-Observaciones[[#This Row],[Fecha Detección]])&gt;=0,Observaciones[[#This Row],[Fecha Levantamiento]]-Observaciones[[#This Row],[Fecha Detección]]+1,0)</f>
        <v>4</v>
      </c>
      <c r="M183" s="34" t="str">
        <f>LOOKUP(Observaciones[[#This Row],[Caso de Prueba]],CasoPrueba[Código CP],CasoPrueba[Código de REQ])</f>
        <v>INSPECCIÓN</v>
      </c>
    </row>
    <row r="184" spans="1:13" ht="64.5" hidden="1" customHeight="1">
      <c r="A184" s="166" t="s">
        <v>551</v>
      </c>
      <c r="B184" s="34" t="s">
        <v>617</v>
      </c>
      <c r="C184" s="34" t="str">
        <f>VLOOKUP(Observaciones[[#This Row],[Caso de Prueba]],CasoPrueba[[Código CP]:[Descripción Caso de Prueba]],3,0)</f>
        <v>Proceso - Emisión de Cartas</v>
      </c>
      <c r="D184" s="34" t="str">
        <f>VLOOKUP(Observaciones[Caso de Prueba],CasoPrueba[[#All],[Código CP]:[Prioridad]],7,TRUE)</f>
        <v>Alta</v>
      </c>
      <c r="E184" s="34" t="s">
        <v>29</v>
      </c>
      <c r="F184" s="34" t="s">
        <v>49</v>
      </c>
      <c r="G184" s="73">
        <v>40828</v>
      </c>
      <c r="H184" s="73">
        <v>40831</v>
      </c>
      <c r="I184" s="94" t="s">
        <v>132</v>
      </c>
      <c r="J184" s="34" t="s">
        <v>597</v>
      </c>
      <c r="K184" s="34" t="s">
        <v>830</v>
      </c>
      <c r="L184" s="34">
        <f>IF((Observaciones[[#This Row],[Fecha Levantamiento]]-Observaciones[[#This Row],[Fecha Detección]])&gt;=0,Observaciones[[#This Row],[Fecha Levantamiento]]-Observaciones[[#This Row],[Fecha Detección]]+1,0)</f>
        <v>4</v>
      </c>
      <c r="M184" s="34" t="str">
        <f>LOOKUP(Observaciones[[#This Row],[Caso de Prueba]],CasoPrueba[Código CP],CasoPrueba[Código de REQ])</f>
        <v>INSPECCIÓN</v>
      </c>
    </row>
    <row r="185" spans="1:13" ht="45" hidden="1">
      <c r="A185" s="166" t="s">
        <v>552</v>
      </c>
      <c r="B185" s="34" t="s">
        <v>617</v>
      </c>
      <c r="C185" s="34" t="str">
        <f>VLOOKUP(Observaciones[[#This Row],[Caso de Prueba]],CasoPrueba[[Código CP]:[Descripción Caso de Prueba]],3,0)</f>
        <v>Proceso - Emisión de Cartas</v>
      </c>
      <c r="D185" s="34" t="str">
        <f>VLOOKUP(Observaciones[Caso de Prueba],CasoPrueba[[#All],[Código CP]:[Prioridad]],7,TRUE)</f>
        <v>Alta</v>
      </c>
      <c r="E185" s="34" t="s">
        <v>162</v>
      </c>
      <c r="F185" s="34" t="s">
        <v>49</v>
      </c>
      <c r="G185" s="73">
        <v>40828</v>
      </c>
      <c r="H185" s="73">
        <v>40831</v>
      </c>
      <c r="I185" s="94" t="s">
        <v>132</v>
      </c>
      <c r="J185" s="34" t="s">
        <v>641</v>
      </c>
      <c r="K185" s="34" t="s">
        <v>851</v>
      </c>
      <c r="L185" s="34">
        <f>IF((Observaciones[[#This Row],[Fecha Levantamiento]]-Observaciones[[#This Row],[Fecha Detección]])&gt;=0,Observaciones[[#This Row],[Fecha Levantamiento]]-Observaciones[[#This Row],[Fecha Detección]]+1,0)</f>
        <v>4</v>
      </c>
      <c r="M185" s="34" t="str">
        <f>LOOKUP(Observaciones[[#This Row],[Caso de Prueba]],CasoPrueba[Código CP],CasoPrueba[Código de REQ])</f>
        <v>INSPECCIÓN</v>
      </c>
    </row>
    <row r="186" spans="1:13" ht="30" hidden="1">
      <c r="A186" s="166" t="s">
        <v>553</v>
      </c>
      <c r="B186" s="34" t="s">
        <v>617</v>
      </c>
      <c r="C186" s="34" t="str">
        <f>VLOOKUP(Observaciones[[#This Row],[Caso de Prueba]],CasoPrueba[[Código CP]:[Descripción Caso de Prueba]],3,0)</f>
        <v>Proceso - Emisión de Cartas</v>
      </c>
      <c r="D186" s="34" t="str">
        <f>VLOOKUP(Observaciones[Caso de Prueba],CasoPrueba[[#All],[Código CP]:[Prioridad]],7,TRUE)</f>
        <v>Alta</v>
      </c>
      <c r="E186" s="34" t="s">
        <v>29</v>
      </c>
      <c r="F186" s="34" t="s">
        <v>49</v>
      </c>
      <c r="G186" s="73">
        <v>40828</v>
      </c>
      <c r="H186" s="73">
        <v>40831</v>
      </c>
      <c r="I186" s="94" t="s">
        <v>132</v>
      </c>
      <c r="J186" s="34" t="s">
        <v>644</v>
      </c>
      <c r="K186" s="34" t="s">
        <v>852</v>
      </c>
      <c r="L186" s="34">
        <f>IF((Observaciones[[#This Row],[Fecha Levantamiento]]-Observaciones[[#This Row],[Fecha Detección]])&gt;=0,Observaciones[[#This Row],[Fecha Levantamiento]]-Observaciones[[#This Row],[Fecha Detección]]+1,0)</f>
        <v>4</v>
      </c>
      <c r="M186" s="34" t="str">
        <f>LOOKUP(Observaciones[[#This Row],[Caso de Prueba]],CasoPrueba[Código CP],CasoPrueba[Código de REQ])</f>
        <v>INSPECCIÓN</v>
      </c>
    </row>
    <row r="187" spans="1:13" ht="45" hidden="1">
      <c r="A187" s="166" t="s">
        <v>554</v>
      </c>
      <c r="B187" s="34" t="s">
        <v>617</v>
      </c>
      <c r="C187" s="34" t="str">
        <f>VLOOKUP(Observaciones[[#This Row],[Caso de Prueba]],CasoPrueba[[Código CP]:[Descripción Caso de Prueba]],3,0)</f>
        <v>Proceso - Emisión de Cartas</v>
      </c>
      <c r="D187" s="34" t="str">
        <f>VLOOKUP(Observaciones[Caso de Prueba],CasoPrueba[[#All],[Código CP]:[Prioridad]],7,TRUE)</f>
        <v>Alta</v>
      </c>
      <c r="E187" s="34" t="s">
        <v>29</v>
      </c>
      <c r="F187" s="34" t="s">
        <v>49</v>
      </c>
      <c r="G187" s="73">
        <v>40828</v>
      </c>
      <c r="H187" s="73">
        <v>40831</v>
      </c>
      <c r="I187" s="94" t="s">
        <v>132</v>
      </c>
      <c r="J187" s="34" t="s">
        <v>642</v>
      </c>
      <c r="K187" s="34" t="s">
        <v>853</v>
      </c>
      <c r="L187" s="34">
        <f>IF((Observaciones[[#This Row],[Fecha Levantamiento]]-Observaciones[[#This Row],[Fecha Detección]])&gt;=0,Observaciones[[#This Row],[Fecha Levantamiento]]-Observaciones[[#This Row],[Fecha Detección]]+1,0)</f>
        <v>4</v>
      </c>
      <c r="M187" s="34" t="str">
        <f>LOOKUP(Observaciones[[#This Row],[Caso de Prueba]],CasoPrueba[Código CP],CasoPrueba[Código de REQ])</f>
        <v>INSPECCIÓN</v>
      </c>
    </row>
    <row r="188" spans="1:13" ht="57" hidden="1" customHeight="1">
      <c r="A188" s="166" t="s">
        <v>555</v>
      </c>
      <c r="B188" s="34" t="s">
        <v>617</v>
      </c>
      <c r="C188" s="34" t="str">
        <f>VLOOKUP(Observaciones[[#This Row],[Caso de Prueba]],CasoPrueba[[Código CP]:[Descripción Caso de Prueba]],3,0)</f>
        <v>Proceso - Emisión de Cartas</v>
      </c>
      <c r="D188" s="34" t="str">
        <f>VLOOKUP(Observaciones[Caso de Prueba],CasoPrueba[[#All],[Código CP]:[Prioridad]],7,TRUE)</f>
        <v>Alta</v>
      </c>
      <c r="E188" s="34" t="s">
        <v>29</v>
      </c>
      <c r="F188" s="34" t="s">
        <v>49</v>
      </c>
      <c r="G188" s="73">
        <v>40828</v>
      </c>
      <c r="H188" s="73">
        <v>40831</v>
      </c>
      <c r="I188" s="94" t="s">
        <v>132</v>
      </c>
      <c r="J188" s="34" t="s">
        <v>643</v>
      </c>
      <c r="K188" s="34" t="s">
        <v>854</v>
      </c>
      <c r="L188" s="34">
        <f>IF((Observaciones[[#This Row],[Fecha Levantamiento]]-Observaciones[[#This Row],[Fecha Detección]])&gt;=0,Observaciones[[#This Row],[Fecha Levantamiento]]-Observaciones[[#This Row],[Fecha Detección]]+1,0)</f>
        <v>4</v>
      </c>
      <c r="M188" s="34" t="str">
        <f>LOOKUP(Observaciones[[#This Row],[Caso de Prueba]],CasoPrueba[Código CP],CasoPrueba[Código de REQ])</f>
        <v>INSPECCIÓN</v>
      </c>
    </row>
    <row r="189" spans="1:13" ht="30" hidden="1">
      <c r="A189" s="166" t="s">
        <v>556</v>
      </c>
      <c r="B189" s="34" t="s">
        <v>617</v>
      </c>
      <c r="C189" s="34" t="str">
        <f>VLOOKUP(Observaciones[[#This Row],[Caso de Prueba]],CasoPrueba[[Código CP]:[Descripción Caso de Prueba]],3,0)</f>
        <v>Proceso - Emisión de Cartas</v>
      </c>
      <c r="D189" s="34" t="str">
        <f>VLOOKUP(Observaciones[Caso de Prueba],CasoPrueba[[#All],[Código CP]:[Prioridad]],7,TRUE)</f>
        <v>Alta</v>
      </c>
      <c r="E189" s="34" t="s">
        <v>29</v>
      </c>
      <c r="F189" s="34" t="s">
        <v>49</v>
      </c>
      <c r="G189" s="73">
        <v>40828</v>
      </c>
      <c r="H189" s="73">
        <v>40831</v>
      </c>
      <c r="I189" s="94" t="s">
        <v>132</v>
      </c>
      <c r="J189" s="34" t="s">
        <v>645</v>
      </c>
      <c r="K189" s="34" t="s">
        <v>855</v>
      </c>
      <c r="L189" s="34">
        <f>IF((Observaciones[[#This Row],[Fecha Levantamiento]]-Observaciones[[#This Row],[Fecha Detección]])&gt;=0,Observaciones[[#This Row],[Fecha Levantamiento]]-Observaciones[[#This Row],[Fecha Detección]]+1,0)</f>
        <v>4</v>
      </c>
      <c r="M189" s="34" t="str">
        <f>LOOKUP(Observaciones[[#This Row],[Caso de Prueba]],CasoPrueba[Código CP],CasoPrueba[Código de REQ])</f>
        <v>INSPECCIÓN</v>
      </c>
    </row>
    <row r="190" spans="1:13" ht="45" hidden="1">
      <c r="A190" s="166" t="s">
        <v>557</v>
      </c>
      <c r="B190" s="34" t="s">
        <v>618</v>
      </c>
      <c r="C190" s="34" t="str">
        <f>VLOOKUP(Observaciones[[#This Row],[Caso de Prueba]],CasoPrueba[[Código CP]:[Descripción Caso de Prueba]],3,0)</f>
        <v>Proceso - Emisión y Declaración de Certificados de Donación</v>
      </c>
      <c r="D190" s="34" t="str">
        <f>VLOOKUP(Observaciones[Caso de Prueba],CasoPrueba[[#All],[Código CP]:[Prioridad]],7,TRUE)</f>
        <v>Alta</v>
      </c>
      <c r="E190" s="34" t="s">
        <v>29</v>
      </c>
      <c r="F190" s="34" t="s">
        <v>49</v>
      </c>
      <c r="G190" s="73">
        <v>40828</v>
      </c>
      <c r="H190" s="73">
        <v>40831</v>
      </c>
      <c r="I190" s="94" t="s">
        <v>132</v>
      </c>
      <c r="J190" s="34" t="s">
        <v>597</v>
      </c>
      <c r="K190" s="34" t="s">
        <v>830</v>
      </c>
      <c r="L190" s="34">
        <f>IF((Observaciones[[#This Row],[Fecha Levantamiento]]-Observaciones[[#This Row],[Fecha Detección]])&gt;=0,Observaciones[[#This Row],[Fecha Levantamiento]]-Observaciones[[#This Row],[Fecha Detección]]+1,0)</f>
        <v>4</v>
      </c>
      <c r="M190" s="34" t="str">
        <f>LOOKUP(Observaciones[[#This Row],[Caso de Prueba]],CasoPrueba[Código CP],CasoPrueba[Código de REQ])</f>
        <v>INSPECCIÓN</v>
      </c>
    </row>
    <row r="191" spans="1:13" ht="45" hidden="1">
      <c r="A191" s="166" t="s">
        <v>558</v>
      </c>
      <c r="B191" s="34" t="s">
        <v>618</v>
      </c>
      <c r="C191" s="34" t="str">
        <f>VLOOKUP(Observaciones[[#This Row],[Caso de Prueba]],CasoPrueba[[Código CP]:[Descripción Caso de Prueba]],3,0)</f>
        <v>Proceso - Emisión y Declaración de Certificados de Donación</v>
      </c>
      <c r="D191" s="34" t="str">
        <f>VLOOKUP(Observaciones[Caso de Prueba],CasoPrueba[[#All],[Código CP]:[Prioridad]],7,TRUE)</f>
        <v>Alta</v>
      </c>
      <c r="E191" s="34" t="s">
        <v>30</v>
      </c>
      <c r="F191" s="34" t="s">
        <v>49</v>
      </c>
      <c r="G191" s="73">
        <v>40828</v>
      </c>
      <c r="H191" s="73">
        <v>40831</v>
      </c>
      <c r="I191" s="94" t="s">
        <v>132</v>
      </c>
      <c r="J191" s="34" t="s">
        <v>646</v>
      </c>
      <c r="K191" s="34" t="s">
        <v>856</v>
      </c>
      <c r="L191" s="34">
        <f>IF((Observaciones[[#This Row],[Fecha Levantamiento]]-Observaciones[[#This Row],[Fecha Detección]])&gt;=0,Observaciones[[#This Row],[Fecha Levantamiento]]-Observaciones[[#This Row],[Fecha Detección]]+1,0)</f>
        <v>4</v>
      </c>
      <c r="M191" s="34" t="str">
        <f>LOOKUP(Observaciones[[#This Row],[Caso de Prueba]],CasoPrueba[Código CP],CasoPrueba[Código de REQ])</f>
        <v>INSPECCIÓN</v>
      </c>
    </row>
    <row r="192" spans="1:13" ht="45" hidden="1">
      <c r="A192" s="166" t="s">
        <v>559</v>
      </c>
      <c r="B192" s="34" t="s">
        <v>618</v>
      </c>
      <c r="C192" s="34" t="str">
        <f>VLOOKUP(Observaciones[[#This Row],[Caso de Prueba]],CasoPrueba[[Código CP]:[Descripción Caso de Prueba]],3,0)</f>
        <v>Proceso - Emisión y Declaración de Certificados de Donación</v>
      </c>
      <c r="D192" s="34" t="str">
        <f>VLOOKUP(Observaciones[Caso de Prueba],CasoPrueba[[#All],[Código CP]:[Prioridad]],7,TRUE)</f>
        <v>Alta</v>
      </c>
      <c r="E192" s="34" t="s">
        <v>29</v>
      </c>
      <c r="F192" s="34" t="s">
        <v>49</v>
      </c>
      <c r="G192" s="73">
        <v>40828</v>
      </c>
      <c r="H192" s="73">
        <v>40831</v>
      </c>
      <c r="I192" s="94" t="s">
        <v>132</v>
      </c>
      <c r="J192" s="34" t="s">
        <v>648</v>
      </c>
      <c r="K192" s="34" t="s">
        <v>468</v>
      </c>
      <c r="L192" s="34">
        <f>IF((Observaciones[[#This Row],[Fecha Levantamiento]]-Observaciones[[#This Row],[Fecha Detección]])&gt;=0,Observaciones[[#This Row],[Fecha Levantamiento]]-Observaciones[[#This Row],[Fecha Detección]]+1,0)</f>
        <v>4</v>
      </c>
      <c r="M192" s="34" t="str">
        <f>LOOKUP(Observaciones[[#This Row],[Caso de Prueba]],CasoPrueba[Código CP],CasoPrueba[Código de REQ])</f>
        <v>INSPECCIÓN</v>
      </c>
    </row>
    <row r="193" spans="1:13" ht="60" hidden="1">
      <c r="A193" s="166" t="s">
        <v>560</v>
      </c>
      <c r="B193" s="34" t="s">
        <v>618</v>
      </c>
      <c r="C193" s="34" t="str">
        <f>VLOOKUP(Observaciones[[#This Row],[Caso de Prueba]],CasoPrueba[[Código CP]:[Descripción Caso de Prueba]],3,0)</f>
        <v>Proceso - Emisión y Declaración de Certificados de Donación</v>
      </c>
      <c r="D193" s="34" t="str">
        <f>VLOOKUP(Observaciones[Caso de Prueba],CasoPrueba[[#All],[Código CP]:[Prioridad]],7,TRUE)</f>
        <v>Alta</v>
      </c>
      <c r="E193" s="34" t="s">
        <v>28</v>
      </c>
      <c r="F193" s="34" t="s">
        <v>49</v>
      </c>
      <c r="G193" s="73">
        <v>40828</v>
      </c>
      <c r="H193" s="73">
        <v>40831</v>
      </c>
      <c r="I193" s="94" t="s">
        <v>132</v>
      </c>
      <c r="J193" s="34" t="s">
        <v>649</v>
      </c>
      <c r="K193" s="34" t="s">
        <v>857</v>
      </c>
      <c r="L193" s="34">
        <f>IF((Observaciones[[#This Row],[Fecha Levantamiento]]-Observaciones[[#This Row],[Fecha Detección]])&gt;=0,Observaciones[[#This Row],[Fecha Levantamiento]]-Observaciones[[#This Row],[Fecha Detección]]+1,0)</f>
        <v>4</v>
      </c>
      <c r="M193" s="34" t="str">
        <f>LOOKUP(Observaciones[[#This Row],[Caso de Prueba]],CasoPrueba[Código CP],CasoPrueba[Código de REQ])</f>
        <v>INSPECCIÓN</v>
      </c>
    </row>
    <row r="194" spans="1:13" ht="45" hidden="1">
      <c r="A194" s="166" t="s">
        <v>561</v>
      </c>
      <c r="B194" s="34" t="s">
        <v>619</v>
      </c>
      <c r="C194" s="34" t="str">
        <f>VLOOKUP(Observaciones[[#This Row],[Caso de Prueba]],CasoPrueba[[Código CP]:[Descripción Caso de Prueba]],3,0)</f>
        <v>Proceso - Recepción de Donaciones</v>
      </c>
      <c r="D194" s="34" t="str">
        <f>VLOOKUP(Observaciones[Caso de Prueba],CasoPrueba[[#All],[Código CP]:[Prioridad]],7,TRUE)</f>
        <v>Alta</v>
      </c>
      <c r="E194" s="34" t="s">
        <v>29</v>
      </c>
      <c r="F194" s="34" t="s">
        <v>49</v>
      </c>
      <c r="G194" s="73">
        <v>40828</v>
      </c>
      <c r="H194" s="73">
        <v>40831</v>
      </c>
      <c r="I194" s="94" t="s">
        <v>132</v>
      </c>
      <c r="J194" s="34" t="s">
        <v>597</v>
      </c>
      <c r="K194" s="34" t="s">
        <v>830</v>
      </c>
      <c r="L194" s="34">
        <f>IF((Observaciones[[#This Row],[Fecha Levantamiento]]-Observaciones[[#This Row],[Fecha Detección]])&gt;=0,Observaciones[[#This Row],[Fecha Levantamiento]]-Observaciones[[#This Row],[Fecha Detección]]+1,0)</f>
        <v>4</v>
      </c>
      <c r="M194" s="34" t="str">
        <f>LOOKUP(Observaciones[[#This Row],[Caso de Prueba]],CasoPrueba[Código CP],CasoPrueba[Código de REQ])</f>
        <v>INSPECCIÓN</v>
      </c>
    </row>
    <row r="195" spans="1:13" ht="30" hidden="1">
      <c r="A195" s="166" t="s">
        <v>562</v>
      </c>
      <c r="B195" s="34" t="s">
        <v>619</v>
      </c>
      <c r="C195" s="34" t="str">
        <f>VLOOKUP(Observaciones[[#This Row],[Caso de Prueba]],CasoPrueba[[Código CP]:[Descripción Caso de Prueba]],3,0)</f>
        <v>Proceso - Recepción de Donaciones</v>
      </c>
      <c r="D195" s="34" t="str">
        <f>VLOOKUP(Observaciones[Caso de Prueba],CasoPrueba[[#All],[Código CP]:[Prioridad]],7,TRUE)</f>
        <v>Alta</v>
      </c>
      <c r="E195" s="34" t="s">
        <v>162</v>
      </c>
      <c r="F195" s="34" t="s">
        <v>49</v>
      </c>
      <c r="G195" s="73">
        <v>40828</v>
      </c>
      <c r="H195" s="73">
        <v>40831</v>
      </c>
      <c r="I195" s="94" t="s">
        <v>132</v>
      </c>
      <c r="J195" s="34" t="s">
        <v>647</v>
      </c>
      <c r="K195" s="34" t="s">
        <v>386</v>
      </c>
      <c r="L195" s="34">
        <f>IF((Observaciones[[#This Row],[Fecha Levantamiento]]-Observaciones[[#This Row],[Fecha Detección]])&gt;=0,Observaciones[[#This Row],[Fecha Levantamiento]]-Observaciones[[#This Row],[Fecha Detección]]+1,0)</f>
        <v>4</v>
      </c>
      <c r="M195" s="34" t="str">
        <f>LOOKUP(Observaciones[[#This Row],[Caso de Prueba]],CasoPrueba[Código CP],CasoPrueba[Código de REQ])</f>
        <v>INSPECCIÓN</v>
      </c>
    </row>
    <row r="196" spans="1:13" ht="60" hidden="1">
      <c r="A196" s="166" t="s">
        <v>563</v>
      </c>
      <c r="B196" s="34" t="s">
        <v>619</v>
      </c>
      <c r="C196" s="34" t="str">
        <f>VLOOKUP(Observaciones[[#This Row],[Caso de Prueba]],CasoPrueba[[Código CP]:[Descripción Caso de Prueba]],3,0)</f>
        <v>Proceso - Recepción de Donaciones</v>
      </c>
      <c r="D196" s="34" t="str">
        <f>VLOOKUP(Observaciones[Caso de Prueba],CasoPrueba[[#All],[Código CP]:[Prioridad]],7,TRUE)</f>
        <v>Alta</v>
      </c>
      <c r="E196" s="34" t="s">
        <v>28</v>
      </c>
      <c r="F196" s="34" t="s">
        <v>49</v>
      </c>
      <c r="G196" s="73">
        <v>40828</v>
      </c>
      <c r="H196" s="73">
        <v>40831</v>
      </c>
      <c r="I196" s="94" t="s">
        <v>132</v>
      </c>
      <c r="J196" s="34" t="s">
        <v>650</v>
      </c>
      <c r="K196" s="34" t="s">
        <v>857</v>
      </c>
      <c r="L196" s="34">
        <f>IF((Observaciones[[#This Row],[Fecha Levantamiento]]-Observaciones[[#This Row],[Fecha Detección]])&gt;=0,Observaciones[[#This Row],[Fecha Levantamiento]]-Observaciones[[#This Row],[Fecha Detección]]+1,0)</f>
        <v>4</v>
      </c>
      <c r="M196" s="34" t="str">
        <f>LOOKUP(Observaciones[[#This Row],[Caso de Prueba]],CasoPrueba[Código CP],CasoPrueba[Código de REQ])</f>
        <v>INSPECCIÓN</v>
      </c>
    </row>
    <row r="197" spans="1:13" ht="30" hidden="1">
      <c r="A197" s="166" t="s">
        <v>564</v>
      </c>
      <c r="B197" s="34" t="s">
        <v>619</v>
      </c>
      <c r="C197" s="34" t="str">
        <f>VLOOKUP(Observaciones[[#This Row],[Caso de Prueba]],CasoPrueba[[Código CP]:[Descripción Caso de Prueba]],3,0)</f>
        <v>Proceso - Recepción de Donaciones</v>
      </c>
      <c r="D197" s="34" t="str">
        <f>VLOOKUP(Observaciones[Caso de Prueba],CasoPrueba[[#All],[Código CP]:[Prioridad]],7,TRUE)</f>
        <v>Alta</v>
      </c>
      <c r="E197" s="34" t="s">
        <v>29</v>
      </c>
      <c r="F197" s="34" t="s">
        <v>49</v>
      </c>
      <c r="G197" s="73">
        <v>40828</v>
      </c>
      <c r="H197" s="73">
        <v>40831</v>
      </c>
      <c r="I197" s="94" t="s">
        <v>132</v>
      </c>
      <c r="J197" s="34" t="s">
        <v>651</v>
      </c>
      <c r="K197" s="34" t="s">
        <v>858</v>
      </c>
      <c r="L197" s="34">
        <f>IF((Observaciones[[#This Row],[Fecha Levantamiento]]-Observaciones[[#This Row],[Fecha Detección]])&gt;=0,Observaciones[[#This Row],[Fecha Levantamiento]]-Observaciones[[#This Row],[Fecha Detección]]+1,0)</f>
        <v>4</v>
      </c>
      <c r="M197" s="34" t="str">
        <f>LOOKUP(Observaciones[[#This Row],[Caso de Prueba]],CasoPrueba[Código CP],CasoPrueba[Código de REQ])</f>
        <v>INSPECCIÓN</v>
      </c>
    </row>
    <row r="198" spans="1:13" ht="90" hidden="1">
      <c r="A198" s="166" t="s">
        <v>565</v>
      </c>
      <c r="B198" s="34" t="s">
        <v>619</v>
      </c>
      <c r="C198" s="34" t="str">
        <f>VLOOKUP(Observaciones[[#This Row],[Caso de Prueba]],CasoPrueba[[Código CP]:[Descripción Caso de Prueba]],3,0)</f>
        <v>Proceso - Recepción de Donaciones</v>
      </c>
      <c r="D198" s="34" t="str">
        <f>VLOOKUP(Observaciones[Caso de Prueba],CasoPrueba[[#All],[Código CP]:[Prioridad]],7,TRUE)</f>
        <v>Alta</v>
      </c>
      <c r="E198" s="34" t="s">
        <v>29</v>
      </c>
      <c r="F198" s="34" t="s">
        <v>49</v>
      </c>
      <c r="G198" s="73">
        <v>40828</v>
      </c>
      <c r="H198" s="73">
        <v>40831</v>
      </c>
      <c r="I198" s="94" t="s">
        <v>132</v>
      </c>
      <c r="J198" s="34" t="s">
        <v>599</v>
      </c>
      <c r="K198" s="34" t="s">
        <v>817</v>
      </c>
      <c r="L198" s="34">
        <f>IF((Observaciones[[#This Row],[Fecha Levantamiento]]-Observaciones[[#This Row],[Fecha Detección]])&gt;=0,Observaciones[[#This Row],[Fecha Levantamiento]]-Observaciones[[#This Row],[Fecha Detección]]+1,0)</f>
        <v>4</v>
      </c>
      <c r="M198" s="34" t="str">
        <f>LOOKUP(Observaciones[[#This Row],[Caso de Prueba]],CasoPrueba[Código CP],CasoPrueba[Código de REQ])</f>
        <v>INSPECCIÓN</v>
      </c>
    </row>
    <row r="199" spans="1:13" ht="45" hidden="1">
      <c r="A199" s="166" t="s">
        <v>566</v>
      </c>
      <c r="B199" s="34" t="s">
        <v>619</v>
      </c>
      <c r="C199" s="34" t="str">
        <f>VLOOKUP(Observaciones[[#This Row],[Caso de Prueba]],CasoPrueba[[Código CP]:[Descripción Caso de Prueba]],3,0)</f>
        <v>Proceso - Recepción de Donaciones</v>
      </c>
      <c r="D199" s="34" t="str">
        <f>VLOOKUP(Observaciones[Caso de Prueba],CasoPrueba[[#All],[Código CP]:[Prioridad]],7,TRUE)</f>
        <v>Alta</v>
      </c>
      <c r="E199" s="34" t="s">
        <v>162</v>
      </c>
      <c r="F199" s="34" t="s">
        <v>49</v>
      </c>
      <c r="G199" s="73">
        <v>40828</v>
      </c>
      <c r="H199" s="73">
        <v>40831</v>
      </c>
      <c r="I199" s="94" t="s">
        <v>132</v>
      </c>
      <c r="J199" s="34" t="s">
        <v>652</v>
      </c>
      <c r="K199" s="34" t="s">
        <v>823</v>
      </c>
      <c r="L199" s="34">
        <f>IF((Observaciones[[#This Row],[Fecha Levantamiento]]-Observaciones[[#This Row],[Fecha Detección]])&gt;=0,Observaciones[[#This Row],[Fecha Levantamiento]]-Observaciones[[#This Row],[Fecha Detección]]+1,0)</f>
        <v>4</v>
      </c>
      <c r="M199" s="34" t="str">
        <f>LOOKUP(Observaciones[[#This Row],[Caso de Prueba]],CasoPrueba[Código CP],CasoPrueba[Código de REQ])</f>
        <v>INSPECCIÓN</v>
      </c>
    </row>
    <row r="200" spans="1:13" ht="45" hidden="1">
      <c r="A200" s="166" t="s">
        <v>567</v>
      </c>
      <c r="B200" s="34" t="s">
        <v>653</v>
      </c>
      <c r="C200" s="34" t="str">
        <f>VLOOKUP(Observaciones[[#This Row],[Caso de Prueba]],CasoPrueba[[Código CP]:[Descripción Caso de Prueba]],3,0)</f>
        <v>MacroProceso - Gestión de Abastecimiento</v>
      </c>
      <c r="D200" s="34" t="str">
        <f>VLOOKUP(Observaciones[Caso de Prueba],CasoPrueba[[#All],[Código CP]:[Prioridad]],7,TRUE)</f>
        <v>Alta</v>
      </c>
      <c r="E200" s="34" t="s">
        <v>162</v>
      </c>
      <c r="F200" s="34" t="s">
        <v>49</v>
      </c>
      <c r="G200" s="73">
        <v>40829</v>
      </c>
      <c r="H200" s="73">
        <v>40831</v>
      </c>
      <c r="I200" s="94" t="s">
        <v>132</v>
      </c>
      <c r="J200" s="34" t="s">
        <v>803</v>
      </c>
      <c r="K200" s="34" t="s">
        <v>859</v>
      </c>
      <c r="L200" s="34">
        <f>IF((Observaciones[[#This Row],[Fecha Levantamiento]]-Observaciones[[#This Row],[Fecha Detección]])&gt;=0,Observaciones[[#This Row],[Fecha Levantamiento]]-Observaciones[[#This Row],[Fecha Detección]]+1,0)</f>
        <v>3</v>
      </c>
      <c r="M200" s="34" t="str">
        <f>LOOKUP(Observaciones[[#This Row],[Caso de Prueba]],CasoPrueba[Código CP],CasoPrueba[Código de REQ])</f>
        <v>INSPECCIÓN</v>
      </c>
    </row>
    <row r="201" spans="1:13" ht="30" hidden="1">
      <c r="A201" s="166" t="s">
        <v>568</v>
      </c>
      <c r="B201" s="34" t="s">
        <v>653</v>
      </c>
      <c r="C201" s="34" t="str">
        <f>VLOOKUP(Observaciones[[#This Row],[Caso de Prueba]],CasoPrueba[[Código CP]:[Descripción Caso de Prueba]],3,0)</f>
        <v>MacroProceso - Gestión de Abastecimiento</v>
      </c>
      <c r="D201" s="34" t="str">
        <f>VLOOKUP(Observaciones[Caso de Prueba],CasoPrueba[[#All],[Código CP]:[Prioridad]],7,TRUE)</f>
        <v>Alta</v>
      </c>
      <c r="E201" s="34" t="s">
        <v>28</v>
      </c>
      <c r="F201" s="34" t="s">
        <v>49</v>
      </c>
      <c r="G201" s="73">
        <v>40829</v>
      </c>
      <c r="H201" s="73">
        <v>40831</v>
      </c>
      <c r="I201" s="94" t="s">
        <v>132</v>
      </c>
      <c r="J201" s="34" t="s">
        <v>584</v>
      </c>
      <c r="K201" s="34" t="s">
        <v>860</v>
      </c>
      <c r="L201" s="34">
        <f>IF((Observaciones[[#This Row],[Fecha Levantamiento]]-Observaciones[[#This Row],[Fecha Detección]])&gt;=0,Observaciones[[#This Row],[Fecha Levantamiento]]-Observaciones[[#This Row],[Fecha Detección]]+1,0)</f>
        <v>3</v>
      </c>
      <c r="M201" s="34" t="str">
        <f>LOOKUP(Observaciones[[#This Row],[Caso de Prueba]],CasoPrueba[Código CP],CasoPrueba[Código de REQ])</f>
        <v>INSPECCIÓN</v>
      </c>
    </row>
    <row r="202" spans="1:13" ht="45" hidden="1">
      <c r="A202" s="166" t="s">
        <v>569</v>
      </c>
      <c r="B202" s="34" t="s">
        <v>653</v>
      </c>
      <c r="C202" s="34" t="str">
        <f>VLOOKUP(Observaciones[[#This Row],[Caso de Prueba]],CasoPrueba[[Código CP]:[Descripción Caso de Prueba]],3,0)</f>
        <v>MacroProceso - Gestión de Abastecimiento</v>
      </c>
      <c r="D202" s="34" t="str">
        <f>VLOOKUP(Observaciones[Caso de Prueba],CasoPrueba[[#All],[Código CP]:[Prioridad]],7,TRUE)</f>
        <v>Alta</v>
      </c>
      <c r="E202" s="34" t="s">
        <v>29</v>
      </c>
      <c r="F202" s="34" t="s">
        <v>49</v>
      </c>
      <c r="G202" s="73">
        <v>40829</v>
      </c>
      <c r="H202" s="73">
        <v>40831</v>
      </c>
      <c r="I202" s="94" t="s">
        <v>132</v>
      </c>
      <c r="J202" s="34" t="s">
        <v>804</v>
      </c>
      <c r="K202" s="34" t="s">
        <v>861</v>
      </c>
      <c r="L202" s="34">
        <f>IF((Observaciones[[#This Row],[Fecha Levantamiento]]-Observaciones[[#This Row],[Fecha Detección]])&gt;=0,Observaciones[[#This Row],[Fecha Levantamiento]]-Observaciones[[#This Row],[Fecha Detección]]+1,0)</f>
        <v>3</v>
      </c>
      <c r="M202" s="34" t="str">
        <f>LOOKUP(Observaciones[[#This Row],[Caso de Prueba]],CasoPrueba[Código CP],CasoPrueba[Código de REQ])</f>
        <v>INSPECCIÓN</v>
      </c>
    </row>
    <row r="203" spans="1:13" ht="30" hidden="1">
      <c r="A203" s="166" t="s">
        <v>570</v>
      </c>
      <c r="B203" s="34" t="s">
        <v>653</v>
      </c>
      <c r="C203" s="34" t="str">
        <f>VLOOKUP(Observaciones[[#This Row],[Caso de Prueba]],CasoPrueba[[Código CP]:[Descripción Caso de Prueba]],3,0)</f>
        <v>MacroProceso - Gestión de Abastecimiento</v>
      </c>
      <c r="D203" s="34" t="str">
        <f>VLOOKUP(Observaciones[Caso de Prueba],CasoPrueba[[#All],[Código CP]:[Prioridad]],7,TRUE)</f>
        <v>Alta</v>
      </c>
      <c r="E203" s="34" t="s">
        <v>29</v>
      </c>
      <c r="F203" s="34" t="s">
        <v>49</v>
      </c>
      <c r="G203" s="73">
        <v>40829</v>
      </c>
      <c r="H203" s="73">
        <v>40831</v>
      </c>
      <c r="I203" s="94" t="s">
        <v>132</v>
      </c>
      <c r="J203" s="34" t="s">
        <v>805</v>
      </c>
      <c r="K203" s="34" t="s">
        <v>862</v>
      </c>
      <c r="L203" s="34">
        <f>IF((Observaciones[[#This Row],[Fecha Levantamiento]]-Observaciones[[#This Row],[Fecha Detección]])&gt;=0,Observaciones[[#This Row],[Fecha Levantamiento]]-Observaciones[[#This Row],[Fecha Detección]]+1,0)</f>
        <v>3</v>
      </c>
      <c r="M203" s="34" t="str">
        <f>LOOKUP(Observaciones[[#This Row],[Caso de Prueba]],CasoPrueba[Código CP],CasoPrueba[Código de REQ])</f>
        <v>INSPECCIÓN</v>
      </c>
    </row>
    <row r="204" spans="1:13" ht="30" hidden="1">
      <c r="A204" s="166" t="s">
        <v>571</v>
      </c>
      <c r="B204" s="34" t="s">
        <v>653</v>
      </c>
      <c r="C204" s="34" t="str">
        <f>VLOOKUP(Observaciones[[#This Row],[Caso de Prueba]],CasoPrueba[[Código CP]:[Descripción Caso de Prueba]],3,0)</f>
        <v>MacroProceso - Gestión de Abastecimiento</v>
      </c>
      <c r="D204" s="34" t="str">
        <f>VLOOKUP(Observaciones[Caso de Prueba],CasoPrueba[[#All],[Código CP]:[Prioridad]],7,TRUE)</f>
        <v>Alta</v>
      </c>
      <c r="E204" s="34" t="s">
        <v>30</v>
      </c>
      <c r="F204" s="34" t="s">
        <v>49</v>
      </c>
      <c r="G204" s="73">
        <v>40829</v>
      </c>
      <c r="H204" s="73">
        <v>40831</v>
      </c>
      <c r="I204" s="94" t="s">
        <v>132</v>
      </c>
      <c r="J204" s="34" t="s">
        <v>806</v>
      </c>
      <c r="K204" s="34" t="s">
        <v>863</v>
      </c>
      <c r="L204" s="34">
        <f>IF((Observaciones[[#This Row],[Fecha Levantamiento]]-Observaciones[[#This Row],[Fecha Detección]])&gt;=0,Observaciones[[#This Row],[Fecha Levantamiento]]-Observaciones[[#This Row],[Fecha Detección]]+1,0)</f>
        <v>3</v>
      </c>
      <c r="M204" s="34" t="str">
        <f>LOOKUP(Observaciones[[#This Row],[Caso de Prueba]],CasoPrueba[Código CP],CasoPrueba[Código de REQ])</f>
        <v>INSPECCIÓN</v>
      </c>
    </row>
    <row r="205" spans="1:13" ht="45" hidden="1">
      <c r="A205" s="166" t="s">
        <v>572</v>
      </c>
      <c r="B205" s="34" t="s">
        <v>653</v>
      </c>
      <c r="C205" s="34" t="str">
        <f>VLOOKUP(Observaciones[[#This Row],[Caso de Prueba]],CasoPrueba[[Código CP]:[Descripción Caso de Prueba]],3,0)</f>
        <v>MacroProceso - Gestión de Abastecimiento</v>
      </c>
      <c r="D205" s="34" t="str">
        <f>VLOOKUP(Observaciones[Caso de Prueba],CasoPrueba[[#All],[Código CP]:[Prioridad]],7,TRUE)</f>
        <v>Alta</v>
      </c>
      <c r="E205" s="34" t="s">
        <v>162</v>
      </c>
      <c r="F205" s="34" t="s">
        <v>49</v>
      </c>
      <c r="G205" s="73">
        <v>40829</v>
      </c>
      <c r="H205" s="73">
        <v>40831</v>
      </c>
      <c r="I205" s="94" t="s">
        <v>132</v>
      </c>
      <c r="J205" s="34" t="s">
        <v>807</v>
      </c>
      <c r="K205" s="34" t="s">
        <v>467</v>
      </c>
      <c r="L205" s="34">
        <f>IF((Observaciones[[#This Row],[Fecha Levantamiento]]-Observaciones[[#This Row],[Fecha Detección]])&gt;=0,Observaciones[[#This Row],[Fecha Levantamiento]]-Observaciones[[#This Row],[Fecha Detección]]+1,0)</f>
        <v>3</v>
      </c>
      <c r="M205" s="34" t="str">
        <f>LOOKUP(Observaciones[[#This Row],[Caso de Prueba]],CasoPrueba[Código CP],CasoPrueba[Código de REQ])</f>
        <v>INSPECCIÓN</v>
      </c>
    </row>
    <row r="206" spans="1:13" ht="45" hidden="1">
      <c r="A206" s="166" t="s">
        <v>573</v>
      </c>
      <c r="B206" s="34" t="s">
        <v>653</v>
      </c>
      <c r="C206" s="34" t="str">
        <f>VLOOKUP(Observaciones[[#This Row],[Caso de Prueba]],CasoPrueba[[Código CP]:[Descripción Caso de Prueba]],3,0)</f>
        <v>MacroProceso - Gestión de Abastecimiento</v>
      </c>
      <c r="D206" s="34" t="str">
        <f>VLOOKUP(Observaciones[Caso de Prueba],CasoPrueba[[#All],[Código CP]:[Prioridad]],7,TRUE)</f>
        <v>Alta</v>
      </c>
      <c r="E206" s="34" t="s">
        <v>29</v>
      </c>
      <c r="F206" s="34" t="s">
        <v>49</v>
      </c>
      <c r="G206" s="73">
        <v>40829</v>
      </c>
      <c r="H206" s="73">
        <v>40831</v>
      </c>
      <c r="I206" s="94" t="s">
        <v>132</v>
      </c>
      <c r="J206" s="34" t="s">
        <v>879</v>
      </c>
      <c r="K206" s="34" t="s">
        <v>864</v>
      </c>
      <c r="L206" s="34">
        <f>IF((Observaciones[[#This Row],[Fecha Levantamiento]]-Observaciones[[#This Row],[Fecha Detección]])&gt;=0,Observaciones[[#This Row],[Fecha Levantamiento]]-Observaciones[[#This Row],[Fecha Detección]]+1,0)</f>
        <v>3</v>
      </c>
      <c r="M206" s="34" t="str">
        <f>LOOKUP(Observaciones[[#This Row],[Caso de Prueba]],CasoPrueba[Código CP],CasoPrueba[Código de REQ])</f>
        <v>INSPECCIÓN</v>
      </c>
    </row>
    <row r="207" spans="1:13" ht="30" hidden="1">
      <c r="A207" s="166" t="s">
        <v>574</v>
      </c>
      <c r="B207" s="34" t="s">
        <v>653</v>
      </c>
      <c r="C207" s="34" t="str">
        <f>VLOOKUP(Observaciones[[#This Row],[Caso de Prueba]],CasoPrueba[[Código CP]:[Descripción Caso de Prueba]],3,0)</f>
        <v>MacroProceso - Gestión de Abastecimiento</v>
      </c>
      <c r="D207" s="34" t="str">
        <f>VLOOKUP(Observaciones[Caso de Prueba],CasoPrueba[[#All],[Código CP]:[Prioridad]],7,TRUE)</f>
        <v>Alta</v>
      </c>
      <c r="E207" s="34" t="s">
        <v>29</v>
      </c>
      <c r="F207" s="34" t="s">
        <v>49</v>
      </c>
      <c r="G207" s="73">
        <v>40829</v>
      </c>
      <c r="H207" s="73">
        <v>40831</v>
      </c>
      <c r="I207" s="94" t="s">
        <v>132</v>
      </c>
      <c r="J207" s="34" t="s">
        <v>808</v>
      </c>
      <c r="K207" s="34" t="s">
        <v>865</v>
      </c>
      <c r="L207" s="34">
        <f>IF((Observaciones[[#This Row],[Fecha Levantamiento]]-Observaciones[[#This Row],[Fecha Detección]])&gt;=0,Observaciones[[#This Row],[Fecha Levantamiento]]-Observaciones[[#This Row],[Fecha Detección]]+1,0)</f>
        <v>3</v>
      </c>
      <c r="M207" s="34" t="str">
        <f>LOOKUP(Observaciones[[#This Row],[Caso de Prueba]],CasoPrueba[Código CP],CasoPrueba[Código de REQ])</f>
        <v>INSPECCIÓN</v>
      </c>
    </row>
    <row r="208" spans="1:13" ht="30" hidden="1">
      <c r="A208" s="166" t="s">
        <v>575</v>
      </c>
      <c r="B208" s="34" t="s">
        <v>653</v>
      </c>
      <c r="C208" s="34" t="str">
        <f>VLOOKUP(Observaciones[[#This Row],[Caso de Prueba]],CasoPrueba[[Código CP]:[Descripción Caso de Prueba]],3,0)</f>
        <v>MacroProceso - Gestión de Abastecimiento</v>
      </c>
      <c r="D208" s="34" t="str">
        <f>VLOOKUP(Observaciones[Caso de Prueba],CasoPrueba[[#All],[Código CP]:[Prioridad]],7,TRUE)</f>
        <v>Alta</v>
      </c>
      <c r="E208" s="34" t="s">
        <v>162</v>
      </c>
      <c r="F208" s="34" t="s">
        <v>49</v>
      </c>
      <c r="G208" s="73">
        <v>40829</v>
      </c>
      <c r="H208" s="73">
        <v>40831</v>
      </c>
      <c r="I208" s="94" t="s">
        <v>132</v>
      </c>
      <c r="J208" s="34" t="s">
        <v>809</v>
      </c>
      <c r="K208" s="34" t="s">
        <v>467</v>
      </c>
      <c r="L208" s="34">
        <f>IF((Observaciones[[#This Row],[Fecha Levantamiento]]-Observaciones[[#This Row],[Fecha Detección]])&gt;=0,Observaciones[[#This Row],[Fecha Levantamiento]]-Observaciones[[#This Row],[Fecha Detección]]+1,0)</f>
        <v>3</v>
      </c>
      <c r="M208" s="34" t="str">
        <f>LOOKUP(Observaciones[[#This Row],[Caso de Prueba]],CasoPrueba[Código CP],CasoPrueba[Código de REQ])</f>
        <v>INSPECCIÓN</v>
      </c>
    </row>
    <row r="209" spans="1:13" ht="60" hidden="1">
      <c r="A209" s="166" t="s">
        <v>576</v>
      </c>
      <c r="B209" s="34" t="s">
        <v>653</v>
      </c>
      <c r="C209" s="34" t="str">
        <f>VLOOKUP(Observaciones[[#This Row],[Caso de Prueba]],CasoPrueba[[Código CP]:[Descripción Caso de Prueba]],3,0)</f>
        <v>MacroProceso - Gestión de Abastecimiento</v>
      </c>
      <c r="D209" s="34" t="str">
        <f>VLOOKUP(Observaciones[Caso de Prueba],CasoPrueba[[#All],[Código CP]:[Prioridad]],7,TRUE)</f>
        <v>Alta</v>
      </c>
      <c r="E209" s="34" t="s">
        <v>30</v>
      </c>
      <c r="F209" s="34" t="s">
        <v>49</v>
      </c>
      <c r="G209" s="73">
        <v>40829</v>
      </c>
      <c r="H209" s="73">
        <v>40831</v>
      </c>
      <c r="I209" s="94" t="s">
        <v>132</v>
      </c>
      <c r="J209" s="34" t="s">
        <v>880</v>
      </c>
      <c r="K209" s="34" t="s">
        <v>866</v>
      </c>
      <c r="L209" s="34">
        <f>IF((Observaciones[[#This Row],[Fecha Levantamiento]]-Observaciones[[#This Row],[Fecha Detección]])&gt;=0,Observaciones[[#This Row],[Fecha Levantamiento]]-Observaciones[[#This Row],[Fecha Detección]]+1,0)</f>
        <v>3</v>
      </c>
      <c r="M209" s="34" t="str">
        <f>LOOKUP(Observaciones[[#This Row],[Caso de Prueba]],CasoPrueba[Código CP],CasoPrueba[Código de REQ])</f>
        <v>INSPECCIÓN</v>
      </c>
    </row>
    <row r="210" spans="1:13" ht="30" hidden="1">
      <c r="A210" s="166" t="s">
        <v>577</v>
      </c>
      <c r="B210" s="34" t="s">
        <v>653</v>
      </c>
      <c r="C210" s="34" t="str">
        <f>VLOOKUP(Observaciones[[#This Row],[Caso de Prueba]],CasoPrueba[[Código CP]:[Descripción Caso de Prueba]],3,0)</f>
        <v>MacroProceso - Gestión de Abastecimiento</v>
      </c>
      <c r="D210" s="34" t="str">
        <f>VLOOKUP(Observaciones[Caso de Prueba],CasoPrueba[[#All],[Código CP]:[Prioridad]],7,TRUE)</f>
        <v>Alta</v>
      </c>
      <c r="E210" s="34" t="s">
        <v>30</v>
      </c>
      <c r="F210" s="34" t="s">
        <v>49</v>
      </c>
      <c r="G210" s="73">
        <v>40829</v>
      </c>
      <c r="H210" s="73">
        <v>40831</v>
      </c>
      <c r="I210" s="94" t="s">
        <v>132</v>
      </c>
      <c r="J210" s="34" t="s">
        <v>810</v>
      </c>
      <c r="K210" s="34" t="s">
        <v>867</v>
      </c>
      <c r="L210" s="34">
        <f>IF((Observaciones[[#This Row],[Fecha Levantamiento]]-Observaciones[[#This Row],[Fecha Detección]])&gt;=0,Observaciones[[#This Row],[Fecha Levantamiento]]-Observaciones[[#This Row],[Fecha Detección]]+1,0)</f>
        <v>3</v>
      </c>
      <c r="M210" s="34" t="str">
        <f>LOOKUP(Observaciones[[#This Row],[Caso de Prueba]],CasoPrueba[Código CP],CasoPrueba[Código de REQ])</f>
        <v>INSPECCIÓN</v>
      </c>
    </row>
    <row r="211" spans="1:13" ht="30" hidden="1">
      <c r="A211" s="166" t="s">
        <v>578</v>
      </c>
      <c r="B211" s="34" t="s">
        <v>653</v>
      </c>
      <c r="C211" s="34" t="str">
        <f>VLOOKUP(Observaciones[[#This Row],[Caso de Prueba]],CasoPrueba[[Código CP]:[Descripción Caso de Prueba]],3,0)</f>
        <v>MacroProceso - Gestión de Abastecimiento</v>
      </c>
      <c r="D211" s="34" t="str">
        <f>VLOOKUP(Observaciones[Caso de Prueba],CasoPrueba[[#All],[Código CP]:[Prioridad]],7,TRUE)</f>
        <v>Alta</v>
      </c>
      <c r="E211" s="34" t="s">
        <v>162</v>
      </c>
      <c r="F211" s="34" t="s">
        <v>49</v>
      </c>
      <c r="G211" s="73">
        <v>40829</v>
      </c>
      <c r="H211" s="73">
        <v>40831</v>
      </c>
      <c r="I211" s="94" t="s">
        <v>132</v>
      </c>
      <c r="J211" s="34" t="s">
        <v>811</v>
      </c>
      <c r="K211" s="34" t="s">
        <v>467</v>
      </c>
      <c r="L211" s="34">
        <f>IF((Observaciones[[#This Row],[Fecha Levantamiento]]-Observaciones[[#This Row],[Fecha Detección]])&gt;=0,Observaciones[[#This Row],[Fecha Levantamiento]]-Observaciones[[#This Row],[Fecha Detección]]+1,0)</f>
        <v>3</v>
      </c>
      <c r="M211" s="34" t="str">
        <f>LOOKUP(Observaciones[[#This Row],[Caso de Prueba]],CasoPrueba[Código CP],CasoPrueba[Código de REQ])</f>
        <v>INSPECCIÓN</v>
      </c>
    </row>
    <row r="212" spans="1:13" ht="45" hidden="1">
      <c r="A212" s="166" t="s">
        <v>579</v>
      </c>
      <c r="B212" s="34" t="s">
        <v>654</v>
      </c>
      <c r="C212" s="34" t="str">
        <f>VLOOKUP(Observaciones[[#This Row],[Caso de Prueba]],CasoPrueba[[Código CP]:[Descripción Caso de Prueba]],3,0)</f>
        <v>Proceso - Inventariado de Talleres de Educación Técnica</v>
      </c>
      <c r="D212" s="34" t="str">
        <f>VLOOKUP(Observaciones[Caso de Prueba],CasoPrueba[[#All],[Código CP]:[Prioridad]],7,TRUE)</f>
        <v>Alta</v>
      </c>
      <c r="E212" s="34" t="s">
        <v>29</v>
      </c>
      <c r="F212" s="34" t="s">
        <v>49</v>
      </c>
      <c r="G212" s="73">
        <v>40830</v>
      </c>
      <c r="H212" s="73">
        <v>40831</v>
      </c>
      <c r="I212" s="94" t="s">
        <v>132</v>
      </c>
      <c r="J212" s="34" t="s">
        <v>597</v>
      </c>
      <c r="K212" s="34" t="s">
        <v>830</v>
      </c>
      <c r="L212" s="34">
        <f>IF((Observaciones[[#This Row],[Fecha Levantamiento]]-Observaciones[[#This Row],[Fecha Detección]])&gt;=0,Observaciones[[#This Row],[Fecha Levantamiento]]-Observaciones[[#This Row],[Fecha Detección]]+1,0)</f>
        <v>2</v>
      </c>
      <c r="M212" s="34" t="str">
        <f>LOOKUP(Observaciones[[#This Row],[Caso de Prueba]],CasoPrueba[Código CP],CasoPrueba[Código de REQ])</f>
        <v>INSPECCIÓN</v>
      </c>
    </row>
    <row r="213" spans="1:13" ht="30" hidden="1">
      <c r="A213" s="166" t="s">
        <v>580</v>
      </c>
      <c r="B213" s="34" t="s">
        <v>654</v>
      </c>
      <c r="C213" s="34" t="str">
        <f>VLOOKUP(Observaciones[[#This Row],[Caso de Prueba]],CasoPrueba[[Código CP]:[Descripción Caso de Prueba]],3,0)</f>
        <v>Proceso - Inventariado de Talleres de Educación Técnica</v>
      </c>
      <c r="D213" s="34" t="str">
        <f>VLOOKUP(Observaciones[Caso de Prueba],CasoPrueba[[#All],[Código CP]:[Prioridad]],7,TRUE)</f>
        <v>Alta</v>
      </c>
      <c r="E213" s="34" t="s">
        <v>28</v>
      </c>
      <c r="F213" s="34" t="s">
        <v>49</v>
      </c>
      <c r="G213" s="73">
        <v>40830</v>
      </c>
      <c r="H213" s="73">
        <v>40831</v>
      </c>
      <c r="I213" s="94" t="s">
        <v>132</v>
      </c>
      <c r="J213" s="34" t="s">
        <v>584</v>
      </c>
      <c r="K213" s="34" t="s">
        <v>832</v>
      </c>
      <c r="L213" s="34">
        <f>IF((Observaciones[[#This Row],[Fecha Levantamiento]]-Observaciones[[#This Row],[Fecha Detección]])&gt;=0,Observaciones[[#This Row],[Fecha Levantamiento]]-Observaciones[[#This Row],[Fecha Detección]]+1,0)</f>
        <v>2</v>
      </c>
      <c r="M213" s="34" t="str">
        <f>LOOKUP(Observaciones[[#This Row],[Caso de Prueba]],CasoPrueba[Código CP],CasoPrueba[Código de REQ])</f>
        <v>INSPECCIÓN</v>
      </c>
    </row>
    <row r="214" spans="1:13" ht="45" hidden="1">
      <c r="A214" s="166" t="s">
        <v>581</v>
      </c>
      <c r="B214" s="34" t="s">
        <v>654</v>
      </c>
      <c r="C214" s="34" t="str">
        <f>VLOOKUP(Observaciones[[#This Row],[Caso de Prueba]],CasoPrueba[[Código CP]:[Descripción Caso de Prueba]],3,0)</f>
        <v>Proceso - Inventariado de Talleres de Educación Técnica</v>
      </c>
      <c r="D214" s="34" t="str">
        <f>VLOOKUP(Observaciones[Caso de Prueba],CasoPrueba[[#All],[Código CP]:[Prioridad]],7,TRUE)</f>
        <v>Alta</v>
      </c>
      <c r="E214" s="34" t="s">
        <v>29</v>
      </c>
      <c r="F214" s="34" t="s">
        <v>49</v>
      </c>
      <c r="G214" s="73">
        <v>40830</v>
      </c>
      <c r="H214" s="73">
        <v>40831</v>
      </c>
      <c r="I214" s="94" t="s">
        <v>132</v>
      </c>
      <c r="J214" s="34" t="s">
        <v>812</v>
      </c>
      <c r="K214" s="34" t="s">
        <v>868</v>
      </c>
      <c r="L214" s="34">
        <f>IF((Observaciones[[#This Row],[Fecha Levantamiento]]-Observaciones[[#This Row],[Fecha Detección]])&gt;=0,Observaciones[[#This Row],[Fecha Levantamiento]]-Observaciones[[#This Row],[Fecha Detección]]+1,0)</f>
        <v>2</v>
      </c>
      <c r="M214" s="34" t="str">
        <f>LOOKUP(Observaciones[[#This Row],[Caso de Prueba]],CasoPrueba[Código CP],CasoPrueba[Código de REQ])</f>
        <v>INSPECCIÓN</v>
      </c>
    </row>
    <row r="215" spans="1:13" ht="30" hidden="1">
      <c r="A215" s="166" t="s">
        <v>582</v>
      </c>
      <c r="B215" s="34" t="s">
        <v>654</v>
      </c>
      <c r="C215" s="34" t="str">
        <f>VLOOKUP(Observaciones[[#This Row],[Caso de Prueba]],CasoPrueba[[Código CP]:[Descripción Caso de Prueba]],3,0)</f>
        <v>Proceso - Inventariado de Talleres de Educación Técnica</v>
      </c>
      <c r="D215" s="34" t="str">
        <f>VLOOKUP(Observaciones[Caso de Prueba],CasoPrueba[[#All],[Código CP]:[Prioridad]],7,TRUE)</f>
        <v>Alta</v>
      </c>
      <c r="E215" s="34" t="s">
        <v>29</v>
      </c>
      <c r="F215" s="34" t="s">
        <v>49</v>
      </c>
      <c r="G215" s="73">
        <v>40830</v>
      </c>
      <c r="H215" s="73">
        <v>40831</v>
      </c>
      <c r="I215" s="94" t="s">
        <v>132</v>
      </c>
      <c r="J215" s="34" t="s">
        <v>813</v>
      </c>
      <c r="K215" s="34" t="s">
        <v>869</v>
      </c>
      <c r="L215" s="34">
        <f>IF((Observaciones[[#This Row],[Fecha Levantamiento]]-Observaciones[[#This Row],[Fecha Detección]])&gt;=0,Observaciones[[#This Row],[Fecha Levantamiento]]-Observaciones[[#This Row],[Fecha Detección]]+1,0)</f>
        <v>2</v>
      </c>
      <c r="M215" s="34" t="str">
        <f>LOOKUP(Observaciones[[#This Row],[Caso de Prueba]],CasoPrueba[Código CP],CasoPrueba[Código de REQ])</f>
        <v>INSPECCIÓN</v>
      </c>
    </row>
    <row r="216" spans="1:13" ht="45" hidden="1">
      <c r="A216" s="166" t="s">
        <v>657</v>
      </c>
      <c r="B216" s="34" t="s">
        <v>654</v>
      </c>
      <c r="C216" s="34" t="str">
        <f>VLOOKUP(Observaciones[[#This Row],[Caso de Prueba]],CasoPrueba[[Código CP]:[Descripción Caso de Prueba]],3,0)</f>
        <v>Proceso - Inventariado de Talleres de Educación Técnica</v>
      </c>
      <c r="D216" s="34" t="str">
        <f>VLOOKUP(Observaciones[Caso de Prueba],CasoPrueba[[#All],[Código CP]:[Prioridad]],7,TRUE)</f>
        <v>Alta</v>
      </c>
      <c r="E216" s="34" t="s">
        <v>162</v>
      </c>
      <c r="F216" s="34" t="s">
        <v>49</v>
      </c>
      <c r="G216" s="73">
        <v>40830</v>
      </c>
      <c r="H216" s="73">
        <v>40831</v>
      </c>
      <c r="I216" s="94" t="s">
        <v>132</v>
      </c>
      <c r="J216" s="34" t="s">
        <v>814</v>
      </c>
      <c r="K216" s="34" t="s">
        <v>199</v>
      </c>
      <c r="L216" s="34">
        <f>IF((Observaciones[[#This Row],[Fecha Levantamiento]]-Observaciones[[#This Row],[Fecha Detección]])&gt;=0,Observaciones[[#This Row],[Fecha Levantamiento]]-Observaciones[[#This Row],[Fecha Detección]]+1,0)</f>
        <v>2</v>
      </c>
      <c r="M216" s="34" t="str">
        <f>LOOKUP(Observaciones[[#This Row],[Caso de Prueba]],CasoPrueba[Código CP],CasoPrueba[Código de REQ])</f>
        <v>INSPECCIÓN</v>
      </c>
    </row>
    <row r="217" spans="1:13" ht="30" hidden="1">
      <c r="A217" s="166" t="s">
        <v>658</v>
      </c>
      <c r="B217" s="34" t="s">
        <v>654</v>
      </c>
      <c r="C217" s="34" t="str">
        <f>VLOOKUP(Observaciones[[#This Row],[Caso de Prueba]],CasoPrueba[[Código CP]:[Descripción Caso de Prueba]],3,0)</f>
        <v>Proceso - Inventariado de Talleres de Educación Técnica</v>
      </c>
      <c r="D217" s="34" t="str">
        <f>VLOOKUP(Observaciones[Caso de Prueba],CasoPrueba[[#All],[Código CP]:[Prioridad]],7,TRUE)</f>
        <v>Alta</v>
      </c>
      <c r="E217" s="34" t="s">
        <v>162</v>
      </c>
      <c r="F217" s="34" t="s">
        <v>49</v>
      </c>
      <c r="G217" s="73">
        <v>40830</v>
      </c>
      <c r="H217" s="73">
        <v>40831</v>
      </c>
      <c r="I217" s="94" t="s">
        <v>132</v>
      </c>
      <c r="J217" s="34" t="s">
        <v>815</v>
      </c>
      <c r="K217" s="34" t="s">
        <v>196</v>
      </c>
      <c r="L217" s="34">
        <f>IF((Observaciones[[#This Row],[Fecha Levantamiento]]-Observaciones[[#This Row],[Fecha Detección]])&gt;=0,Observaciones[[#This Row],[Fecha Levantamiento]]-Observaciones[[#This Row],[Fecha Detección]]+1,0)</f>
        <v>2</v>
      </c>
      <c r="M217" s="34" t="str">
        <f>LOOKUP(Observaciones[[#This Row],[Caso de Prueba]],CasoPrueba[Código CP],CasoPrueba[Código de REQ])</f>
        <v>INSPECCIÓN</v>
      </c>
    </row>
    <row r="218" spans="1:13" ht="90" hidden="1">
      <c r="A218" s="166" t="s">
        <v>659</v>
      </c>
      <c r="B218" s="34" t="s">
        <v>487</v>
      </c>
      <c r="C218" s="34" t="str">
        <f>VLOOKUP(Observaciones[[#This Row],[Caso de Prueba]],CasoPrueba[[Código CP]:[Descripción Caso de Prueba]],3,0)</f>
        <v>MP - Planificación</v>
      </c>
      <c r="D218" s="34" t="str">
        <f>VLOOKUP(Observaciones[Caso de Prueba],CasoPrueba[[#All],[Código CP]:[Prioridad]],7,TRUE)</f>
        <v>Alta</v>
      </c>
      <c r="E218" s="34" t="s">
        <v>28</v>
      </c>
      <c r="F218" s="34" t="s">
        <v>49</v>
      </c>
      <c r="G218" s="73">
        <v>40835</v>
      </c>
      <c r="H218" s="73">
        <v>40843</v>
      </c>
      <c r="I218" s="94" t="s">
        <v>132</v>
      </c>
      <c r="J218" s="34" t="s">
        <v>870</v>
      </c>
      <c r="K218" s="34" t="s">
        <v>954</v>
      </c>
      <c r="L218" s="34">
        <f>IF((Observaciones[[#This Row],[Fecha Levantamiento]]-Observaciones[[#This Row],[Fecha Detección]])&gt;=0,Observaciones[[#This Row],[Fecha Levantamiento]]-Observaciones[[#This Row],[Fecha Detección]]+1,0)</f>
        <v>9</v>
      </c>
      <c r="M218" s="34" t="str">
        <f>LOOKUP(Observaciones[[#This Row],[Caso de Prueba]],CasoPrueba[Código CP],CasoPrueba[Código de REQ])</f>
        <v>INSPECCIÓN</v>
      </c>
    </row>
    <row r="219" spans="1:13" ht="66" hidden="1" customHeight="1">
      <c r="A219" s="166" t="s">
        <v>660</v>
      </c>
      <c r="B219" s="34" t="s">
        <v>488</v>
      </c>
      <c r="C219" s="34" t="str">
        <f>VLOOKUP(Observaciones[[#This Row],[Caso de Prueba]],CasoPrueba[[Código CP]:[Descripción Caso de Prueba]],3,0)</f>
        <v>PROCESO - Elaboración del Plan Operativo Institucional</v>
      </c>
      <c r="D219" s="34" t="str">
        <f>VLOOKUP(Observaciones[Caso de Prueba],CasoPrueba[[#All],[Código CP]:[Prioridad]],7,TRUE)</f>
        <v>Alta</v>
      </c>
      <c r="E219" s="34" t="s">
        <v>28</v>
      </c>
      <c r="F219" s="34" t="s">
        <v>49</v>
      </c>
      <c r="G219" s="73">
        <v>40835</v>
      </c>
      <c r="H219" s="73">
        <v>40843</v>
      </c>
      <c r="I219" s="94" t="s">
        <v>132</v>
      </c>
      <c r="J219" s="34" t="s">
        <v>597</v>
      </c>
      <c r="K219" s="34" t="s">
        <v>955</v>
      </c>
      <c r="L219" s="34">
        <f>IF((Observaciones[[#This Row],[Fecha Levantamiento]]-Observaciones[[#This Row],[Fecha Detección]])&gt;=0,Observaciones[[#This Row],[Fecha Levantamiento]]-Observaciones[[#This Row],[Fecha Detección]]+1,0)</f>
        <v>9</v>
      </c>
      <c r="M219" s="34" t="str">
        <f>LOOKUP(Observaciones[[#This Row],[Caso de Prueba]],CasoPrueba[Código CP],CasoPrueba[Código de REQ])</f>
        <v>INSPECCIÓN</v>
      </c>
    </row>
    <row r="220" spans="1:13" ht="45" hidden="1">
      <c r="A220" s="166" t="s">
        <v>661</v>
      </c>
      <c r="B220" s="34" t="s">
        <v>488</v>
      </c>
      <c r="C220" s="34" t="str">
        <f>VLOOKUP(Observaciones[[#This Row],[Caso de Prueba]],CasoPrueba[[Código CP]:[Descripción Caso de Prueba]],3,0)</f>
        <v>PROCESO - Elaboración del Plan Operativo Institucional</v>
      </c>
      <c r="D220" s="34" t="str">
        <f>VLOOKUP(Observaciones[Caso de Prueba],CasoPrueba[[#All],[Código CP]:[Prioridad]],7,TRUE)</f>
        <v>Alta</v>
      </c>
      <c r="E220" s="34" t="s">
        <v>28</v>
      </c>
      <c r="F220" s="34" t="s">
        <v>49</v>
      </c>
      <c r="G220" s="73">
        <v>40835</v>
      </c>
      <c r="H220" s="73">
        <v>40843</v>
      </c>
      <c r="I220" s="94" t="s">
        <v>132</v>
      </c>
      <c r="J220" s="34" t="s">
        <v>871</v>
      </c>
      <c r="K220" s="34" t="s">
        <v>954</v>
      </c>
      <c r="L220" s="34">
        <f>IF((Observaciones[[#This Row],[Fecha Levantamiento]]-Observaciones[[#This Row],[Fecha Detección]])&gt;=0,Observaciones[[#This Row],[Fecha Levantamiento]]-Observaciones[[#This Row],[Fecha Detección]]+1,0)</f>
        <v>9</v>
      </c>
      <c r="M220" s="34" t="str">
        <f>LOOKUP(Observaciones[[#This Row],[Caso de Prueba]],CasoPrueba[Código CP],CasoPrueba[Código de REQ])</f>
        <v>INSPECCIÓN</v>
      </c>
    </row>
    <row r="221" spans="1:13" ht="45" hidden="1">
      <c r="A221" s="166" t="s">
        <v>662</v>
      </c>
      <c r="B221" s="34" t="s">
        <v>489</v>
      </c>
      <c r="C221" s="34" t="str">
        <f>VLOOKUP(Observaciones[[#This Row],[Caso de Prueba]],CasoPrueba[[Código CP]:[Descripción Caso de Prueba]],3,0)</f>
        <v>PROCESO - Planificación del Departamento de Proyectos</v>
      </c>
      <c r="D221" s="34" t="str">
        <f>VLOOKUP(Observaciones[Caso de Prueba],CasoPrueba[[#All],[Código CP]:[Prioridad]],7,TRUE)</f>
        <v>Alta</v>
      </c>
      <c r="E221" s="34" t="s">
        <v>28</v>
      </c>
      <c r="F221" s="34" t="s">
        <v>49</v>
      </c>
      <c r="G221" s="73">
        <v>40835</v>
      </c>
      <c r="H221" s="73">
        <v>40843</v>
      </c>
      <c r="I221" s="94" t="s">
        <v>132</v>
      </c>
      <c r="J221" s="34" t="s">
        <v>597</v>
      </c>
      <c r="K221" s="34" t="s">
        <v>956</v>
      </c>
      <c r="L221" s="34">
        <f>IF((Observaciones[[#This Row],[Fecha Levantamiento]]-Observaciones[[#This Row],[Fecha Detección]])&gt;=0,Observaciones[[#This Row],[Fecha Levantamiento]]-Observaciones[[#This Row],[Fecha Detección]]+1,0)</f>
        <v>9</v>
      </c>
      <c r="M221" s="34" t="str">
        <f>LOOKUP(Observaciones[[#This Row],[Caso de Prueba]],CasoPrueba[Código CP],CasoPrueba[Código de REQ])</f>
        <v>INSPECCIÓN</v>
      </c>
    </row>
    <row r="222" spans="1:13" ht="45" hidden="1">
      <c r="A222" s="166" t="s">
        <v>663</v>
      </c>
      <c r="B222" s="34" t="s">
        <v>489</v>
      </c>
      <c r="C222" s="34" t="str">
        <f>VLOOKUP(Observaciones[[#This Row],[Caso de Prueba]],CasoPrueba[[Código CP]:[Descripción Caso de Prueba]],3,0)</f>
        <v>PROCESO - Planificación del Departamento de Proyectos</v>
      </c>
      <c r="D222" s="34" t="str">
        <f>VLOOKUP(Observaciones[Caso de Prueba],CasoPrueba[[#All],[Código CP]:[Prioridad]],7,TRUE)</f>
        <v>Alta</v>
      </c>
      <c r="E222" s="34" t="s">
        <v>28</v>
      </c>
      <c r="F222" s="34" t="s">
        <v>49</v>
      </c>
      <c r="G222" s="73">
        <v>40835</v>
      </c>
      <c r="H222" s="73">
        <v>40843</v>
      </c>
      <c r="I222" s="94" t="s">
        <v>132</v>
      </c>
      <c r="J222" s="34" t="s">
        <v>871</v>
      </c>
      <c r="K222" s="34" t="s">
        <v>954</v>
      </c>
      <c r="L222" s="34">
        <f>IF((Observaciones[[#This Row],[Fecha Levantamiento]]-Observaciones[[#This Row],[Fecha Detección]])&gt;=0,Observaciones[[#This Row],[Fecha Levantamiento]]-Observaciones[[#This Row],[Fecha Detección]]+1,0)</f>
        <v>9</v>
      </c>
      <c r="M222" s="34" t="str">
        <f>LOOKUP(Observaciones[[#This Row],[Caso de Prueba]],CasoPrueba[Código CP],CasoPrueba[Código de REQ])</f>
        <v>INSPECCIÓN</v>
      </c>
    </row>
    <row r="223" spans="1:13" ht="45" hidden="1">
      <c r="A223" s="166" t="s">
        <v>664</v>
      </c>
      <c r="B223" s="34" t="s">
        <v>614</v>
      </c>
      <c r="C223" s="34" t="str">
        <f>VLOOKUP(Observaciones[[#This Row],[Caso de Prueba]],CasoPrueba[[Código CP]:[Descripción Caso de Prueba]],3,0)</f>
        <v>MP - Gestión de Imagen Institucional y Donaciones</v>
      </c>
      <c r="D223" s="34" t="str">
        <f>VLOOKUP(Observaciones[Caso de Prueba],CasoPrueba[[#All],[Código CP]:[Prioridad]],7,TRUE)</f>
        <v>Alta</v>
      </c>
      <c r="E223" s="34" t="s">
        <v>28</v>
      </c>
      <c r="F223" s="34" t="s">
        <v>49</v>
      </c>
      <c r="G223" s="73">
        <v>40835</v>
      </c>
      <c r="H223" s="73">
        <v>40843</v>
      </c>
      <c r="I223" s="94" t="s">
        <v>132</v>
      </c>
      <c r="J223" s="34" t="s">
        <v>871</v>
      </c>
      <c r="K223" s="34" t="s">
        <v>985</v>
      </c>
      <c r="L223" s="34">
        <f>IF((Observaciones[[#This Row],[Fecha Levantamiento]]-Observaciones[[#This Row],[Fecha Detección]])&gt;=0,Observaciones[[#This Row],[Fecha Levantamiento]]-Observaciones[[#This Row],[Fecha Detección]]+1,0)</f>
        <v>9</v>
      </c>
      <c r="M223" s="34" t="str">
        <f>LOOKUP(Observaciones[[#This Row],[Caso de Prueba]],CasoPrueba[Código CP],CasoPrueba[Código de REQ])</f>
        <v>INSPECCIÓN</v>
      </c>
    </row>
    <row r="224" spans="1:13" ht="45" hidden="1">
      <c r="A224" s="166" t="s">
        <v>665</v>
      </c>
      <c r="B224" s="34" t="s">
        <v>616</v>
      </c>
      <c r="C224" s="34" t="str">
        <f>VLOOKUP(Observaciones[[#This Row],[Caso de Prueba]],CasoPrueba[[Código CP]:[Descripción Caso de Prueba]],3,0)</f>
        <v>Proceso - Elaboración de Campaña Publicitaria de Imagen Institucional</v>
      </c>
      <c r="D224" s="34" t="str">
        <f>VLOOKUP(Observaciones[Caso de Prueba],CasoPrueba[[#All],[Código CP]:[Prioridad]],7,TRUE)</f>
        <v>Alta</v>
      </c>
      <c r="E224" s="34" t="s">
        <v>28</v>
      </c>
      <c r="F224" s="34" t="s">
        <v>49</v>
      </c>
      <c r="G224" s="73">
        <v>40835</v>
      </c>
      <c r="H224" s="73">
        <v>40843</v>
      </c>
      <c r="I224" s="94" t="s">
        <v>132</v>
      </c>
      <c r="J224" s="34" t="s">
        <v>871</v>
      </c>
      <c r="K224" s="34" t="s">
        <v>985</v>
      </c>
      <c r="L224" s="34">
        <f>IF((Observaciones[[#This Row],[Fecha Levantamiento]]-Observaciones[[#This Row],[Fecha Detección]])&gt;=0,Observaciones[[#This Row],[Fecha Levantamiento]]-Observaciones[[#This Row],[Fecha Detección]]+1,0)</f>
        <v>9</v>
      </c>
      <c r="M224" s="34" t="str">
        <f>LOOKUP(Observaciones[[#This Row],[Caso de Prueba]],CasoPrueba[Código CP],CasoPrueba[Código de REQ])</f>
        <v>INSPECCIÓN</v>
      </c>
    </row>
    <row r="225" spans="1:13" ht="88.5" hidden="1" customHeight="1">
      <c r="A225" s="166" t="s">
        <v>666</v>
      </c>
      <c r="B225" s="34" t="s">
        <v>616</v>
      </c>
      <c r="C225" s="34" t="str">
        <f>VLOOKUP(Observaciones[[#This Row],[Caso de Prueba]],CasoPrueba[[Código CP]:[Descripción Caso de Prueba]],3,0)</f>
        <v>Proceso - Elaboración de Campaña Publicitaria de Imagen Institucional</v>
      </c>
      <c r="D225" s="34" t="str">
        <f>VLOOKUP(Observaciones[Caso de Prueba],CasoPrueba[[#All],[Código CP]:[Prioridad]],7,TRUE)</f>
        <v>Alta</v>
      </c>
      <c r="E225" s="34" t="s">
        <v>28</v>
      </c>
      <c r="F225" s="34" t="s">
        <v>49</v>
      </c>
      <c r="G225" s="73">
        <v>40835</v>
      </c>
      <c r="H225" s="73">
        <v>40843</v>
      </c>
      <c r="I225" s="94" t="s">
        <v>132</v>
      </c>
      <c r="J225" s="34" t="s">
        <v>872</v>
      </c>
      <c r="K225" s="34" t="str">
        <f>VLOOKUP(Observaciones[[#This Row],[Cod. Obs.]],[1]Observaciones!$A$223:$J$238,10,0)</f>
        <v>Se cambió de evento.</v>
      </c>
      <c r="L225" s="34">
        <f>IF((Observaciones[[#This Row],[Fecha Levantamiento]]-Observaciones[[#This Row],[Fecha Detección]])&gt;=0,Observaciones[[#This Row],[Fecha Levantamiento]]-Observaciones[[#This Row],[Fecha Detección]]+1,0)</f>
        <v>9</v>
      </c>
      <c r="M225" s="34" t="str">
        <f>LOOKUP(Observaciones[[#This Row],[Caso de Prueba]],CasoPrueba[Código CP],CasoPrueba[Código de REQ])</f>
        <v>INSPECCIÓN</v>
      </c>
    </row>
    <row r="226" spans="1:13" ht="90" hidden="1">
      <c r="A226" s="166" t="s">
        <v>667</v>
      </c>
      <c r="B226" s="34" t="s">
        <v>616</v>
      </c>
      <c r="C226" s="34" t="str">
        <f>VLOOKUP(Observaciones[[#This Row],[Caso de Prueba]],CasoPrueba[[Código CP]:[Descripción Caso de Prueba]],3,0)</f>
        <v>Proceso - Elaboración de Campaña Publicitaria de Imagen Institucional</v>
      </c>
      <c r="D226" s="34" t="str">
        <f>VLOOKUP(Observaciones[Caso de Prueba],CasoPrueba[[#All],[Código CP]:[Prioridad]],7,TRUE)</f>
        <v>Alta</v>
      </c>
      <c r="E226" s="34" t="s">
        <v>29</v>
      </c>
      <c r="F226" s="34" t="s">
        <v>49</v>
      </c>
      <c r="G226" s="73">
        <v>40835</v>
      </c>
      <c r="H226" s="73">
        <v>40843</v>
      </c>
      <c r="I226" s="94" t="s">
        <v>132</v>
      </c>
      <c r="J226" s="34" t="s">
        <v>599</v>
      </c>
      <c r="K226" s="34" t="str">
        <f>VLOOKUP(Observaciones[[#This Row],[Cod. Obs.]],[1]Observaciones!$A$223:$J$238,10,0)</f>
        <v>Se corrigió la enumeración.</v>
      </c>
      <c r="L226" s="34">
        <f>IF((Observaciones[[#This Row],[Fecha Levantamiento]]-Observaciones[[#This Row],[Fecha Detección]])&gt;=0,Observaciones[[#This Row],[Fecha Levantamiento]]-Observaciones[[#This Row],[Fecha Detección]]+1,0)</f>
        <v>9</v>
      </c>
      <c r="M226" s="34" t="str">
        <f>LOOKUP(Observaciones[[#This Row],[Caso de Prueba]],CasoPrueba[Código CP],CasoPrueba[Código de REQ])</f>
        <v>INSPECCIÓN</v>
      </c>
    </row>
    <row r="227" spans="1:13" ht="45" hidden="1">
      <c r="A227" s="166" t="s">
        <v>668</v>
      </c>
      <c r="B227" s="34" t="s">
        <v>617</v>
      </c>
      <c r="C227" s="34" t="str">
        <f>VLOOKUP(Observaciones[[#This Row],[Caso de Prueba]],CasoPrueba[[Código CP]:[Descripción Caso de Prueba]],3,0)</f>
        <v>Proceso - Emisión de Cartas</v>
      </c>
      <c r="D227" s="34" t="str">
        <f>VLOOKUP(Observaciones[Caso de Prueba],CasoPrueba[[#All],[Código CP]:[Prioridad]],7,TRUE)</f>
        <v>Alta</v>
      </c>
      <c r="E227" s="34" t="s">
        <v>28</v>
      </c>
      <c r="F227" s="34" t="s">
        <v>49</v>
      </c>
      <c r="G227" s="73">
        <v>40835</v>
      </c>
      <c r="H227" s="73">
        <v>40843</v>
      </c>
      <c r="I227" s="94" t="s">
        <v>132</v>
      </c>
      <c r="J227" s="34" t="s">
        <v>597</v>
      </c>
      <c r="K227" s="34" t="s">
        <v>963</v>
      </c>
      <c r="L227" s="34">
        <f>IF((Observaciones[[#This Row],[Fecha Levantamiento]]-Observaciones[[#This Row],[Fecha Detección]])&gt;=0,Observaciones[[#This Row],[Fecha Levantamiento]]-Observaciones[[#This Row],[Fecha Detección]]+1,0)</f>
        <v>9</v>
      </c>
      <c r="M227" s="34" t="str">
        <f>LOOKUP(Observaciones[[#This Row],[Caso de Prueba]],CasoPrueba[Código CP],CasoPrueba[Código de REQ])</f>
        <v>INSPECCIÓN</v>
      </c>
    </row>
    <row r="228" spans="1:13" ht="45" hidden="1">
      <c r="A228" s="166" t="s">
        <v>669</v>
      </c>
      <c r="B228" s="34" t="s">
        <v>618</v>
      </c>
      <c r="C228" s="34" t="str">
        <f>VLOOKUP(Observaciones[[#This Row],[Caso de Prueba]],CasoPrueba[[Código CP]:[Descripción Caso de Prueba]],3,0)</f>
        <v>Proceso - Emisión y Declaración de Certificados de Donación</v>
      </c>
      <c r="D228" s="34" t="str">
        <f>VLOOKUP(Observaciones[Caso de Prueba],CasoPrueba[[#All],[Código CP]:[Prioridad]],7,TRUE)</f>
        <v>Alta</v>
      </c>
      <c r="E228" s="34" t="s">
        <v>28</v>
      </c>
      <c r="F228" s="34" t="s">
        <v>49</v>
      </c>
      <c r="G228" s="73">
        <v>40835</v>
      </c>
      <c r="H228" s="73">
        <v>40843</v>
      </c>
      <c r="I228" s="94" t="s">
        <v>132</v>
      </c>
      <c r="J228" s="34" t="s">
        <v>597</v>
      </c>
      <c r="K228" s="34" t="s">
        <v>964</v>
      </c>
      <c r="L228" s="34">
        <f>IF((Observaciones[[#This Row],[Fecha Levantamiento]]-Observaciones[[#This Row],[Fecha Detección]])&gt;=0,Observaciones[[#This Row],[Fecha Levantamiento]]-Observaciones[[#This Row],[Fecha Detección]]+1,0)</f>
        <v>9</v>
      </c>
      <c r="M228" s="34" t="str">
        <f>LOOKUP(Observaciones[[#This Row],[Caso de Prueba]],CasoPrueba[Código CP],CasoPrueba[Código de REQ])</f>
        <v>INSPECCIÓN</v>
      </c>
    </row>
    <row r="229" spans="1:13" ht="45" hidden="1">
      <c r="A229" s="166" t="s">
        <v>670</v>
      </c>
      <c r="B229" s="34" t="s">
        <v>619</v>
      </c>
      <c r="C229" s="34" t="str">
        <f>VLOOKUP(Observaciones[[#This Row],[Caso de Prueba]],CasoPrueba[[Código CP]:[Descripción Caso de Prueba]],3,0)</f>
        <v>Proceso - Recepción de Donaciones</v>
      </c>
      <c r="D229" s="34" t="str">
        <f>VLOOKUP(Observaciones[Caso de Prueba],CasoPrueba[[#All],[Código CP]:[Prioridad]],7,TRUE)</f>
        <v>Alta</v>
      </c>
      <c r="E229" s="34" t="s">
        <v>28</v>
      </c>
      <c r="F229" s="34" t="s">
        <v>49</v>
      </c>
      <c r="G229" s="73">
        <v>40835</v>
      </c>
      <c r="H229" s="73">
        <v>40843</v>
      </c>
      <c r="I229" s="94" t="s">
        <v>132</v>
      </c>
      <c r="J229" s="34" t="s">
        <v>597</v>
      </c>
      <c r="K229" s="34" t="s">
        <v>962</v>
      </c>
      <c r="L229" s="34">
        <f>IF((Observaciones[[#This Row],[Fecha Levantamiento]]-Observaciones[[#This Row],[Fecha Detección]])&gt;=0,Observaciones[[#This Row],[Fecha Levantamiento]]-Observaciones[[#This Row],[Fecha Detección]]+1,0)</f>
        <v>9</v>
      </c>
      <c r="M229" s="34" t="str">
        <f>LOOKUP(Observaciones[[#This Row],[Caso de Prueba]],CasoPrueba[Código CP],CasoPrueba[Código de REQ])</f>
        <v>INSPECCIÓN</v>
      </c>
    </row>
    <row r="230" spans="1:13" ht="30" hidden="1">
      <c r="A230" s="166" t="s">
        <v>671</v>
      </c>
      <c r="B230" s="34" t="s">
        <v>619</v>
      </c>
      <c r="C230" s="34" t="str">
        <f>VLOOKUP(Observaciones[[#This Row],[Caso de Prueba]],CasoPrueba[[Código CP]:[Descripción Caso de Prueba]],3,0)</f>
        <v>Proceso - Recepción de Donaciones</v>
      </c>
      <c r="D230" s="34" t="str">
        <f>VLOOKUP(Observaciones[Caso de Prueba],CasoPrueba[[#All],[Código CP]:[Prioridad]],7,TRUE)</f>
        <v>Alta</v>
      </c>
      <c r="E230" s="34" t="s">
        <v>29</v>
      </c>
      <c r="F230" s="34" t="s">
        <v>49</v>
      </c>
      <c r="G230" s="73">
        <v>40835</v>
      </c>
      <c r="H230" s="73">
        <v>40843</v>
      </c>
      <c r="I230" s="94" t="s">
        <v>132</v>
      </c>
      <c r="J230" s="34" t="s">
        <v>873</v>
      </c>
      <c r="K230" s="34" t="s">
        <v>957</v>
      </c>
      <c r="L230" s="34">
        <f>IF((Observaciones[[#This Row],[Fecha Levantamiento]]-Observaciones[[#This Row],[Fecha Detección]])&gt;=0,Observaciones[[#This Row],[Fecha Levantamiento]]-Observaciones[[#This Row],[Fecha Detección]]+1,0)</f>
        <v>9</v>
      </c>
      <c r="M230" s="34" t="str">
        <f>LOOKUP(Observaciones[[#This Row],[Caso de Prueba]],CasoPrueba[Código CP],CasoPrueba[Código de REQ])</f>
        <v>INSPECCIÓN</v>
      </c>
    </row>
    <row r="231" spans="1:13" ht="60" hidden="1">
      <c r="A231" s="166" t="s">
        <v>672</v>
      </c>
      <c r="B231" s="34" t="s">
        <v>619</v>
      </c>
      <c r="C231" s="34" t="str">
        <f>VLOOKUP(Observaciones[[#This Row],[Caso de Prueba]],CasoPrueba[[Código CP]:[Descripción Caso de Prueba]],3,0)</f>
        <v>Proceso - Recepción de Donaciones</v>
      </c>
      <c r="D231" s="34" t="str">
        <f>VLOOKUP(Observaciones[Caso de Prueba],CasoPrueba[[#All],[Código CP]:[Prioridad]],7,TRUE)</f>
        <v>Alta</v>
      </c>
      <c r="E231" s="34" t="s">
        <v>29</v>
      </c>
      <c r="F231" s="34" t="s">
        <v>49</v>
      </c>
      <c r="G231" s="73">
        <v>40835</v>
      </c>
      <c r="H231" s="73">
        <v>40843</v>
      </c>
      <c r="I231" s="94" t="s">
        <v>132</v>
      </c>
      <c r="J231" s="34" t="s">
        <v>874</v>
      </c>
      <c r="K231" s="34" t="s">
        <v>958</v>
      </c>
      <c r="L231" s="34">
        <f>IF((Observaciones[[#This Row],[Fecha Levantamiento]]-Observaciones[[#This Row],[Fecha Detección]])&gt;=0,Observaciones[[#This Row],[Fecha Levantamiento]]-Observaciones[[#This Row],[Fecha Detección]]+1,0)</f>
        <v>9</v>
      </c>
      <c r="M231" s="34" t="str">
        <f>LOOKUP(Observaciones[[#This Row],[Caso de Prueba]],CasoPrueba[Código CP],CasoPrueba[Código de REQ])</f>
        <v>INSPECCIÓN</v>
      </c>
    </row>
    <row r="232" spans="1:13" ht="30" hidden="1">
      <c r="A232" s="166" t="s">
        <v>673</v>
      </c>
      <c r="B232" s="34" t="s">
        <v>619</v>
      </c>
      <c r="C232" s="34" t="str">
        <f>VLOOKUP(Observaciones[[#This Row],[Caso de Prueba]],CasoPrueba[[Código CP]:[Descripción Caso de Prueba]],3,0)</f>
        <v>Proceso - Recepción de Donaciones</v>
      </c>
      <c r="D232" s="34" t="str">
        <f>VLOOKUP(Observaciones[Caso de Prueba],CasoPrueba[[#All],[Código CP]:[Prioridad]],7,TRUE)</f>
        <v>Alta</v>
      </c>
      <c r="E232" s="34" t="s">
        <v>29</v>
      </c>
      <c r="F232" s="34" t="s">
        <v>49</v>
      </c>
      <c r="G232" s="73">
        <v>40835</v>
      </c>
      <c r="H232" s="73">
        <v>40843</v>
      </c>
      <c r="I232" s="94" t="s">
        <v>132</v>
      </c>
      <c r="J232" s="34" t="s">
        <v>875</v>
      </c>
      <c r="K232" s="34" t="s">
        <v>397</v>
      </c>
      <c r="L232" s="34">
        <f>IF((Observaciones[[#This Row],[Fecha Levantamiento]]-Observaciones[[#This Row],[Fecha Detección]])&gt;=0,Observaciones[[#This Row],[Fecha Levantamiento]]-Observaciones[[#This Row],[Fecha Detección]]+1,0)</f>
        <v>9</v>
      </c>
      <c r="M232" s="34" t="str">
        <f>LOOKUP(Observaciones[[#This Row],[Caso de Prueba]],CasoPrueba[Código CP],CasoPrueba[Código de REQ])</f>
        <v>INSPECCIÓN</v>
      </c>
    </row>
    <row r="233" spans="1:13" ht="30" hidden="1">
      <c r="A233" s="166" t="s">
        <v>674</v>
      </c>
      <c r="B233" s="34" t="s">
        <v>619</v>
      </c>
      <c r="C233" s="34" t="str">
        <f>VLOOKUP(Observaciones[[#This Row],[Caso de Prueba]],CasoPrueba[[Código CP]:[Descripción Caso de Prueba]],3,0)</f>
        <v>Proceso - Recepción de Donaciones</v>
      </c>
      <c r="D233" s="34" t="str">
        <f>VLOOKUP(Observaciones[Caso de Prueba],CasoPrueba[[#All],[Código CP]:[Prioridad]],7,TRUE)</f>
        <v>Alta</v>
      </c>
      <c r="E233" s="34" t="s">
        <v>29</v>
      </c>
      <c r="F233" s="34" t="s">
        <v>49</v>
      </c>
      <c r="G233" s="73">
        <v>40835</v>
      </c>
      <c r="H233" s="73">
        <v>40843</v>
      </c>
      <c r="I233" s="94" t="s">
        <v>132</v>
      </c>
      <c r="J233" s="34" t="s">
        <v>876</v>
      </c>
      <c r="K233" s="34" t="s">
        <v>959</v>
      </c>
      <c r="L233" s="34">
        <f>IF((Observaciones[[#This Row],[Fecha Levantamiento]]-Observaciones[[#This Row],[Fecha Detección]])&gt;=0,Observaciones[[#This Row],[Fecha Levantamiento]]-Observaciones[[#This Row],[Fecha Detección]]+1,0)</f>
        <v>9</v>
      </c>
      <c r="M233" s="34" t="str">
        <f>LOOKUP(Observaciones[[#This Row],[Caso de Prueba]],CasoPrueba[Código CP],CasoPrueba[Código de REQ])</f>
        <v>INSPECCIÓN</v>
      </c>
    </row>
    <row r="234" spans="1:13" ht="30.75" hidden="1" customHeight="1">
      <c r="A234" s="166" t="s">
        <v>675</v>
      </c>
      <c r="B234" s="34" t="s">
        <v>619</v>
      </c>
      <c r="C234" s="34" t="str">
        <f>VLOOKUP(Observaciones[[#This Row],[Caso de Prueba]],CasoPrueba[[Código CP]:[Descripción Caso de Prueba]],3,0)</f>
        <v>Proceso - Recepción de Donaciones</v>
      </c>
      <c r="D234" s="34" t="str">
        <f>VLOOKUP(Observaciones[Caso de Prueba],CasoPrueba[[#All],[Código CP]:[Prioridad]],7,TRUE)</f>
        <v>Alta</v>
      </c>
      <c r="E234" s="34" t="s">
        <v>29</v>
      </c>
      <c r="F234" s="34" t="s">
        <v>49</v>
      </c>
      <c r="G234" s="73">
        <v>40835</v>
      </c>
      <c r="H234" s="73">
        <v>40843</v>
      </c>
      <c r="I234" s="94" t="s">
        <v>132</v>
      </c>
      <c r="J234" s="34" t="s">
        <v>877</v>
      </c>
      <c r="K234" s="34" t="s">
        <v>960</v>
      </c>
      <c r="L234" s="34">
        <f>IF((Observaciones[[#This Row],[Fecha Levantamiento]]-Observaciones[[#This Row],[Fecha Detección]])&gt;=0,Observaciones[[#This Row],[Fecha Levantamiento]]-Observaciones[[#This Row],[Fecha Detección]]+1,0)</f>
        <v>9</v>
      </c>
      <c r="M234" s="34" t="str">
        <f>LOOKUP(Observaciones[[#This Row],[Caso de Prueba]],CasoPrueba[Código CP],CasoPrueba[Código de REQ])</f>
        <v>INSPECCIÓN</v>
      </c>
    </row>
    <row r="235" spans="1:13" ht="90" hidden="1">
      <c r="A235" s="166" t="s">
        <v>676</v>
      </c>
      <c r="B235" s="34" t="s">
        <v>619</v>
      </c>
      <c r="C235" s="34" t="str">
        <f>VLOOKUP(Observaciones[[#This Row],[Caso de Prueba]],CasoPrueba[[Código CP]:[Descripción Caso de Prueba]],3,0)</f>
        <v>Proceso - Recepción de Donaciones</v>
      </c>
      <c r="D235" s="34" t="str">
        <f>VLOOKUP(Observaciones[Caso de Prueba],CasoPrueba[[#All],[Código CP]:[Prioridad]],7,TRUE)</f>
        <v>Alta</v>
      </c>
      <c r="E235" s="34" t="s">
        <v>29</v>
      </c>
      <c r="F235" s="34" t="s">
        <v>49</v>
      </c>
      <c r="G235" s="73">
        <v>40835</v>
      </c>
      <c r="H235" s="73">
        <v>40843</v>
      </c>
      <c r="I235" s="94" t="s">
        <v>132</v>
      </c>
      <c r="J235" s="34" t="s">
        <v>878</v>
      </c>
      <c r="K235" s="34" t="s">
        <v>961</v>
      </c>
      <c r="L235" s="34">
        <f>IF((Observaciones[[#This Row],[Fecha Levantamiento]]-Observaciones[[#This Row],[Fecha Detección]])&gt;=0,Observaciones[[#This Row],[Fecha Levantamiento]]-Observaciones[[#This Row],[Fecha Detección]]+1,0)</f>
        <v>9</v>
      </c>
      <c r="M235" s="34" t="str">
        <f>LOOKUP(Observaciones[[#This Row],[Caso de Prueba]],CasoPrueba[Código CP],CasoPrueba[Código de REQ])</f>
        <v>INSPECCIÓN</v>
      </c>
    </row>
    <row r="236" spans="1:13" ht="45" hidden="1">
      <c r="A236" s="166" t="s">
        <v>677</v>
      </c>
      <c r="B236" s="34" t="s">
        <v>653</v>
      </c>
      <c r="C236" s="34" t="str">
        <f>VLOOKUP(Observaciones[[#This Row],[Caso de Prueba]],CasoPrueba[[Código CP]:[Descripción Caso de Prueba]],3,0)</f>
        <v>MacroProceso - Gestión de Abastecimiento</v>
      </c>
      <c r="D236" s="34" t="str">
        <f>VLOOKUP(Observaciones[Caso de Prueba],CasoPrueba[[#All],[Código CP]:[Prioridad]],7,TRUE)</f>
        <v>Alta</v>
      </c>
      <c r="E236" s="34" t="s">
        <v>28</v>
      </c>
      <c r="F236" s="34" t="s">
        <v>49</v>
      </c>
      <c r="G236" s="73">
        <v>40835</v>
      </c>
      <c r="H236" s="73">
        <v>40843</v>
      </c>
      <c r="I236" s="94" t="s">
        <v>132</v>
      </c>
      <c r="J236" s="34" t="s">
        <v>871</v>
      </c>
      <c r="K236" s="34" t="s">
        <v>985</v>
      </c>
      <c r="L236" s="34">
        <f>IF((Observaciones[[#This Row],[Fecha Levantamiento]]-Observaciones[[#This Row],[Fecha Detección]])&gt;=0,Observaciones[[#This Row],[Fecha Levantamiento]]-Observaciones[[#This Row],[Fecha Detección]]+1,0)</f>
        <v>9</v>
      </c>
      <c r="M236" s="34" t="str">
        <f>LOOKUP(Observaciones[[#This Row],[Caso de Prueba]],CasoPrueba[Código CP],CasoPrueba[Código de REQ])</f>
        <v>INSPECCIÓN</v>
      </c>
    </row>
    <row r="237" spans="1:13" ht="45" hidden="1">
      <c r="A237" s="166" t="s">
        <v>678</v>
      </c>
      <c r="B237" s="34" t="s">
        <v>654</v>
      </c>
      <c r="C237" s="34" t="str">
        <f>VLOOKUP(Observaciones[[#This Row],[Caso de Prueba]],CasoPrueba[[Código CP]:[Descripción Caso de Prueba]],3,0)</f>
        <v>Proceso - Inventariado de Talleres de Educación Técnica</v>
      </c>
      <c r="D237" s="34" t="str">
        <f>VLOOKUP(Observaciones[Caso de Prueba],CasoPrueba[[#All],[Código CP]:[Prioridad]],7,TRUE)</f>
        <v>Alta</v>
      </c>
      <c r="E237" s="34" t="s">
        <v>28</v>
      </c>
      <c r="F237" s="34" t="s">
        <v>49</v>
      </c>
      <c r="G237" s="73">
        <v>40835</v>
      </c>
      <c r="H237" s="73">
        <v>40843</v>
      </c>
      <c r="I237" s="94" t="s">
        <v>132</v>
      </c>
      <c r="J237" s="34" t="s">
        <v>597</v>
      </c>
      <c r="K237" s="34" t="s">
        <v>985</v>
      </c>
      <c r="L237" s="34">
        <f>IF((Observaciones[[#This Row],[Fecha Levantamiento]]-Observaciones[[#This Row],[Fecha Detección]])&gt;=0,Observaciones[[#This Row],[Fecha Levantamiento]]-Observaciones[[#This Row],[Fecha Detección]]+1,0)</f>
        <v>9</v>
      </c>
      <c r="M237" s="34" t="str">
        <f>LOOKUP(Observaciones[[#This Row],[Caso de Prueba]],CasoPrueba[Código CP],CasoPrueba[Código de REQ])</f>
        <v>INSPECCIÓN</v>
      </c>
    </row>
    <row r="238" spans="1:13" ht="45" hidden="1">
      <c r="A238" s="166" t="s">
        <v>679</v>
      </c>
      <c r="B238" s="34" t="s">
        <v>654</v>
      </c>
      <c r="C238" s="34" t="str">
        <f>VLOOKUP(Observaciones[[#This Row],[Caso de Prueba]],CasoPrueba[[Código CP]:[Descripción Caso de Prueba]],3,0)</f>
        <v>Proceso - Inventariado de Talleres de Educación Técnica</v>
      </c>
      <c r="D238" s="34" t="str">
        <f>VLOOKUP(Observaciones[Caso de Prueba],CasoPrueba[[#All],[Código CP]:[Prioridad]],7,TRUE)</f>
        <v>Alta</v>
      </c>
      <c r="E238" s="34" t="s">
        <v>28</v>
      </c>
      <c r="F238" s="34" t="s">
        <v>49</v>
      </c>
      <c r="G238" s="73">
        <v>40835</v>
      </c>
      <c r="H238" s="73">
        <v>40843</v>
      </c>
      <c r="I238" s="94" t="s">
        <v>132</v>
      </c>
      <c r="J238" s="34" t="s">
        <v>871</v>
      </c>
      <c r="K238" s="34" t="s">
        <v>985</v>
      </c>
      <c r="L238" s="34">
        <f>IF((Observaciones[[#This Row],[Fecha Levantamiento]]-Observaciones[[#This Row],[Fecha Detección]])&gt;=0,Observaciones[[#This Row],[Fecha Levantamiento]]-Observaciones[[#This Row],[Fecha Detección]]+1,0)</f>
        <v>9</v>
      </c>
      <c r="M238" s="34" t="str">
        <f>LOOKUP(Observaciones[[#This Row],[Caso de Prueba]],CasoPrueba[Código CP],CasoPrueba[Código de REQ])</f>
        <v>INSPECCIÓN</v>
      </c>
    </row>
    <row r="239" spans="1:13" ht="60" hidden="1">
      <c r="A239" s="166" t="s">
        <v>680</v>
      </c>
      <c r="B239" s="34" t="s">
        <v>886</v>
      </c>
      <c r="C239" s="34" t="str">
        <f>VLOOKUP(Observaciones[[#This Row],[Caso de Prueba]],CasoPrueba[[Código CP]:[Descripción Caso de Prueba]],3,0)</f>
        <v>MP - Gestión de Proyectos</v>
      </c>
      <c r="D239" s="34" t="str">
        <f>VLOOKUP(Observaciones[Caso de Prueba],CasoPrueba[[#All],[Código CP]:[Prioridad]],7,TRUE)</f>
        <v>Alta</v>
      </c>
      <c r="E239" s="34" t="s">
        <v>162</v>
      </c>
      <c r="F239" s="34" t="s">
        <v>49</v>
      </c>
      <c r="G239" s="73">
        <v>40838</v>
      </c>
      <c r="H239" s="73">
        <v>40843</v>
      </c>
      <c r="I239" s="94" t="s">
        <v>132</v>
      </c>
      <c r="J239" s="34" t="s">
        <v>906</v>
      </c>
      <c r="K239" s="34" t="s">
        <v>965</v>
      </c>
      <c r="L239" s="34">
        <f>IF((Observaciones[[#This Row],[Fecha Levantamiento]]-Observaciones[[#This Row],[Fecha Detección]])&gt;=0,Observaciones[[#This Row],[Fecha Levantamiento]]-Observaciones[[#This Row],[Fecha Detección]]+1,0)</f>
        <v>6</v>
      </c>
      <c r="M239" s="34" t="str">
        <f>LOOKUP(Observaciones[[#This Row],[Caso de Prueba]],CasoPrueba[Código CP],CasoPrueba[Código de REQ])</f>
        <v>INSPECCIÓN</v>
      </c>
    </row>
    <row r="240" spans="1:13" ht="46.5" hidden="1" customHeight="1">
      <c r="A240" s="166" t="s">
        <v>681</v>
      </c>
      <c r="B240" s="34" t="s">
        <v>886</v>
      </c>
      <c r="C240" s="34" t="str">
        <f>VLOOKUP(Observaciones[[#This Row],[Caso de Prueba]],CasoPrueba[[Código CP]:[Descripción Caso de Prueba]],3,0)</f>
        <v>MP - Gestión de Proyectos</v>
      </c>
      <c r="D240" s="34" t="str">
        <f>VLOOKUP(Observaciones[Caso de Prueba],CasoPrueba[[#All],[Código CP]:[Prioridad]],7,TRUE)</f>
        <v>Alta</v>
      </c>
      <c r="E240" s="34" t="s">
        <v>162</v>
      </c>
      <c r="F240" s="34" t="s">
        <v>49</v>
      </c>
      <c r="G240" s="73">
        <v>40838</v>
      </c>
      <c r="H240" s="73">
        <v>40843</v>
      </c>
      <c r="I240" s="94" t="s">
        <v>132</v>
      </c>
      <c r="J240" s="34" t="s">
        <v>907</v>
      </c>
      <c r="K240" s="34" t="s">
        <v>966</v>
      </c>
      <c r="L240" s="34">
        <f>IF((Observaciones[[#This Row],[Fecha Levantamiento]]-Observaciones[[#This Row],[Fecha Detección]])&gt;=0,Observaciones[[#This Row],[Fecha Levantamiento]]-Observaciones[[#This Row],[Fecha Detección]]+1,0)</f>
        <v>6</v>
      </c>
      <c r="M240" s="34" t="str">
        <f>LOOKUP(Observaciones[[#This Row],[Caso de Prueba]],CasoPrueba[Código CP],CasoPrueba[Código de REQ])</f>
        <v>INSPECCIÓN</v>
      </c>
    </row>
    <row r="241" spans="1:13" ht="45" hidden="1">
      <c r="A241" s="166" t="s">
        <v>682</v>
      </c>
      <c r="B241" s="34" t="s">
        <v>886</v>
      </c>
      <c r="C241" s="34" t="str">
        <f>VLOOKUP(Observaciones[[#This Row],[Caso de Prueba]],CasoPrueba[[Código CP]:[Descripción Caso de Prueba]],3,0)</f>
        <v>MP - Gestión de Proyectos</v>
      </c>
      <c r="D241" s="34" t="str">
        <f>VLOOKUP(Observaciones[Caso de Prueba],CasoPrueba[[#All],[Código CP]:[Prioridad]],7,TRUE)</f>
        <v>Alta</v>
      </c>
      <c r="E241" s="34" t="s">
        <v>162</v>
      </c>
      <c r="F241" s="34" t="s">
        <v>49</v>
      </c>
      <c r="G241" s="73">
        <v>40838</v>
      </c>
      <c r="H241" s="73">
        <v>40843</v>
      </c>
      <c r="I241" s="94" t="s">
        <v>132</v>
      </c>
      <c r="J241" s="34" t="s">
        <v>908</v>
      </c>
      <c r="K241" s="34" t="s">
        <v>967</v>
      </c>
      <c r="L241" s="34">
        <f>IF((Observaciones[[#This Row],[Fecha Levantamiento]]-Observaciones[[#This Row],[Fecha Detección]])&gt;=0,Observaciones[[#This Row],[Fecha Levantamiento]]-Observaciones[[#This Row],[Fecha Detección]]+1,0)</f>
        <v>6</v>
      </c>
      <c r="M241" s="34" t="str">
        <f>LOOKUP(Observaciones[[#This Row],[Caso de Prueba]],CasoPrueba[Código CP],CasoPrueba[Código de REQ])</f>
        <v>INSPECCIÓN</v>
      </c>
    </row>
    <row r="242" spans="1:13" ht="105" hidden="1">
      <c r="A242" s="166" t="s">
        <v>683</v>
      </c>
      <c r="B242" s="34" t="s">
        <v>886</v>
      </c>
      <c r="C242" s="34" t="str">
        <f>VLOOKUP(Observaciones[[#This Row],[Caso de Prueba]],CasoPrueba[[Código CP]:[Descripción Caso de Prueba]],3,0)</f>
        <v>MP - Gestión de Proyectos</v>
      </c>
      <c r="D242" s="34" t="str">
        <f>VLOOKUP(Observaciones[Caso de Prueba],CasoPrueba[[#All],[Código CP]:[Prioridad]],7,TRUE)</f>
        <v>Alta</v>
      </c>
      <c r="E242" s="34" t="s">
        <v>162</v>
      </c>
      <c r="F242" s="34" t="s">
        <v>49</v>
      </c>
      <c r="G242" s="73">
        <v>40838</v>
      </c>
      <c r="H242" s="73">
        <v>40843</v>
      </c>
      <c r="I242" s="94" t="s">
        <v>132</v>
      </c>
      <c r="J242" s="34" t="s">
        <v>916</v>
      </c>
      <c r="K242" s="34" t="s">
        <v>968</v>
      </c>
      <c r="L242" s="34">
        <f>IF((Observaciones[[#This Row],[Fecha Levantamiento]]-Observaciones[[#This Row],[Fecha Detección]])&gt;=0,Observaciones[[#This Row],[Fecha Levantamiento]]-Observaciones[[#This Row],[Fecha Detección]]+1,0)</f>
        <v>6</v>
      </c>
      <c r="M242" s="34" t="str">
        <f>LOOKUP(Observaciones[[#This Row],[Caso de Prueba]],CasoPrueba[Código CP],CasoPrueba[Código de REQ])</f>
        <v>INSPECCIÓN</v>
      </c>
    </row>
    <row r="243" spans="1:13" ht="45" hidden="1">
      <c r="A243" s="166" t="s">
        <v>684</v>
      </c>
      <c r="B243" s="34" t="s">
        <v>886</v>
      </c>
      <c r="C243" s="34" t="str">
        <f>VLOOKUP(Observaciones[[#This Row],[Caso de Prueba]],CasoPrueba[[Código CP]:[Descripción Caso de Prueba]],3,0)</f>
        <v>MP - Gestión de Proyectos</v>
      </c>
      <c r="D243" s="34" t="str">
        <f>VLOOKUP(Observaciones[Caso de Prueba],CasoPrueba[[#All],[Código CP]:[Prioridad]],7,TRUE)</f>
        <v>Alta</v>
      </c>
      <c r="E243" s="34" t="s">
        <v>28</v>
      </c>
      <c r="F243" s="34" t="s">
        <v>49</v>
      </c>
      <c r="G243" s="73">
        <v>40838</v>
      </c>
      <c r="H243" s="73">
        <v>40843</v>
      </c>
      <c r="I243" s="94" t="s">
        <v>132</v>
      </c>
      <c r="J243" s="34" t="s">
        <v>597</v>
      </c>
      <c r="K243" s="34" t="s">
        <v>969</v>
      </c>
      <c r="L243" s="34">
        <f>IF((Observaciones[[#This Row],[Fecha Levantamiento]]-Observaciones[[#This Row],[Fecha Detección]])&gt;=0,Observaciones[[#This Row],[Fecha Levantamiento]]-Observaciones[[#This Row],[Fecha Detección]]+1,0)</f>
        <v>6</v>
      </c>
      <c r="M243" s="34" t="str">
        <f>LOOKUP(Observaciones[[#This Row],[Caso de Prueba]],CasoPrueba[Código CP],CasoPrueba[Código de REQ])</f>
        <v>INSPECCIÓN</v>
      </c>
    </row>
    <row r="244" spans="1:13" ht="90" hidden="1">
      <c r="A244" s="166" t="s">
        <v>685</v>
      </c>
      <c r="B244" s="34" t="s">
        <v>886</v>
      </c>
      <c r="C244" s="34" t="str">
        <f>VLOOKUP(Observaciones[[#This Row],[Caso de Prueba]],CasoPrueba[[Código CP]:[Descripción Caso de Prueba]],3,0)</f>
        <v>MP - Gestión de Proyectos</v>
      </c>
      <c r="D244" s="34" t="str">
        <f>VLOOKUP(Observaciones[Caso de Prueba],CasoPrueba[[#All],[Código CP]:[Prioridad]],7,TRUE)</f>
        <v>Alta</v>
      </c>
      <c r="E244" s="34" t="s">
        <v>29</v>
      </c>
      <c r="F244" s="34" t="s">
        <v>49</v>
      </c>
      <c r="G244" s="73">
        <v>40838</v>
      </c>
      <c r="H244" s="73">
        <v>40843</v>
      </c>
      <c r="I244" s="94" t="s">
        <v>132</v>
      </c>
      <c r="J244" s="34" t="s">
        <v>599</v>
      </c>
      <c r="K244" s="34" t="s">
        <v>817</v>
      </c>
      <c r="L244" s="34">
        <f>IF((Observaciones[[#This Row],[Fecha Levantamiento]]-Observaciones[[#This Row],[Fecha Detección]])&gt;=0,Observaciones[[#This Row],[Fecha Levantamiento]]-Observaciones[[#This Row],[Fecha Detección]]+1,0)</f>
        <v>6</v>
      </c>
      <c r="M244" s="34" t="str">
        <f>LOOKUP(Observaciones[[#This Row],[Caso de Prueba]],CasoPrueba[Código CP],CasoPrueba[Código de REQ])</f>
        <v>INSPECCIÓN</v>
      </c>
    </row>
    <row r="245" spans="1:13" ht="60" hidden="1">
      <c r="A245" s="166" t="s">
        <v>686</v>
      </c>
      <c r="B245" s="34" t="s">
        <v>886</v>
      </c>
      <c r="C245" s="34" t="str">
        <f>VLOOKUP(Observaciones[[#This Row],[Caso de Prueba]],CasoPrueba[[Código CP]:[Descripción Caso de Prueba]],3,0)</f>
        <v>MP - Gestión de Proyectos</v>
      </c>
      <c r="D245" s="34" t="str">
        <f>VLOOKUP(Observaciones[Caso de Prueba],CasoPrueba[[#All],[Código CP]:[Prioridad]],7,TRUE)</f>
        <v>Alta</v>
      </c>
      <c r="E245" s="34" t="s">
        <v>162</v>
      </c>
      <c r="F245" s="34" t="s">
        <v>49</v>
      </c>
      <c r="G245" s="73">
        <v>40838</v>
      </c>
      <c r="H245" s="73">
        <v>40843</v>
      </c>
      <c r="I245" s="94" t="s">
        <v>132</v>
      </c>
      <c r="J245" s="34" t="s">
        <v>909</v>
      </c>
      <c r="K245" s="34" t="s">
        <v>970</v>
      </c>
      <c r="L245" s="34">
        <f>IF((Observaciones[[#This Row],[Fecha Levantamiento]]-Observaciones[[#This Row],[Fecha Detección]])&gt;=0,Observaciones[[#This Row],[Fecha Levantamiento]]-Observaciones[[#This Row],[Fecha Detección]]+1,0)</f>
        <v>6</v>
      </c>
      <c r="M245" s="34" t="str">
        <f>LOOKUP(Observaciones[[#This Row],[Caso de Prueba]],CasoPrueba[Código CP],CasoPrueba[Código de REQ])</f>
        <v>INSPECCIÓN</v>
      </c>
    </row>
    <row r="246" spans="1:13" ht="75" hidden="1">
      <c r="A246" s="166" t="s">
        <v>687</v>
      </c>
      <c r="B246" s="34" t="s">
        <v>886</v>
      </c>
      <c r="C246" s="34" t="str">
        <f>VLOOKUP(Observaciones[[#This Row],[Caso de Prueba]],CasoPrueba[[Código CP]:[Descripción Caso de Prueba]],3,0)</f>
        <v>MP - Gestión de Proyectos</v>
      </c>
      <c r="D246" s="34" t="str">
        <f>VLOOKUP(Observaciones[Caso de Prueba],CasoPrueba[[#All],[Código CP]:[Prioridad]],7,TRUE)</f>
        <v>Alta</v>
      </c>
      <c r="E246" s="34" t="s">
        <v>29</v>
      </c>
      <c r="F246" s="34" t="s">
        <v>49</v>
      </c>
      <c r="G246" s="73">
        <v>40838</v>
      </c>
      <c r="H246" s="73">
        <v>40843</v>
      </c>
      <c r="I246" s="94" t="s">
        <v>132</v>
      </c>
      <c r="J246" s="34" t="s">
        <v>910</v>
      </c>
      <c r="K246" s="34" t="s">
        <v>971</v>
      </c>
      <c r="L246" s="34">
        <f>IF((Observaciones[[#This Row],[Fecha Levantamiento]]-Observaciones[[#This Row],[Fecha Detección]])&gt;=0,Observaciones[[#This Row],[Fecha Levantamiento]]-Observaciones[[#This Row],[Fecha Detección]]+1,0)</f>
        <v>6</v>
      </c>
      <c r="M246" s="34" t="str">
        <f>LOOKUP(Observaciones[[#This Row],[Caso de Prueba]],CasoPrueba[Código CP],CasoPrueba[Código de REQ])</f>
        <v>INSPECCIÓN</v>
      </c>
    </row>
    <row r="247" spans="1:13" ht="45" hidden="1">
      <c r="A247" s="166" t="s">
        <v>688</v>
      </c>
      <c r="B247" s="34" t="s">
        <v>886</v>
      </c>
      <c r="C247" s="34" t="str">
        <f>VLOOKUP(Observaciones[[#This Row],[Caso de Prueba]],CasoPrueba[[Código CP]:[Descripción Caso de Prueba]],3,0)</f>
        <v>MP - Gestión de Proyectos</v>
      </c>
      <c r="D247" s="34" t="str">
        <f>VLOOKUP(Observaciones[Caso de Prueba],CasoPrueba[[#All],[Código CP]:[Prioridad]],7,TRUE)</f>
        <v>Alta</v>
      </c>
      <c r="E247" s="34" t="s">
        <v>162</v>
      </c>
      <c r="F247" s="34" t="s">
        <v>49</v>
      </c>
      <c r="G247" s="73">
        <v>40838</v>
      </c>
      <c r="H247" s="73">
        <v>40843</v>
      </c>
      <c r="I247" s="94" t="s">
        <v>132</v>
      </c>
      <c r="J247" s="34" t="s">
        <v>911</v>
      </c>
      <c r="K247" s="34" t="s">
        <v>967</v>
      </c>
      <c r="L247" s="34">
        <f>IF((Observaciones[[#This Row],[Fecha Levantamiento]]-Observaciones[[#This Row],[Fecha Detección]])&gt;=0,Observaciones[[#This Row],[Fecha Levantamiento]]-Observaciones[[#This Row],[Fecha Detección]]+1,0)</f>
        <v>6</v>
      </c>
      <c r="M247" s="34" t="str">
        <f>LOOKUP(Observaciones[[#This Row],[Caso de Prueba]],CasoPrueba[Código CP],CasoPrueba[Código de REQ])</f>
        <v>INSPECCIÓN</v>
      </c>
    </row>
    <row r="248" spans="1:13" ht="30" hidden="1">
      <c r="A248" s="166" t="s">
        <v>689</v>
      </c>
      <c r="B248" s="34" t="s">
        <v>886</v>
      </c>
      <c r="C248" s="34" t="str">
        <f>VLOOKUP(Observaciones[[#This Row],[Caso de Prueba]],CasoPrueba[[Código CP]:[Descripción Caso de Prueba]],3,0)</f>
        <v>MP - Gestión de Proyectos</v>
      </c>
      <c r="D248" s="34" t="str">
        <f>VLOOKUP(Observaciones[Caso de Prueba],CasoPrueba[[#All],[Código CP]:[Prioridad]],7,TRUE)</f>
        <v>Alta</v>
      </c>
      <c r="E248" s="34" t="s">
        <v>29</v>
      </c>
      <c r="F248" s="34" t="s">
        <v>49</v>
      </c>
      <c r="G248" s="73">
        <v>40838</v>
      </c>
      <c r="H248" s="73">
        <v>40843</v>
      </c>
      <c r="I248" s="94" t="s">
        <v>132</v>
      </c>
      <c r="J248" s="34" t="s">
        <v>912</v>
      </c>
      <c r="K248" s="34" t="s">
        <v>835</v>
      </c>
      <c r="L248" s="34">
        <f>IF((Observaciones[[#This Row],[Fecha Levantamiento]]-Observaciones[[#This Row],[Fecha Detección]])&gt;=0,Observaciones[[#This Row],[Fecha Levantamiento]]-Observaciones[[#This Row],[Fecha Detección]]+1,0)</f>
        <v>6</v>
      </c>
      <c r="M248" s="34" t="str">
        <f>LOOKUP(Observaciones[[#This Row],[Caso de Prueba]],CasoPrueba[Código CP],CasoPrueba[Código de REQ])</f>
        <v>INSPECCIÓN</v>
      </c>
    </row>
    <row r="249" spans="1:13" ht="75.75" hidden="1" customHeight="1">
      <c r="A249" s="166" t="s">
        <v>690</v>
      </c>
      <c r="B249" s="34" t="s">
        <v>886</v>
      </c>
      <c r="C249" s="34" t="str">
        <f>VLOOKUP(Observaciones[[#This Row],[Caso de Prueba]],CasoPrueba[[Código CP]:[Descripción Caso de Prueba]],3,0)</f>
        <v>MP - Gestión de Proyectos</v>
      </c>
      <c r="D249" s="34" t="str">
        <f>VLOOKUP(Observaciones[Caso de Prueba],CasoPrueba[[#All],[Código CP]:[Prioridad]],7,TRUE)</f>
        <v>Alta</v>
      </c>
      <c r="E249" s="34" t="s">
        <v>29</v>
      </c>
      <c r="F249" s="34" t="s">
        <v>49</v>
      </c>
      <c r="G249" s="73">
        <v>40838</v>
      </c>
      <c r="H249" s="73">
        <v>40843</v>
      </c>
      <c r="I249" s="94" t="s">
        <v>132</v>
      </c>
      <c r="J249" s="34" t="s">
        <v>1034</v>
      </c>
      <c r="K249" s="34" t="s">
        <v>972</v>
      </c>
      <c r="L249" s="34">
        <f>IF((Observaciones[[#This Row],[Fecha Levantamiento]]-Observaciones[[#This Row],[Fecha Detección]])&gt;=0,Observaciones[[#This Row],[Fecha Levantamiento]]-Observaciones[[#This Row],[Fecha Detección]]+1,0)</f>
        <v>6</v>
      </c>
      <c r="M249" s="34" t="str">
        <f>LOOKUP(Observaciones[[#This Row],[Caso de Prueba]],CasoPrueba[Código CP],CasoPrueba[Código de REQ])</f>
        <v>INSPECCIÓN</v>
      </c>
    </row>
    <row r="250" spans="1:13" ht="75" hidden="1">
      <c r="A250" s="166" t="s">
        <v>691</v>
      </c>
      <c r="B250" s="34" t="s">
        <v>886</v>
      </c>
      <c r="C250" s="34" t="str">
        <f>VLOOKUP(Observaciones[[#This Row],[Caso de Prueba]],CasoPrueba[[Código CP]:[Descripción Caso de Prueba]],3,0)</f>
        <v>MP - Gestión de Proyectos</v>
      </c>
      <c r="D250" s="34" t="str">
        <f>VLOOKUP(Observaciones[Caso de Prueba],CasoPrueba[[#All],[Código CP]:[Prioridad]],7,TRUE)</f>
        <v>Alta</v>
      </c>
      <c r="E250" s="34" t="s">
        <v>162</v>
      </c>
      <c r="F250" s="34" t="s">
        <v>49</v>
      </c>
      <c r="G250" s="73">
        <v>40838</v>
      </c>
      <c r="H250" s="73">
        <v>40843</v>
      </c>
      <c r="I250" s="94" t="s">
        <v>132</v>
      </c>
      <c r="J250" s="34" t="s">
        <v>913</v>
      </c>
      <c r="K250" s="34" t="s">
        <v>967</v>
      </c>
      <c r="L250" s="34">
        <f>IF((Observaciones[[#This Row],[Fecha Levantamiento]]-Observaciones[[#This Row],[Fecha Detección]])&gt;=0,Observaciones[[#This Row],[Fecha Levantamiento]]-Observaciones[[#This Row],[Fecha Detección]]+1,0)</f>
        <v>6</v>
      </c>
      <c r="M250" s="34" t="str">
        <f>LOOKUP(Observaciones[[#This Row],[Caso de Prueba]],CasoPrueba[Código CP],CasoPrueba[Código de REQ])</f>
        <v>INSPECCIÓN</v>
      </c>
    </row>
    <row r="251" spans="1:13" ht="30" hidden="1">
      <c r="A251" s="166" t="s">
        <v>692</v>
      </c>
      <c r="B251" s="34" t="s">
        <v>886</v>
      </c>
      <c r="C251" s="34" t="str">
        <f>VLOOKUP(Observaciones[[#This Row],[Caso de Prueba]],CasoPrueba[[Código CP]:[Descripción Caso de Prueba]],3,0)</f>
        <v>MP - Gestión de Proyectos</v>
      </c>
      <c r="D251" s="34" t="str">
        <f>VLOOKUP(Observaciones[Caso de Prueba],CasoPrueba[[#All],[Código CP]:[Prioridad]],7,TRUE)</f>
        <v>Alta</v>
      </c>
      <c r="E251" s="34" t="s">
        <v>162</v>
      </c>
      <c r="F251" s="34" t="s">
        <v>49</v>
      </c>
      <c r="G251" s="73">
        <v>40838</v>
      </c>
      <c r="H251" s="73">
        <v>40843</v>
      </c>
      <c r="I251" s="94" t="s">
        <v>132</v>
      </c>
      <c r="J251" s="34" t="s">
        <v>914</v>
      </c>
      <c r="K251" s="34" t="s">
        <v>967</v>
      </c>
      <c r="L251" s="34">
        <f>IF((Observaciones[[#This Row],[Fecha Levantamiento]]-Observaciones[[#This Row],[Fecha Detección]])&gt;=0,Observaciones[[#This Row],[Fecha Levantamiento]]-Observaciones[[#This Row],[Fecha Detección]]+1,0)</f>
        <v>6</v>
      </c>
      <c r="M251" s="34" t="str">
        <f>LOOKUP(Observaciones[[#This Row],[Caso de Prueba]],CasoPrueba[Código CP],CasoPrueba[Código de REQ])</f>
        <v>INSPECCIÓN</v>
      </c>
    </row>
    <row r="252" spans="1:13" ht="45" hidden="1">
      <c r="A252" s="166" t="s">
        <v>693</v>
      </c>
      <c r="B252" s="34" t="s">
        <v>886</v>
      </c>
      <c r="C252" s="34" t="str">
        <f>VLOOKUP(Observaciones[[#This Row],[Caso de Prueba]],CasoPrueba[[Código CP]:[Descripción Caso de Prueba]],3,0)</f>
        <v>MP - Gestión de Proyectos</v>
      </c>
      <c r="D252" s="34" t="str">
        <f>VLOOKUP(Observaciones[Caso de Prueba],CasoPrueba[[#All],[Código CP]:[Prioridad]],7,TRUE)</f>
        <v>Alta</v>
      </c>
      <c r="E252" s="34" t="s">
        <v>29</v>
      </c>
      <c r="F252" s="34" t="s">
        <v>49</v>
      </c>
      <c r="G252" s="73">
        <v>40838</v>
      </c>
      <c r="H252" s="73">
        <v>40843</v>
      </c>
      <c r="I252" s="94" t="s">
        <v>132</v>
      </c>
      <c r="J252" s="34" t="s">
        <v>915</v>
      </c>
      <c r="K252" s="34" t="s">
        <v>973</v>
      </c>
      <c r="L252" s="34">
        <f>IF((Observaciones[[#This Row],[Fecha Levantamiento]]-Observaciones[[#This Row],[Fecha Detección]])&gt;=0,Observaciones[[#This Row],[Fecha Levantamiento]]-Observaciones[[#This Row],[Fecha Detección]]+1,0)</f>
        <v>6</v>
      </c>
      <c r="M252" s="34" t="str">
        <f>LOOKUP(Observaciones[[#This Row],[Caso de Prueba]],CasoPrueba[Código CP],CasoPrueba[Código de REQ])</f>
        <v>INSPECCIÓN</v>
      </c>
    </row>
    <row r="253" spans="1:13" ht="45" hidden="1">
      <c r="A253" s="166" t="s">
        <v>694</v>
      </c>
      <c r="B253" s="34" t="s">
        <v>887</v>
      </c>
      <c r="C253" s="34" t="str">
        <f>VLOOKUP(Observaciones[[#This Row],[Caso de Prueba]],CasoPrueba[[Código CP]:[Descripción Caso de Prueba]],3,0)</f>
        <v>PROCESO - Ejecución de Proyectos del Departamento de Proyectos</v>
      </c>
      <c r="D253" s="34" t="str">
        <f>VLOOKUP(Observaciones[Caso de Prueba],CasoPrueba[[#All],[Código CP]:[Prioridad]],7,TRUE)</f>
        <v>Alta</v>
      </c>
      <c r="E253" s="34" t="s">
        <v>28</v>
      </c>
      <c r="F253" s="34" t="s">
        <v>49</v>
      </c>
      <c r="G253" s="73">
        <v>40838</v>
      </c>
      <c r="H253" s="73">
        <v>40843</v>
      </c>
      <c r="I253" s="94" t="s">
        <v>132</v>
      </c>
      <c r="J253" s="34" t="s">
        <v>597</v>
      </c>
      <c r="K253" s="34" t="s">
        <v>974</v>
      </c>
      <c r="L253" s="34">
        <f>IF((Observaciones[[#This Row],[Fecha Levantamiento]]-Observaciones[[#This Row],[Fecha Detección]])&gt;=0,Observaciones[[#This Row],[Fecha Levantamiento]]-Observaciones[[#This Row],[Fecha Detección]]+1,0)</f>
        <v>6</v>
      </c>
      <c r="M253" s="34" t="str">
        <f>LOOKUP(Observaciones[[#This Row],[Caso de Prueba]],CasoPrueba[Código CP],CasoPrueba[Código de REQ])</f>
        <v>INSPECCIÓN</v>
      </c>
    </row>
    <row r="254" spans="1:13" ht="60" hidden="1">
      <c r="A254" s="166" t="s">
        <v>695</v>
      </c>
      <c r="B254" s="34" t="s">
        <v>887</v>
      </c>
      <c r="C254" s="34" t="str">
        <f>VLOOKUP(Observaciones[[#This Row],[Caso de Prueba]],CasoPrueba[[Código CP]:[Descripción Caso de Prueba]],3,0)</f>
        <v>PROCESO - Ejecución de Proyectos del Departamento de Proyectos</v>
      </c>
      <c r="D254" s="34" t="str">
        <f>VLOOKUP(Observaciones[Caso de Prueba],CasoPrueba[[#All],[Código CP]:[Prioridad]],7,TRUE)</f>
        <v>Alta</v>
      </c>
      <c r="E254" s="34" t="s">
        <v>162</v>
      </c>
      <c r="F254" s="34" t="s">
        <v>49</v>
      </c>
      <c r="G254" s="73">
        <v>40838</v>
      </c>
      <c r="H254" s="73">
        <v>40843</v>
      </c>
      <c r="I254" s="94" t="s">
        <v>132</v>
      </c>
      <c r="J254" s="34" t="s">
        <v>917</v>
      </c>
      <c r="K254" s="34" t="s">
        <v>234</v>
      </c>
      <c r="L254" s="34">
        <f>IF((Observaciones[[#This Row],[Fecha Levantamiento]]-Observaciones[[#This Row],[Fecha Detección]])&gt;=0,Observaciones[[#This Row],[Fecha Levantamiento]]-Observaciones[[#This Row],[Fecha Detección]]+1,0)</f>
        <v>6</v>
      </c>
      <c r="M254" s="34" t="str">
        <f>LOOKUP(Observaciones[[#This Row],[Caso de Prueba]],CasoPrueba[Código CP],CasoPrueba[Código de REQ])</f>
        <v>INSPECCIÓN</v>
      </c>
    </row>
    <row r="255" spans="1:13" ht="30" hidden="1">
      <c r="A255" s="166" t="s">
        <v>696</v>
      </c>
      <c r="B255" s="34" t="s">
        <v>887</v>
      </c>
      <c r="C255" s="34" t="str">
        <f>VLOOKUP(Observaciones[[#This Row],[Caso de Prueba]],CasoPrueba[[Código CP]:[Descripción Caso de Prueba]],3,0)</f>
        <v>PROCESO - Ejecución de Proyectos del Departamento de Proyectos</v>
      </c>
      <c r="D255" s="34" t="str">
        <f>VLOOKUP(Observaciones[Caso de Prueba],CasoPrueba[[#All],[Código CP]:[Prioridad]],7,TRUE)</f>
        <v>Alta</v>
      </c>
      <c r="E255" s="34" t="s">
        <v>162</v>
      </c>
      <c r="F255" s="34" t="s">
        <v>49</v>
      </c>
      <c r="G255" s="73">
        <v>40838</v>
      </c>
      <c r="H255" s="73">
        <v>40843</v>
      </c>
      <c r="I255" s="94" t="s">
        <v>132</v>
      </c>
      <c r="J255" s="34" t="s">
        <v>918</v>
      </c>
      <c r="K255" s="34" t="s">
        <v>975</v>
      </c>
      <c r="L255" s="34">
        <f>IF((Observaciones[[#This Row],[Fecha Levantamiento]]-Observaciones[[#This Row],[Fecha Detección]])&gt;=0,Observaciones[[#This Row],[Fecha Levantamiento]]-Observaciones[[#This Row],[Fecha Detección]]+1,0)</f>
        <v>6</v>
      </c>
      <c r="M255" s="34" t="str">
        <f>LOOKUP(Observaciones[[#This Row],[Caso de Prueba]],CasoPrueba[Código CP],CasoPrueba[Código de REQ])</f>
        <v>INSPECCIÓN</v>
      </c>
    </row>
    <row r="256" spans="1:13" ht="90" hidden="1">
      <c r="A256" s="166" t="s">
        <v>697</v>
      </c>
      <c r="B256" s="34" t="s">
        <v>887</v>
      </c>
      <c r="C256" s="34" t="str">
        <f>VLOOKUP(Observaciones[[#This Row],[Caso de Prueba]],CasoPrueba[[Código CP]:[Descripción Caso de Prueba]],3,0)</f>
        <v>PROCESO - Ejecución de Proyectos del Departamento de Proyectos</v>
      </c>
      <c r="D256" s="34" t="str">
        <f>VLOOKUP(Observaciones[Caso de Prueba],CasoPrueba[[#All],[Código CP]:[Prioridad]],7,TRUE)</f>
        <v>Alta</v>
      </c>
      <c r="E256" s="34" t="s">
        <v>29</v>
      </c>
      <c r="F256" s="34" t="s">
        <v>49</v>
      </c>
      <c r="G256" s="73">
        <v>40838</v>
      </c>
      <c r="H256" s="73">
        <v>40843</v>
      </c>
      <c r="I256" s="94" t="s">
        <v>132</v>
      </c>
      <c r="J256" s="34" t="s">
        <v>599</v>
      </c>
      <c r="K256" s="34" t="s">
        <v>980</v>
      </c>
      <c r="L256" s="34">
        <f>IF((Observaciones[[#This Row],[Fecha Levantamiento]]-Observaciones[[#This Row],[Fecha Detección]])&gt;=0,Observaciones[[#This Row],[Fecha Levantamiento]]-Observaciones[[#This Row],[Fecha Detección]]+1,0)</f>
        <v>6</v>
      </c>
      <c r="M256" s="34" t="str">
        <f>LOOKUP(Observaciones[[#This Row],[Caso de Prueba]],CasoPrueba[Código CP],CasoPrueba[Código de REQ])</f>
        <v>INSPECCIÓN</v>
      </c>
    </row>
    <row r="257" spans="1:13" ht="45" hidden="1">
      <c r="A257" s="166" t="s">
        <v>698</v>
      </c>
      <c r="B257" s="34" t="s">
        <v>887</v>
      </c>
      <c r="C257" s="34" t="str">
        <f>VLOOKUP(Observaciones[[#This Row],[Caso de Prueba]],CasoPrueba[[Código CP]:[Descripción Caso de Prueba]],3,0)</f>
        <v>PROCESO - Ejecución de Proyectos del Departamento de Proyectos</v>
      </c>
      <c r="D257" s="34" t="str">
        <f>VLOOKUP(Observaciones[Caso de Prueba],CasoPrueba[[#All],[Código CP]:[Prioridad]],7,TRUE)</f>
        <v>Alta</v>
      </c>
      <c r="E257" s="34" t="s">
        <v>28</v>
      </c>
      <c r="F257" s="34" t="s">
        <v>49</v>
      </c>
      <c r="G257" s="73">
        <v>40838</v>
      </c>
      <c r="H257" s="73">
        <v>40843</v>
      </c>
      <c r="I257" s="94" t="s">
        <v>132</v>
      </c>
      <c r="J257" s="34" t="s">
        <v>871</v>
      </c>
      <c r="K257" s="34" t="s">
        <v>976</v>
      </c>
      <c r="L257" s="34">
        <f>IF((Observaciones[[#This Row],[Fecha Levantamiento]]-Observaciones[[#This Row],[Fecha Detección]])&gt;=0,Observaciones[[#This Row],[Fecha Levantamiento]]-Observaciones[[#This Row],[Fecha Detección]]+1,0)</f>
        <v>6</v>
      </c>
      <c r="M257" s="34" t="str">
        <f>LOOKUP(Observaciones[[#This Row],[Caso de Prueba]],CasoPrueba[Código CP],CasoPrueba[Código de REQ])</f>
        <v>INSPECCIÓN</v>
      </c>
    </row>
    <row r="258" spans="1:13" ht="90.75" hidden="1" customHeight="1">
      <c r="A258" s="166" t="s">
        <v>699</v>
      </c>
      <c r="B258" s="34" t="s">
        <v>887</v>
      </c>
      <c r="C258" s="34" t="str">
        <f>VLOOKUP(Observaciones[[#This Row],[Caso de Prueba]],CasoPrueba[[Código CP]:[Descripción Caso de Prueba]],3,0)</f>
        <v>PROCESO - Ejecución de Proyectos del Departamento de Proyectos</v>
      </c>
      <c r="D258" s="34" t="str">
        <f>VLOOKUP(Observaciones[Caso de Prueba],CasoPrueba[[#All],[Código CP]:[Prioridad]],7,TRUE)</f>
        <v>Alta</v>
      </c>
      <c r="E258" s="34" t="s">
        <v>28</v>
      </c>
      <c r="F258" s="34" t="s">
        <v>49</v>
      </c>
      <c r="G258" s="73">
        <v>40838</v>
      </c>
      <c r="H258" s="73">
        <v>40843</v>
      </c>
      <c r="I258" s="94" t="s">
        <v>132</v>
      </c>
      <c r="J258" s="34" t="s">
        <v>919</v>
      </c>
      <c r="K258" s="34" t="s">
        <v>981</v>
      </c>
      <c r="L258" s="34">
        <f>IF((Observaciones[[#This Row],[Fecha Levantamiento]]-Observaciones[[#This Row],[Fecha Detección]])&gt;=0,Observaciones[[#This Row],[Fecha Levantamiento]]-Observaciones[[#This Row],[Fecha Detección]]+1,0)</f>
        <v>6</v>
      </c>
      <c r="M258" s="34" t="str">
        <f>LOOKUP(Observaciones[[#This Row],[Caso de Prueba]],CasoPrueba[Código CP],CasoPrueba[Código de REQ])</f>
        <v>INSPECCIÓN</v>
      </c>
    </row>
    <row r="259" spans="1:13" ht="30" hidden="1">
      <c r="A259" s="166" t="s">
        <v>700</v>
      </c>
      <c r="B259" s="34" t="s">
        <v>887</v>
      </c>
      <c r="C259" s="34" t="str">
        <f>VLOOKUP(Observaciones[[#This Row],[Caso de Prueba]],CasoPrueba[[Código CP]:[Descripción Caso de Prueba]],3,0)</f>
        <v>PROCESO - Ejecución de Proyectos del Departamento de Proyectos</v>
      </c>
      <c r="D259" s="34" t="str">
        <f>VLOOKUP(Observaciones[Caso de Prueba],CasoPrueba[[#All],[Código CP]:[Prioridad]],7,TRUE)</f>
        <v>Alta</v>
      </c>
      <c r="E259" s="34" t="s">
        <v>29</v>
      </c>
      <c r="F259" s="34" t="s">
        <v>49</v>
      </c>
      <c r="G259" s="73">
        <v>40838</v>
      </c>
      <c r="H259" s="73">
        <v>40843</v>
      </c>
      <c r="I259" s="94" t="s">
        <v>132</v>
      </c>
      <c r="J259" s="34" t="s">
        <v>920</v>
      </c>
      <c r="K259" s="34" t="s">
        <v>977</v>
      </c>
      <c r="L259" s="34">
        <f>IF((Observaciones[[#This Row],[Fecha Levantamiento]]-Observaciones[[#This Row],[Fecha Detección]])&gt;=0,Observaciones[[#This Row],[Fecha Levantamiento]]-Observaciones[[#This Row],[Fecha Detección]]+1,0)</f>
        <v>6</v>
      </c>
      <c r="M259" s="34" t="str">
        <f>LOOKUP(Observaciones[[#This Row],[Caso de Prueba]],CasoPrueba[Código CP],CasoPrueba[Código de REQ])</f>
        <v>INSPECCIÓN</v>
      </c>
    </row>
    <row r="260" spans="1:13" ht="45" hidden="1">
      <c r="A260" s="166" t="s">
        <v>701</v>
      </c>
      <c r="B260" s="34" t="s">
        <v>887</v>
      </c>
      <c r="C260" s="34" t="str">
        <f>VLOOKUP(Observaciones[[#This Row],[Caso de Prueba]],CasoPrueba[[Código CP]:[Descripción Caso de Prueba]],3,0)</f>
        <v>PROCESO - Ejecución de Proyectos del Departamento de Proyectos</v>
      </c>
      <c r="D260" s="34" t="str">
        <f>VLOOKUP(Observaciones[Caso de Prueba],CasoPrueba[[#All],[Código CP]:[Prioridad]],7,TRUE)</f>
        <v>Alta</v>
      </c>
      <c r="E260" s="34" t="s">
        <v>29</v>
      </c>
      <c r="F260" s="34" t="s">
        <v>49</v>
      </c>
      <c r="G260" s="73">
        <v>40838</v>
      </c>
      <c r="H260" s="73">
        <v>40843</v>
      </c>
      <c r="I260" s="94" t="s">
        <v>132</v>
      </c>
      <c r="J260" s="34" t="s">
        <v>921</v>
      </c>
      <c r="K260" s="34" t="s">
        <v>823</v>
      </c>
      <c r="L260" s="34">
        <f>IF((Observaciones[[#This Row],[Fecha Levantamiento]]-Observaciones[[#This Row],[Fecha Detección]])&gt;=0,Observaciones[[#This Row],[Fecha Levantamiento]]-Observaciones[[#This Row],[Fecha Detección]]+1,0)</f>
        <v>6</v>
      </c>
      <c r="M260" s="34" t="str">
        <f>LOOKUP(Observaciones[[#This Row],[Caso de Prueba]],CasoPrueba[Código CP],CasoPrueba[Código de REQ])</f>
        <v>INSPECCIÓN</v>
      </c>
    </row>
    <row r="261" spans="1:13" ht="41.25" hidden="1" customHeight="1">
      <c r="A261" s="166" t="s">
        <v>702</v>
      </c>
      <c r="B261" s="34" t="s">
        <v>887</v>
      </c>
      <c r="C261" s="34" t="str">
        <f>VLOOKUP(Observaciones[[#This Row],[Caso de Prueba]],CasoPrueba[[Código CP]:[Descripción Caso de Prueba]],3,0)</f>
        <v>PROCESO - Ejecución de Proyectos del Departamento de Proyectos</v>
      </c>
      <c r="D261" s="34" t="str">
        <f>VLOOKUP(Observaciones[Caso de Prueba],CasoPrueba[[#All],[Código CP]:[Prioridad]],7,TRUE)</f>
        <v>Alta</v>
      </c>
      <c r="E261" s="34" t="s">
        <v>162</v>
      </c>
      <c r="F261" s="34" t="s">
        <v>49</v>
      </c>
      <c r="G261" s="73">
        <v>40838</v>
      </c>
      <c r="H261" s="73">
        <v>40843</v>
      </c>
      <c r="I261" s="94" t="s">
        <v>132</v>
      </c>
      <c r="J261" s="34" t="s">
        <v>922</v>
      </c>
      <c r="K261" s="34" t="s">
        <v>823</v>
      </c>
      <c r="L261" s="34">
        <f>IF((Observaciones[[#This Row],[Fecha Levantamiento]]-Observaciones[[#This Row],[Fecha Detección]])&gt;=0,Observaciones[[#This Row],[Fecha Levantamiento]]-Observaciones[[#This Row],[Fecha Detección]]+1,0)</f>
        <v>6</v>
      </c>
      <c r="M261" s="34" t="str">
        <f>LOOKUP(Observaciones[[#This Row],[Caso de Prueba]],CasoPrueba[Código CP],CasoPrueba[Código de REQ])</f>
        <v>INSPECCIÓN</v>
      </c>
    </row>
    <row r="262" spans="1:13" ht="30" hidden="1">
      <c r="A262" s="166" t="s">
        <v>703</v>
      </c>
      <c r="B262" s="34" t="s">
        <v>887</v>
      </c>
      <c r="C262" s="34" t="str">
        <f>VLOOKUP(Observaciones[[#This Row],[Caso de Prueba]],CasoPrueba[[Código CP]:[Descripción Caso de Prueba]],3,0)</f>
        <v>PROCESO - Ejecución de Proyectos del Departamento de Proyectos</v>
      </c>
      <c r="D262" s="34" t="str">
        <f>VLOOKUP(Observaciones[Caso de Prueba],CasoPrueba[[#All],[Código CP]:[Prioridad]],7,TRUE)</f>
        <v>Alta</v>
      </c>
      <c r="E262" s="34" t="s">
        <v>29</v>
      </c>
      <c r="F262" s="34" t="s">
        <v>49</v>
      </c>
      <c r="G262" s="73">
        <v>40838</v>
      </c>
      <c r="H262" s="73">
        <v>40843</v>
      </c>
      <c r="I262" s="94" t="s">
        <v>132</v>
      </c>
      <c r="J262" s="34" t="s">
        <v>924</v>
      </c>
      <c r="K262" s="34" t="s">
        <v>978</v>
      </c>
      <c r="L262" s="34">
        <f>IF((Observaciones[[#This Row],[Fecha Levantamiento]]-Observaciones[[#This Row],[Fecha Detección]])&gt;=0,Observaciones[[#This Row],[Fecha Levantamiento]]-Observaciones[[#This Row],[Fecha Detección]]+1,0)</f>
        <v>6</v>
      </c>
      <c r="M262" s="34" t="str">
        <f>LOOKUP(Observaciones[[#This Row],[Caso de Prueba]],CasoPrueba[Código CP],CasoPrueba[Código de REQ])</f>
        <v>INSPECCIÓN</v>
      </c>
    </row>
    <row r="263" spans="1:13" ht="30" hidden="1">
      <c r="A263" s="166" t="s">
        <v>704</v>
      </c>
      <c r="B263" s="34" t="s">
        <v>887</v>
      </c>
      <c r="C263" s="34" t="str">
        <f>VLOOKUP(Observaciones[[#This Row],[Caso de Prueba]],CasoPrueba[[Código CP]:[Descripción Caso de Prueba]],3,0)</f>
        <v>PROCESO - Ejecución de Proyectos del Departamento de Proyectos</v>
      </c>
      <c r="D263" s="34" t="str">
        <f>VLOOKUP(Observaciones[Caso de Prueba],CasoPrueba[[#All],[Código CP]:[Prioridad]],7,TRUE)</f>
        <v>Alta</v>
      </c>
      <c r="E263" s="34" t="s">
        <v>29</v>
      </c>
      <c r="F263" s="34" t="s">
        <v>49</v>
      </c>
      <c r="G263" s="73">
        <v>40838</v>
      </c>
      <c r="H263" s="73">
        <v>40843</v>
      </c>
      <c r="I263" s="94" t="s">
        <v>132</v>
      </c>
      <c r="J263" s="34" t="s">
        <v>923</v>
      </c>
      <c r="K263" s="34" t="s">
        <v>979</v>
      </c>
      <c r="L263" s="34">
        <f>IF((Observaciones[[#This Row],[Fecha Levantamiento]]-Observaciones[[#This Row],[Fecha Detección]])&gt;=0,Observaciones[[#This Row],[Fecha Levantamiento]]-Observaciones[[#This Row],[Fecha Detección]]+1,0)</f>
        <v>6</v>
      </c>
      <c r="M263" s="34" t="str">
        <f>LOOKUP(Observaciones[[#This Row],[Caso de Prueba]],CasoPrueba[Código CP],CasoPrueba[Código de REQ])</f>
        <v>INSPECCIÓN</v>
      </c>
    </row>
    <row r="264" spans="1:13" ht="45" hidden="1">
      <c r="A264" s="166" t="s">
        <v>705</v>
      </c>
      <c r="B264" s="34" t="s">
        <v>888</v>
      </c>
      <c r="C264" s="34" t="str">
        <f>VLOOKUP(Observaciones[[#This Row],[Caso de Prueba]],CasoPrueba[[Código CP]:[Descripción Caso de Prueba]],3,0)</f>
        <v>MP - Gestión de Aseguramiento de la Calidad Educativa</v>
      </c>
      <c r="D264" s="34" t="str">
        <f>VLOOKUP(Observaciones[Caso de Prueba],CasoPrueba[[#All],[Código CP]:[Prioridad]],7,TRUE)</f>
        <v>Alta</v>
      </c>
      <c r="E264" s="34" t="s">
        <v>162</v>
      </c>
      <c r="F264" s="34" t="s">
        <v>49</v>
      </c>
      <c r="G264" s="73">
        <v>40838</v>
      </c>
      <c r="H264" s="73">
        <v>40843</v>
      </c>
      <c r="I264" s="94" t="s">
        <v>132</v>
      </c>
      <c r="J264" s="34" t="s">
        <v>925</v>
      </c>
      <c r="K264" s="34" t="s">
        <v>986</v>
      </c>
      <c r="L264" s="34">
        <f>IF((Observaciones[[#This Row],[Fecha Levantamiento]]-Observaciones[[#This Row],[Fecha Detección]])&gt;=0,Observaciones[[#This Row],[Fecha Levantamiento]]-Observaciones[[#This Row],[Fecha Detección]]+1,0)</f>
        <v>6</v>
      </c>
      <c r="M264" s="34" t="str">
        <f>LOOKUP(Observaciones[[#This Row],[Caso de Prueba]],CasoPrueba[Código CP],CasoPrueba[Código de REQ])</f>
        <v>INSPECCIÓN</v>
      </c>
    </row>
    <row r="265" spans="1:13" ht="45" hidden="1">
      <c r="A265" s="166" t="s">
        <v>706</v>
      </c>
      <c r="B265" s="34" t="s">
        <v>888</v>
      </c>
      <c r="C265" s="34" t="str">
        <f>VLOOKUP(Observaciones[[#This Row],[Caso de Prueba]],CasoPrueba[[Código CP]:[Descripción Caso de Prueba]],3,0)</f>
        <v>MP - Gestión de Aseguramiento de la Calidad Educativa</v>
      </c>
      <c r="D265" s="34" t="str">
        <f>VLOOKUP(Observaciones[Caso de Prueba],CasoPrueba[[#All],[Código CP]:[Prioridad]],7,TRUE)</f>
        <v>Alta</v>
      </c>
      <c r="E265" s="34" t="s">
        <v>162</v>
      </c>
      <c r="F265" s="34" t="s">
        <v>49</v>
      </c>
      <c r="G265" s="73">
        <v>40838</v>
      </c>
      <c r="H265" s="73">
        <v>40843</v>
      </c>
      <c r="I265" s="94" t="s">
        <v>132</v>
      </c>
      <c r="J265" s="34" t="s">
        <v>930</v>
      </c>
      <c r="K265" s="34" t="s">
        <v>199</v>
      </c>
      <c r="L265" s="34">
        <f>IF((Observaciones[[#This Row],[Fecha Levantamiento]]-Observaciones[[#This Row],[Fecha Detección]])&gt;=0,Observaciones[[#This Row],[Fecha Levantamiento]]-Observaciones[[#This Row],[Fecha Detección]]+1,0)</f>
        <v>6</v>
      </c>
      <c r="M265" s="34" t="str">
        <f>LOOKUP(Observaciones[[#This Row],[Caso de Prueba]],CasoPrueba[Código CP],CasoPrueba[Código de REQ])</f>
        <v>INSPECCIÓN</v>
      </c>
    </row>
    <row r="266" spans="1:13" ht="45" hidden="1">
      <c r="A266" s="166" t="s">
        <v>707</v>
      </c>
      <c r="B266" s="34" t="s">
        <v>888</v>
      </c>
      <c r="C266" s="34" t="str">
        <f>VLOOKUP(Observaciones[[#This Row],[Caso de Prueba]],CasoPrueba[[Código CP]:[Descripción Caso de Prueba]],3,0)</f>
        <v>MP - Gestión de Aseguramiento de la Calidad Educativa</v>
      </c>
      <c r="D266" s="34" t="str">
        <f>VLOOKUP(Observaciones[Caso de Prueba],CasoPrueba[[#All],[Código CP]:[Prioridad]],7,TRUE)</f>
        <v>Alta</v>
      </c>
      <c r="E266" s="34" t="s">
        <v>30</v>
      </c>
      <c r="F266" s="34" t="s">
        <v>49</v>
      </c>
      <c r="G266" s="73">
        <v>40838</v>
      </c>
      <c r="H266" s="73">
        <v>40843</v>
      </c>
      <c r="I266" s="94" t="s">
        <v>132</v>
      </c>
      <c r="J266" s="34" t="s">
        <v>931</v>
      </c>
      <c r="K266" s="34" t="s">
        <v>989</v>
      </c>
      <c r="L266" s="34">
        <f>IF((Observaciones[[#This Row],[Fecha Levantamiento]]-Observaciones[[#This Row],[Fecha Detección]])&gt;=0,Observaciones[[#This Row],[Fecha Levantamiento]]-Observaciones[[#This Row],[Fecha Detección]]+1,0)</f>
        <v>6</v>
      </c>
      <c r="M266" s="34" t="str">
        <f>LOOKUP(Observaciones[[#This Row],[Caso de Prueba]],CasoPrueba[Código CP],CasoPrueba[Código de REQ])</f>
        <v>INSPECCIÓN</v>
      </c>
    </row>
    <row r="267" spans="1:13" ht="45" hidden="1">
      <c r="A267" s="166" t="s">
        <v>708</v>
      </c>
      <c r="B267" s="34" t="s">
        <v>888</v>
      </c>
      <c r="C267" s="34" t="str">
        <f>VLOOKUP(Observaciones[[#This Row],[Caso de Prueba]],CasoPrueba[[Código CP]:[Descripción Caso de Prueba]],3,0)</f>
        <v>MP - Gestión de Aseguramiento de la Calidad Educativa</v>
      </c>
      <c r="D267" s="34" t="str">
        <f>VLOOKUP(Observaciones[Caso de Prueba],CasoPrueba[[#All],[Código CP]:[Prioridad]],7,TRUE)</f>
        <v>Alta</v>
      </c>
      <c r="E267" s="34" t="s">
        <v>162</v>
      </c>
      <c r="F267" s="34" t="s">
        <v>49</v>
      </c>
      <c r="G267" s="73">
        <v>40838</v>
      </c>
      <c r="H267" s="73">
        <v>40843</v>
      </c>
      <c r="I267" s="94" t="s">
        <v>132</v>
      </c>
      <c r="J267" s="34" t="s">
        <v>926</v>
      </c>
      <c r="K267" s="34" t="s">
        <v>987</v>
      </c>
      <c r="L267" s="34">
        <f>IF((Observaciones[[#This Row],[Fecha Levantamiento]]-Observaciones[[#This Row],[Fecha Detección]])&gt;=0,Observaciones[[#This Row],[Fecha Levantamiento]]-Observaciones[[#This Row],[Fecha Detección]]+1,0)</f>
        <v>6</v>
      </c>
      <c r="M267" s="34" t="str">
        <f>LOOKUP(Observaciones[[#This Row],[Caso de Prueba]],CasoPrueba[Código CP],CasoPrueba[Código de REQ])</f>
        <v>INSPECCIÓN</v>
      </c>
    </row>
    <row r="268" spans="1:13" ht="90" hidden="1">
      <c r="A268" s="166" t="s">
        <v>709</v>
      </c>
      <c r="B268" s="34" t="s">
        <v>888</v>
      </c>
      <c r="C268" s="34" t="str">
        <f>VLOOKUP(Observaciones[[#This Row],[Caso de Prueba]],CasoPrueba[[Código CP]:[Descripción Caso de Prueba]],3,0)</f>
        <v>MP - Gestión de Aseguramiento de la Calidad Educativa</v>
      </c>
      <c r="D268" s="34" t="str">
        <f>VLOOKUP(Observaciones[Caso de Prueba],CasoPrueba[[#All],[Código CP]:[Prioridad]],7,TRUE)</f>
        <v>Alta</v>
      </c>
      <c r="E268" s="34" t="s">
        <v>29</v>
      </c>
      <c r="F268" s="34" t="s">
        <v>49</v>
      </c>
      <c r="G268" s="73">
        <v>40838</v>
      </c>
      <c r="H268" s="73">
        <v>40843</v>
      </c>
      <c r="I268" s="94" t="s">
        <v>132</v>
      </c>
      <c r="J268" s="34" t="s">
        <v>599</v>
      </c>
      <c r="K268" s="34" t="s">
        <v>840</v>
      </c>
      <c r="L268" s="34">
        <f>IF((Observaciones[[#This Row],[Fecha Levantamiento]]-Observaciones[[#This Row],[Fecha Detección]])&gt;=0,Observaciones[[#This Row],[Fecha Levantamiento]]-Observaciones[[#This Row],[Fecha Detección]]+1,0)</f>
        <v>6</v>
      </c>
      <c r="M268" s="34" t="str">
        <f>LOOKUP(Observaciones[[#This Row],[Caso de Prueba]],CasoPrueba[Código CP],CasoPrueba[Código de REQ])</f>
        <v>INSPECCIÓN</v>
      </c>
    </row>
    <row r="269" spans="1:13" ht="45" hidden="1">
      <c r="A269" s="166" t="s">
        <v>710</v>
      </c>
      <c r="B269" s="34" t="s">
        <v>888</v>
      </c>
      <c r="C269" s="34" t="str">
        <f>VLOOKUP(Observaciones[[#This Row],[Caso de Prueba]],CasoPrueba[[Código CP]:[Descripción Caso de Prueba]],3,0)</f>
        <v>MP - Gestión de Aseguramiento de la Calidad Educativa</v>
      </c>
      <c r="D269" s="34" t="str">
        <f>VLOOKUP(Observaciones[Caso de Prueba],CasoPrueba[[#All],[Código CP]:[Prioridad]],7,TRUE)</f>
        <v>Alta</v>
      </c>
      <c r="E269" s="34" t="s">
        <v>28</v>
      </c>
      <c r="F269" s="34" t="s">
        <v>49</v>
      </c>
      <c r="G269" s="73">
        <v>40838</v>
      </c>
      <c r="H269" s="73">
        <v>40843</v>
      </c>
      <c r="I269" s="94" t="s">
        <v>132</v>
      </c>
      <c r="J269" s="34" t="s">
        <v>871</v>
      </c>
      <c r="K269" s="34" t="s">
        <v>985</v>
      </c>
      <c r="L269" s="34">
        <f>IF((Observaciones[[#This Row],[Fecha Levantamiento]]-Observaciones[[#This Row],[Fecha Detección]])&gt;=0,Observaciones[[#This Row],[Fecha Levantamiento]]-Observaciones[[#This Row],[Fecha Detección]]+1,0)</f>
        <v>6</v>
      </c>
      <c r="M269" s="34" t="str">
        <f>LOOKUP(Observaciones[[#This Row],[Caso de Prueba]],CasoPrueba[Código CP],CasoPrueba[Código de REQ])</f>
        <v>INSPECCIÓN</v>
      </c>
    </row>
    <row r="270" spans="1:13" ht="45" hidden="1">
      <c r="A270" s="166" t="s">
        <v>711</v>
      </c>
      <c r="B270" s="34" t="s">
        <v>888</v>
      </c>
      <c r="C270" s="34" t="str">
        <f>VLOOKUP(Observaciones[[#This Row],[Caso de Prueba]],CasoPrueba[[Código CP]:[Descripción Caso de Prueba]],3,0)</f>
        <v>MP - Gestión de Aseguramiento de la Calidad Educativa</v>
      </c>
      <c r="D270" s="34" t="str">
        <f>VLOOKUP(Observaciones[Caso de Prueba],CasoPrueba[[#All],[Código CP]:[Prioridad]],7,TRUE)</f>
        <v>Alta</v>
      </c>
      <c r="E270" s="34" t="s">
        <v>28</v>
      </c>
      <c r="F270" s="34" t="s">
        <v>49</v>
      </c>
      <c r="G270" s="73">
        <v>40838</v>
      </c>
      <c r="H270" s="73">
        <v>40843</v>
      </c>
      <c r="I270" s="94" t="s">
        <v>132</v>
      </c>
      <c r="J270" s="34" t="s">
        <v>927</v>
      </c>
      <c r="K270" s="34" t="s">
        <v>994</v>
      </c>
      <c r="L270" s="34">
        <f>IF((Observaciones[[#This Row],[Fecha Levantamiento]]-Observaciones[[#This Row],[Fecha Detección]])&gt;=0,Observaciones[[#This Row],[Fecha Levantamiento]]-Observaciones[[#This Row],[Fecha Detección]]+1,0)</f>
        <v>6</v>
      </c>
      <c r="M270" s="34" t="str">
        <f>LOOKUP(Observaciones[[#This Row],[Caso de Prueba]],CasoPrueba[Código CP],CasoPrueba[Código de REQ])</f>
        <v>INSPECCIÓN</v>
      </c>
    </row>
    <row r="271" spans="1:13" ht="30" hidden="1">
      <c r="A271" s="166" t="s">
        <v>712</v>
      </c>
      <c r="B271" s="34" t="s">
        <v>888</v>
      </c>
      <c r="C271" s="34" t="str">
        <f>VLOOKUP(Observaciones[[#This Row],[Caso de Prueba]],CasoPrueba[[Código CP]:[Descripción Caso de Prueba]],3,0)</f>
        <v>MP - Gestión de Aseguramiento de la Calidad Educativa</v>
      </c>
      <c r="D271" s="34" t="str">
        <f>VLOOKUP(Observaciones[Caso de Prueba],CasoPrueba[[#All],[Código CP]:[Prioridad]],7,TRUE)</f>
        <v>Alta</v>
      </c>
      <c r="E271" s="34" t="s">
        <v>29</v>
      </c>
      <c r="F271" s="34" t="s">
        <v>49</v>
      </c>
      <c r="G271" s="73">
        <v>40838</v>
      </c>
      <c r="H271" s="73">
        <v>40843</v>
      </c>
      <c r="I271" s="94" t="s">
        <v>132</v>
      </c>
      <c r="J271" s="34" t="s">
        <v>928</v>
      </c>
      <c r="K271" s="34" t="s">
        <v>991</v>
      </c>
      <c r="L271" s="34">
        <f>IF((Observaciones[[#This Row],[Fecha Levantamiento]]-Observaciones[[#This Row],[Fecha Detección]])&gt;=0,Observaciones[[#This Row],[Fecha Levantamiento]]-Observaciones[[#This Row],[Fecha Detección]]+1,0)</f>
        <v>6</v>
      </c>
      <c r="M271" s="34" t="str">
        <f>LOOKUP(Observaciones[[#This Row],[Caso de Prueba]],CasoPrueba[Código CP],CasoPrueba[Código de REQ])</f>
        <v>INSPECCIÓN</v>
      </c>
    </row>
    <row r="272" spans="1:13" ht="45" hidden="1">
      <c r="A272" s="166" t="s">
        <v>713</v>
      </c>
      <c r="B272" s="34" t="s">
        <v>888</v>
      </c>
      <c r="C272" s="34" t="str">
        <f>VLOOKUP(Observaciones[[#This Row],[Caso de Prueba]],CasoPrueba[[Código CP]:[Descripción Caso de Prueba]],3,0)</f>
        <v>MP - Gestión de Aseguramiento de la Calidad Educativa</v>
      </c>
      <c r="D272" s="34" t="str">
        <f>VLOOKUP(Observaciones[Caso de Prueba],CasoPrueba[[#All],[Código CP]:[Prioridad]],7,TRUE)</f>
        <v>Alta</v>
      </c>
      <c r="E272" s="34" t="s">
        <v>29</v>
      </c>
      <c r="F272" s="34" t="s">
        <v>49</v>
      </c>
      <c r="G272" s="73">
        <v>40838</v>
      </c>
      <c r="H272" s="73">
        <v>40843</v>
      </c>
      <c r="I272" s="94" t="s">
        <v>132</v>
      </c>
      <c r="J272" s="34" t="s">
        <v>929</v>
      </c>
      <c r="K272" s="34" t="s">
        <v>992</v>
      </c>
      <c r="L272" s="34">
        <f>IF((Observaciones[[#This Row],[Fecha Levantamiento]]-Observaciones[[#This Row],[Fecha Detección]])&gt;=0,Observaciones[[#This Row],[Fecha Levantamiento]]-Observaciones[[#This Row],[Fecha Detección]]+1,0)</f>
        <v>6</v>
      </c>
      <c r="M272" s="34" t="str">
        <f>LOOKUP(Observaciones[[#This Row],[Caso de Prueba]],CasoPrueba[Código CP],CasoPrueba[Código de REQ])</f>
        <v>INSPECCIÓN</v>
      </c>
    </row>
    <row r="273" spans="1:13" ht="30" hidden="1">
      <c r="A273" s="166" t="s">
        <v>714</v>
      </c>
      <c r="B273" s="34" t="s">
        <v>888</v>
      </c>
      <c r="C273" s="34" t="str">
        <f>VLOOKUP(Observaciones[[#This Row],[Caso de Prueba]],CasoPrueba[[Código CP]:[Descripción Caso de Prueba]],3,0)</f>
        <v>MP - Gestión de Aseguramiento de la Calidad Educativa</v>
      </c>
      <c r="D273" s="34" t="str">
        <f>VLOOKUP(Observaciones[Caso de Prueba],CasoPrueba[[#All],[Código CP]:[Prioridad]],7,TRUE)</f>
        <v>Alta</v>
      </c>
      <c r="E273" s="34" t="s">
        <v>30</v>
      </c>
      <c r="F273" s="34" t="s">
        <v>49</v>
      </c>
      <c r="G273" s="73">
        <v>40838</v>
      </c>
      <c r="H273" s="73">
        <v>40843</v>
      </c>
      <c r="I273" s="94" t="s">
        <v>132</v>
      </c>
      <c r="J273" s="34" t="s">
        <v>932</v>
      </c>
      <c r="K273" s="34" t="s">
        <v>990</v>
      </c>
      <c r="L273" s="34">
        <f>IF((Observaciones[[#This Row],[Fecha Levantamiento]]-Observaciones[[#This Row],[Fecha Detección]])&gt;=0,Observaciones[[#This Row],[Fecha Levantamiento]]-Observaciones[[#This Row],[Fecha Detección]]+1,0)</f>
        <v>6</v>
      </c>
      <c r="M273" s="34" t="str">
        <f>LOOKUP(Observaciones[[#This Row],[Caso de Prueba]],CasoPrueba[Código CP],CasoPrueba[Código de REQ])</f>
        <v>INSPECCIÓN</v>
      </c>
    </row>
    <row r="274" spans="1:13" ht="30" hidden="1">
      <c r="A274" s="166" t="s">
        <v>715</v>
      </c>
      <c r="B274" s="34" t="s">
        <v>888</v>
      </c>
      <c r="C274" s="34" t="str">
        <f>VLOOKUP(Observaciones[[#This Row],[Caso de Prueba]],CasoPrueba[[Código CP]:[Descripción Caso de Prueba]],3,0)</f>
        <v>MP - Gestión de Aseguramiento de la Calidad Educativa</v>
      </c>
      <c r="D274" s="34" t="str">
        <f>VLOOKUP(Observaciones[Caso de Prueba],CasoPrueba[[#All],[Código CP]:[Prioridad]],7,TRUE)</f>
        <v>Alta</v>
      </c>
      <c r="E274" s="34" t="s">
        <v>29</v>
      </c>
      <c r="F274" s="34" t="s">
        <v>49</v>
      </c>
      <c r="G274" s="73">
        <v>40838</v>
      </c>
      <c r="H274" s="73">
        <v>40843</v>
      </c>
      <c r="I274" s="94" t="s">
        <v>132</v>
      </c>
      <c r="J274" s="34" t="s">
        <v>933</v>
      </c>
      <c r="K274" s="34" t="s">
        <v>993</v>
      </c>
      <c r="L274" s="34">
        <f>IF((Observaciones[[#This Row],[Fecha Levantamiento]]-Observaciones[[#This Row],[Fecha Detección]])&gt;=0,Observaciones[[#This Row],[Fecha Levantamiento]]-Observaciones[[#This Row],[Fecha Detección]]+1,0)</f>
        <v>6</v>
      </c>
      <c r="M274" s="34" t="str">
        <f>LOOKUP(Observaciones[[#This Row],[Caso de Prueba]],CasoPrueba[Código CP],CasoPrueba[Código de REQ])</f>
        <v>INSPECCIÓN</v>
      </c>
    </row>
    <row r="275" spans="1:13" ht="30" hidden="1">
      <c r="A275" s="166" t="s">
        <v>716</v>
      </c>
      <c r="B275" s="34" t="s">
        <v>888</v>
      </c>
      <c r="C275" s="34" t="str">
        <f>VLOOKUP(Observaciones[[#This Row],[Caso de Prueba]],CasoPrueba[[Código CP]:[Descripción Caso de Prueba]],3,0)</f>
        <v>MP - Gestión de Aseguramiento de la Calidad Educativa</v>
      </c>
      <c r="D275" s="34" t="str">
        <f>VLOOKUP(Observaciones[Caso de Prueba],CasoPrueba[[#All],[Código CP]:[Prioridad]],7,TRUE)</f>
        <v>Alta</v>
      </c>
      <c r="E275" s="34" t="s">
        <v>30</v>
      </c>
      <c r="F275" s="34" t="s">
        <v>49</v>
      </c>
      <c r="G275" s="73">
        <v>40838</v>
      </c>
      <c r="H275" s="73">
        <v>40843</v>
      </c>
      <c r="I275" s="94" t="s">
        <v>132</v>
      </c>
      <c r="J275" s="34" t="s">
        <v>934</v>
      </c>
      <c r="K275" s="34" t="s">
        <v>990</v>
      </c>
      <c r="L275" s="34">
        <f>IF((Observaciones[[#This Row],[Fecha Levantamiento]]-Observaciones[[#This Row],[Fecha Detección]])&gt;=0,Observaciones[[#This Row],[Fecha Levantamiento]]-Observaciones[[#This Row],[Fecha Detección]]+1,0)</f>
        <v>6</v>
      </c>
      <c r="M275" s="34" t="str">
        <f>LOOKUP(Observaciones[[#This Row],[Caso de Prueba]],CasoPrueba[Código CP],CasoPrueba[Código de REQ])</f>
        <v>INSPECCIÓN</v>
      </c>
    </row>
    <row r="276" spans="1:13" ht="45" hidden="1">
      <c r="A276" s="166" t="s">
        <v>717</v>
      </c>
      <c r="B276" s="34" t="s">
        <v>888</v>
      </c>
      <c r="C276" s="34" t="str">
        <f>VLOOKUP(Observaciones[[#This Row],[Caso de Prueba]],CasoPrueba[[Código CP]:[Descripción Caso de Prueba]],3,0)</f>
        <v>MP - Gestión de Aseguramiento de la Calidad Educativa</v>
      </c>
      <c r="D276" s="34" t="str">
        <f>VLOOKUP(Observaciones[Caso de Prueba],CasoPrueba[[#All],[Código CP]:[Prioridad]],7,TRUE)</f>
        <v>Alta</v>
      </c>
      <c r="E276" s="34" t="s">
        <v>162</v>
      </c>
      <c r="F276" s="34" t="s">
        <v>49</v>
      </c>
      <c r="G276" s="73">
        <v>40838</v>
      </c>
      <c r="H276" s="73">
        <v>40843</v>
      </c>
      <c r="I276" s="94" t="s">
        <v>132</v>
      </c>
      <c r="J276" s="34" t="s">
        <v>935</v>
      </c>
      <c r="K276" s="34" t="s">
        <v>988</v>
      </c>
      <c r="L276" s="34">
        <f>IF((Observaciones[[#This Row],[Fecha Levantamiento]]-Observaciones[[#This Row],[Fecha Detección]])&gt;=0,Observaciones[[#This Row],[Fecha Levantamiento]]-Observaciones[[#This Row],[Fecha Detección]]+1,0)</f>
        <v>6</v>
      </c>
      <c r="M276" s="34" t="str">
        <f>LOOKUP(Observaciones[[#This Row],[Caso de Prueba]],CasoPrueba[Código CP],CasoPrueba[Código de REQ])</f>
        <v>INSPECCIÓN</v>
      </c>
    </row>
    <row r="277" spans="1:13" ht="45" hidden="1">
      <c r="A277" s="166" t="s">
        <v>718</v>
      </c>
      <c r="B277" s="34" t="s">
        <v>889</v>
      </c>
      <c r="C277" s="34" t="str">
        <f>VLOOKUP(Observaciones[[#This Row],[Caso de Prueba]],CasoPrueba[[Código CP]:[Descripción Caso de Prueba]],3,0)</f>
        <v>PROCESO Capacitaciones de Educación Técnica</v>
      </c>
      <c r="D277" s="34" t="str">
        <f>VLOOKUP(Observaciones[Caso de Prueba],CasoPrueba[[#All],[Código CP]:[Prioridad]],7,TRUE)</f>
        <v>Alta</v>
      </c>
      <c r="E277" s="34" t="s">
        <v>28</v>
      </c>
      <c r="F277" s="34" t="s">
        <v>49</v>
      </c>
      <c r="G277" s="73">
        <v>40838</v>
      </c>
      <c r="H277" s="73">
        <v>40843</v>
      </c>
      <c r="I277" s="94" t="s">
        <v>132</v>
      </c>
      <c r="J277" s="34" t="s">
        <v>597</v>
      </c>
      <c r="K277" s="34" t="s">
        <v>985</v>
      </c>
      <c r="L277" s="34">
        <f>IF((Observaciones[[#This Row],[Fecha Levantamiento]]-Observaciones[[#This Row],[Fecha Detección]])&gt;=0,Observaciones[[#This Row],[Fecha Levantamiento]]-Observaciones[[#This Row],[Fecha Detección]]+1,0)</f>
        <v>6</v>
      </c>
      <c r="M277" s="34" t="str">
        <f>LOOKUP(Observaciones[[#This Row],[Caso de Prueba]],CasoPrueba[Código CP],CasoPrueba[Código de REQ])</f>
        <v>INSPECCIÓN</v>
      </c>
    </row>
    <row r="278" spans="1:13" ht="45" hidden="1">
      <c r="A278" s="166" t="s">
        <v>719</v>
      </c>
      <c r="B278" s="34" t="s">
        <v>889</v>
      </c>
      <c r="C278" s="34" t="str">
        <f>VLOOKUP(Observaciones[[#This Row],[Caso de Prueba]],CasoPrueba[[Código CP]:[Descripción Caso de Prueba]],3,0)</f>
        <v>PROCESO Capacitaciones de Educación Técnica</v>
      </c>
      <c r="D278" s="34" t="str">
        <f>VLOOKUP(Observaciones[Caso de Prueba],CasoPrueba[[#All],[Código CP]:[Prioridad]],7,TRUE)</f>
        <v>Alta</v>
      </c>
      <c r="E278" s="34" t="s">
        <v>162</v>
      </c>
      <c r="F278" s="34" t="s">
        <v>49</v>
      </c>
      <c r="G278" s="73">
        <v>40838</v>
      </c>
      <c r="H278" s="73">
        <v>40843</v>
      </c>
      <c r="I278" s="94" t="s">
        <v>132</v>
      </c>
      <c r="J278" s="34" t="s">
        <v>925</v>
      </c>
      <c r="K278" s="34" t="s">
        <v>986</v>
      </c>
      <c r="L278" s="34">
        <f>IF((Observaciones[[#This Row],[Fecha Levantamiento]]-Observaciones[[#This Row],[Fecha Detección]])&gt;=0,Observaciones[[#This Row],[Fecha Levantamiento]]-Observaciones[[#This Row],[Fecha Detección]]+1,0)</f>
        <v>6</v>
      </c>
      <c r="M278" s="34" t="str">
        <f>LOOKUP(Observaciones[[#This Row],[Caso de Prueba]],CasoPrueba[Código CP],CasoPrueba[Código de REQ])</f>
        <v>INSPECCIÓN</v>
      </c>
    </row>
    <row r="279" spans="1:13" ht="90" hidden="1">
      <c r="A279" s="166" t="s">
        <v>720</v>
      </c>
      <c r="B279" s="34" t="s">
        <v>889</v>
      </c>
      <c r="C279" s="34" t="str">
        <f>VLOOKUP(Observaciones[[#This Row],[Caso de Prueba]],CasoPrueba[[Código CP]:[Descripción Caso de Prueba]],3,0)</f>
        <v>PROCESO Capacitaciones de Educación Técnica</v>
      </c>
      <c r="D279" s="34" t="str">
        <f>VLOOKUP(Observaciones[Caso de Prueba],CasoPrueba[[#All],[Código CP]:[Prioridad]],7,TRUE)</f>
        <v>Alta</v>
      </c>
      <c r="E279" s="34" t="s">
        <v>29</v>
      </c>
      <c r="F279" s="34" t="s">
        <v>49</v>
      </c>
      <c r="G279" s="73">
        <v>40838</v>
      </c>
      <c r="H279" s="73">
        <v>40843</v>
      </c>
      <c r="I279" s="94" t="s">
        <v>132</v>
      </c>
      <c r="J279" s="34" t="s">
        <v>599</v>
      </c>
      <c r="K279" s="34" t="s">
        <v>995</v>
      </c>
      <c r="L279" s="34">
        <f>IF((Observaciones[[#This Row],[Fecha Levantamiento]]-Observaciones[[#This Row],[Fecha Detección]])&gt;=0,Observaciones[[#This Row],[Fecha Levantamiento]]-Observaciones[[#This Row],[Fecha Detección]]+1,0)</f>
        <v>6</v>
      </c>
      <c r="M279" s="34" t="str">
        <f>LOOKUP(Observaciones[[#This Row],[Caso de Prueba]],CasoPrueba[Código CP],CasoPrueba[Código de REQ])</f>
        <v>INSPECCIÓN</v>
      </c>
    </row>
    <row r="280" spans="1:13" ht="45" hidden="1">
      <c r="A280" s="166" t="s">
        <v>721</v>
      </c>
      <c r="B280" s="34" t="s">
        <v>889</v>
      </c>
      <c r="C280" s="34" t="str">
        <f>VLOOKUP(Observaciones[[#This Row],[Caso de Prueba]],CasoPrueba[[Código CP]:[Descripción Caso de Prueba]],3,0)</f>
        <v>PROCESO Capacitaciones de Educación Técnica</v>
      </c>
      <c r="D280" s="34" t="str">
        <f>VLOOKUP(Observaciones[Caso de Prueba],CasoPrueba[[#All],[Código CP]:[Prioridad]],7,TRUE)</f>
        <v>Alta</v>
      </c>
      <c r="E280" s="34" t="s">
        <v>28</v>
      </c>
      <c r="F280" s="34" t="s">
        <v>49</v>
      </c>
      <c r="G280" s="73">
        <v>40838</v>
      </c>
      <c r="H280" s="73">
        <v>40843</v>
      </c>
      <c r="I280" s="94" t="s">
        <v>132</v>
      </c>
      <c r="J280" s="34" t="s">
        <v>871</v>
      </c>
      <c r="K280" s="34" t="s">
        <v>997</v>
      </c>
      <c r="L280" s="34">
        <f>IF((Observaciones[[#This Row],[Fecha Levantamiento]]-Observaciones[[#This Row],[Fecha Detección]])&gt;=0,Observaciones[[#This Row],[Fecha Levantamiento]]-Observaciones[[#This Row],[Fecha Detección]]+1,0)</f>
        <v>6</v>
      </c>
      <c r="M280" s="34" t="str">
        <f>LOOKUP(Observaciones[[#This Row],[Caso de Prueba]],CasoPrueba[Código CP],CasoPrueba[Código de REQ])</f>
        <v>INSPECCIÓN</v>
      </c>
    </row>
    <row r="281" spans="1:13" ht="30" hidden="1">
      <c r="A281" s="166" t="s">
        <v>722</v>
      </c>
      <c r="B281" s="34" t="s">
        <v>889</v>
      </c>
      <c r="C281" s="34" t="str">
        <f>VLOOKUP(Observaciones[[#This Row],[Caso de Prueba]],CasoPrueba[[Código CP]:[Descripción Caso de Prueba]],3,0)</f>
        <v>PROCESO Capacitaciones de Educación Técnica</v>
      </c>
      <c r="D281" s="34" t="str">
        <f>VLOOKUP(Observaciones[Caso de Prueba],CasoPrueba[[#All],[Código CP]:[Prioridad]],7,TRUE)</f>
        <v>Alta</v>
      </c>
      <c r="E281" s="34" t="s">
        <v>162</v>
      </c>
      <c r="F281" s="34" t="s">
        <v>49</v>
      </c>
      <c r="G281" s="73">
        <v>40840</v>
      </c>
      <c r="H281" s="73">
        <v>40843</v>
      </c>
      <c r="I281" s="94" t="s">
        <v>132</v>
      </c>
      <c r="J281" s="34" t="s">
        <v>936</v>
      </c>
      <c r="K281" s="34" t="s">
        <v>283</v>
      </c>
      <c r="L281" s="34">
        <f>IF((Observaciones[[#This Row],[Fecha Levantamiento]]-Observaciones[[#This Row],[Fecha Detección]])&gt;=0,Observaciones[[#This Row],[Fecha Levantamiento]]-Observaciones[[#This Row],[Fecha Detección]]+1,0)</f>
        <v>4</v>
      </c>
      <c r="M281" s="34" t="str">
        <f>LOOKUP(Observaciones[[#This Row],[Caso de Prueba]],CasoPrueba[Código CP],CasoPrueba[Código de REQ])</f>
        <v>INSPECCIÓN</v>
      </c>
    </row>
    <row r="282" spans="1:13" ht="45" hidden="1">
      <c r="A282" s="166" t="s">
        <v>723</v>
      </c>
      <c r="B282" s="34" t="s">
        <v>889</v>
      </c>
      <c r="C282" s="34" t="str">
        <f>VLOOKUP(Observaciones[[#This Row],[Caso de Prueba]],CasoPrueba[[Código CP]:[Descripción Caso de Prueba]],3,0)</f>
        <v>PROCESO Capacitaciones de Educación Técnica</v>
      </c>
      <c r="D282" s="34" t="str">
        <f>VLOOKUP(Observaciones[Caso de Prueba],CasoPrueba[[#All],[Código CP]:[Prioridad]],7,TRUE)</f>
        <v>Alta</v>
      </c>
      <c r="E282" s="34" t="s">
        <v>29</v>
      </c>
      <c r="F282" s="34" t="s">
        <v>49</v>
      </c>
      <c r="G282" s="73">
        <v>40840</v>
      </c>
      <c r="H282" s="73">
        <v>40843</v>
      </c>
      <c r="I282" s="94" t="s">
        <v>132</v>
      </c>
      <c r="J282" s="34" t="s">
        <v>937</v>
      </c>
      <c r="K282" s="34" t="s">
        <v>996</v>
      </c>
      <c r="L282" s="34">
        <f>IF((Observaciones[[#This Row],[Fecha Levantamiento]]-Observaciones[[#This Row],[Fecha Detección]])&gt;=0,Observaciones[[#This Row],[Fecha Levantamiento]]-Observaciones[[#This Row],[Fecha Detección]]+1,0)</f>
        <v>4</v>
      </c>
      <c r="M282" s="34" t="str">
        <f>LOOKUP(Observaciones[[#This Row],[Caso de Prueba]],CasoPrueba[Código CP],CasoPrueba[Código de REQ])</f>
        <v>INSPECCIÓN</v>
      </c>
    </row>
    <row r="283" spans="1:13" ht="45" hidden="1">
      <c r="A283" s="166" t="s">
        <v>724</v>
      </c>
      <c r="B283" s="34" t="s">
        <v>890</v>
      </c>
      <c r="C283" s="34" t="str">
        <f>VLOOKUP(Observaciones[[#This Row],[Caso de Prueba]],CasoPrueba[[Código CP]:[Descripción Caso de Prueba]],3,0)</f>
        <v>PROCESO Capacitaciones del Departamento de Formación</v>
      </c>
      <c r="D283" s="34" t="str">
        <f>VLOOKUP(Observaciones[Caso de Prueba],CasoPrueba[[#All],[Código CP]:[Prioridad]],7,TRUE)</f>
        <v>Alta</v>
      </c>
      <c r="E283" s="34" t="s">
        <v>28</v>
      </c>
      <c r="F283" s="34" t="s">
        <v>49</v>
      </c>
      <c r="G283" s="73">
        <v>40840</v>
      </c>
      <c r="H283" s="73">
        <v>40843</v>
      </c>
      <c r="I283" s="94" t="s">
        <v>132</v>
      </c>
      <c r="J283" s="34" t="s">
        <v>597</v>
      </c>
      <c r="K283" s="34" t="s">
        <v>1001</v>
      </c>
      <c r="L283" s="34">
        <f>IF((Observaciones[[#This Row],[Fecha Levantamiento]]-Observaciones[[#This Row],[Fecha Detección]])&gt;=0,Observaciones[[#This Row],[Fecha Levantamiento]]-Observaciones[[#This Row],[Fecha Detección]]+1,0)</f>
        <v>4</v>
      </c>
      <c r="M283" s="34" t="str">
        <f>LOOKUP(Observaciones[[#This Row],[Caso de Prueba]],CasoPrueba[Código CP],CasoPrueba[Código de REQ])</f>
        <v>INSPECCIÓN</v>
      </c>
    </row>
    <row r="284" spans="1:13" ht="45" hidden="1">
      <c r="A284" s="166" t="s">
        <v>725</v>
      </c>
      <c r="B284" s="34" t="s">
        <v>890</v>
      </c>
      <c r="C284" s="34" t="str">
        <f>VLOOKUP(Observaciones[[#This Row],[Caso de Prueba]],CasoPrueba[[Código CP]:[Descripción Caso de Prueba]],3,0)</f>
        <v>PROCESO Capacitaciones del Departamento de Formación</v>
      </c>
      <c r="D284" s="34" t="str">
        <f>VLOOKUP(Observaciones[Caso de Prueba],CasoPrueba[[#All],[Código CP]:[Prioridad]],7,TRUE)</f>
        <v>Alta</v>
      </c>
      <c r="E284" s="34" t="s">
        <v>162</v>
      </c>
      <c r="F284" s="34" t="s">
        <v>49</v>
      </c>
      <c r="G284" s="73">
        <v>40840</v>
      </c>
      <c r="H284" s="73">
        <v>40843</v>
      </c>
      <c r="I284" s="94" t="s">
        <v>132</v>
      </c>
      <c r="J284" s="34" t="s">
        <v>925</v>
      </c>
      <c r="K284" s="34" t="s">
        <v>986</v>
      </c>
      <c r="L284" s="34">
        <f>IF((Observaciones[[#This Row],[Fecha Levantamiento]]-Observaciones[[#This Row],[Fecha Detección]])&gt;=0,Observaciones[[#This Row],[Fecha Levantamiento]]-Observaciones[[#This Row],[Fecha Detección]]+1,0)</f>
        <v>4</v>
      </c>
      <c r="M284" s="34" t="str">
        <f>LOOKUP(Observaciones[[#This Row],[Caso de Prueba]],CasoPrueba[Código CP],CasoPrueba[Código de REQ])</f>
        <v>INSPECCIÓN</v>
      </c>
    </row>
    <row r="285" spans="1:13" ht="90" hidden="1">
      <c r="A285" s="166" t="s">
        <v>726</v>
      </c>
      <c r="B285" s="34" t="s">
        <v>890</v>
      </c>
      <c r="C285" s="34" t="str">
        <f>VLOOKUP(Observaciones[[#This Row],[Caso de Prueba]],CasoPrueba[[Código CP]:[Descripción Caso de Prueba]],3,0)</f>
        <v>PROCESO Capacitaciones del Departamento de Formación</v>
      </c>
      <c r="D285" s="34" t="str">
        <f>VLOOKUP(Observaciones[Caso de Prueba],CasoPrueba[[#All],[Código CP]:[Prioridad]],7,TRUE)</f>
        <v>Alta</v>
      </c>
      <c r="E285" s="34" t="s">
        <v>29</v>
      </c>
      <c r="F285" s="34" t="s">
        <v>49</v>
      </c>
      <c r="G285" s="73">
        <v>40840</v>
      </c>
      <c r="H285" s="73">
        <v>40843</v>
      </c>
      <c r="I285" s="94" t="s">
        <v>132</v>
      </c>
      <c r="J285" s="34" t="s">
        <v>599</v>
      </c>
      <c r="K285" s="34" t="s">
        <v>995</v>
      </c>
      <c r="L285" s="34">
        <f>IF((Observaciones[[#This Row],[Fecha Levantamiento]]-Observaciones[[#This Row],[Fecha Detección]])&gt;=0,Observaciones[[#This Row],[Fecha Levantamiento]]-Observaciones[[#This Row],[Fecha Detección]]+1,0)</f>
        <v>4</v>
      </c>
      <c r="M285" s="34" t="str">
        <f>LOOKUP(Observaciones[[#This Row],[Caso de Prueba]],CasoPrueba[Código CP],CasoPrueba[Código de REQ])</f>
        <v>INSPECCIÓN</v>
      </c>
    </row>
    <row r="286" spans="1:13" ht="45" hidden="1">
      <c r="A286" s="166" t="s">
        <v>727</v>
      </c>
      <c r="B286" s="34" t="s">
        <v>890</v>
      </c>
      <c r="C286" s="34" t="str">
        <f>VLOOKUP(Observaciones[[#This Row],[Caso de Prueba]],CasoPrueba[[Código CP]:[Descripción Caso de Prueba]],3,0)</f>
        <v>PROCESO Capacitaciones del Departamento de Formación</v>
      </c>
      <c r="D286" s="34" t="str">
        <f>VLOOKUP(Observaciones[Caso de Prueba],CasoPrueba[[#All],[Código CP]:[Prioridad]],7,TRUE)</f>
        <v>Alta</v>
      </c>
      <c r="E286" s="34" t="s">
        <v>28</v>
      </c>
      <c r="F286" s="34" t="s">
        <v>49</v>
      </c>
      <c r="G286" s="73">
        <v>40840</v>
      </c>
      <c r="H286" s="73">
        <v>40843</v>
      </c>
      <c r="I286" s="94" t="s">
        <v>132</v>
      </c>
      <c r="J286" s="34" t="s">
        <v>871</v>
      </c>
      <c r="K286" s="34" t="s">
        <v>1000</v>
      </c>
      <c r="L286" s="34">
        <f>IF((Observaciones[[#This Row],[Fecha Levantamiento]]-Observaciones[[#This Row],[Fecha Detección]])&gt;=0,Observaciones[[#This Row],[Fecha Levantamiento]]-Observaciones[[#This Row],[Fecha Detección]]+1,0)</f>
        <v>4</v>
      </c>
      <c r="M286" s="34" t="str">
        <f>LOOKUP(Observaciones[[#This Row],[Caso de Prueba]],CasoPrueba[Código CP],CasoPrueba[Código de REQ])</f>
        <v>INSPECCIÓN</v>
      </c>
    </row>
    <row r="287" spans="1:13" ht="30" hidden="1">
      <c r="A287" s="166" t="s">
        <v>728</v>
      </c>
      <c r="B287" s="34" t="s">
        <v>890</v>
      </c>
      <c r="C287" s="34" t="str">
        <f>VLOOKUP(Observaciones[[#This Row],[Caso de Prueba]],CasoPrueba[[Código CP]:[Descripción Caso de Prueba]],3,0)</f>
        <v>PROCESO Capacitaciones del Departamento de Formación</v>
      </c>
      <c r="D287" s="34" t="str">
        <f>VLOOKUP(Observaciones[Caso de Prueba],CasoPrueba[[#All],[Código CP]:[Prioridad]],7,TRUE)</f>
        <v>Alta</v>
      </c>
      <c r="E287" s="34" t="s">
        <v>162</v>
      </c>
      <c r="F287" s="34" t="s">
        <v>49</v>
      </c>
      <c r="G287" s="73">
        <v>40840</v>
      </c>
      <c r="H287" s="73">
        <v>40843</v>
      </c>
      <c r="I287" s="94" t="s">
        <v>132</v>
      </c>
      <c r="J287" s="34" t="s">
        <v>938</v>
      </c>
      <c r="K287" s="34" t="s">
        <v>234</v>
      </c>
      <c r="L287" s="34">
        <f>IF((Observaciones[[#This Row],[Fecha Levantamiento]]-Observaciones[[#This Row],[Fecha Detección]])&gt;=0,Observaciones[[#This Row],[Fecha Levantamiento]]-Observaciones[[#This Row],[Fecha Detección]]+1,0)</f>
        <v>4</v>
      </c>
      <c r="M287" s="34" t="str">
        <f>LOOKUP(Observaciones[[#This Row],[Caso de Prueba]],CasoPrueba[Código CP],CasoPrueba[Código de REQ])</f>
        <v>INSPECCIÓN</v>
      </c>
    </row>
    <row r="288" spans="1:13" ht="45" hidden="1">
      <c r="A288" s="166" t="s">
        <v>729</v>
      </c>
      <c r="B288" s="34" t="s">
        <v>890</v>
      </c>
      <c r="C288" s="34" t="str">
        <f>VLOOKUP(Observaciones[[#This Row],[Caso de Prueba]],CasoPrueba[[Código CP]:[Descripción Caso de Prueba]],3,0)</f>
        <v>PROCESO Capacitaciones del Departamento de Formación</v>
      </c>
      <c r="D288" s="34" t="str">
        <f>VLOOKUP(Observaciones[Caso de Prueba],CasoPrueba[[#All],[Código CP]:[Prioridad]],7,TRUE)</f>
        <v>Alta</v>
      </c>
      <c r="E288" s="34" t="s">
        <v>162</v>
      </c>
      <c r="F288" s="34" t="s">
        <v>49</v>
      </c>
      <c r="G288" s="73">
        <v>40840</v>
      </c>
      <c r="H288" s="73">
        <v>40843</v>
      </c>
      <c r="I288" s="94" t="s">
        <v>132</v>
      </c>
      <c r="J288" s="34" t="s">
        <v>939</v>
      </c>
      <c r="K288" s="34" t="s">
        <v>981</v>
      </c>
      <c r="L288" s="34">
        <f>IF((Observaciones[[#This Row],[Fecha Levantamiento]]-Observaciones[[#This Row],[Fecha Detección]])&gt;=0,Observaciones[[#This Row],[Fecha Levantamiento]]-Observaciones[[#This Row],[Fecha Detección]]+1,0)</f>
        <v>4</v>
      </c>
      <c r="M288" s="34" t="str">
        <f>LOOKUP(Observaciones[[#This Row],[Caso de Prueba]],CasoPrueba[Código CP],CasoPrueba[Código de REQ])</f>
        <v>INSPECCIÓN</v>
      </c>
    </row>
    <row r="289" spans="1:13" ht="30" hidden="1">
      <c r="A289" s="166" t="s">
        <v>730</v>
      </c>
      <c r="B289" s="34" t="s">
        <v>890</v>
      </c>
      <c r="C289" s="34" t="str">
        <f>VLOOKUP(Observaciones[[#This Row],[Caso de Prueba]],CasoPrueba[[Código CP]:[Descripción Caso de Prueba]],3,0)</f>
        <v>PROCESO Capacitaciones del Departamento de Formación</v>
      </c>
      <c r="D289" s="34" t="str">
        <f>VLOOKUP(Observaciones[Caso de Prueba],CasoPrueba[[#All],[Código CP]:[Prioridad]],7,TRUE)</f>
        <v>Alta</v>
      </c>
      <c r="E289" s="34" t="s">
        <v>162</v>
      </c>
      <c r="F289" s="34" t="s">
        <v>49</v>
      </c>
      <c r="G289" s="73">
        <v>40840</v>
      </c>
      <c r="H289" s="73">
        <v>40843</v>
      </c>
      <c r="I289" s="94" t="s">
        <v>132</v>
      </c>
      <c r="J289" s="34" t="s">
        <v>940</v>
      </c>
      <c r="K289" s="34" t="s">
        <v>998</v>
      </c>
      <c r="L289" s="34">
        <f>IF((Observaciones[[#This Row],[Fecha Levantamiento]]-Observaciones[[#This Row],[Fecha Detección]])&gt;=0,Observaciones[[#This Row],[Fecha Levantamiento]]-Observaciones[[#This Row],[Fecha Detección]]+1,0)</f>
        <v>4</v>
      </c>
      <c r="M289" s="34" t="str">
        <f>LOOKUP(Observaciones[[#This Row],[Caso de Prueba]],CasoPrueba[Código CP],CasoPrueba[Código de REQ])</f>
        <v>INSPECCIÓN</v>
      </c>
    </row>
    <row r="290" spans="1:13" ht="45" hidden="1">
      <c r="A290" s="166" t="s">
        <v>731</v>
      </c>
      <c r="B290" s="34" t="s">
        <v>890</v>
      </c>
      <c r="C290" s="34" t="str">
        <f>VLOOKUP(Observaciones[[#This Row],[Caso de Prueba]],CasoPrueba[[Código CP]:[Descripción Caso de Prueba]],3,0)</f>
        <v>PROCESO Capacitaciones del Departamento de Formación</v>
      </c>
      <c r="D290" s="34" t="str">
        <f>VLOOKUP(Observaciones[Caso de Prueba],CasoPrueba[[#All],[Código CP]:[Prioridad]],7,TRUE)</f>
        <v>Alta</v>
      </c>
      <c r="E290" s="34" t="s">
        <v>29</v>
      </c>
      <c r="F290" s="34" t="s">
        <v>49</v>
      </c>
      <c r="G290" s="73">
        <v>40840</v>
      </c>
      <c r="H290" s="73">
        <v>40843</v>
      </c>
      <c r="I290" s="94" t="s">
        <v>132</v>
      </c>
      <c r="J290" s="34" t="s">
        <v>941</v>
      </c>
      <c r="K290" s="34" t="s">
        <v>999</v>
      </c>
      <c r="L290" s="34">
        <f>IF((Observaciones[[#This Row],[Fecha Levantamiento]]-Observaciones[[#This Row],[Fecha Detección]])&gt;=0,Observaciones[[#This Row],[Fecha Levantamiento]]-Observaciones[[#This Row],[Fecha Detección]]+1,0)</f>
        <v>4</v>
      </c>
      <c r="M290" s="34" t="str">
        <f>LOOKUP(Observaciones[[#This Row],[Caso de Prueba]],CasoPrueba[Código CP],CasoPrueba[Código de REQ])</f>
        <v>INSPECCIÓN</v>
      </c>
    </row>
    <row r="291" spans="1:13" ht="30" hidden="1">
      <c r="A291" s="166" t="s">
        <v>732</v>
      </c>
      <c r="B291" s="34" t="s">
        <v>891</v>
      </c>
      <c r="C291" s="34" t="str">
        <f>VLOOKUP(Observaciones[[#This Row],[Caso de Prueba]],CasoPrueba[[Código CP]:[Descripción Caso de Prueba]],3,0)</f>
        <v>MP - Gestión de Orientación Pastoral</v>
      </c>
      <c r="D291" s="34" t="str">
        <f>VLOOKUP(Observaciones[Caso de Prueba],CasoPrueba[[#All],[Código CP]:[Prioridad]],7,TRUE)</f>
        <v>Alta</v>
      </c>
      <c r="E291" s="34" t="s">
        <v>162</v>
      </c>
      <c r="F291" s="34" t="s">
        <v>49</v>
      </c>
      <c r="G291" s="73">
        <v>40840</v>
      </c>
      <c r="H291" s="73">
        <v>40843</v>
      </c>
      <c r="I291" s="94" t="s">
        <v>132</v>
      </c>
      <c r="J291" s="34" t="s">
        <v>942</v>
      </c>
      <c r="K291" s="34" t="s">
        <v>975</v>
      </c>
      <c r="L291" s="34">
        <f>IF((Observaciones[[#This Row],[Fecha Levantamiento]]-Observaciones[[#This Row],[Fecha Detección]])&gt;=0,Observaciones[[#This Row],[Fecha Levantamiento]]-Observaciones[[#This Row],[Fecha Detección]]+1,0)</f>
        <v>4</v>
      </c>
      <c r="M291" s="34" t="str">
        <f>LOOKUP(Observaciones[[#This Row],[Caso de Prueba]],CasoPrueba[Código CP],CasoPrueba[Código de REQ])</f>
        <v>INSPECCIÓN</v>
      </c>
    </row>
    <row r="292" spans="1:13" ht="30" hidden="1">
      <c r="A292" s="166" t="s">
        <v>733</v>
      </c>
      <c r="B292" s="34" t="s">
        <v>891</v>
      </c>
      <c r="C292" s="34" t="str">
        <f>VLOOKUP(Observaciones[[#This Row],[Caso de Prueba]],CasoPrueba[[Código CP]:[Descripción Caso de Prueba]],3,0)</f>
        <v>MP - Gestión de Orientación Pastoral</v>
      </c>
      <c r="D292" s="34" t="str">
        <f>VLOOKUP(Observaciones[Caso de Prueba],CasoPrueba[[#All],[Código CP]:[Prioridad]],7,TRUE)</f>
        <v>Alta</v>
      </c>
      <c r="E292" s="34" t="s">
        <v>162</v>
      </c>
      <c r="F292" s="34" t="s">
        <v>49</v>
      </c>
      <c r="G292" s="73">
        <v>40840</v>
      </c>
      <c r="H292" s="73">
        <v>40843</v>
      </c>
      <c r="I292" s="94" t="s">
        <v>132</v>
      </c>
      <c r="J292" s="34" t="s">
        <v>943</v>
      </c>
      <c r="K292" s="34" t="s">
        <v>975</v>
      </c>
      <c r="L292" s="34">
        <f>IF((Observaciones[[#This Row],[Fecha Levantamiento]]-Observaciones[[#This Row],[Fecha Detección]])&gt;=0,Observaciones[[#This Row],[Fecha Levantamiento]]-Observaciones[[#This Row],[Fecha Detección]]+1,0)</f>
        <v>4</v>
      </c>
      <c r="M292" s="34" t="str">
        <f>LOOKUP(Observaciones[[#This Row],[Caso de Prueba]],CasoPrueba[Código CP],CasoPrueba[Código de REQ])</f>
        <v>INSPECCIÓN</v>
      </c>
    </row>
    <row r="293" spans="1:13" ht="90" hidden="1">
      <c r="A293" s="166" t="s">
        <v>734</v>
      </c>
      <c r="B293" s="34" t="s">
        <v>891</v>
      </c>
      <c r="C293" s="34" t="str">
        <f>VLOOKUP(Observaciones[[#This Row],[Caso de Prueba]],CasoPrueba[[Código CP]:[Descripción Caso de Prueba]],3,0)</f>
        <v>MP - Gestión de Orientación Pastoral</v>
      </c>
      <c r="D293" s="34" t="str">
        <f>VLOOKUP(Observaciones[Caso de Prueba],CasoPrueba[[#All],[Código CP]:[Prioridad]],7,TRUE)</f>
        <v>Alta</v>
      </c>
      <c r="E293" s="34" t="s">
        <v>29</v>
      </c>
      <c r="F293" s="34" t="s">
        <v>49</v>
      </c>
      <c r="G293" s="73">
        <v>40840</v>
      </c>
      <c r="H293" s="73">
        <v>40843</v>
      </c>
      <c r="I293" s="94" t="s">
        <v>132</v>
      </c>
      <c r="J293" s="34" t="s">
        <v>599</v>
      </c>
      <c r="K293" s="34" t="s">
        <v>817</v>
      </c>
      <c r="L293" s="34">
        <f>IF((Observaciones[[#This Row],[Fecha Levantamiento]]-Observaciones[[#This Row],[Fecha Detección]])&gt;=0,Observaciones[[#This Row],[Fecha Levantamiento]]-Observaciones[[#This Row],[Fecha Detección]]+1,0)</f>
        <v>4</v>
      </c>
      <c r="M293" s="34" t="str">
        <f>LOOKUP(Observaciones[[#This Row],[Caso de Prueba]],CasoPrueba[Código CP],CasoPrueba[Código de REQ])</f>
        <v>INSPECCIÓN</v>
      </c>
    </row>
    <row r="294" spans="1:13" ht="45" hidden="1">
      <c r="A294" s="166" t="s">
        <v>735</v>
      </c>
      <c r="B294" s="34" t="s">
        <v>891</v>
      </c>
      <c r="C294" s="34" t="str">
        <f>VLOOKUP(Observaciones[[#This Row],[Caso de Prueba]],CasoPrueba[[Código CP]:[Descripción Caso de Prueba]],3,0)</f>
        <v>MP - Gestión de Orientación Pastoral</v>
      </c>
      <c r="D294" s="34" t="str">
        <f>VLOOKUP(Observaciones[Caso de Prueba],CasoPrueba[[#All],[Código CP]:[Prioridad]],7,TRUE)</f>
        <v>Alta</v>
      </c>
      <c r="E294" s="34" t="s">
        <v>28</v>
      </c>
      <c r="F294" s="34" t="s">
        <v>49</v>
      </c>
      <c r="G294" s="73">
        <v>40840</v>
      </c>
      <c r="H294" s="73">
        <v>40843</v>
      </c>
      <c r="I294" s="94" t="s">
        <v>132</v>
      </c>
      <c r="J294" s="34" t="s">
        <v>871</v>
      </c>
      <c r="K294" s="34" t="s">
        <v>976</v>
      </c>
      <c r="L294" s="34">
        <f>IF((Observaciones[[#This Row],[Fecha Levantamiento]]-Observaciones[[#This Row],[Fecha Detección]])&gt;=0,Observaciones[[#This Row],[Fecha Levantamiento]]-Observaciones[[#This Row],[Fecha Detección]]+1,0)</f>
        <v>4</v>
      </c>
      <c r="M294" s="34" t="str">
        <f>LOOKUP(Observaciones[[#This Row],[Caso de Prueba]],CasoPrueba[Código CP],CasoPrueba[Código de REQ])</f>
        <v>INSPECCIÓN</v>
      </c>
    </row>
    <row r="295" spans="1:13" ht="30" hidden="1">
      <c r="A295" s="166" t="s">
        <v>736</v>
      </c>
      <c r="B295" s="34" t="s">
        <v>891</v>
      </c>
      <c r="C295" s="34" t="str">
        <f>VLOOKUP(Observaciones[[#This Row],[Caso de Prueba]],CasoPrueba[[Código CP]:[Descripción Caso de Prueba]],3,0)</f>
        <v>MP - Gestión de Orientación Pastoral</v>
      </c>
      <c r="D295" s="34" t="str">
        <f>VLOOKUP(Observaciones[Caso de Prueba],CasoPrueba[[#All],[Código CP]:[Prioridad]],7,TRUE)</f>
        <v>Alta</v>
      </c>
      <c r="E295" s="34" t="s">
        <v>30</v>
      </c>
      <c r="F295" s="34" t="s">
        <v>49</v>
      </c>
      <c r="G295" s="73">
        <v>40840</v>
      </c>
      <c r="H295" s="73">
        <v>40843</v>
      </c>
      <c r="I295" s="94" t="s">
        <v>132</v>
      </c>
      <c r="J295" s="34" t="s">
        <v>944</v>
      </c>
      <c r="K295" s="34" t="s">
        <v>261</v>
      </c>
      <c r="L295" s="34">
        <f>IF((Observaciones[[#This Row],[Fecha Levantamiento]]-Observaciones[[#This Row],[Fecha Detección]])&gt;=0,Observaciones[[#This Row],[Fecha Levantamiento]]-Observaciones[[#This Row],[Fecha Detección]]+1,0)</f>
        <v>4</v>
      </c>
      <c r="M295" s="34" t="str">
        <f>LOOKUP(Observaciones[[#This Row],[Caso de Prueba]],CasoPrueba[Código CP],CasoPrueba[Código de REQ])</f>
        <v>INSPECCIÓN</v>
      </c>
    </row>
    <row r="296" spans="1:13" ht="45" hidden="1">
      <c r="A296" s="166" t="s">
        <v>737</v>
      </c>
      <c r="B296" s="34" t="s">
        <v>891</v>
      </c>
      <c r="C296" s="34" t="str">
        <f>VLOOKUP(Observaciones[[#This Row],[Caso de Prueba]],CasoPrueba[[Código CP]:[Descripción Caso de Prueba]],3,0)</f>
        <v>MP - Gestión de Orientación Pastoral</v>
      </c>
      <c r="D296" s="34" t="str">
        <f>VLOOKUP(Observaciones[Caso de Prueba],CasoPrueba[[#All],[Código CP]:[Prioridad]],7,TRUE)</f>
        <v>Alta</v>
      </c>
      <c r="E296" s="34" t="s">
        <v>28</v>
      </c>
      <c r="F296" s="34" t="s">
        <v>49</v>
      </c>
      <c r="G296" s="73">
        <v>40840</v>
      </c>
      <c r="H296" s="73">
        <v>40843</v>
      </c>
      <c r="I296" s="94" t="s">
        <v>132</v>
      </c>
      <c r="J296" s="34" t="s">
        <v>945</v>
      </c>
      <c r="K296" s="34" t="s">
        <v>982</v>
      </c>
      <c r="L296" s="34">
        <f>IF((Observaciones[[#This Row],[Fecha Levantamiento]]-Observaciones[[#This Row],[Fecha Detección]])&gt;=0,Observaciones[[#This Row],[Fecha Levantamiento]]-Observaciones[[#This Row],[Fecha Detección]]+1,0)</f>
        <v>4</v>
      </c>
      <c r="M296" s="34" t="str">
        <f>LOOKUP(Observaciones[[#This Row],[Caso de Prueba]],CasoPrueba[Código CP],CasoPrueba[Código de REQ])</f>
        <v>INSPECCIÓN</v>
      </c>
    </row>
    <row r="297" spans="1:13" ht="30" hidden="1">
      <c r="A297" s="166" t="s">
        <v>738</v>
      </c>
      <c r="B297" s="34" t="s">
        <v>891</v>
      </c>
      <c r="C297" s="34" t="str">
        <f>VLOOKUP(Observaciones[[#This Row],[Caso de Prueba]],CasoPrueba[[Código CP]:[Descripción Caso de Prueba]],3,0)</f>
        <v>MP - Gestión de Orientación Pastoral</v>
      </c>
      <c r="D297" s="34" t="str">
        <f>VLOOKUP(Observaciones[Caso de Prueba],CasoPrueba[[#All],[Código CP]:[Prioridad]],7,TRUE)</f>
        <v>Alta</v>
      </c>
      <c r="E297" s="34" t="s">
        <v>162</v>
      </c>
      <c r="F297" s="34" t="s">
        <v>49</v>
      </c>
      <c r="G297" s="73">
        <v>40840</v>
      </c>
      <c r="H297" s="73">
        <v>40843</v>
      </c>
      <c r="I297" s="94" t="s">
        <v>132</v>
      </c>
      <c r="J297" s="34" t="s">
        <v>946</v>
      </c>
      <c r="K297" s="34" t="s">
        <v>967</v>
      </c>
      <c r="L297" s="34">
        <f>IF((Observaciones[[#This Row],[Fecha Levantamiento]]-Observaciones[[#This Row],[Fecha Detección]])&gt;=0,Observaciones[[#This Row],[Fecha Levantamiento]]-Observaciones[[#This Row],[Fecha Detección]]+1,0)</f>
        <v>4</v>
      </c>
      <c r="M297" s="34" t="str">
        <f>LOOKUP(Observaciones[[#This Row],[Caso de Prueba]],CasoPrueba[Código CP],CasoPrueba[Código de REQ])</f>
        <v>INSPECCIÓN</v>
      </c>
    </row>
    <row r="298" spans="1:13" ht="30" hidden="1">
      <c r="A298" s="166" t="s">
        <v>739</v>
      </c>
      <c r="B298" s="34" t="s">
        <v>891</v>
      </c>
      <c r="C298" s="34" t="str">
        <f>VLOOKUP(Observaciones[[#This Row],[Caso de Prueba]],CasoPrueba[[Código CP]:[Descripción Caso de Prueba]],3,0)</f>
        <v>MP - Gestión de Orientación Pastoral</v>
      </c>
      <c r="D298" s="34" t="str">
        <f>VLOOKUP(Observaciones[Caso de Prueba],CasoPrueba[[#All],[Código CP]:[Prioridad]],7,TRUE)</f>
        <v>Alta</v>
      </c>
      <c r="E298" s="34" t="s">
        <v>162</v>
      </c>
      <c r="F298" s="34" t="s">
        <v>49</v>
      </c>
      <c r="G298" s="73">
        <v>40840</v>
      </c>
      <c r="H298" s="73">
        <v>40843</v>
      </c>
      <c r="I298" s="94" t="s">
        <v>132</v>
      </c>
      <c r="J298" s="34" t="s">
        <v>947</v>
      </c>
      <c r="K298" s="34" t="s">
        <v>967</v>
      </c>
      <c r="L298" s="34">
        <f>IF((Observaciones[[#This Row],[Fecha Levantamiento]]-Observaciones[[#This Row],[Fecha Detección]])&gt;=0,Observaciones[[#This Row],[Fecha Levantamiento]]-Observaciones[[#This Row],[Fecha Detección]]+1,0)</f>
        <v>4</v>
      </c>
      <c r="M298" s="34" t="str">
        <f>LOOKUP(Observaciones[[#This Row],[Caso de Prueba]],CasoPrueba[Código CP],CasoPrueba[Código de REQ])</f>
        <v>INSPECCIÓN</v>
      </c>
    </row>
    <row r="299" spans="1:13" ht="45" hidden="1">
      <c r="A299" s="166" t="s">
        <v>740</v>
      </c>
      <c r="B299" s="34" t="s">
        <v>892</v>
      </c>
      <c r="C299" s="34" t="str">
        <f>VLOOKUP(Observaciones[[#This Row],[Caso de Prueba]],CasoPrueba[[Código CP]:[Descripción Caso de Prueba]],3,0)</f>
        <v>PROCESO - Ejecución de Talleres de Pastoral y Educación en Valores</v>
      </c>
      <c r="D299" s="34" t="str">
        <f>VLOOKUP(Observaciones[Caso de Prueba],CasoPrueba[[#All],[Código CP]:[Prioridad]],7,TRUE)</f>
        <v>Alta</v>
      </c>
      <c r="E299" s="34" t="s">
        <v>28</v>
      </c>
      <c r="F299" s="34" t="s">
        <v>49</v>
      </c>
      <c r="G299" s="73">
        <v>40838</v>
      </c>
      <c r="H299" s="73">
        <v>40843</v>
      </c>
      <c r="I299" s="94" t="s">
        <v>132</v>
      </c>
      <c r="J299" s="34" t="s">
        <v>597</v>
      </c>
      <c r="K299" s="34" t="s">
        <v>983</v>
      </c>
      <c r="L299" s="34">
        <f>IF((Observaciones[[#This Row],[Fecha Levantamiento]]-Observaciones[[#This Row],[Fecha Detección]])&gt;=0,Observaciones[[#This Row],[Fecha Levantamiento]]-Observaciones[[#This Row],[Fecha Detección]]+1,0)</f>
        <v>6</v>
      </c>
      <c r="M299" s="34" t="str">
        <f>LOOKUP(Observaciones[[#This Row],[Caso de Prueba]],CasoPrueba[Código CP],CasoPrueba[Código de REQ])</f>
        <v>INSPECCIÓN</v>
      </c>
    </row>
    <row r="300" spans="1:13" ht="60" hidden="1">
      <c r="A300" s="166" t="s">
        <v>741</v>
      </c>
      <c r="B300" s="34" t="s">
        <v>892</v>
      </c>
      <c r="C300" s="34" t="str">
        <f>VLOOKUP(Observaciones[[#This Row],[Caso de Prueba]],CasoPrueba[[Código CP]:[Descripción Caso de Prueba]],3,0)</f>
        <v>PROCESO - Ejecución de Talleres de Pastoral y Educación en Valores</v>
      </c>
      <c r="D300" s="34" t="str">
        <f>VLOOKUP(Observaciones[Caso de Prueba],CasoPrueba[[#All],[Código CP]:[Prioridad]],7,TRUE)</f>
        <v>Alta</v>
      </c>
      <c r="E300" s="34" t="s">
        <v>30</v>
      </c>
      <c r="F300" s="34" t="s">
        <v>49</v>
      </c>
      <c r="G300" s="73">
        <v>40838</v>
      </c>
      <c r="H300" s="73">
        <v>40843</v>
      </c>
      <c r="I300" s="94" t="s">
        <v>132</v>
      </c>
      <c r="J300" s="34" t="s">
        <v>948</v>
      </c>
      <c r="K300" s="34" t="s">
        <v>968</v>
      </c>
      <c r="L300" s="34">
        <f>IF((Observaciones[[#This Row],[Fecha Levantamiento]]-Observaciones[[#This Row],[Fecha Detección]])&gt;=0,Observaciones[[#This Row],[Fecha Levantamiento]]-Observaciones[[#This Row],[Fecha Detección]]+1,0)</f>
        <v>6</v>
      </c>
      <c r="M300" s="34" t="str">
        <f>LOOKUP(Observaciones[[#This Row],[Caso de Prueba]],CasoPrueba[Código CP],CasoPrueba[Código de REQ])</f>
        <v>INSPECCIÓN</v>
      </c>
    </row>
    <row r="301" spans="1:13" ht="90" hidden="1">
      <c r="A301" s="166" t="s">
        <v>742</v>
      </c>
      <c r="B301" s="34" t="s">
        <v>892</v>
      </c>
      <c r="C301" s="34" t="str">
        <f>VLOOKUP(Observaciones[[#This Row],[Caso de Prueba]],CasoPrueba[[Código CP]:[Descripción Caso de Prueba]],3,0)</f>
        <v>PROCESO - Ejecución de Talleres de Pastoral y Educación en Valores</v>
      </c>
      <c r="D301" s="34" t="str">
        <f>VLOOKUP(Observaciones[Caso de Prueba],CasoPrueba[[#All],[Código CP]:[Prioridad]],7,TRUE)</f>
        <v>Alta</v>
      </c>
      <c r="E301" s="34" t="s">
        <v>29</v>
      </c>
      <c r="F301" s="34" t="s">
        <v>49</v>
      </c>
      <c r="G301" s="73">
        <v>40840</v>
      </c>
      <c r="H301" s="73">
        <v>40843</v>
      </c>
      <c r="I301" s="94" t="s">
        <v>132</v>
      </c>
      <c r="J301" s="34" t="s">
        <v>599</v>
      </c>
      <c r="K301" s="34" t="s">
        <v>980</v>
      </c>
      <c r="L301" s="34">
        <f>IF((Observaciones[[#This Row],[Fecha Levantamiento]]-Observaciones[[#This Row],[Fecha Detección]])&gt;=0,Observaciones[[#This Row],[Fecha Levantamiento]]-Observaciones[[#This Row],[Fecha Detección]]+1,0)</f>
        <v>4</v>
      </c>
      <c r="M301" s="34" t="str">
        <f>LOOKUP(Observaciones[[#This Row],[Caso de Prueba]],CasoPrueba[Código CP],CasoPrueba[Código de REQ])</f>
        <v>INSPECCIÓN</v>
      </c>
    </row>
    <row r="302" spans="1:13" ht="45" hidden="1">
      <c r="A302" s="166" t="s">
        <v>743</v>
      </c>
      <c r="B302" s="34" t="s">
        <v>892</v>
      </c>
      <c r="C302" s="34" t="str">
        <f>VLOOKUP(Observaciones[[#This Row],[Caso de Prueba]],CasoPrueba[[Código CP]:[Descripción Caso de Prueba]],3,0)</f>
        <v>PROCESO - Ejecución de Talleres de Pastoral y Educación en Valores</v>
      </c>
      <c r="D302" s="34" t="str">
        <f>VLOOKUP(Observaciones[Caso de Prueba],CasoPrueba[[#All],[Código CP]:[Prioridad]],7,TRUE)</f>
        <v>Alta</v>
      </c>
      <c r="E302" s="34" t="s">
        <v>28</v>
      </c>
      <c r="F302" s="34" t="s">
        <v>49</v>
      </c>
      <c r="G302" s="73">
        <v>40840</v>
      </c>
      <c r="H302" s="73">
        <v>40843</v>
      </c>
      <c r="I302" s="94" t="s">
        <v>132</v>
      </c>
      <c r="J302" s="34" t="s">
        <v>871</v>
      </c>
      <c r="K302" s="34" t="s">
        <v>976</v>
      </c>
      <c r="L302" s="34">
        <f>IF((Observaciones[[#This Row],[Fecha Levantamiento]]-Observaciones[[#This Row],[Fecha Detección]])&gt;=0,Observaciones[[#This Row],[Fecha Levantamiento]]-Observaciones[[#This Row],[Fecha Detección]]+1,0)</f>
        <v>4</v>
      </c>
      <c r="M302" s="34" t="str">
        <f>LOOKUP(Observaciones[[#This Row],[Caso de Prueba]],CasoPrueba[Código CP],CasoPrueba[Código de REQ])</f>
        <v>INSPECCIÓN</v>
      </c>
    </row>
    <row r="303" spans="1:13" hidden="1">
      <c r="A303" s="166" t="s">
        <v>744</v>
      </c>
      <c r="B303" s="34" t="s">
        <v>892</v>
      </c>
      <c r="C303" s="34" t="str">
        <f>VLOOKUP(Observaciones[[#This Row],[Caso de Prueba]],CasoPrueba[[Código CP]:[Descripción Caso de Prueba]],3,0)</f>
        <v>PROCESO - Ejecución de Talleres de Pastoral y Educación en Valores</v>
      </c>
      <c r="D303" s="34" t="str">
        <f>VLOOKUP(Observaciones[Caso de Prueba],CasoPrueba[[#All],[Código CP]:[Prioridad]],7,TRUE)</f>
        <v>Alta</v>
      </c>
      <c r="E303" s="34" t="s">
        <v>30</v>
      </c>
      <c r="F303" s="34" t="s">
        <v>49</v>
      </c>
      <c r="G303" s="73">
        <v>40840</v>
      </c>
      <c r="H303" s="73">
        <v>40843</v>
      </c>
      <c r="I303" s="94" t="s">
        <v>132</v>
      </c>
      <c r="J303" s="34" t="s">
        <v>949</v>
      </c>
      <c r="K303" s="34" t="s">
        <v>984</v>
      </c>
      <c r="L303" s="34">
        <f>IF((Observaciones[[#This Row],[Fecha Levantamiento]]-Observaciones[[#This Row],[Fecha Detección]])&gt;=0,Observaciones[[#This Row],[Fecha Levantamiento]]-Observaciones[[#This Row],[Fecha Detección]]+1,0)</f>
        <v>4</v>
      </c>
      <c r="M303" s="34" t="str">
        <f>LOOKUP(Observaciones[[#This Row],[Caso de Prueba]],CasoPrueba[Código CP],CasoPrueba[Código de REQ])</f>
        <v>INSPECCIÓN</v>
      </c>
    </row>
    <row r="304" spans="1:13" ht="45" hidden="1">
      <c r="A304" s="166" t="s">
        <v>745</v>
      </c>
      <c r="B304" s="34" t="s">
        <v>892</v>
      </c>
      <c r="C304" s="34" t="str">
        <f>VLOOKUP(Observaciones[[#This Row],[Caso de Prueba]],CasoPrueba[[Código CP]:[Descripción Caso de Prueba]],3,0)</f>
        <v>PROCESO - Ejecución de Talleres de Pastoral y Educación en Valores</v>
      </c>
      <c r="D304" s="34" t="str">
        <f>VLOOKUP(Observaciones[Caso de Prueba],CasoPrueba[[#All],[Código CP]:[Prioridad]],7,TRUE)</f>
        <v>Alta</v>
      </c>
      <c r="E304" s="34" t="s">
        <v>162</v>
      </c>
      <c r="F304" s="34" t="s">
        <v>49</v>
      </c>
      <c r="G304" s="73">
        <v>40840</v>
      </c>
      <c r="H304" s="73">
        <v>40843</v>
      </c>
      <c r="I304" s="94" t="s">
        <v>132</v>
      </c>
      <c r="J304" s="34" t="s">
        <v>950</v>
      </c>
      <c r="K304" s="34" t="s">
        <v>967</v>
      </c>
      <c r="L304" s="34">
        <f>IF((Observaciones[[#This Row],[Fecha Levantamiento]]-Observaciones[[#This Row],[Fecha Detección]])&gt;=0,Observaciones[[#This Row],[Fecha Levantamiento]]-Observaciones[[#This Row],[Fecha Detección]]+1,0)</f>
        <v>4</v>
      </c>
      <c r="M304" s="34" t="str">
        <f>LOOKUP(Observaciones[[#This Row],[Caso de Prueba]],CasoPrueba[Código CP],CasoPrueba[Código de REQ])</f>
        <v>INSPECCIÓN</v>
      </c>
    </row>
    <row r="305" spans="1:13" ht="30" hidden="1">
      <c r="A305" s="166" t="s">
        <v>746</v>
      </c>
      <c r="B305" s="164" t="s">
        <v>903</v>
      </c>
      <c r="C305" s="164" t="str">
        <f>VLOOKUP(Observaciones[[#This Row],[Caso de Prueba]],CasoPrueba[[Código CP]:[Descripción Caso de Prueba]],3,0)</f>
        <v>MP - Contabilidad y Presupuestos</v>
      </c>
      <c r="D305" s="164" t="str">
        <f>VLOOKUP(Observaciones[Caso de Prueba],CasoPrueba[[#All],[Código CP]:[Prioridad]],7,TRUE)</f>
        <v>Alta</v>
      </c>
      <c r="E305" s="164" t="s">
        <v>162</v>
      </c>
      <c r="F305" s="34" t="s">
        <v>49</v>
      </c>
      <c r="G305" s="165">
        <v>40845</v>
      </c>
      <c r="H305" s="165">
        <v>40847</v>
      </c>
      <c r="I305" s="94" t="s">
        <v>132</v>
      </c>
      <c r="J305" s="164" t="s">
        <v>1002</v>
      </c>
      <c r="K305" s="164" t="s">
        <v>1039</v>
      </c>
      <c r="L305" s="164">
        <f>IF((Observaciones[[#This Row],[Fecha Levantamiento]]-Observaciones[[#This Row],[Fecha Detección]])&gt;=0,Observaciones[[#This Row],[Fecha Levantamiento]]-Observaciones[[#This Row],[Fecha Detección]]+1,0)</f>
        <v>3</v>
      </c>
      <c r="M305" s="164" t="str">
        <f>LOOKUP(Observaciones[[#This Row],[Caso de Prueba]],CasoPrueba[Código CP],CasoPrueba[Código de REQ])</f>
        <v>INSPECCIÓN</v>
      </c>
    </row>
    <row r="306" spans="1:13" ht="45" hidden="1">
      <c r="A306" s="166" t="s">
        <v>747</v>
      </c>
      <c r="B306" s="164" t="s">
        <v>903</v>
      </c>
      <c r="C306" s="164" t="str">
        <f>VLOOKUP(Observaciones[[#This Row],[Caso de Prueba]],CasoPrueba[[Código CP]:[Descripción Caso de Prueba]],3,0)</f>
        <v>MP - Contabilidad y Presupuestos</v>
      </c>
      <c r="D306" s="164" t="str">
        <f>VLOOKUP(Observaciones[Caso de Prueba],CasoPrueba[[#All],[Código CP]:[Prioridad]],7,TRUE)</f>
        <v>Alta</v>
      </c>
      <c r="E306" s="34" t="s">
        <v>28</v>
      </c>
      <c r="F306" s="34" t="s">
        <v>49</v>
      </c>
      <c r="G306" s="165">
        <v>40845</v>
      </c>
      <c r="H306" s="165">
        <v>40847</v>
      </c>
      <c r="I306" s="94" t="s">
        <v>132</v>
      </c>
      <c r="J306" s="34" t="s">
        <v>871</v>
      </c>
      <c r="K306" s="164" t="s">
        <v>985</v>
      </c>
      <c r="L306" s="164">
        <f>IF((Observaciones[[#This Row],[Fecha Levantamiento]]-Observaciones[[#This Row],[Fecha Detección]])&gt;=0,Observaciones[[#This Row],[Fecha Levantamiento]]-Observaciones[[#This Row],[Fecha Detección]]+1,0)</f>
        <v>3</v>
      </c>
      <c r="M306" s="164" t="str">
        <f>LOOKUP(Observaciones[[#This Row],[Caso de Prueba]],CasoPrueba[Código CP],CasoPrueba[Código de REQ])</f>
        <v>INSPECCIÓN</v>
      </c>
    </row>
    <row r="307" spans="1:13" ht="45" hidden="1">
      <c r="A307" s="166" t="s">
        <v>748</v>
      </c>
      <c r="B307" s="164" t="s">
        <v>903</v>
      </c>
      <c r="C307" s="164" t="str">
        <f>VLOOKUP(Observaciones[[#This Row],[Caso de Prueba]],CasoPrueba[[Código CP]:[Descripción Caso de Prueba]],3,0)</f>
        <v>MP - Contabilidad y Presupuestos</v>
      </c>
      <c r="D307" s="164" t="str">
        <f>VLOOKUP(Observaciones[Caso de Prueba],CasoPrueba[[#All],[Código CP]:[Prioridad]],7,TRUE)</f>
        <v>Alta</v>
      </c>
      <c r="E307" s="164" t="s">
        <v>29</v>
      </c>
      <c r="F307" s="34" t="s">
        <v>49</v>
      </c>
      <c r="G307" s="165">
        <v>40845</v>
      </c>
      <c r="H307" s="165">
        <v>40847</v>
      </c>
      <c r="I307" s="94" t="s">
        <v>132</v>
      </c>
      <c r="J307" s="164" t="s">
        <v>1003</v>
      </c>
      <c r="K307" s="164" t="s">
        <v>1040</v>
      </c>
      <c r="L307" s="164">
        <f>IF((Observaciones[[#This Row],[Fecha Levantamiento]]-Observaciones[[#This Row],[Fecha Detección]])&gt;=0,Observaciones[[#This Row],[Fecha Levantamiento]]-Observaciones[[#This Row],[Fecha Detección]]+1,0)</f>
        <v>3</v>
      </c>
      <c r="M307" s="164" t="str">
        <f>LOOKUP(Observaciones[[#This Row],[Caso de Prueba]],CasoPrueba[Código CP],CasoPrueba[Código de REQ])</f>
        <v>INSPECCIÓN</v>
      </c>
    </row>
    <row r="308" spans="1:13" ht="30" hidden="1">
      <c r="A308" s="166" t="s">
        <v>749</v>
      </c>
      <c r="B308" s="164" t="s">
        <v>903</v>
      </c>
      <c r="C308" s="164" t="str">
        <f>VLOOKUP(Observaciones[[#This Row],[Caso de Prueba]],CasoPrueba[[Código CP]:[Descripción Caso de Prueba]],3,0)</f>
        <v>MP - Contabilidad y Presupuestos</v>
      </c>
      <c r="D308" s="164" t="str">
        <f>VLOOKUP(Observaciones[Caso de Prueba],CasoPrueba[[#All],[Código CP]:[Prioridad]],7,TRUE)</f>
        <v>Alta</v>
      </c>
      <c r="E308" s="164" t="s">
        <v>162</v>
      </c>
      <c r="F308" s="34" t="s">
        <v>49</v>
      </c>
      <c r="G308" s="165">
        <v>40845</v>
      </c>
      <c r="H308" s="165">
        <v>40847</v>
      </c>
      <c r="I308" s="94" t="s">
        <v>132</v>
      </c>
      <c r="J308" s="164" t="s">
        <v>1004</v>
      </c>
      <c r="K308" s="164" t="s">
        <v>1041</v>
      </c>
      <c r="L308" s="164">
        <f>IF((Observaciones[[#This Row],[Fecha Levantamiento]]-Observaciones[[#This Row],[Fecha Detección]])&gt;=0,Observaciones[[#This Row],[Fecha Levantamiento]]-Observaciones[[#This Row],[Fecha Detección]]+1,0)</f>
        <v>3</v>
      </c>
      <c r="M308" s="164" t="str">
        <f>LOOKUP(Observaciones[[#This Row],[Caso de Prueba]],CasoPrueba[Código CP],CasoPrueba[Código de REQ])</f>
        <v>INSPECCIÓN</v>
      </c>
    </row>
    <row r="309" spans="1:13" ht="60" hidden="1">
      <c r="A309" s="166" t="s">
        <v>750</v>
      </c>
      <c r="B309" s="164" t="s">
        <v>903</v>
      </c>
      <c r="C309" s="164" t="str">
        <f>VLOOKUP(Observaciones[[#This Row],[Caso de Prueba]],CasoPrueba[[Código CP]:[Descripción Caso de Prueba]],3,0)</f>
        <v>MP - Contabilidad y Presupuestos</v>
      </c>
      <c r="D309" s="164" t="str">
        <f>VLOOKUP(Observaciones[Caso de Prueba],CasoPrueba[[#All],[Código CP]:[Prioridad]],7,TRUE)</f>
        <v>Alta</v>
      </c>
      <c r="E309" s="164" t="s">
        <v>30</v>
      </c>
      <c r="F309" s="34" t="s">
        <v>49</v>
      </c>
      <c r="G309" s="165">
        <v>40845</v>
      </c>
      <c r="H309" s="165">
        <v>40847</v>
      </c>
      <c r="I309" s="94" t="s">
        <v>132</v>
      </c>
      <c r="J309" s="164" t="s">
        <v>1005</v>
      </c>
      <c r="K309" s="164" t="s">
        <v>1042</v>
      </c>
      <c r="L309" s="164">
        <f>IF((Observaciones[[#This Row],[Fecha Levantamiento]]-Observaciones[[#This Row],[Fecha Detección]])&gt;=0,Observaciones[[#This Row],[Fecha Levantamiento]]-Observaciones[[#This Row],[Fecha Detección]]+1,0)</f>
        <v>3</v>
      </c>
      <c r="M309" s="164" t="str">
        <f>LOOKUP(Observaciones[[#This Row],[Caso de Prueba]],CasoPrueba[Código CP],CasoPrueba[Código de REQ])</f>
        <v>INSPECCIÓN</v>
      </c>
    </row>
    <row r="310" spans="1:13" ht="30" hidden="1">
      <c r="A310" s="166" t="s">
        <v>751</v>
      </c>
      <c r="B310" s="164" t="s">
        <v>903</v>
      </c>
      <c r="C310" s="164" t="str">
        <f>VLOOKUP(Observaciones[[#This Row],[Caso de Prueba]],CasoPrueba[[Código CP]:[Descripción Caso de Prueba]],3,0)</f>
        <v>MP - Contabilidad y Presupuestos</v>
      </c>
      <c r="D310" s="164" t="str">
        <f>VLOOKUP(Observaciones[Caso de Prueba],CasoPrueba[[#All],[Código CP]:[Prioridad]],7,TRUE)</f>
        <v>Alta</v>
      </c>
      <c r="E310" s="164" t="s">
        <v>162</v>
      </c>
      <c r="F310" s="34" t="s">
        <v>49</v>
      </c>
      <c r="G310" s="165">
        <v>40845</v>
      </c>
      <c r="H310" s="165">
        <v>40847</v>
      </c>
      <c r="I310" s="94" t="s">
        <v>132</v>
      </c>
      <c r="J310" s="164" t="s">
        <v>1006</v>
      </c>
      <c r="K310" s="164" t="s">
        <v>823</v>
      </c>
      <c r="L310" s="164">
        <f>IF((Observaciones[[#This Row],[Fecha Levantamiento]]-Observaciones[[#This Row],[Fecha Detección]])&gt;=0,Observaciones[[#This Row],[Fecha Levantamiento]]-Observaciones[[#This Row],[Fecha Detección]]+1,0)</f>
        <v>3</v>
      </c>
      <c r="M310" s="164" t="str">
        <f>LOOKUP(Observaciones[[#This Row],[Caso de Prueba]],CasoPrueba[Código CP],CasoPrueba[Código de REQ])</f>
        <v>INSPECCIÓN</v>
      </c>
    </row>
    <row r="311" spans="1:13" ht="45" hidden="1">
      <c r="A311" s="166" t="s">
        <v>752</v>
      </c>
      <c r="B311" s="164" t="s">
        <v>903</v>
      </c>
      <c r="C311" s="164" t="str">
        <f>VLOOKUP(Observaciones[[#This Row],[Caso de Prueba]],CasoPrueba[[Código CP]:[Descripción Caso de Prueba]],3,0)</f>
        <v>MP - Contabilidad y Presupuestos</v>
      </c>
      <c r="D311" s="164" t="str">
        <f>VLOOKUP(Observaciones[Caso de Prueba],CasoPrueba[[#All],[Código CP]:[Prioridad]],7,TRUE)</f>
        <v>Alta</v>
      </c>
      <c r="E311" s="164" t="s">
        <v>29</v>
      </c>
      <c r="F311" s="34" t="s">
        <v>49</v>
      </c>
      <c r="G311" s="165">
        <v>40845</v>
      </c>
      <c r="H311" s="165">
        <v>40847</v>
      </c>
      <c r="I311" s="94" t="s">
        <v>132</v>
      </c>
      <c r="J311" s="164" t="s">
        <v>1007</v>
      </c>
      <c r="K311" s="164" t="s">
        <v>1043</v>
      </c>
      <c r="L311" s="164">
        <f>IF((Observaciones[[#This Row],[Fecha Levantamiento]]-Observaciones[[#This Row],[Fecha Detección]])&gt;=0,Observaciones[[#This Row],[Fecha Levantamiento]]-Observaciones[[#This Row],[Fecha Detección]]+1,0)</f>
        <v>3</v>
      </c>
      <c r="M311" s="164" t="str">
        <f>LOOKUP(Observaciones[[#This Row],[Caso de Prueba]],CasoPrueba[Código CP],CasoPrueba[Código de REQ])</f>
        <v>INSPECCIÓN</v>
      </c>
    </row>
    <row r="312" spans="1:13" ht="30.75" hidden="1" customHeight="1">
      <c r="A312" s="166" t="s">
        <v>753</v>
      </c>
      <c r="B312" s="164" t="s">
        <v>903</v>
      </c>
      <c r="C312" s="164" t="str">
        <f>VLOOKUP(Observaciones[[#This Row],[Caso de Prueba]],CasoPrueba[[Código CP]:[Descripción Caso de Prueba]],3,0)</f>
        <v>MP - Contabilidad y Presupuestos</v>
      </c>
      <c r="D312" s="164" t="str">
        <f>VLOOKUP(Observaciones[Caso de Prueba],CasoPrueba[[#All],[Código CP]:[Prioridad]],7,TRUE)</f>
        <v>Alta</v>
      </c>
      <c r="E312" s="164" t="s">
        <v>162</v>
      </c>
      <c r="F312" s="34" t="s">
        <v>49</v>
      </c>
      <c r="G312" s="165">
        <v>40845</v>
      </c>
      <c r="H312" s="165">
        <v>40847</v>
      </c>
      <c r="I312" s="94" t="s">
        <v>132</v>
      </c>
      <c r="J312" s="164" t="s">
        <v>1008</v>
      </c>
      <c r="K312" s="164" t="s">
        <v>1044</v>
      </c>
      <c r="L312" s="164">
        <f>IF((Observaciones[[#This Row],[Fecha Levantamiento]]-Observaciones[[#This Row],[Fecha Detección]])&gt;=0,Observaciones[[#This Row],[Fecha Levantamiento]]-Observaciones[[#This Row],[Fecha Detección]]+1,0)</f>
        <v>3</v>
      </c>
      <c r="M312" s="164" t="str">
        <f>LOOKUP(Observaciones[[#This Row],[Caso de Prueba]],CasoPrueba[Código CP],CasoPrueba[Código de REQ])</f>
        <v>INSPECCIÓN</v>
      </c>
    </row>
    <row r="313" spans="1:13" ht="45" hidden="1">
      <c r="A313" s="166" t="s">
        <v>754</v>
      </c>
      <c r="B313" s="164" t="s">
        <v>903</v>
      </c>
      <c r="C313" s="164" t="str">
        <f>VLOOKUP(Observaciones[[#This Row],[Caso de Prueba]],CasoPrueba[[Código CP]:[Descripción Caso de Prueba]],3,0)</f>
        <v>MP - Contabilidad y Presupuestos</v>
      </c>
      <c r="D313" s="164" t="str">
        <f>VLOOKUP(Observaciones[Caso de Prueba],CasoPrueba[[#All],[Código CP]:[Prioridad]],7,TRUE)</f>
        <v>Alta</v>
      </c>
      <c r="E313" s="164" t="s">
        <v>162</v>
      </c>
      <c r="F313" s="34" t="s">
        <v>49</v>
      </c>
      <c r="G313" s="165">
        <v>40845</v>
      </c>
      <c r="H313" s="165">
        <v>40847</v>
      </c>
      <c r="I313" s="94" t="s">
        <v>132</v>
      </c>
      <c r="J313" s="164" t="s">
        <v>1009</v>
      </c>
      <c r="K313" s="164" t="s">
        <v>823</v>
      </c>
      <c r="L313" s="164">
        <f>IF((Observaciones[[#This Row],[Fecha Levantamiento]]-Observaciones[[#This Row],[Fecha Detección]])&gt;=0,Observaciones[[#This Row],[Fecha Levantamiento]]-Observaciones[[#This Row],[Fecha Detección]]+1,0)</f>
        <v>3</v>
      </c>
      <c r="M313" s="164" t="str">
        <f>LOOKUP(Observaciones[[#This Row],[Caso de Prueba]],CasoPrueba[Código CP],CasoPrueba[Código de REQ])</f>
        <v>INSPECCIÓN</v>
      </c>
    </row>
    <row r="314" spans="1:13" ht="30" hidden="1">
      <c r="A314" s="166" t="s">
        <v>755</v>
      </c>
      <c r="B314" s="164" t="s">
        <v>903</v>
      </c>
      <c r="C314" s="164" t="str">
        <f>VLOOKUP(Observaciones[[#This Row],[Caso de Prueba]],CasoPrueba[[Código CP]:[Descripción Caso de Prueba]],3,0)</f>
        <v>MP - Contabilidad y Presupuestos</v>
      </c>
      <c r="D314" s="34" t="str">
        <f>VLOOKUP(Observaciones[Caso de Prueba],CasoPrueba[[#All],[Código CP]:[Prioridad]],7,TRUE)</f>
        <v>Alta</v>
      </c>
      <c r="E314" s="34" t="s">
        <v>30</v>
      </c>
      <c r="F314" s="34" t="s">
        <v>49</v>
      </c>
      <c r="G314" s="165">
        <v>40845</v>
      </c>
      <c r="H314" s="165">
        <v>40847</v>
      </c>
      <c r="I314" s="94" t="s">
        <v>132</v>
      </c>
      <c r="J314" s="34" t="s">
        <v>1010</v>
      </c>
      <c r="K314" s="34" t="s">
        <v>835</v>
      </c>
      <c r="L314" s="34">
        <f>IF((Observaciones[[#This Row],[Fecha Levantamiento]]-Observaciones[[#This Row],[Fecha Detección]])&gt;=0,Observaciones[[#This Row],[Fecha Levantamiento]]-Observaciones[[#This Row],[Fecha Detección]]+1,0)</f>
        <v>3</v>
      </c>
      <c r="M314" s="34" t="str">
        <f>LOOKUP(Observaciones[[#This Row],[Caso de Prueba]],CasoPrueba[Código CP],CasoPrueba[Código de REQ])</f>
        <v>INSPECCIÓN</v>
      </c>
    </row>
    <row r="315" spans="1:13" ht="45" hidden="1">
      <c r="A315" s="166" t="s">
        <v>756</v>
      </c>
      <c r="B315" s="164" t="s">
        <v>904</v>
      </c>
      <c r="C315" s="164" t="str">
        <f>VLOOKUP(Observaciones[[#This Row],[Caso de Prueba]],CasoPrueba[[Código CP]:[Descripción Caso de Prueba]],3,0)</f>
        <v>PROCESO - Planificación del Presupuesto Institucional Anual</v>
      </c>
      <c r="D315" s="34" t="str">
        <f>VLOOKUP(Observaciones[Caso de Prueba],CasoPrueba[[#All],[Código CP]:[Prioridad]],7,TRUE)</f>
        <v>Alta</v>
      </c>
      <c r="E315" s="34" t="s">
        <v>28</v>
      </c>
      <c r="F315" s="34" t="s">
        <v>49</v>
      </c>
      <c r="G315" s="165">
        <v>40845</v>
      </c>
      <c r="H315" s="165">
        <v>40847</v>
      </c>
      <c r="I315" s="94" t="s">
        <v>132</v>
      </c>
      <c r="J315" s="34" t="s">
        <v>597</v>
      </c>
      <c r="K315" s="34" t="s">
        <v>1045</v>
      </c>
      <c r="L315" s="34">
        <f>IF((Observaciones[[#This Row],[Fecha Levantamiento]]-Observaciones[[#This Row],[Fecha Detección]])&gt;=0,Observaciones[[#This Row],[Fecha Levantamiento]]-Observaciones[[#This Row],[Fecha Detección]]+1,0)</f>
        <v>3</v>
      </c>
      <c r="M315" s="34" t="str">
        <f>LOOKUP(Observaciones[[#This Row],[Caso de Prueba]],CasoPrueba[Código CP],CasoPrueba[Código de REQ])</f>
        <v>INSPECCIÓN</v>
      </c>
    </row>
    <row r="316" spans="1:13" ht="30" hidden="1">
      <c r="A316" s="166" t="s">
        <v>757</v>
      </c>
      <c r="B316" s="164" t="s">
        <v>904</v>
      </c>
      <c r="C316" s="164" t="str">
        <f>VLOOKUP(Observaciones[[#This Row],[Caso de Prueba]],CasoPrueba[[Código CP]:[Descripción Caso de Prueba]],3,0)</f>
        <v>PROCESO - Planificación del Presupuesto Institucional Anual</v>
      </c>
      <c r="D316" s="34" t="str">
        <f>VLOOKUP(Observaciones[Caso de Prueba],CasoPrueba[[#All],[Código CP]:[Prioridad]],7,TRUE)</f>
        <v>Alta</v>
      </c>
      <c r="E316" s="164" t="s">
        <v>162</v>
      </c>
      <c r="F316" s="34" t="s">
        <v>49</v>
      </c>
      <c r="G316" s="165">
        <v>40845</v>
      </c>
      <c r="H316" s="165">
        <v>40847</v>
      </c>
      <c r="I316" s="94" t="s">
        <v>132</v>
      </c>
      <c r="J316" s="34" t="s">
        <v>1011</v>
      </c>
      <c r="K316" s="34" t="s">
        <v>1046</v>
      </c>
      <c r="L316" s="34">
        <f>IF((Observaciones[[#This Row],[Fecha Levantamiento]]-Observaciones[[#This Row],[Fecha Detección]])&gt;=0,Observaciones[[#This Row],[Fecha Levantamiento]]-Observaciones[[#This Row],[Fecha Detección]]+1,0)</f>
        <v>3</v>
      </c>
      <c r="M316" s="34" t="str">
        <f>LOOKUP(Observaciones[[#This Row],[Caso de Prueba]],CasoPrueba[Código CP],CasoPrueba[Código de REQ])</f>
        <v>INSPECCIÓN</v>
      </c>
    </row>
    <row r="317" spans="1:13" ht="45" hidden="1">
      <c r="A317" s="166" t="s">
        <v>758</v>
      </c>
      <c r="B317" s="164" t="s">
        <v>904</v>
      </c>
      <c r="C317" s="164" t="str">
        <f>VLOOKUP(Observaciones[[#This Row],[Caso de Prueba]],CasoPrueba[[Código CP]:[Descripción Caso de Prueba]],3,0)</f>
        <v>PROCESO - Planificación del Presupuesto Institucional Anual</v>
      </c>
      <c r="D317" s="34" t="str">
        <f>VLOOKUP(Observaciones[Caso de Prueba],CasoPrueba[[#All],[Código CP]:[Prioridad]],7,TRUE)</f>
        <v>Alta</v>
      </c>
      <c r="E317" s="34" t="s">
        <v>28</v>
      </c>
      <c r="F317" s="34" t="s">
        <v>49</v>
      </c>
      <c r="G317" s="165">
        <v>40845</v>
      </c>
      <c r="H317" s="165">
        <v>40847</v>
      </c>
      <c r="I317" s="94" t="s">
        <v>132</v>
      </c>
      <c r="J317" s="34" t="s">
        <v>1014</v>
      </c>
      <c r="K317" s="34" t="s">
        <v>1047</v>
      </c>
      <c r="L317" s="34">
        <f>IF((Observaciones[[#This Row],[Fecha Levantamiento]]-Observaciones[[#This Row],[Fecha Detección]])&gt;=0,Observaciones[[#This Row],[Fecha Levantamiento]]-Observaciones[[#This Row],[Fecha Detección]]+1,0)</f>
        <v>3</v>
      </c>
      <c r="M317" s="34" t="str">
        <f>LOOKUP(Observaciones[[#This Row],[Caso de Prueba]],CasoPrueba[Código CP],CasoPrueba[Código de REQ])</f>
        <v>INSPECCIÓN</v>
      </c>
    </row>
    <row r="318" spans="1:13" ht="75" hidden="1">
      <c r="A318" s="166" t="s">
        <v>759</v>
      </c>
      <c r="B318" s="164" t="s">
        <v>904</v>
      </c>
      <c r="C318" s="164" t="str">
        <f>VLOOKUP(Observaciones[[#This Row],[Caso de Prueba]],CasoPrueba[[Código CP]:[Descripción Caso de Prueba]],3,0)</f>
        <v>PROCESO - Planificación del Presupuesto Institucional Anual</v>
      </c>
      <c r="D318" s="34" t="str">
        <f>VLOOKUP(Observaciones[Caso de Prueba],CasoPrueba[[#All],[Código CP]:[Prioridad]],7,TRUE)</f>
        <v>Alta</v>
      </c>
      <c r="E318" s="34" t="s">
        <v>29</v>
      </c>
      <c r="F318" s="34" t="s">
        <v>49</v>
      </c>
      <c r="G318" s="165">
        <v>40845</v>
      </c>
      <c r="H318" s="165">
        <v>40847</v>
      </c>
      <c r="I318" s="94" t="s">
        <v>132</v>
      </c>
      <c r="J318" s="34" t="s">
        <v>1018</v>
      </c>
      <c r="K318" s="34" t="s">
        <v>980</v>
      </c>
      <c r="L318" s="34">
        <f>IF((Observaciones[[#This Row],[Fecha Levantamiento]]-Observaciones[[#This Row],[Fecha Detección]])&gt;=0,Observaciones[[#This Row],[Fecha Levantamiento]]-Observaciones[[#This Row],[Fecha Detección]]+1,0)</f>
        <v>3</v>
      </c>
      <c r="M318" s="34" t="str">
        <f>LOOKUP(Observaciones[[#This Row],[Caso de Prueba]],CasoPrueba[Código CP],CasoPrueba[Código de REQ])</f>
        <v>INSPECCIÓN</v>
      </c>
    </row>
    <row r="319" spans="1:13" ht="60" hidden="1">
      <c r="A319" s="166" t="s">
        <v>760</v>
      </c>
      <c r="B319" s="164" t="s">
        <v>904</v>
      </c>
      <c r="C319" s="164" t="str">
        <f>VLOOKUP(Observaciones[[#This Row],[Caso de Prueba]],CasoPrueba[[Código CP]:[Descripción Caso de Prueba]],3,0)</f>
        <v>PROCESO - Planificación del Presupuesto Institucional Anual</v>
      </c>
      <c r="D319" s="34" t="str">
        <f>VLOOKUP(Observaciones[Caso de Prueba],CasoPrueba[[#All],[Código CP]:[Prioridad]],7,TRUE)</f>
        <v>Alta</v>
      </c>
      <c r="E319" s="34" t="s">
        <v>28</v>
      </c>
      <c r="F319" s="34" t="s">
        <v>49</v>
      </c>
      <c r="G319" s="165">
        <v>40845</v>
      </c>
      <c r="H319" s="165">
        <v>40847</v>
      </c>
      <c r="I319" s="94" t="s">
        <v>132</v>
      </c>
      <c r="J319" s="34" t="s">
        <v>1012</v>
      </c>
      <c r="K319" s="34" t="s">
        <v>1048</v>
      </c>
      <c r="L319" s="34">
        <f>IF((Observaciones[[#This Row],[Fecha Levantamiento]]-Observaciones[[#This Row],[Fecha Detección]])&gt;=0,Observaciones[[#This Row],[Fecha Levantamiento]]-Observaciones[[#This Row],[Fecha Detección]]+1,0)</f>
        <v>3</v>
      </c>
      <c r="M319" s="34" t="str">
        <f>LOOKUP(Observaciones[[#This Row],[Caso de Prueba]],CasoPrueba[Código CP],CasoPrueba[Código de REQ])</f>
        <v>INSPECCIÓN</v>
      </c>
    </row>
    <row r="320" spans="1:13" ht="30" hidden="1">
      <c r="A320" s="166" t="s">
        <v>761</v>
      </c>
      <c r="B320" s="164" t="s">
        <v>904</v>
      </c>
      <c r="C320" s="164" t="str">
        <f>VLOOKUP(Observaciones[[#This Row],[Caso de Prueba]],CasoPrueba[[Código CP]:[Descripción Caso de Prueba]],3,0)</f>
        <v>PROCESO - Planificación del Presupuesto Institucional Anual</v>
      </c>
      <c r="D320" s="34" t="str">
        <f>VLOOKUP(Observaciones[Caso de Prueba],CasoPrueba[[#All],[Código CP]:[Prioridad]],7,TRUE)</f>
        <v>Alta</v>
      </c>
      <c r="E320" s="34" t="s">
        <v>30</v>
      </c>
      <c r="F320" s="34" t="s">
        <v>49</v>
      </c>
      <c r="G320" s="165">
        <v>40845</v>
      </c>
      <c r="H320" s="165">
        <v>40847</v>
      </c>
      <c r="I320" s="94" t="s">
        <v>132</v>
      </c>
      <c r="J320" s="34" t="s">
        <v>1013</v>
      </c>
      <c r="K320" s="34" t="s">
        <v>1049</v>
      </c>
      <c r="L320" s="34">
        <f>IF((Observaciones[[#This Row],[Fecha Levantamiento]]-Observaciones[[#This Row],[Fecha Detección]])&gt;=0,Observaciones[[#This Row],[Fecha Levantamiento]]-Observaciones[[#This Row],[Fecha Detección]]+1,0)</f>
        <v>3</v>
      </c>
      <c r="M320" s="34" t="str">
        <f>LOOKUP(Observaciones[[#This Row],[Caso de Prueba]],CasoPrueba[Código CP],CasoPrueba[Código de REQ])</f>
        <v>INSPECCIÓN</v>
      </c>
    </row>
    <row r="321" spans="1:13" ht="30" hidden="1">
      <c r="A321" s="166" t="s">
        <v>762</v>
      </c>
      <c r="B321" s="164" t="s">
        <v>904</v>
      </c>
      <c r="C321" s="164" t="str">
        <f>VLOOKUP(Observaciones[[#This Row],[Caso de Prueba]],CasoPrueba[[Código CP]:[Descripción Caso de Prueba]],3,0)</f>
        <v>PROCESO - Planificación del Presupuesto Institucional Anual</v>
      </c>
      <c r="D321" s="34" t="str">
        <f>VLOOKUP(Observaciones[Caso de Prueba],CasoPrueba[[#All],[Código CP]:[Prioridad]],7,TRUE)</f>
        <v>Alta</v>
      </c>
      <c r="E321" s="34" t="s">
        <v>162</v>
      </c>
      <c r="F321" s="34" t="s">
        <v>49</v>
      </c>
      <c r="G321" s="165">
        <v>40845</v>
      </c>
      <c r="H321" s="165">
        <v>40847</v>
      </c>
      <c r="I321" s="94" t="s">
        <v>132</v>
      </c>
      <c r="J321" s="34" t="s">
        <v>1056</v>
      </c>
      <c r="K321" s="34" t="s">
        <v>1050</v>
      </c>
      <c r="L321" s="34">
        <f>IF((Observaciones[[#This Row],[Fecha Levantamiento]]-Observaciones[[#This Row],[Fecha Detección]])&gt;=0,Observaciones[[#This Row],[Fecha Levantamiento]]-Observaciones[[#This Row],[Fecha Detección]]+1,0)</f>
        <v>3</v>
      </c>
      <c r="M321" s="34" t="str">
        <f>LOOKUP(Observaciones[[#This Row],[Caso de Prueba]],CasoPrueba[Código CP],CasoPrueba[Código de REQ])</f>
        <v>INSPECCIÓN</v>
      </c>
    </row>
    <row r="322" spans="1:13" ht="75" hidden="1">
      <c r="A322" s="166" t="s">
        <v>763</v>
      </c>
      <c r="B322" s="164" t="s">
        <v>904</v>
      </c>
      <c r="C322" s="164" t="str">
        <f>VLOOKUP(Observaciones[[#This Row],[Caso de Prueba]],CasoPrueba[[Código CP]:[Descripción Caso de Prueba]],3,0)</f>
        <v>PROCESO - Planificación del Presupuesto Institucional Anual</v>
      </c>
      <c r="D322" s="34" t="str">
        <f>VLOOKUP(Observaciones[Caso de Prueba],CasoPrueba[[#All],[Código CP]:[Prioridad]],7,TRUE)</f>
        <v>Alta</v>
      </c>
      <c r="E322" s="34" t="s">
        <v>29</v>
      </c>
      <c r="F322" s="34" t="s">
        <v>49</v>
      </c>
      <c r="G322" s="165">
        <v>40845</v>
      </c>
      <c r="H322" s="165">
        <v>40847</v>
      </c>
      <c r="I322" s="94" t="s">
        <v>132</v>
      </c>
      <c r="J322" s="34" t="s">
        <v>1015</v>
      </c>
      <c r="K322" s="34" t="s">
        <v>1051</v>
      </c>
      <c r="L322" s="34">
        <f>IF((Observaciones[[#This Row],[Fecha Levantamiento]]-Observaciones[[#This Row],[Fecha Detección]])&gt;=0,Observaciones[[#This Row],[Fecha Levantamiento]]-Observaciones[[#This Row],[Fecha Detección]]+1,0)</f>
        <v>3</v>
      </c>
      <c r="M322" s="34" t="str">
        <f>LOOKUP(Observaciones[[#This Row],[Caso de Prueba]],CasoPrueba[Código CP],CasoPrueba[Código de REQ])</f>
        <v>INSPECCIÓN</v>
      </c>
    </row>
    <row r="323" spans="1:13" ht="30" hidden="1">
      <c r="A323" s="166" t="s">
        <v>764</v>
      </c>
      <c r="B323" s="164" t="s">
        <v>904</v>
      </c>
      <c r="C323" s="164" t="str">
        <f>VLOOKUP(Observaciones[[#This Row],[Caso de Prueba]],CasoPrueba[[Código CP]:[Descripción Caso de Prueba]],3,0)</f>
        <v>PROCESO - Planificación del Presupuesto Institucional Anual</v>
      </c>
      <c r="D323" s="34" t="str">
        <f>VLOOKUP(Observaciones[Caso de Prueba],CasoPrueba[[#All],[Código CP]:[Prioridad]],7,TRUE)</f>
        <v>Alta</v>
      </c>
      <c r="E323" s="34" t="s">
        <v>162</v>
      </c>
      <c r="F323" s="34" t="s">
        <v>49</v>
      </c>
      <c r="G323" s="165">
        <v>40845</v>
      </c>
      <c r="H323" s="165">
        <v>40847</v>
      </c>
      <c r="I323" s="94" t="s">
        <v>132</v>
      </c>
      <c r="J323" s="34" t="s">
        <v>1016</v>
      </c>
      <c r="K323" s="34" t="s">
        <v>1052</v>
      </c>
      <c r="L323" s="34">
        <f>IF((Observaciones[[#This Row],[Fecha Levantamiento]]-Observaciones[[#This Row],[Fecha Detección]])&gt;=0,Observaciones[[#This Row],[Fecha Levantamiento]]-Observaciones[[#This Row],[Fecha Detección]]+1,0)</f>
        <v>3</v>
      </c>
      <c r="M323" s="34" t="str">
        <f>LOOKUP(Observaciones[[#This Row],[Caso de Prueba]],CasoPrueba[Código CP],CasoPrueba[Código de REQ])</f>
        <v>INSPECCIÓN</v>
      </c>
    </row>
    <row r="324" spans="1:13" ht="45" hidden="1">
      <c r="A324" s="166" t="s">
        <v>765</v>
      </c>
      <c r="B324" s="164" t="s">
        <v>905</v>
      </c>
      <c r="C324" s="164" t="str">
        <f>VLOOKUP(Observaciones[[#This Row],[Caso de Prueba]],CasoPrueba[[Código CP]:[Descripción Caso de Prueba]],3,0)</f>
        <v>PROCESO - Seguimiento Presupuestal</v>
      </c>
      <c r="D324" s="34" t="str">
        <f>VLOOKUP(Observaciones[Caso de Prueba],CasoPrueba[[#All],[Código CP]:[Prioridad]],7,TRUE)</f>
        <v>Alta</v>
      </c>
      <c r="E324" s="34" t="s">
        <v>28</v>
      </c>
      <c r="F324" s="34" t="s">
        <v>49</v>
      </c>
      <c r="G324" s="165">
        <v>40845</v>
      </c>
      <c r="H324" s="165">
        <v>40847</v>
      </c>
      <c r="I324" s="94" t="s">
        <v>132</v>
      </c>
      <c r="J324" s="34" t="s">
        <v>597</v>
      </c>
      <c r="K324" s="34" t="s">
        <v>1053</v>
      </c>
      <c r="L324" s="34">
        <f>IF((Observaciones[[#This Row],[Fecha Levantamiento]]-Observaciones[[#This Row],[Fecha Detección]])&gt;=0,Observaciones[[#This Row],[Fecha Levantamiento]]-Observaciones[[#This Row],[Fecha Detección]]+1,0)</f>
        <v>3</v>
      </c>
      <c r="M324" s="34" t="str">
        <f>LOOKUP(Observaciones[[#This Row],[Caso de Prueba]],CasoPrueba[Código CP],CasoPrueba[Código de REQ])</f>
        <v>INSPECCIÓN</v>
      </c>
    </row>
    <row r="325" spans="1:13" ht="30" hidden="1">
      <c r="A325" s="166" t="s">
        <v>766</v>
      </c>
      <c r="B325" s="164" t="s">
        <v>905</v>
      </c>
      <c r="C325" s="164" t="str">
        <f>VLOOKUP(Observaciones[[#This Row],[Caso de Prueba]],CasoPrueba[[Código CP]:[Descripción Caso de Prueba]],3,0)</f>
        <v>PROCESO - Seguimiento Presupuestal</v>
      </c>
      <c r="D325" s="34" t="str">
        <f>VLOOKUP(Observaciones[Caso de Prueba],CasoPrueba[[#All],[Código CP]:[Prioridad]],7,TRUE)</f>
        <v>Alta</v>
      </c>
      <c r="E325" s="164" t="s">
        <v>162</v>
      </c>
      <c r="F325" s="34" t="s">
        <v>49</v>
      </c>
      <c r="G325" s="165">
        <v>40845</v>
      </c>
      <c r="H325" s="165">
        <v>40847</v>
      </c>
      <c r="I325" s="94" t="s">
        <v>132</v>
      </c>
      <c r="J325" s="34" t="s">
        <v>1011</v>
      </c>
      <c r="K325" s="34" t="s">
        <v>1046</v>
      </c>
      <c r="L325" s="34">
        <f>IF((Observaciones[[#This Row],[Fecha Levantamiento]]-Observaciones[[#This Row],[Fecha Detección]])&gt;=0,Observaciones[[#This Row],[Fecha Levantamiento]]-Observaciones[[#This Row],[Fecha Detección]]+1,0)</f>
        <v>3</v>
      </c>
      <c r="M325" s="34" t="str">
        <f>LOOKUP(Observaciones[[#This Row],[Caso de Prueba]],CasoPrueba[Código CP],CasoPrueba[Código de REQ])</f>
        <v>INSPECCIÓN</v>
      </c>
    </row>
    <row r="326" spans="1:13" ht="60" hidden="1">
      <c r="A326" s="166" t="s">
        <v>767</v>
      </c>
      <c r="B326" s="164" t="s">
        <v>905</v>
      </c>
      <c r="C326" s="164" t="str">
        <f>VLOOKUP(Observaciones[[#This Row],[Caso de Prueba]],CasoPrueba[[Código CP]:[Descripción Caso de Prueba]],3,0)</f>
        <v>PROCESO - Seguimiento Presupuestal</v>
      </c>
      <c r="D326" s="34" t="str">
        <f>VLOOKUP(Observaciones[Caso de Prueba],CasoPrueba[[#All],[Código CP]:[Prioridad]],7,TRUE)</f>
        <v>Alta</v>
      </c>
      <c r="E326" s="34" t="s">
        <v>28</v>
      </c>
      <c r="F326" s="34" t="s">
        <v>49</v>
      </c>
      <c r="G326" s="165">
        <v>40845</v>
      </c>
      <c r="H326" s="165">
        <v>40847</v>
      </c>
      <c r="I326" s="94" t="s">
        <v>132</v>
      </c>
      <c r="J326" s="34" t="s">
        <v>1017</v>
      </c>
      <c r="K326" s="34" t="s">
        <v>976</v>
      </c>
      <c r="L326" s="34">
        <f>IF((Observaciones[[#This Row],[Fecha Levantamiento]]-Observaciones[[#This Row],[Fecha Detección]])&gt;=0,Observaciones[[#This Row],[Fecha Levantamiento]]-Observaciones[[#This Row],[Fecha Detección]]+1,0)</f>
        <v>3</v>
      </c>
      <c r="M326" s="34" t="str">
        <f>LOOKUP(Observaciones[[#This Row],[Caso de Prueba]],CasoPrueba[Código CP],CasoPrueba[Código de REQ])</f>
        <v>INSPECCIÓN</v>
      </c>
    </row>
    <row r="327" spans="1:13" ht="30" hidden="1">
      <c r="A327" s="166" t="s">
        <v>768</v>
      </c>
      <c r="B327" s="164" t="s">
        <v>905</v>
      </c>
      <c r="C327" s="164" t="str">
        <f>VLOOKUP(Observaciones[[#This Row],[Caso de Prueba]],CasoPrueba[[Código CP]:[Descripción Caso de Prueba]],3,0)</f>
        <v>PROCESO - Seguimiento Presupuestal</v>
      </c>
      <c r="D327" s="34" t="str">
        <f>VLOOKUP(Observaciones[Caso de Prueba],CasoPrueba[[#All],[Código CP]:[Prioridad]],7,TRUE)</f>
        <v>Alta</v>
      </c>
      <c r="E327" s="34" t="s">
        <v>162</v>
      </c>
      <c r="F327" s="34" t="s">
        <v>49</v>
      </c>
      <c r="G327" s="165">
        <v>40845</v>
      </c>
      <c r="H327" s="165">
        <v>40847</v>
      </c>
      <c r="I327" s="94" t="s">
        <v>132</v>
      </c>
      <c r="J327" s="34" t="s">
        <v>1019</v>
      </c>
      <c r="K327" s="34" t="s">
        <v>1054</v>
      </c>
      <c r="L327" s="34">
        <f>IF((Observaciones[[#This Row],[Fecha Levantamiento]]-Observaciones[[#This Row],[Fecha Detección]])&gt;=0,Observaciones[[#This Row],[Fecha Levantamiento]]-Observaciones[[#This Row],[Fecha Detección]]+1,0)</f>
        <v>3</v>
      </c>
      <c r="M327" s="34" t="str">
        <f>LOOKUP(Observaciones[[#This Row],[Caso de Prueba]],CasoPrueba[Código CP],CasoPrueba[Código de REQ])</f>
        <v>INSPECCIÓN</v>
      </c>
    </row>
    <row r="328" spans="1:13" ht="30" hidden="1">
      <c r="A328" s="166" t="s">
        <v>769</v>
      </c>
      <c r="B328" s="164" t="s">
        <v>905</v>
      </c>
      <c r="C328" s="164" t="str">
        <f>VLOOKUP(Observaciones[[#This Row],[Caso de Prueba]],CasoPrueba[[Código CP]:[Descripción Caso de Prueba]],3,0)</f>
        <v>PROCESO - Seguimiento Presupuestal</v>
      </c>
      <c r="D328" s="34" t="str">
        <f>VLOOKUP(Observaciones[Caso de Prueba],CasoPrueba[[#All],[Código CP]:[Prioridad]],7,TRUE)</f>
        <v>Alta</v>
      </c>
      <c r="E328" s="34" t="s">
        <v>29</v>
      </c>
      <c r="F328" s="34" t="s">
        <v>49</v>
      </c>
      <c r="G328" s="165">
        <v>40845</v>
      </c>
      <c r="H328" s="165">
        <v>40847</v>
      </c>
      <c r="I328" s="94" t="s">
        <v>132</v>
      </c>
      <c r="J328" s="34" t="s">
        <v>1020</v>
      </c>
      <c r="K328" s="34" t="s">
        <v>1055</v>
      </c>
      <c r="L328" s="34">
        <f>IF((Observaciones[[#This Row],[Fecha Levantamiento]]-Observaciones[[#This Row],[Fecha Detección]])&gt;=0,Observaciones[[#This Row],[Fecha Levantamiento]]-Observaciones[[#This Row],[Fecha Detección]]+1,0)</f>
        <v>3</v>
      </c>
      <c r="M328" s="34" t="str">
        <f>LOOKUP(Observaciones[[#This Row],[Caso de Prueba]],CasoPrueba[Código CP],CasoPrueba[Código de REQ])</f>
        <v>INSPECCIÓN</v>
      </c>
    </row>
    <row r="329" spans="1:13" ht="30" hidden="1">
      <c r="A329" s="166" t="s">
        <v>770</v>
      </c>
      <c r="B329" s="164" t="s">
        <v>489</v>
      </c>
      <c r="C329" s="164" t="str">
        <f>VLOOKUP(Observaciones[[#This Row],[Caso de Prueba]],CasoPrueba[[Código CP]:[Descripción Caso de Prueba]],3,0)</f>
        <v>PROCESO - Planificación del Departamento de Proyectos</v>
      </c>
      <c r="D329" s="34" t="str">
        <f>VLOOKUP(Observaciones[Caso de Prueba],CasoPrueba[[#All],[Código CP]:[Prioridad]],7,TRUE)</f>
        <v>Alta</v>
      </c>
      <c r="E329" s="34" t="s">
        <v>30</v>
      </c>
      <c r="F329" s="34" t="s">
        <v>49</v>
      </c>
      <c r="G329" s="165">
        <v>40847</v>
      </c>
      <c r="H329" s="73">
        <v>40848</v>
      </c>
      <c r="I329" s="94" t="s">
        <v>132</v>
      </c>
      <c r="J329" s="34" t="s">
        <v>1013</v>
      </c>
      <c r="K329" s="34" t="s">
        <v>1029</v>
      </c>
      <c r="L329" s="34">
        <f>IF((Observaciones[[#This Row],[Fecha Levantamiento]]-Observaciones[[#This Row],[Fecha Detección]])&gt;=0,Observaciones[[#This Row],[Fecha Levantamiento]]-Observaciones[[#This Row],[Fecha Detección]]+1,0)</f>
        <v>2</v>
      </c>
      <c r="M329" s="34" t="str">
        <f>LOOKUP(Observaciones[[#This Row],[Caso de Prueba]],CasoPrueba[Código CP],CasoPrueba[Código de REQ])</f>
        <v>INSPECCIÓN</v>
      </c>
    </row>
    <row r="330" spans="1:13" ht="30" hidden="1">
      <c r="A330" s="166" t="s">
        <v>771</v>
      </c>
      <c r="B330" s="164" t="s">
        <v>489</v>
      </c>
      <c r="C330" s="164" t="str">
        <f>VLOOKUP(Observaciones[[#This Row],[Caso de Prueba]],CasoPrueba[[Código CP]:[Descripción Caso de Prueba]],3,0)</f>
        <v>PROCESO - Planificación del Departamento de Proyectos</v>
      </c>
      <c r="D330" s="34" t="str">
        <f>VLOOKUP(Observaciones[Caso de Prueba],CasoPrueba[[#All],[Código CP]:[Prioridad]],7,TRUE)</f>
        <v>Alta</v>
      </c>
      <c r="E330" s="34" t="s">
        <v>162</v>
      </c>
      <c r="F330" s="34" t="s">
        <v>49</v>
      </c>
      <c r="G330" s="165">
        <v>40847</v>
      </c>
      <c r="H330" s="73">
        <v>40848</v>
      </c>
      <c r="I330" s="94" t="s">
        <v>132</v>
      </c>
      <c r="J330" s="34" t="s">
        <v>1023</v>
      </c>
      <c r="K330" s="34" t="s">
        <v>199</v>
      </c>
      <c r="L330" s="34">
        <f>IF((Observaciones[[#This Row],[Fecha Levantamiento]]-Observaciones[[#This Row],[Fecha Detección]])&gt;=0,Observaciones[[#This Row],[Fecha Levantamiento]]-Observaciones[[#This Row],[Fecha Detección]]+1,0)</f>
        <v>2</v>
      </c>
      <c r="M330" s="34" t="str">
        <f>LOOKUP(Observaciones[[#This Row],[Caso de Prueba]],CasoPrueba[Código CP],CasoPrueba[Código de REQ])</f>
        <v>INSPECCIÓN</v>
      </c>
    </row>
    <row r="331" spans="1:13" ht="57" hidden="1" customHeight="1">
      <c r="A331" s="164" t="s">
        <v>772</v>
      </c>
      <c r="B331" s="164" t="s">
        <v>614</v>
      </c>
      <c r="C331" s="164" t="str">
        <f>VLOOKUP(Observaciones[[#This Row],[Caso de Prueba]],CasoPrueba[[Código CP]:[Descripción Caso de Prueba]],3,0)</f>
        <v>MP - Gestión de Imagen Institucional y Donaciones</v>
      </c>
      <c r="D331" s="34" t="str">
        <f>VLOOKUP(Observaciones[Caso de Prueba],CasoPrueba[[#All],[Código CP]:[Prioridad]],7,TRUE)</f>
        <v>Alta</v>
      </c>
      <c r="E331" s="34" t="s">
        <v>30</v>
      </c>
      <c r="F331" s="34" t="s">
        <v>49</v>
      </c>
      <c r="G331" s="165">
        <v>40847</v>
      </c>
      <c r="H331" s="73">
        <v>40848</v>
      </c>
      <c r="I331" s="94" t="s">
        <v>132</v>
      </c>
      <c r="J331" s="34" t="s">
        <v>1024</v>
      </c>
      <c r="K331" s="34" t="s">
        <v>818</v>
      </c>
      <c r="L331" s="34">
        <f>IF((Observaciones[[#This Row],[Fecha Levantamiento]]-Observaciones[[#This Row],[Fecha Detección]])&gt;=0,Observaciones[[#This Row],[Fecha Levantamiento]]-Observaciones[[#This Row],[Fecha Detección]]+1,0)</f>
        <v>2</v>
      </c>
      <c r="M331" s="34" t="str">
        <f>LOOKUP(Observaciones[[#This Row],[Caso de Prueba]],CasoPrueba[Código CP],CasoPrueba[Código de REQ])</f>
        <v>INSPECCIÓN</v>
      </c>
    </row>
    <row r="332" spans="1:13" ht="60" hidden="1">
      <c r="A332" s="166" t="s">
        <v>773</v>
      </c>
      <c r="B332" s="34" t="s">
        <v>619</v>
      </c>
      <c r="C332" s="34" t="str">
        <f>VLOOKUP(Observaciones[[#This Row],[Caso de Prueba]],CasoPrueba[[Código CP]:[Descripción Caso de Prueba]],3,0)</f>
        <v>Proceso - Recepción de Donaciones</v>
      </c>
      <c r="D332" s="34" t="str">
        <f>VLOOKUP(Observaciones[Caso de Prueba],CasoPrueba[[#All],[Código CP]:[Prioridad]],7,TRUE)</f>
        <v>Alta</v>
      </c>
      <c r="E332" s="34" t="s">
        <v>30</v>
      </c>
      <c r="F332" s="34" t="s">
        <v>49</v>
      </c>
      <c r="G332" s="165">
        <v>40847</v>
      </c>
      <c r="H332" s="73">
        <v>40848</v>
      </c>
      <c r="I332" s="94" t="s">
        <v>132</v>
      </c>
      <c r="J332" s="34" t="s">
        <v>1025</v>
      </c>
      <c r="K332" s="34" t="s">
        <v>1030</v>
      </c>
      <c r="L332" s="34">
        <f>IF((Observaciones[[#This Row],[Fecha Levantamiento]]-Observaciones[[#This Row],[Fecha Detección]])&gt;=0,Observaciones[[#This Row],[Fecha Levantamiento]]-Observaciones[[#This Row],[Fecha Detección]]+1,0)</f>
        <v>2</v>
      </c>
      <c r="M332" s="34" t="str">
        <f>LOOKUP(Observaciones[[#This Row],[Caso de Prueba]],CasoPrueba[Código CP],CasoPrueba[Código de REQ])</f>
        <v>INSPECCIÓN</v>
      </c>
    </row>
    <row r="333" spans="1:13" ht="30" hidden="1">
      <c r="A333" s="166" t="s">
        <v>774</v>
      </c>
      <c r="B333" s="34" t="s">
        <v>619</v>
      </c>
      <c r="C333" s="34" t="str">
        <f>VLOOKUP(Observaciones[[#This Row],[Caso de Prueba]],CasoPrueba[[Código CP]:[Descripción Caso de Prueba]],3,0)</f>
        <v>Proceso - Recepción de Donaciones</v>
      </c>
      <c r="D333" s="34" t="str">
        <f>VLOOKUP(Observaciones[Caso de Prueba],CasoPrueba[[#All],[Código CP]:[Prioridad]],7,TRUE)</f>
        <v>Alta</v>
      </c>
      <c r="E333" s="34" t="s">
        <v>162</v>
      </c>
      <c r="F333" s="34" t="s">
        <v>49</v>
      </c>
      <c r="G333" s="165">
        <v>40847</v>
      </c>
      <c r="H333" s="73">
        <v>40848</v>
      </c>
      <c r="I333" s="94" t="s">
        <v>132</v>
      </c>
      <c r="J333" s="34" t="s">
        <v>1026</v>
      </c>
      <c r="K333" s="34" t="s">
        <v>1031</v>
      </c>
      <c r="L333" s="34">
        <f>IF((Observaciones[[#This Row],[Fecha Levantamiento]]-Observaciones[[#This Row],[Fecha Detección]])&gt;=0,Observaciones[[#This Row],[Fecha Levantamiento]]-Observaciones[[#This Row],[Fecha Detección]]+1,0)</f>
        <v>2</v>
      </c>
      <c r="M333" s="34" t="str">
        <f>LOOKUP(Observaciones[[#This Row],[Caso de Prueba]],CasoPrueba[Código CP],CasoPrueba[Código de REQ])</f>
        <v>INSPECCIÓN</v>
      </c>
    </row>
    <row r="334" spans="1:13" ht="60" hidden="1">
      <c r="A334" s="166" t="s">
        <v>775</v>
      </c>
      <c r="B334" s="34" t="s">
        <v>653</v>
      </c>
      <c r="C334" s="34" t="str">
        <f>VLOOKUP(Observaciones[[#This Row],[Caso de Prueba]],CasoPrueba[[Código CP]:[Descripción Caso de Prueba]],3,0)</f>
        <v>MacroProceso - Gestión de Abastecimiento</v>
      </c>
      <c r="D334" s="34" t="str">
        <f>VLOOKUP(Observaciones[Caso de Prueba],CasoPrueba[[#All],[Código CP]:[Prioridad]],7,TRUE)</f>
        <v>Alta</v>
      </c>
      <c r="E334" s="34" t="s">
        <v>29</v>
      </c>
      <c r="F334" s="34" t="s">
        <v>49</v>
      </c>
      <c r="G334" s="165">
        <v>40847</v>
      </c>
      <c r="H334" s="73">
        <v>40848</v>
      </c>
      <c r="I334" s="94" t="s">
        <v>132</v>
      </c>
      <c r="J334" s="34" t="s">
        <v>1027</v>
      </c>
      <c r="K334" s="34" t="s">
        <v>266</v>
      </c>
      <c r="L334" s="34">
        <f>IF((Observaciones[[#This Row],[Fecha Levantamiento]]-Observaciones[[#This Row],[Fecha Detección]])&gt;=0,Observaciones[[#This Row],[Fecha Levantamiento]]-Observaciones[[#This Row],[Fecha Detección]]+1,0)</f>
        <v>2</v>
      </c>
      <c r="M334" s="34" t="str">
        <f>LOOKUP(Observaciones[[#This Row],[Caso de Prueba]],CasoPrueba[Código CP],CasoPrueba[Código de REQ])</f>
        <v>INSPECCIÓN</v>
      </c>
    </row>
    <row r="335" spans="1:13" ht="30" hidden="1">
      <c r="A335" s="166" t="s">
        <v>776</v>
      </c>
      <c r="B335" s="34" t="s">
        <v>653</v>
      </c>
      <c r="C335" s="34" t="str">
        <f>VLOOKUP(Observaciones[[#This Row],[Caso de Prueba]],CasoPrueba[[Código CP]:[Descripción Caso de Prueba]],3,0)</f>
        <v>MacroProceso - Gestión de Abastecimiento</v>
      </c>
      <c r="D335" s="34" t="str">
        <f>VLOOKUP(Observaciones[Caso de Prueba],CasoPrueba[[#All],[Código CP]:[Prioridad]],7,TRUE)</f>
        <v>Alta</v>
      </c>
      <c r="E335" s="34" t="s">
        <v>29</v>
      </c>
      <c r="F335" s="34" t="s">
        <v>49</v>
      </c>
      <c r="G335" s="165">
        <v>40847</v>
      </c>
      <c r="H335" s="73">
        <v>40848</v>
      </c>
      <c r="I335" s="94" t="s">
        <v>132</v>
      </c>
      <c r="J335" s="34" t="s">
        <v>1028</v>
      </c>
      <c r="K335" s="34" t="s">
        <v>266</v>
      </c>
      <c r="L335" s="34">
        <f>IF((Observaciones[[#This Row],[Fecha Levantamiento]]-Observaciones[[#This Row],[Fecha Detección]])&gt;=0,Observaciones[[#This Row],[Fecha Levantamiento]]-Observaciones[[#This Row],[Fecha Detección]]+1,0)</f>
        <v>2</v>
      </c>
      <c r="M335" s="34" t="str">
        <f>LOOKUP(Observaciones[[#This Row],[Caso de Prueba]],CasoPrueba[Código CP],CasoPrueba[Código de REQ])</f>
        <v>INSPECCIÓN</v>
      </c>
    </row>
    <row r="336" spans="1:13" ht="30" hidden="1">
      <c r="A336" s="166" t="s">
        <v>777</v>
      </c>
      <c r="B336" s="34" t="s">
        <v>886</v>
      </c>
      <c r="C336" s="34" t="str">
        <f>VLOOKUP(Observaciones[[#This Row],[Caso de Prueba]],CasoPrueba[[Código CP]:[Descripción Caso de Prueba]],3,0)</f>
        <v>MP - Gestión de Proyectos</v>
      </c>
      <c r="D336" s="34" t="str">
        <f>VLOOKUP(Observaciones[Caso de Prueba],CasoPrueba[[#All],[Código CP]:[Prioridad]],7,TRUE)</f>
        <v>Alta</v>
      </c>
      <c r="E336" s="34" t="s">
        <v>162</v>
      </c>
      <c r="F336" s="34" t="s">
        <v>49</v>
      </c>
      <c r="G336" s="73">
        <v>40848</v>
      </c>
      <c r="H336" s="73">
        <v>40850</v>
      </c>
      <c r="I336" s="94" t="s">
        <v>132</v>
      </c>
      <c r="J336" s="34" t="s">
        <v>1032</v>
      </c>
      <c r="K336" s="34" t="s">
        <v>851</v>
      </c>
      <c r="L336" s="34">
        <f>IF((Observaciones[[#This Row],[Fecha Levantamiento]]-Observaciones[[#This Row],[Fecha Detección]])&gt;=0,Observaciones[[#This Row],[Fecha Levantamiento]]-Observaciones[[#This Row],[Fecha Detección]]+1,0)</f>
        <v>3</v>
      </c>
      <c r="M336" s="34" t="str">
        <f>LOOKUP(Observaciones[[#This Row],[Caso de Prueba]],CasoPrueba[Código CP],CasoPrueba[Código de REQ])</f>
        <v>INSPECCIÓN</v>
      </c>
    </row>
    <row r="337" spans="1:13" ht="30" hidden="1">
      <c r="A337" s="166" t="s">
        <v>778</v>
      </c>
      <c r="B337" s="34" t="s">
        <v>886</v>
      </c>
      <c r="C337" s="34" t="str">
        <f>VLOOKUP(Observaciones[[#This Row],[Caso de Prueba]],CasoPrueba[[Código CP]:[Descripción Caso de Prueba]],3,0)</f>
        <v>MP - Gestión de Proyectos</v>
      </c>
      <c r="D337" s="34" t="str">
        <f>VLOOKUP(Observaciones[Caso de Prueba],CasoPrueba[[#All],[Código CP]:[Prioridad]],7,TRUE)</f>
        <v>Alta</v>
      </c>
      <c r="E337" s="34" t="s">
        <v>30</v>
      </c>
      <c r="F337" s="34" t="s">
        <v>49</v>
      </c>
      <c r="G337" s="73">
        <v>40848</v>
      </c>
      <c r="H337" s="73">
        <v>40850</v>
      </c>
      <c r="I337" s="94" t="s">
        <v>132</v>
      </c>
      <c r="J337" s="34" t="s">
        <v>1033</v>
      </c>
      <c r="K337" s="34" t="s">
        <v>1093</v>
      </c>
      <c r="L337" s="34">
        <f>IF((Observaciones[[#This Row],[Fecha Levantamiento]]-Observaciones[[#This Row],[Fecha Detección]])&gt;=0,Observaciones[[#This Row],[Fecha Levantamiento]]-Observaciones[[#This Row],[Fecha Detección]]+1,0)</f>
        <v>3</v>
      </c>
      <c r="M337" s="34" t="str">
        <f>LOOKUP(Observaciones[[#This Row],[Caso de Prueba]],CasoPrueba[Código CP],CasoPrueba[Código de REQ])</f>
        <v>INSPECCIÓN</v>
      </c>
    </row>
    <row r="338" spans="1:13" ht="30" hidden="1">
      <c r="A338" s="166" t="s">
        <v>779</v>
      </c>
      <c r="B338" s="34" t="s">
        <v>887</v>
      </c>
      <c r="C338" s="34" t="str">
        <f>VLOOKUP(Observaciones[[#This Row],[Caso de Prueba]],CasoPrueba[[Código CP]:[Descripción Caso de Prueba]],3,0)</f>
        <v>PROCESO - Ejecución de Proyectos del Departamento de Proyectos</v>
      </c>
      <c r="D338" s="34" t="str">
        <f>VLOOKUP(Observaciones[Caso de Prueba],CasoPrueba[[#All],[Código CP]:[Prioridad]],7,TRUE)</f>
        <v>Alta</v>
      </c>
      <c r="E338" s="34" t="s">
        <v>30</v>
      </c>
      <c r="F338" s="34" t="s">
        <v>49</v>
      </c>
      <c r="G338" s="73">
        <v>40848</v>
      </c>
      <c r="H338" s="73">
        <v>40850</v>
      </c>
      <c r="I338" s="94" t="s">
        <v>132</v>
      </c>
      <c r="J338" s="34" t="s">
        <v>1013</v>
      </c>
      <c r="K338" s="34" t="s">
        <v>1094</v>
      </c>
      <c r="L338" s="34">
        <f>IF((Observaciones[[#This Row],[Fecha Levantamiento]]-Observaciones[[#This Row],[Fecha Detección]])&gt;=0,Observaciones[[#This Row],[Fecha Levantamiento]]-Observaciones[[#This Row],[Fecha Detección]]+1,0)</f>
        <v>3</v>
      </c>
      <c r="M338" s="34" t="str">
        <f>LOOKUP(Observaciones[[#This Row],[Caso de Prueba]],CasoPrueba[Código CP],CasoPrueba[Código de REQ])</f>
        <v>INSPECCIÓN</v>
      </c>
    </row>
    <row r="339" spans="1:13" ht="105" hidden="1">
      <c r="A339" s="164" t="s">
        <v>780</v>
      </c>
      <c r="B339" s="34" t="s">
        <v>888</v>
      </c>
      <c r="C339" s="34" t="str">
        <f>VLOOKUP(Observaciones[[#This Row],[Caso de Prueba]],CasoPrueba[[Código CP]:[Descripción Caso de Prueba]],3,0)</f>
        <v>MP - Gestión de Aseguramiento de la Calidad Educativa</v>
      </c>
      <c r="D339" s="34" t="str">
        <f>VLOOKUP(Observaciones[Caso de Prueba],CasoPrueba[[#All],[Código CP]:[Prioridad]],7,TRUE)</f>
        <v>Alta</v>
      </c>
      <c r="E339" s="34" t="s">
        <v>30</v>
      </c>
      <c r="F339" s="34" t="s">
        <v>49</v>
      </c>
      <c r="G339" s="73">
        <v>40848</v>
      </c>
      <c r="H339" s="73">
        <v>40850</v>
      </c>
      <c r="I339" s="94" t="s">
        <v>132</v>
      </c>
      <c r="J339" s="34" t="s">
        <v>1060</v>
      </c>
      <c r="K339" s="34" t="s">
        <v>1095</v>
      </c>
      <c r="L339" s="34">
        <f>IF((Observaciones[[#This Row],[Fecha Levantamiento]]-Observaciones[[#This Row],[Fecha Detección]])&gt;=0,Observaciones[[#This Row],[Fecha Levantamiento]]-Observaciones[[#This Row],[Fecha Detección]]+1,0)</f>
        <v>3</v>
      </c>
      <c r="M339" s="34" t="str">
        <f>LOOKUP(Observaciones[[#This Row],[Caso de Prueba]],CasoPrueba[Código CP],CasoPrueba[Código de REQ])</f>
        <v>INSPECCIÓN</v>
      </c>
    </row>
    <row r="340" spans="1:13" ht="30" hidden="1">
      <c r="A340" s="166" t="s">
        <v>781</v>
      </c>
      <c r="B340" s="34" t="s">
        <v>890</v>
      </c>
      <c r="C340" s="34" t="str">
        <f>VLOOKUP(Observaciones[[#This Row],[Caso de Prueba]],CasoPrueba[[Código CP]:[Descripción Caso de Prueba]],3,0)</f>
        <v>PROCESO Capacitaciones del Departamento de Formación</v>
      </c>
      <c r="D340" s="34" t="str">
        <f>VLOOKUP(Observaciones[Caso de Prueba],CasoPrueba[[#All],[Código CP]:[Prioridad]],7,TRUE)</f>
        <v>Alta</v>
      </c>
      <c r="E340" s="34" t="s">
        <v>162</v>
      </c>
      <c r="F340" s="34" t="s">
        <v>49</v>
      </c>
      <c r="G340" s="73">
        <v>40848</v>
      </c>
      <c r="H340" s="73">
        <v>40850</v>
      </c>
      <c r="I340" s="94" t="s">
        <v>132</v>
      </c>
      <c r="J340" s="34" t="s">
        <v>1035</v>
      </c>
      <c r="K340" s="34" t="s">
        <v>1096</v>
      </c>
      <c r="L340" s="34">
        <f>IF((Observaciones[[#This Row],[Fecha Levantamiento]]-Observaciones[[#This Row],[Fecha Detección]])&gt;=0,Observaciones[[#This Row],[Fecha Levantamiento]]-Observaciones[[#This Row],[Fecha Detección]]+1,0)</f>
        <v>3</v>
      </c>
      <c r="M340" s="34" t="str">
        <f>LOOKUP(Observaciones[[#This Row],[Caso de Prueba]],CasoPrueba[Código CP],CasoPrueba[Código de REQ])</f>
        <v>INSPECCIÓN</v>
      </c>
    </row>
    <row r="341" spans="1:13" ht="45" hidden="1">
      <c r="A341" s="166" t="s">
        <v>782</v>
      </c>
      <c r="B341" s="164" t="s">
        <v>614</v>
      </c>
      <c r="C341" s="164" t="str">
        <f>VLOOKUP(Observaciones[[#This Row],[Caso de Prueba]],CasoPrueba[[Código CP]:[Descripción Caso de Prueba]],3,0)</f>
        <v>MP - Gestión de Imagen Institucional y Donaciones</v>
      </c>
      <c r="D341" s="34" t="str">
        <f>VLOOKUP(Observaciones[Caso de Prueba],CasoPrueba[[#All],[Código CP]:[Prioridad]],7,TRUE)</f>
        <v>Alta</v>
      </c>
      <c r="E341" s="34" t="s">
        <v>30</v>
      </c>
      <c r="F341" s="34" t="s">
        <v>49</v>
      </c>
      <c r="G341" s="73">
        <v>40848</v>
      </c>
      <c r="H341" s="73">
        <v>40850</v>
      </c>
      <c r="I341" s="94" t="s">
        <v>132</v>
      </c>
      <c r="J341" s="34" t="s">
        <v>1057</v>
      </c>
      <c r="K341" s="34" t="s">
        <v>858</v>
      </c>
      <c r="L341" s="34">
        <f>IF((Observaciones[[#This Row],[Fecha Levantamiento]]-Observaciones[[#This Row],[Fecha Detección]])&gt;=0,Observaciones[[#This Row],[Fecha Levantamiento]]-Observaciones[[#This Row],[Fecha Detección]]+1,0)</f>
        <v>3</v>
      </c>
      <c r="M341" s="34" t="str">
        <f>LOOKUP(Observaciones[[#This Row],[Caso de Prueba]],CasoPrueba[Código CP],CasoPrueba[Código de REQ])</f>
        <v>INSPECCIÓN</v>
      </c>
    </row>
    <row r="342" spans="1:13" ht="30" hidden="1">
      <c r="A342" s="166" t="s">
        <v>783</v>
      </c>
      <c r="B342" s="34" t="s">
        <v>619</v>
      </c>
      <c r="C342" s="34" t="str">
        <f>VLOOKUP(Observaciones[[#This Row],[Caso de Prueba]],CasoPrueba[[Código CP]:[Descripción Caso de Prueba]],3,0)</f>
        <v>Proceso - Recepción de Donaciones</v>
      </c>
      <c r="D342" s="34" t="str">
        <f>VLOOKUP(Observaciones[Caso de Prueba],CasoPrueba[[#All],[Código CP]:[Prioridad]],7,TRUE)</f>
        <v>Alta</v>
      </c>
      <c r="E342" s="34" t="s">
        <v>162</v>
      </c>
      <c r="F342" s="34" t="s">
        <v>49</v>
      </c>
      <c r="G342" s="73">
        <v>40848</v>
      </c>
      <c r="H342" s="73">
        <v>40850</v>
      </c>
      <c r="I342" s="94" t="s">
        <v>132</v>
      </c>
      <c r="J342" s="34" t="s">
        <v>1058</v>
      </c>
      <c r="K342" s="34" t="s">
        <v>1041</v>
      </c>
      <c r="L342" s="34">
        <f>IF((Observaciones[[#This Row],[Fecha Levantamiento]]-Observaciones[[#This Row],[Fecha Detección]])&gt;=0,Observaciones[[#This Row],[Fecha Levantamiento]]-Observaciones[[#This Row],[Fecha Detección]]+1,0)</f>
        <v>3</v>
      </c>
      <c r="M342" s="34" t="str">
        <f>LOOKUP(Observaciones[[#This Row],[Caso de Prueba]],CasoPrueba[Código CP],CasoPrueba[Código de REQ])</f>
        <v>INSPECCIÓN</v>
      </c>
    </row>
    <row r="343" spans="1:13" ht="30" hidden="1">
      <c r="A343" s="166" t="s">
        <v>784</v>
      </c>
      <c r="B343" s="34" t="s">
        <v>653</v>
      </c>
      <c r="C343" s="34" t="str">
        <f>VLOOKUP(Observaciones[[#This Row],[Caso de Prueba]],CasoPrueba[[Código CP]:[Descripción Caso de Prueba]],3,0)</f>
        <v>MacroProceso - Gestión de Abastecimiento</v>
      </c>
      <c r="D343" s="34" t="str">
        <f>VLOOKUP(Observaciones[Caso de Prueba],CasoPrueba[[#All],[Código CP]:[Prioridad]],7,TRUE)</f>
        <v>Alta</v>
      </c>
      <c r="E343" s="34" t="s">
        <v>162</v>
      </c>
      <c r="F343" s="34" t="s">
        <v>49</v>
      </c>
      <c r="G343" s="73">
        <v>40848</v>
      </c>
      <c r="H343" s="73">
        <v>40850</v>
      </c>
      <c r="I343" s="94" t="s">
        <v>132</v>
      </c>
      <c r="J343" s="34" t="s">
        <v>1059</v>
      </c>
      <c r="K343" s="34" t="s">
        <v>1097</v>
      </c>
      <c r="L343" s="34">
        <f>IF((Observaciones[[#This Row],[Fecha Levantamiento]]-Observaciones[[#This Row],[Fecha Detección]])&gt;=0,Observaciones[[#This Row],[Fecha Levantamiento]]-Observaciones[[#This Row],[Fecha Detección]]+1,0)</f>
        <v>3</v>
      </c>
      <c r="M343" s="34" t="str">
        <f>LOOKUP(Observaciones[[#This Row],[Caso de Prueba]],CasoPrueba[Código CP],CasoPrueba[Código de REQ])</f>
        <v>INSPECCIÓN</v>
      </c>
    </row>
    <row r="344" spans="1:13" ht="45" hidden="1">
      <c r="A344" s="166" t="s">
        <v>785</v>
      </c>
      <c r="B344" s="34" t="s">
        <v>88</v>
      </c>
      <c r="C344" s="34" t="str">
        <f>VLOOKUP(Observaciones[[#This Row],[Caso de Prueba]],CasoPrueba[[Código CP]:[Descripción Caso de Prueba]],3,0)</f>
        <v>MacroProceso - Gestión de Recursos Humanos</v>
      </c>
      <c r="D344" s="34" t="str">
        <f>VLOOKUP(Observaciones[Caso de Prueba],CasoPrueba[[#All],[Código CP]:[Prioridad]],7,TRUE)</f>
        <v>Alta</v>
      </c>
      <c r="E344" s="34" t="s">
        <v>28</v>
      </c>
      <c r="F344" s="34" t="s">
        <v>49</v>
      </c>
      <c r="G344" s="73">
        <v>40848</v>
      </c>
      <c r="H344" s="73">
        <v>40850</v>
      </c>
      <c r="I344" s="94" t="s">
        <v>132</v>
      </c>
      <c r="J344" s="34" t="s">
        <v>871</v>
      </c>
      <c r="K344" s="34" t="s">
        <v>976</v>
      </c>
      <c r="L344" s="34">
        <f>IF((Observaciones[[#This Row],[Fecha Levantamiento]]-Observaciones[[#This Row],[Fecha Detección]])&gt;=0,Observaciones[[#This Row],[Fecha Levantamiento]]-Observaciones[[#This Row],[Fecha Detección]]+1,0)</f>
        <v>3</v>
      </c>
      <c r="M344" s="34" t="str">
        <f>LOOKUP(Observaciones[[#This Row],[Caso de Prueba]],CasoPrueba[Código CP],CasoPrueba[Código de REQ])</f>
        <v>INSPECCIÓN</v>
      </c>
    </row>
    <row r="345" spans="1:13" ht="45" hidden="1">
      <c r="A345" s="166" t="s">
        <v>786</v>
      </c>
      <c r="B345" s="34" t="s">
        <v>151</v>
      </c>
      <c r="C345" s="34" t="str">
        <f>VLOOKUP(Observaciones[[#This Row],[Caso de Prueba]],CasoPrueba[[Código CP]:[Descripción Caso de Prueba]],3,0)</f>
        <v>Proceso - Capacitación de Personal</v>
      </c>
      <c r="D345" s="34" t="str">
        <f>VLOOKUP(Observaciones[Caso de Prueba],CasoPrueba[[#All],[Código CP]:[Prioridad]],7,TRUE)</f>
        <v>Alta</v>
      </c>
      <c r="E345" s="34" t="s">
        <v>28</v>
      </c>
      <c r="F345" s="34" t="s">
        <v>49</v>
      </c>
      <c r="G345" s="73">
        <v>40848</v>
      </c>
      <c r="H345" s="73">
        <v>40850</v>
      </c>
      <c r="I345" s="94" t="s">
        <v>132</v>
      </c>
      <c r="J345" s="34" t="s">
        <v>597</v>
      </c>
      <c r="K345" s="34" t="s">
        <v>1098</v>
      </c>
      <c r="L345" s="34">
        <f>IF((Observaciones[[#This Row],[Fecha Levantamiento]]-Observaciones[[#This Row],[Fecha Detección]])&gt;=0,Observaciones[[#This Row],[Fecha Levantamiento]]-Observaciones[[#This Row],[Fecha Detección]]+1,0)</f>
        <v>3</v>
      </c>
      <c r="M345" s="34" t="str">
        <f>LOOKUP(Observaciones[[#This Row],[Caso de Prueba]],CasoPrueba[Código CP],CasoPrueba[Código de REQ])</f>
        <v>INSPECCIÓN</v>
      </c>
    </row>
    <row r="346" spans="1:13" ht="45" hidden="1">
      <c r="A346" s="166" t="s">
        <v>787</v>
      </c>
      <c r="B346" s="34" t="s">
        <v>152</v>
      </c>
      <c r="C346" s="34" t="str">
        <f>VLOOKUP(Observaciones[[#This Row],[Caso de Prueba]],CasoPrueba[[Código CP]:[Descripción Caso de Prueba]],3,0)</f>
        <v>Proceso - Contratación e Inducción</v>
      </c>
      <c r="D346" s="34" t="str">
        <f>VLOOKUP(Observaciones[Caso de Prueba],CasoPrueba[[#All],[Código CP]:[Prioridad]],7,TRUE)</f>
        <v>Alta</v>
      </c>
      <c r="E346" s="34" t="s">
        <v>28</v>
      </c>
      <c r="F346" s="34" t="s">
        <v>49</v>
      </c>
      <c r="G346" s="73">
        <v>40848</v>
      </c>
      <c r="H346" s="73">
        <v>40850</v>
      </c>
      <c r="I346" s="94" t="s">
        <v>132</v>
      </c>
      <c r="J346" s="34" t="s">
        <v>871</v>
      </c>
      <c r="K346" s="34" t="s">
        <v>954</v>
      </c>
      <c r="L346" s="34">
        <f>IF((Observaciones[[#This Row],[Fecha Levantamiento]]-Observaciones[[#This Row],[Fecha Detección]])&gt;=0,Observaciones[[#This Row],[Fecha Levantamiento]]-Observaciones[[#This Row],[Fecha Detección]]+1,0)</f>
        <v>3</v>
      </c>
      <c r="M346" s="34" t="str">
        <f>LOOKUP(Observaciones[[#This Row],[Caso de Prueba]],CasoPrueba[Código CP],CasoPrueba[Código de REQ])</f>
        <v>INSPECCIÓN</v>
      </c>
    </row>
    <row r="347" spans="1:13" ht="75" hidden="1">
      <c r="A347" s="166" t="s">
        <v>788</v>
      </c>
      <c r="B347" s="34" t="s">
        <v>152</v>
      </c>
      <c r="C347" s="34" t="str">
        <f>VLOOKUP(Observaciones[[#This Row],[Caso de Prueba]],CasoPrueba[[Código CP]:[Descripción Caso de Prueba]],3,0)</f>
        <v>Proceso - Contratación e Inducción</v>
      </c>
      <c r="D347" s="34" t="str">
        <f>VLOOKUP(Observaciones[Caso de Prueba],CasoPrueba[[#All],[Código CP]:[Prioridad]],7,TRUE)</f>
        <v>Alta</v>
      </c>
      <c r="E347" s="34" t="s">
        <v>28</v>
      </c>
      <c r="F347" s="34" t="s">
        <v>49</v>
      </c>
      <c r="G347" s="73">
        <v>40848</v>
      </c>
      <c r="H347" s="73">
        <v>40850</v>
      </c>
      <c r="I347" s="94" t="s">
        <v>132</v>
      </c>
      <c r="J347" s="34" t="s">
        <v>1063</v>
      </c>
      <c r="K347" s="34" t="s">
        <v>817</v>
      </c>
      <c r="L347" s="34">
        <f>IF((Observaciones[[#This Row],[Fecha Levantamiento]]-Observaciones[[#This Row],[Fecha Detección]])&gt;=0,Observaciones[[#This Row],[Fecha Levantamiento]]-Observaciones[[#This Row],[Fecha Detección]]+1,0)</f>
        <v>3</v>
      </c>
      <c r="M347" s="34" t="str">
        <f>LOOKUP(Observaciones[[#This Row],[Caso de Prueba]],CasoPrueba[Código CP],CasoPrueba[Código de REQ])</f>
        <v>INSPECCIÓN</v>
      </c>
    </row>
    <row r="348" spans="1:13" hidden="1">
      <c r="A348" s="166" t="s">
        <v>789</v>
      </c>
      <c r="B348" s="34" t="s">
        <v>152</v>
      </c>
      <c r="C348" s="34" t="str">
        <f>VLOOKUP(Observaciones[[#This Row],[Caso de Prueba]],CasoPrueba[[Código CP]:[Descripción Caso de Prueba]],3,0)</f>
        <v>Proceso - Contratación e Inducción</v>
      </c>
      <c r="D348" s="34" t="str">
        <f>VLOOKUP(Observaciones[Caso de Prueba],CasoPrueba[[#All],[Código CP]:[Prioridad]],7,TRUE)</f>
        <v>Alta</v>
      </c>
      <c r="E348" s="34" t="s">
        <v>28</v>
      </c>
      <c r="F348" s="34" t="s">
        <v>49</v>
      </c>
      <c r="G348" s="73">
        <v>40848</v>
      </c>
      <c r="H348" s="73">
        <v>40850</v>
      </c>
      <c r="I348" s="94" t="s">
        <v>132</v>
      </c>
      <c r="J348" s="34" t="s">
        <v>645</v>
      </c>
      <c r="K348" s="34" t="s">
        <v>1099</v>
      </c>
      <c r="L348" s="34">
        <f>IF((Observaciones[[#This Row],[Fecha Levantamiento]]-Observaciones[[#This Row],[Fecha Detección]])&gt;=0,Observaciones[[#This Row],[Fecha Levantamiento]]-Observaciones[[#This Row],[Fecha Detección]]+1,0)</f>
        <v>3</v>
      </c>
      <c r="M348" s="34" t="str">
        <f>LOOKUP(Observaciones[[#This Row],[Caso de Prueba]],CasoPrueba[Código CP],CasoPrueba[Código de REQ])</f>
        <v>INSPECCIÓN</v>
      </c>
    </row>
    <row r="349" spans="1:13" ht="45" hidden="1">
      <c r="A349" s="166" t="s">
        <v>790</v>
      </c>
      <c r="B349" s="34" t="s">
        <v>153</v>
      </c>
      <c r="C349" s="34" t="str">
        <f>VLOOKUP(Observaciones[[#This Row],[Caso de Prueba]],CasoPrueba[[Código CP]:[Descripción Caso de Prueba]],3,0)</f>
        <v>Proceso - Despido o Retiro de Personal</v>
      </c>
      <c r="D349" s="34" t="str">
        <f>VLOOKUP(Observaciones[Caso de Prueba],CasoPrueba[[#All],[Código CP]:[Prioridad]],7,TRUE)</f>
        <v>Alta</v>
      </c>
      <c r="E349" s="34" t="s">
        <v>28</v>
      </c>
      <c r="F349" s="34" t="s">
        <v>49</v>
      </c>
      <c r="G349" s="73">
        <v>40848</v>
      </c>
      <c r="H349" s="73">
        <v>40850</v>
      </c>
      <c r="I349" s="94" t="s">
        <v>132</v>
      </c>
      <c r="J349" s="34" t="s">
        <v>597</v>
      </c>
      <c r="K349" s="34" t="s">
        <v>1100</v>
      </c>
      <c r="L349" s="34">
        <f>IF((Observaciones[[#This Row],[Fecha Levantamiento]]-Observaciones[[#This Row],[Fecha Detección]])&gt;=0,Observaciones[[#This Row],[Fecha Levantamiento]]-Observaciones[[#This Row],[Fecha Detección]]+1,0)</f>
        <v>3</v>
      </c>
      <c r="M349" s="34" t="str">
        <f>LOOKUP(Observaciones[[#This Row],[Caso de Prueba]],CasoPrueba[Código CP],CasoPrueba[Código de REQ])</f>
        <v>INSPECCIÓN</v>
      </c>
    </row>
    <row r="350" spans="1:13" ht="45" hidden="1">
      <c r="A350" s="166" t="s">
        <v>791</v>
      </c>
      <c r="B350" s="34" t="s">
        <v>153</v>
      </c>
      <c r="C350" s="34" t="str">
        <f>VLOOKUP(Observaciones[[#This Row],[Caso de Prueba]],CasoPrueba[[Código CP]:[Descripción Caso de Prueba]],3,0)</f>
        <v>Proceso - Despido o Retiro de Personal</v>
      </c>
      <c r="D350" s="34" t="str">
        <f>VLOOKUP(Observaciones[Caso de Prueba],CasoPrueba[[#All],[Código CP]:[Prioridad]],7,TRUE)</f>
        <v>Alta</v>
      </c>
      <c r="E350" s="34" t="s">
        <v>30</v>
      </c>
      <c r="F350" s="34" t="s">
        <v>49</v>
      </c>
      <c r="G350" s="73">
        <v>40848</v>
      </c>
      <c r="H350" s="73">
        <v>40850</v>
      </c>
      <c r="I350" s="94" t="s">
        <v>132</v>
      </c>
      <c r="J350" s="34" t="s">
        <v>1064</v>
      </c>
      <c r="K350" s="34" t="s">
        <v>954</v>
      </c>
      <c r="L350" s="34">
        <f>IF((Observaciones[[#This Row],[Fecha Levantamiento]]-Observaciones[[#This Row],[Fecha Detección]])&gt;=0,Observaciones[[#This Row],[Fecha Levantamiento]]-Observaciones[[#This Row],[Fecha Detección]]+1,0)</f>
        <v>3</v>
      </c>
      <c r="M350" s="34" t="str">
        <f>LOOKUP(Observaciones[[#This Row],[Caso de Prueba]],CasoPrueba[Código CP],CasoPrueba[Código de REQ])</f>
        <v>INSPECCIÓN</v>
      </c>
    </row>
    <row r="351" spans="1:13" ht="45" hidden="1">
      <c r="A351" s="166" t="s">
        <v>792</v>
      </c>
      <c r="B351" s="34" t="s">
        <v>154</v>
      </c>
      <c r="C351" s="34" t="str">
        <f>VLOOKUP(Observaciones[[#This Row],[Caso de Prueba]],CasoPrueba[[Código CP]:[Descripción Caso de Prueba]],3,0)</f>
        <v>Proceso - Evaluación de Postulantes</v>
      </c>
      <c r="D351" s="34" t="str">
        <f>VLOOKUP(Observaciones[Caso de Prueba],CasoPrueba[[#All],[Código CP]:[Prioridad]],7,TRUE)</f>
        <v>Alta</v>
      </c>
      <c r="E351" s="34" t="s">
        <v>28</v>
      </c>
      <c r="F351" s="34" t="s">
        <v>49</v>
      </c>
      <c r="G351" s="73">
        <v>40848</v>
      </c>
      <c r="H351" s="73">
        <v>40850</v>
      </c>
      <c r="I351" s="94" t="s">
        <v>132</v>
      </c>
      <c r="J351" s="34" t="s">
        <v>597</v>
      </c>
      <c r="K351" s="34" t="s">
        <v>1101</v>
      </c>
      <c r="L351" s="34">
        <f>IF((Observaciones[[#This Row],[Fecha Levantamiento]]-Observaciones[[#This Row],[Fecha Detección]])&gt;=0,Observaciones[[#This Row],[Fecha Levantamiento]]-Observaciones[[#This Row],[Fecha Detección]]+1,0)</f>
        <v>3</v>
      </c>
      <c r="M351" s="34" t="str">
        <f>LOOKUP(Observaciones[[#This Row],[Caso de Prueba]],CasoPrueba[Código CP],CasoPrueba[Código de REQ])</f>
        <v>INSPECCIÓN</v>
      </c>
    </row>
    <row r="352" spans="1:13" ht="45" hidden="1">
      <c r="A352" s="166" t="s">
        <v>793</v>
      </c>
      <c r="B352" s="34" t="s">
        <v>155</v>
      </c>
      <c r="C352" s="34" t="str">
        <f>VLOOKUP(Observaciones[[#This Row],[Caso de Prueba]],CasoPrueba[[Código CP]:[Descripción Caso de Prueba]],3,0)</f>
        <v>Proceso - Reclutamiento de Postulantes</v>
      </c>
      <c r="D352" s="34" t="str">
        <f>VLOOKUP(Observaciones[Caso de Prueba],CasoPrueba[[#All],[Código CP]:[Prioridad]],7,TRUE)</f>
        <v>Alta</v>
      </c>
      <c r="E352" s="34" t="s">
        <v>28</v>
      </c>
      <c r="F352" s="34" t="s">
        <v>49</v>
      </c>
      <c r="G352" s="73">
        <v>40848</v>
      </c>
      <c r="H352" s="73">
        <v>40850</v>
      </c>
      <c r="I352" s="94" t="s">
        <v>132</v>
      </c>
      <c r="J352" s="34" t="s">
        <v>597</v>
      </c>
      <c r="K352" s="34" t="s">
        <v>1102</v>
      </c>
      <c r="L352" s="34">
        <f>IF((Observaciones[[#This Row],[Fecha Levantamiento]]-Observaciones[[#This Row],[Fecha Detección]])&gt;=0,Observaciones[[#This Row],[Fecha Levantamiento]]-Observaciones[[#This Row],[Fecha Detección]]+1,0)</f>
        <v>3</v>
      </c>
      <c r="M352" s="34" t="str">
        <f>LOOKUP(Observaciones[[#This Row],[Caso de Prueba]],CasoPrueba[Código CP],CasoPrueba[Código de REQ])</f>
        <v>INSPECCIÓN</v>
      </c>
    </row>
    <row r="353" spans="1:13" ht="45" hidden="1">
      <c r="A353" s="166" t="s">
        <v>794</v>
      </c>
      <c r="B353" s="34" t="s">
        <v>155</v>
      </c>
      <c r="C353" s="34" t="str">
        <f>VLOOKUP(Observaciones[[#This Row],[Caso de Prueba]],CasoPrueba[[Código CP]:[Descripción Caso de Prueba]],3,0)</f>
        <v>Proceso - Reclutamiento de Postulantes</v>
      </c>
      <c r="D353" s="34" t="str">
        <f>VLOOKUP(Observaciones[Caso de Prueba],CasoPrueba[[#All],[Código CP]:[Prioridad]],7,TRUE)</f>
        <v>Alta</v>
      </c>
      <c r="E353" s="34" t="s">
        <v>28</v>
      </c>
      <c r="F353" s="34" t="s">
        <v>49</v>
      </c>
      <c r="G353" s="73">
        <v>40848</v>
      </c>
      <c r="H353" s="73">
        <v>40850</v>
      </c>
      <c r="I353" s="94" t="s">
        <v>132</v>
      </c>
      <c r="J353" s="34" t="s">
        <v>1080</v>
      </c>
      <c r="K353" s="34" t="s">
        <v>857</v>
      </c>
      <c r="L353" s="34">
        <f>IF((Observaciones[[#This Row],[Fecha Levantamiento]]-Observaciones[[#This Row],[Fecha Detección]])&gt;=0,Observaciones[[#This Row],[Fecha Levantamiento]]-Observaciones[[#This Row],[Fecha Detección]]+1,0)</f>
        <v>3</v>
      </c>
      <c r="M353" s="34" t="str">
        <f>LOOKUP(Observaciones[[#This Row],[Caso de Prueba]],CasoPrueba[Código CP],CasoPrueba[Código de REQ])</f>
        <v>INSPECCIÓN</v>
      </c>
    </row>
    <row r="354" spans="1:13" ht="75" hidden="1">
      <c r="A354" s="166" t="s">
        <v>795</v>
      </c>
      <c r="B354" s="34" t="s">
        <v>155</v>
      </c>
      <c r="C354" s="34" t="str">
        <f>VLOOKUP(Observaciones[[#This Row],[Caso de Prueba]],CasoPrueba[[Código CP]:[Descripción Caso de Prueba]],3,0)</f>
        <v>Proceso - Reclutamiento de Postulantes</v>
      </c>
      <c r="D354" s="34" t="str">
        <f>VLOOKUP(Observaciones[Caso de Prueba],CasoPrueba[[#All],[Código CP]:[Prioridad]],7,TRUE)</f>
        <v>Alta</v>
      </c>
      <c r="E354" s="34" t="s">
        <v>28</v>
      </c>
      <c r="F354" s="34" t="s">
        <v>49</v>
      </c>
      <c r="G354" s="73">
        <v>40848</v>
      </c>
      <c r="H354" s="73">
        <v>40850</v>
      </c>
      <c r="I354" s="94" t="s">
        <v>132</v>
      </c>
      <c r="J354" s="34" t="s">
        <v>1076</v>
      </c>
      <c r="K354" s="34" t="s">
        <v>857</v>
      </c>
      <c r="L354" s="34">
        <f>IF((Observaciones[[#This Row],[Fecha Levantamiento]]-Observaciones[[#This Row],[Fecha Detección]])&gt;=0,Observaciones[[#This Row],[Fecha Levantamiento]]-Observaciones[[#This Row],[Fecha Detección]]+1,0)</f>
        <v>3</v>
      </c>
      <c r="M354" s="34" t="str">
        <f>LOOKUP(Observaciones[[#This Row],[Caso de Prueba]],CasoPrueba[Código CP],CasoPrueba[Código de REQ])</f>
        <v>INSPECCIÓN</v>
      </c>
    </row>
    <row r="355" spans="1:13" ht="45" hidden="1">
      <c r="A355" s="166" t="s">
        <v>796</v>
      </c>
      <c r="B355" s="34" t="s">
        <v>156</v>
      </c>
      <c r="C355" s="34" t="str">
        <f>VLOOKUP(Observaciones[[#This Row],[Caso de Prueba]],CasoPrueba[[Código CP]:[Descripción Caso de Prueba]],3,0)</f>
        <v>Proceso - Rendición de Gastos de Viaje</v>
      </c>
      <c r="D355" s="34" t="str">
        <f>VLOOKUP(Observaciones[Caso de Prueba],CasoPrueba[[#All],[Código CP]:[Prioridad]],7,TRUE)</f>
        <v>Alta</v>
      </c>
      <c r="E355" s="34" t="s">
        <v>28</v>
      </c>
      <c r="F355" s="34" t="s">
        <v>49</v>
      </c>
      <c r="G355" s="73">
        <v>40848</v>
      </c>
      <c r="H355" s="73">
        <v>40850</v>
      </c>
      <c r="I355" s="94" t="s">
        <v>132</v>
      </c>
      <c r="J355" s="34" t="s">
        <v>597</v>
      </c>
      <c r="K355" s="34" t="s">
        <v>1103</v>
      </c>
      <c r="L355" s="34">
        <f>IF((Observaciones[[#This Row],[Fecha Levantamiento]]-Observaciones[[#This Row],[Fecha Detección]])&gt;=0,Observaciones[[#This Row],[Fecha Levantamiento]]-Observaciones[[#This Row],[Fecha Detección]]+1,0)</f>
        <v>3</v>
      </c>
      <c r="M355" s="34" t="str">
        <f>LOOKUP(Observaciones[[#This Row],[Caso de Prueba]],CasoPrueba[Código CP],CasoPrueba[Código de REQ])</f>
        <v>INSPECCIÓN</v>
      </c>
    </row>
    <row r="356" spans="1:13" ht="45" hidden="1">
      <c r="A356" s="166" t="s">
        <v>797</v>
      </c>
      <c r="B356" s="34" t="s">
        <v>157</v>
      </c>
      <c r="C356" s="34" t="str">
        <f>VLOOKUP(Observaciones[[#This Row],[Caso de Prueba]],CasoPrueba[[Código CP]:[Descripción Caso de Prueba]],3,0)</f>
        <v>Proceso - Seguimiento de Personal</v>
      </c>
      <c r="D356" s="34" t="str">
        <f>VLOOKUP(Observaciones[Caso de Prueba],CasoPrueba[[#All],[Código CP]:[Prioridad]],7,TRUE)</f>
        <v>Alta</v>
      </c>
      <c r="E356" s="34" t="s">
        <v>28</v>
      </c>
      <c r="F356" s="34" t="s">
        <v>49</v>
      </c>
      <c r="G356" s="73">
        <v>40848</v>
      </c>
      <c r="H356" s="73">
        <v>40850</v>
      </c>
      <c r="I356" s="94" t="s">
        <v>132</v>
      </c>
      <c r="J356" s="34" t="s">
        <v>597</v>
      </c>
      <c r="K356" s="34" t="s">
        <v>1104</v>
      </c>
      <c r="L356" s="34">
        <f>IF((Observaciones[[#This Row],[Fecha Levantamiento]]-Observaciones[[#This Row],[Fecha Detección]])&gt;=0,Observaciones[[#This Row],[Fecha Levantamiento]]-Observaciones[[#This Row],[Fecha Detección]]+1,0)</f>
        <v>3</v>
      </c>
      <c r="M356" s="34" t="str">
        <f>LOOKUP(Observaciones[[#This Row],[Caso de Prueba]],CasoPrueba[Código CP],CasoPrueba[Código de REQ])</f>
        <v>INSPECCIÓN</v>
      </c>
    </row>
    <row r="357" spans="1:13" ht="45" hidden="1">
      <c r="A357" s="166" t="s">
        <v>798</v>
      </c>
      <c r="B357" s="34" t="s">
        <v>158</v>
      </c>
      <c r="C357" s="34" t="str">
        <f>VLOOKUP(Observaciones[[#This Row],[Caso de Prueba]],CasoPrueba[[Código CP]:[Descripción Caso de Prueba]],3,0)</f>
        <v>Proceso - Solicitud de Fondos de Viaje</v>
      </c>
      <c r="D357" s="34" t="str">
        <f>VLOOKUP(Observaciones[Caso de Prueba],CasoPrueba[[#All],[Código CP]:[Prioridad]],7,TRUE)</f>
        <v>Alta</v>
      </c>
      <c r="E357" s="34" t="s">
        <v>28</v>
      </c>
      <c r="F357" s="34" t="s">
        <v>49</v>
      </c>
      <c r="G357" s="73">
        <v>40848</v>
      </c>
      <c r="H357" s="73">
        <v>40850</v>
      </c>
      <c r="I357" s="94" t="s">
        <v>132</v>
      </c>
      <c r="J357" s="34" t="s">
        <v>597</v>
      </c>
      <c r="K357" s="34" t="s">
        <v>1105</v>
      </c>
      <c r="L357" s="34">
        <f>IF((Observaciones[[#This Row],[Fecha Levantamiento]]-Observaciones[[#This Row],[Fecha Detección]])&gt;=0,Observaciones[[#This Row],[Fecha Levantamiento]]-Observaciones[[#This Row],[Fecha Detección]]+1,0)</f>
        <v>3</v>
      </c>
      <c r="M357" s="34" t="str">
        <f>LOOKUP(Observaciones[[#This Row],[Caso de Prueba]],CasoPrueba[Código CP],CasoPrueba[Código de REQ])</f>
        <v>INSPECCIÓN</v>
      </c>
    </row>
    <row r="358" spans="1:13" ht="45" hidden="1">
      <c r="A358" s="166" t="s">
        <v>799</v>
      </c>
      <c r="B358" s="34" t="s">
        <v>171</v>
      </c>
      <c r="C358" s="34" t="str">
        <f>VLOOKUP(Observaciones[[#This Row],[Caso de Prueba]],CasoPrueba[[Código CP]:[Descripción Caso de Prueba]],3,0)</f>
        <v>Proceso - Solicitud de Personal</v>
      </c>
      <c r="D358" s="34" t="str">
        <f>VLOOKUP(Observaciones[Caso de Prueba],CasoPrueba[[#All],[Código CP]:[Prioridad]],7,TRUE)</f>
        <v>Alta</v>
      </c>
      <c r="E358" s="34" t="s">
        <v>28</v>
      </c>
      <c r="F358" s="34" t="s">
        <v>49</v>
      </c>
      <c r="G358" s="73">
        <v>40848</v>
      </c>
      <c r="H358" s="73">
        <v>40850</v>
      </c>
      <c r="I358" s="94" t="s">
        <v>132</v>
      </c>
      <c r="J358" s="34" t="s">
        <v>597</v>
      </c>
      <c r="K358" s="34" t="s">
        <v>1106</v>
      </c>
      <c r="L358" s="34">
        <f>IF((Observaciones[[#This Row],[Fecha Levantamiento]]-Observaciones[[#This Row],[Fecha Detección]])&gt;=0,Observaciones[[#This Row],[Fecha Levantamiento]]-Observaciones[[#This Row],[Fecha Detección]]+1,0)</f>
        <v>3</v>
      </c>
      <c r="M358" s="34" t="str">
        <f>LOOKUP(Observaciones[[#This Row],[Caso de Prueba]],CasoPrueba[Código CP],CasoPrueba[Código de REQ])</f>
        <v>INSPECCIÓN</v>
      </c>
    </row>
    <row r="359" spans="1:13" ht="45" hidden="1">
      <c r="A359" s="166" t="s">
        <v>800</v>
      </c>
      <c r="B359" s="34" t="s">
        <v>172</v>
      </c>
      <c r="C359" s="34" t="str">
        <f>VLOOKUP(Observaciones[[#This Row],[Caso de Prueba]],CasoPrueba[[Código CP]:[Descripción Caso de Prueba]],3,0)</f>
        <v>MacroProceso - Gestión de Educación Rural</v>
      </c>
      <c r="D359" s="34" t="str">
        <f>VLOOKUP(Observaciones[Caso de Prueba],CasoPrueba[[#All],[Código CP]:[Prioridad]],7,TRUE)</f>
        <v>Alta</v>
      </c>
      <c r="E359" s="34" t="s">
        <v>28</v>
      </c>
      <c r="F359" s="34" t="s">
        <v>49</v>
      </c>
      <c r="G359" s="73">
        <v>40848</v>
      </c>
      <c r="H359" s="73">
        <v>40850</v>
      </c>
      <c r="I359" s="94" t="s">
        <v>132</v>
      </c>
      <c r="J359" s="34" t="s">
        <v>871</v>
      </c>
      <c r="K359" s="34" t="s">
        <v>1000</v>
      </c>
      <c r="L359" s="34">
        <f>IF((Observaciones[[#This Row],[Fecha Levantamiento]]-Observaciones[[#This Row],[Fecha Detección]])&gt;=0,Observaciones[[#This Row],[Fecha Levantamiento]]-Observaciones[[#This Row],[Fecha Detección]]+1,0)</f>
        <v>3</v>
      </c>
      <c r="M359" s="34" t="str">
        <f>LOOKUP(Observaciones[[#This Row],[Caso de Prueba]],CasoPrueba[Código CP],CasoPrueba[Código de REQ])</f>
        <v>INSPECCIÓN</v>
      </c>
    </row>
    <row r="360" spans="1:13" ht="45" hidden="1">
      <c r="A360" s="166" t="s">
        <v>801</v>
      </c>
      <c r="B360" s="34" t="s">
        <v>173</v>
      </c>
      <c r="C360" s="34" t="str">
        <f>VLOOKUP(Observaciones[[#This Row],[Caso de Prueba]],CasoPrueba[[Código CP]:[Descripción Caso de Prueba]],3,0)</f>
        <v>Proceso - Acompañamiento a los Programas Educativos Rurales</v>
      </c>
      <c r="D360" s="34" t="str">
        <f>VLOOKUP(Observaciones[Caso de Prueba],CasoPrueba[[#All],[Código CP]:[Prioridad]],7,TRUE)</f>
        <v>Alta</v>
      </c>
      <c r="E360" s="34" t="s">
        <v>28</v>
      </c>
      <c r="F360" s="34" t="s">
        <v>49</v>
      </c>
      <c r="G360" s="73">
        <v>40848</v>
      </c>
      <c r="H360" s="73">
        <v>40850</v>
      </c>
      <c r="I360" s="94" t="s">
        <v>132</v>
      </c>
      <c r="J360" s="34" t="s">
        <v>597</v>
      </c>
      <c r="K360" s="34" t="s">
        <v>1000</v>
      </c>
      <c r="L360" s="34">
        <f>IF((Observaciones[[#This Row],[Fecha Levantamiento]]-Observaciones[[#This Row],[Fecha Detección]])&gt;=0,Observaciones[[#This Row],[Fecha Levantamiento]]-Observaciones[[#This Row],[Fecha Detección]]+1,0)</f>
        <v>3</v>
      </c>
      <c r="M360" s="34" t="str">
        <f>LOOKUP(Observaciones[[#This Row],[Caso de Prueba]],CasoPrueba[Código CP],CasoPrueba[Código de REQ])</f>
        <v>INSPECCIÓN</v>
      </c>
    </row>
    <row r="361" spans="1:13" ht="60" hidden="1">
      <c r="A361" s="166" t="s">
        <v>802</v>
      </c>
      <c r="B361" s="34" t="s">
        <v>173</v>
      </c>
      <c r="C361" s="34" t="str">
        <f>VLOOKUP(Observaciones[[#This Row],[Caso de Prueba]],CasoPrueba[[Código CP]:[Descripción Caso de Prueba]],3,0)</f>
        <v>Proceso - Acompañamiento a los Programas Educativos Rurales</v>
      </c>
      <c r="D361" s="34" t="str">
        <f>VLOOKUP(Observaciones[Caso de Prueba],CasoPrueba[[#All],[Código CP]:[Prioridad]],7,TRUE)</f>
        <v>Alta</v>
      </c>
      <c r="E361" s="34" t="s">
        <v>28</v>
      </c>
      <c r="F361" s="34" t="s">
        <v>49</v>
      </c>
      <c r="G361" s="73">
        <v>40848</v>
      </c>
      <c r="H361" s="73">
        <v>40850</v>
      </c>
      <c r="I361" s="94" t="s">
        <v>132</v>
      </c>
      <c r="J361" s="34" t="s">
        <v>1077</v>
      </c>
      <c r="K361" s="34" t="s">
        <v>1000</v>
      </c>
      <c r="L361" s="34">
        <f>IF((Observaciones[[#This Row],[Fecha Levantamiento]]-Observaciones[[#This Row],[Fecha Detección]])&gt;=0,Observaciones[[#This Row],[Fecha Levantamiento]]-Observaciones[[#This Row],[Fecha Detección]]+1,0)</f>
        <v>3</v>
      </c>
      <c r="M361" s="34" t="str">
        <f>LOOKUP(Observaciones[[#This Row],[Caso de Prueba]],CasoPrueba[Código CP],CasoPrueba[Código de REQ])</f>
        <v>INSPECCIÓN</v>
      </c>
    </row>
    <row r="362" spans="1:13" ht="45" hidden="1">
      <c r="A362" s="166" t="s">
        <v>1065</v>
      </c>
      <c r="B362" s="34" t="s">
        <v>174</v>
      </c>
      <c r="C362" s="34" t="str">
        <f>VLOOKUP(Observaciones[[#This Row],[Caso de Prueba]],CasoPrueba[[Código CP]:[Descripción Caso de Prueba]],3,0)</f>
        <v>Proceso - Creación de Programa Educativo Rural</v>
      </c>
      <c r="D362" s="34" t="str">
        <f>VLOOKUP(Observaciones[Caso de Prueba],CasoPrueba[[#All],[Código CP]:[Prioridad]],7,TRUE)</f>
        <v>Alta</v>
      </c>
      <c r="E362" s="34" t="s">
        <v>28</v>
      </c>
      <c r="F362" s="34" t="s">
        <v>49</v>
      </c>
      <c r="G362" s="73">
        <v>40848</v>
      </c>
      <c r="H362" s="73">
        <v>40850</v>
      </c>
      <c r="I362" s="94" t="s">
        <v>132</v>
      </c>
      <c r="J362" s="34" t="s">
        <v>597</v>
      </c>
      <c r="K362" s="34" t="s">
        <v>1000</v>
      </c>
      <c r="L362" s="164">
        <f>IF((Observaciones[[#This Row],[Fecha Levantamiento]]-Observaciones[[#This Row],[Fecha Detección]])&gt;=0,Observaciones[[#This Row],[Fecha Levantamiento]]-Observaciones[[#This Row],[Fecha Detección]]+1,0)</f>
        <v>3</v>
      </c>
      <c r="M362" s="164" t="str">
        <f>LOOKUP(Observaciones[[#This Row],[Caso de Prueba]],CasoPrueba[Código CP],CasoPrueba[Código de REQ])</f>
        <v>INSPECCIÓN</v>
      </c>
    </row>
    <row r="363" spans="1:13" ht="30" hidden="1">
      <c r="A363" s="166" t="s">
        <v>1066</v>
      </c>
      <c r="B363" s="34" t="s">
        <v>174</v>
      </c>
      <c r="C363" s="34" t="str">
        <f>VLOOKUP(Observaciones[[#This Row],[Caso de Prueba]],CasoPrueba[[Código CP]:[Descripción Caso de Prueba]],3,0)</f>
        <v>Proceso - Creación de Programa Educativo Rural</v>
      </c>
      <c r="D363" s="34" t="str">
        <f>VLOOKUP(Observaciones[Caso de Prueba],CasoPrueba[[#All],[Código CP]:[Prioridad]],7,TRUE)</f>
        <v>Alta</v>
      </c>
      <c r="E363" s="34" t="s">
        <v>28</v>
      </c>
      <c r="F363" s="34" t="s">
        <v>49</v>
      </c>
      <c r="G363" s="73">
        <v>40848</v>
      </c>
      <c r="H363" s="73">
        <v>40850</v>
      </c>
      <c r="I363" s="94" t="s">
        <v>132</v>
      </c>
      <c r="J363" s="34" t="s">
        <v>1078</v>
      </c>
      <c r="K363" s="34" t="s">
        <v>1107</v>
      </c>
      <c r="L363" s="164">
        <f>IF((Observaciones[[#This Row],[Fecha Levantamiento]]-Observaciones[[#This Row],[Fecha Detección]])&gt;=0,Observaciones[[#This Row],[Fecha Levantamiento]]-Observaciones[[#This Row],[Fecha Detección]]+1,0)</f>
        <v>3</v>
      </c>
      <c r="M363" s="164" t="str">
        <f>LOOKUP(Observaciones[[#This Row],[Caso de Prueba]],CasoPrueba[Código CP],CasoPrueba[Código de REQ])</f>
        <v>INSPECCIÓN</v>
      </c>
    </row>
    <row r="364" spans="1:13" ht="45" hidden="1">
      <c r="A364" s="166" t="s">
        <v>1067</v>
      </c>
      <c r="B364" s="34" t="s">
        <v>174</v>
      </c>
      <c r="C364" s="34" t="str">
        <f>VLOOKUP(Observaciones[[#This Row],[Caso de Prueba]],CasoPrueba[[Código CP]:[Descripción Caso de Prueba]],3,0)</f>
        <v>Proceso - Creación de Programa Educativo Rural</v>
      </c>
      <c r="D364" s="34" t="str">
        <f>VLOOKUP(Observaciones[Caso de Prueba],CasoPrueba[[#All],[Código CP]:[Prioridad]],7,TRUE)</f>
        <v>Alta</v>
      </c>
      <c r="E364" s="34" t="s">
        <v>28</v>
      </c>
      <c r="F364" s="34" t="s">
        <v>49</v>
      </c>
      <c r="G364" s="73">
        <v>40848</v>
      </c>
      <c r="H364" s="73">
        <v>40850</v>
      </c>
      <c r="I364" s="94" t="s">
        <v>132</v>
      </c>
      <c r="J364" s="34" t="s">
        <v>1079</v>
      </c>
      <c r="K364" s="34" t="s">
        <v>1108</v>
      </c>
      <c r="L364" s="34">
        <f>IF((Observaciones[[#This Row],[Fecha Levantamiento]]-Observaciones[[#This Row],[Fecha Detección]])&gt;=0,Observaciones[[#This Row],[Fecha Levantamiento]]-Observaciones[[#This Row],[Fecha Detección]]+1,0)</f>
        <v>3</v>
      </c>
      <c r="M364" s="34" t="str">
        <f>LOOKUP(Observaciones[[#This Row],[Caso de Prueba]],CasoPrueba[Código CP],CasoPrueba[Código de REQ])</f>
        <v>INSPECCIÓN</v>
      </c>
    </row>
    <row r="365" spans="1:13" ht="45" hidden="1">
      <c r="A365" s="166" t="s">
        <v>1068</v>
      </c>
      <c r="B365" s="34" t="s">
        <v>175</v>
      </c>
      <c r="C365" s="34" t="str">
        <f>VLOOKUP(Observaciones[[#This Row],[Caso de Prueba]],CasoPrueba[[Código CP]:[Descripción Caso de Prueba]],3,0)</f>
        <v>Proceso - Planificación de los Programas Educativos Rurales</v>
      </c>
      <c r="D365" s="34" t="str">
        <f>VLOOKUP(Observaciones[Caso de Prueba],CasoPrueba[[#All],[Código CP]:[Prioridad]],7,TRUE)</f>
        <v>Alta</v>
      </c>
      <c r="E365" s="34" t="s">
        <v>28</v>
      </c>
      <c r="F365" s="34" t="s">
        <v>49</v>
      </c>
      <c r="G365" s="73">
        <v>40848</v>
      </c>
      <c r="H365" s="73">
        <v>40850</v>
      </c>
      <c r="I365" s="94" t="s">
        <v>132</v>
      </c>
      <c r="J365" s="34" t="s">
        <v>597</v>
      </c>
      <c r="K365" s="34" t="s">
        <v>1109</v>
      </c>
      <c r="L365" s="34">
        <f>IF((Observaciones[[#This Row],[Fecha Levantamiento]]-Observaciones[[#This Row],[Fecha Detección]])&gt;=0,Observaciones[[#This Row],[Fecha Levantamiento]]-Observaciones[[#This Row],[Fecha Detección]]+1,0)</f>
        <v>3</v>
      </c>
      <c r="M365" s="34" t="str">
        <f>LOOKUP(Observaciones[[#This Row],[Caso de Prueba]],CasoPrueba[Código CP],CasoPrueba[Código de REQ])</f>
        <v>INSPECCIÓN</v>
      </c>
    </row>
    <row r="366" spans="1:13" hidden="1">
      <c r="A366" s="166" t="s">
        <v>1069</v>
      </c>
      <c r="B366" s="34" t="s">
        <v>175</v>
      </c>
      <c r="C366" s="34" t="str">
        <f>VLOOKUP(Observaciones[[#This Row],[Caso de Prueba]],CasoPrueba[[Código CP]:[Descripción Caso de Prueba]],3,0)</f>
        <v>Proceso - Planificación de los Programas Educativos Rurales</v>
      </c>
      <c r="D366" s="34" t="str">
        <f>VLOOKUP(Observaciones[Caso de Prueba],CasoPrueba[[#All],[Código CP]:[Prioridad]],7,TRUE)</f>
        <v>Alta</v>
      </c>
      <c r="E366" s="34" t="s">
        <v>28</v>
      </c>
      <c r="F366" s="34" t="s">
        <v>49</v>
      </c>
      <c r="G366" s="73">
        <v>40848</v>
      </c>
      <c r="H366" s="73">
        <v>40850</v>
      </c>
      <c r="I366" s="94" t="s">
        <v>132</v>
      </c>
      <c r="J366" s="34" t="s">
        <v>1081</v>
      </c>
      <c r="K366" s="34" t="s">
        <v>1110</v>
      </c>
      <c r="L366" s="34">
        <f>IF((Observaciones[[#This Row],[Fecha Levantamiento]]-Observaciones[[#This Row],[Fecha Detección]])&gt;=0,Observaciones[[#This Row],[Fecha Levantamiento]]-Observaciones[[#This Row],[Fecha Detección]]+1,0)</f>
        <v>3</v>
      </c>
      <c r="M366" s="34" t="str">
        <f>LOOKUP(Observaciones[[#This Row],[Caso de Prueba]],CasoPrueba[Código CP],CasoPrueba[Código de REQ])</f>
        <v>INSPECCIÓN</v>
      </c>
    </row>
    <row r="367" spans="1:13" ht="45" hidden="1">
      <c r="A367" s="166" t="s">
        <v>1070</v>
      </c>
      <c r="B367" s="34" t="s">
        <v>175</v>
      </c>
      <c r="C367" s="34" t="str">
        <f>VLOOKUP(Observaciones[[#This Row],[Caso de Prueba]],CasoPrueba[[Código CP]:[Descripción Caso de Prueba]],3,0)</f>
        <v>Proceso - Planificación de los Programas Educativos Rurales</v>
      </c>
      <c r="D367" s="34" t="str">
        <f>VLOOKUP(Observaciones[Caso de Prueba],CasoPrueba[[#All],[Código CP]:[Prioridad]],7,TRUE)</f>
        <v>Alta</v>
      </c>
      <c r="E367" s="34" t="s">
        <v>28</v>
      </c>
      <c r="F367" s="34" t="s">
        <v>49</v>
      </c>
      <c r="G367" s="73">
        <v>40848</v>
      </c>
      <c r="H367" s="73">
        <v>40850</v>
      </c>
      <c r="I367" s="94" t="s">
        <v>132</v>
      </c>
      <c r="J367" s="34" t="s">
        <v>1082</v>
      </c>
      <c r="K367" s="34" t="s">
        <v>1108</v>
      </c>
      <c r="L367" s="34">
        <f>IF((Observaciones[[#This Row],[Fecha Levantamiento]]-Observaciones[[#This Row],[Fecha Detección]])&gt;=0,Observaciones[[#This Row],[Fecha Levantamiento]]-Observaciones[[#This Row],[Fecha Detección]]+1,0)</f>
        <v>3</v>
      </c>
      <c r="M367" s="34" t="str">
        <f>LOOKUP(Observaciones[[#This Row],[Caso de Prueba]],CasoPrueba[Código CP],CasoPrueba[Código de REQ])</f>
        <v>INSPECCIÓN</v>
      </c>
    </row>
    <row r="368" spans="1:13" ht="105" hidden="1">
      <c r="A368" s="166" t="s">
        <v>1071</v>
      </c>
      <c r="B368" s="34" t="s">
        <v>175</v>
      </c>
      <c r="C368" s="34" t="str">
        <f>VLOOKUP(Observaciones[[#This Row],[Caso de Prueba]],CasoPrueba[[Código CP]:[Descripción Caso de Prueba]],3,0)</f>
        <v>Proceso - Planificación de los Programas Educativos Rurales</v>
      </c>
      <c r="D368" s="34" t="str">
        <f>VLOOKUP(Observaciones[Caso de Prueba],CasoPrueba[[#All],[Código CP]:[Prioridad]],7,TRUE)</f>
        <v>Alta</v>
      </c>
      <c r="E368" s="34" t="s">
        <v>28</v>
      </c>
      <c r="F368" s="34" t="s">
        <v>49</v>
      </c>
      <c r="G368" s="73">
        <v>40848</v>
      </c>
      <c r="H368" s="73">
        <v>40850</v>
      </c>
      <c r="I368" s="94" t="s">
        <v>132</v>
      </c>
      <c r="J368" s="34" t="s">
        <v>1083</v>
      </c>
      <c r="K368" s="34" t="s">
        <v>1111</v>
      </c>
      <c r="L368" s="34">
        <f>IF((Observaciones[[#This Row],[Fecha Levantamiento]]-Observaciones[[#This Row],[Fecha Detección]])&gt;=0,Observaciones[[#This Row],[Fecha Levantamiento]]-Observaciones[[#This Row],[Fecha Detección]]+1,0)</f>
        <v>3</v>
      </c>
      <c r="M368" s="34" t="str">
        <f>LOOKUP(Observaciones[[#This Row],[Caso de Prueba]],CasoPrueba[Código CP],CasoPrueba[Código de REQ])</f>
        <v>INSPECCIÓN</v>
      </c>
    </row>
    <row r="369" spans="1:13" ht="45" hidden="1">
      <c r="A369" s="166" t="s">
        <v>1072</v>
      </c>
      <c r="B369" s="34" t="s">
        <v>176</v>
      </c>
      <c r="C369" s="34" t="str">
        <f>VLOOKUP(Observaciones[[#This Row],[Caso de Prueba]],CasoPrueba[[Código CP]:[Descripción Caso de Prueba]],3,0)</f>
        <v>Proceso - Seguimiento  a los Programas Educativos Rurales</v>
      </c>
      <c r="D369" s="34" t="str">
        <f>VLOOKUP(Observaciones[Caso de Prueba],CasoPrueba[[#All],[Código CP]:[Prioridad]],7,TRUE)</f>
        <v>Alta</v>
      </c>
      <c r="E369" s="34" t="s">
        <v>28</v>
      </c>
      <c r="F369" s="34" t="s">
        <v>49</v>
      </c>
      <c r="G369" s="73">
        <v>40848</v>
      </c>
      <c r="H369" s="73">
        <v>40850</v>
      </c>
      <c r="I369" s="94" t="s">
        <v>132</v>
      </c>
      <c r="J369" s="34" t="s">
        <v>597</v>
      </c>
      <c r="K369" s="34" t="s">
        <v>1109</v>
      </c>
      <c r="L369" s="34">
        <f>IF((Observaciones[[#This Row],[Fecha Levantamiento]]-Observaciones[[#This Row],[Fecha Detección]])&gt;=0,Observaciones[[#This Row],[Fecha Levantamiento]]-Observaciones[[#This Row],[Fecha Detección]]+1,0)</f>
        <v>3</v>
      </c>
      <c r="M369" s="34" t="str">
        <f>LOOKUP(Observaciones[[#This Row],[Caso de Prueba]],CasoPrueba[Código CP],CasoPrueba[Código de REQ])</f>
        <v>INSPECCIÓN</v>
      </c>
    </row>
    <row r="370" spans="1:13" hidden="1">
      <c r="A370" s="166" t="s">
        <v>1073</v>
      </c>
      <c r="B370" s="34" t="s">
        <v>176</v>
      </c>
      <c r="C370" s="34" t="str">
        <f>VLOOKUP(Observaciones[[#This Row],[Caso de Prueba]],CasoPrueba[[Código CP]:[Descripción Caso de Prueba]],3,0)</f>
        <v>Proceso - Seguimiento  a los Programas Educativos Rurales</v>
      </c>
      <c r="D370" s="34" t="str">
        <f>VLOOKUP(Observaciones[Caso de Prueba],CasoPrueba[[#All],[Código CP]:[Prioridad]],7,TRUE)</f>
        <v>Alta</v>
      </c>
      <c r="E370" s="34" t="s">
        <v>28</v>
      </c>
      <c r="F370" s="34" t="s">
        <v>49</v>
      </c>
      <c r="G370" s="73">
        <v>40848</v>
      </c>
      <c r="H370" s="73">
        <v>40850</v>
      </c>
      <c r="I370" s="94" t="s">
        <v>132</v>
      </c>
      <c r="J370" s="34" t="s">
        <v>1081</v>
      </c>
      <c r="K370" s="34" t="s">
        <v>1110</v>
      </c>
      <c r="L370" s="34">
        <f>IF((Observaciones[[#This Row],[Fecha Levantamiento]]-Observaciones[[#This Row],[Fecha Detección]])&gt;=0,Observaciones[[#This Row],[Fecha Levantamiento]]-Observaciones[[#This Row],[Fecha Detección]]+1,0)</f>
        <v>3</v>
      </c>
      <c r="M370" s="34" t="str">
        <f>LOOKUP(Observaciones[[#This Row],[Caso de Prueba]],CasoPrueba[Código CP],CasoPrueba[Código de REQ])</f>
        <v>INSPECCIÓN</v>
      </c>
    </row>
    <row r="371" spans="1:13" ht="45" hidden="1">
      <c r="A371" s="166" t="s">
        <v>1074</v>
      </c>
      <c r="B371" s="34" t="s">
        <v>176</v>
      </c>
      <c r="C371" s="34" t="str">
        <f>VLOOKUP(Observaciones[[#This Row],[Caso de Prueba]],CasoPrueba[[Código CP]:[Descripción Caso de Prueba]],3,0)</f>
        <v>Proceso - Seguimiento  a los Programas Educativos Rurales</v>
      </c>
      <c r="D371" s="34" t="str">
        <f>VLOOKUP(Observaciones[Caso de Prueba],CasoPrueba[[#All],[Código CP]:[Prioridad]],7,TRUE)</f>
        <v>Alta</v>
      </c>
      <c r="E371" s="34" t="s">
        <v>28</v>
      </c>
      <c r="F371" s="34" t="s">
        <v>49</v>
      </c>
      <c r="G371" s="73">
        <v>40848</v>
      </c>
      <c r="H371" s="73">
        <v>40850</v>
      </c>
      <c r="I371" s="94" t="s">
        <v>132</v>
      </c>
      <c r="J371" s="34" t="s">
        <v>1084</v>
      </c>
      <c r="K371" s="34" t="s">
        <v>1112</v>
      </c>
      <c r="L371" s="34">
        <f>IF((Observaciones[[#This Row],[Fecha Levantamiento]]-Observaciones[[#This Row],[Fecha Detección]])&gt;=0,Observaciones[[#This Row],[Fecha Levantamiento]]-Observaciones[[#This Row],[Fecha Detección]]+1,0)</f>
        <v>3</v>
      </c>
      <c r="M371" s="34" t="str">
        <f>LOOKUP(Observaciones[[#This Row],[Caso de Prueba]],CasoPrueba[Código CP],CasoPrueba[Código de REQ])</f>
        <v>INSPECCIÓN</v>
      </c>
    </row>
    <row r="372" spans="1:13" ht="45" hidden="1">
      <c r="A372" s="166" t="s">
        <v>1075</v>
      </c>
      <c r="B372" s="34" t="s">
        <v>88</v>
      </c>
      <c r="C372" s="34" t="str">
        <f>VLOOKUP(Observaciones[[#This Row],[Caso de Prueba]],CasoPrueba[[Código CP]:[Descripción Caso de Prueba]],3,0)</f>
        <v>MacroProceso - Gestión de Recursos Humanos</v>
      </c>
      <c r="D372" s="34" t="str">
        <f>VLOOKUP(Observaciones[Caso de Prueba],CasoPrueba[[#All],[Código CP]:[Prioridad]],7,TRUE)</f>
        <v>Alta</v>
      </c>
      <c r="E372" s="34" t="s">
        <v>28</v>
      </c>
      <c r="F372" s="34" t="s">
        <v>49</v>
      </c>
      <c r="G372" s="73">
        <v>40852</v>
      </c>
      <c r="H372" s="73">
        <v>40852</v>
      </c>
      <c r="I372" s="94" t="s">
        <v>132</v>
      </c>
      <c r="J372" s="34" t="s">
        <v>1118</v>
      </c>
      <c r="K372" s="34" t="s">
        <v>1134</v>
      </c>
      <c r="L372" s="34">
        <f>IF((Observaciones[[#This Row],[Fecha Levantamiento]]-Observaciones[[#This Row],[Fecha Detección]])&gt;=0,Observaciones[[#This Row],[Fecha Levantamiento]]-Observaciones[[#This Row],[Fecha Detección]]+1,0)</f>
        <v>1</v>
      </c>
      <c r="M372" s="34" t="str">
        <f>LOOKUP(Observaciones[[#This Row],[Caso de Prueba]],CasoPrueba[Código CP],CasoPrueba[Código de REQ])</f>
        <v>INSPECCIÓN</v>
      </c>
    </row>
    <row r="373" spans="1:13" ht="60" hidden="1">
      <c r="A373" s="166" t="s">
        <v>1113</v>
      </c>
      <c r="B373" s="34" t="s">
        <v>152</v>
      </c>
      <c r="C373" s="34" t="str">
        <f>VLOOKUP(Observaciones[[#This Row],[Caso de Prueba]],CasoPrueba[[Código CP]:[Descripción Caso de Prueba]],3,0)</f>
        <v>Proceso - Contratación e Inducción</v>
      </c>
      <c r="D373" s="34" t="str">
        <f>VLOOKUP(Observaciones[Caso de Prueba],CasoPrueba[[#All],[Código CP]:[Prioridad]],7,TRUE)</f>
        <v>Alta</v>
      </c>
      <c r="E373" s="34" t="s">
        <v>162</v>
      </c>
      <c r="F373" s="34" t="s">
        <v>49</v>
      </c>
      <c r="G373" s="73">
        <v>40852</v>
      </c>
      <c r="H373" s="73">
        <v>40852</v>
      </c>
      <c r="I373" s="94" t="s">
        <v>132</v>
      </c>
      <c r="J373" s="34" t="s">
        <v>880</v>
      </c>
      <c r="K373" s="34" t="s">
        <v>1135</v>
      </c>
      <c r="L373" s="34">
        <f>IF((Observaciones[[#This Row],[Fecha Levantamiento]]-Observaciones[[#This Row],[Fecha Detección]])&gt;=0,Observaciones[[#This Row],[Fecha Levantamiento]]-Observaciones[[#This Row],[Fecha Detección]]+1,0)</f>
        <v>1</v>
      </c>
      <c r="M373" s="34" t="str">
        <f>LOOKUP(Observaciones[[#This Row],[Caso de Prueba]],CasoPrueba[Código CP],CasoPrueba[Código de REQ])</f>
        <v>INSPECCIÓN</v>
      </c>
    </row>
    <row r="374" spans="1:13" ht="45" hidden="1">
      <c r="A374" s="166" t="s">
        <v>1114</v>
      </c>
      <c r="B374" s="34" t="s">
        <v>153</v>
      </c>
      <c r="C374" s="34" t="str">
        <f>VLOOKUP(Observaciones[[#This Row],[Caso de Prueba]],CasoPrueba[[Código CP]:[Descripción Caso de Prueba]],3,0)</f>
        <v>Proceso - Despido o Retiro de Personal</v>
      </c>
      <c r="D374" s="34" t="str">
        <f>VLOOKUP(Observaciones[Caso de Prueba],CasoPrueba[[#All],[Código CP]:[Prioridad]],7,TRUE)</f>
        <v>Alta</v>
      </c>
      <c r="E374" s="34" t="s">
        <v>30</v>
      </c>
      <c r="F374" s="34" t="s">
        <v>49</v>
      </c>
      <c r="G374" s="73">
        <v>40852</v>
      </c>
      <c r="H374" s="73">
        <v>40852</v>
      </c>
      <c r="I374" s="94" t="s">
        <v>132</v>
      </c>
      <c r="J374" s="34" t="s">
        <v>1117</v>
      </c>
      <c r="K374" s="34" t="s">
        <v>1136</v>
      </c>
      <c r="L374" s="34">
        <f>IF((Observaciones[[#This Row],[Fecha Levantamiento]]-Observaciones[[#This Row],[Fecha Detección]])&gt;=0,Observaciones[[#This Row],[Fecha Levantamiento]]-Observaciones[[#This Row],[Fecha Detección]]+1,0)</f>
        <v>1</v>
      </c>
      <c r="M374" s="34" t="str">
        <f>LOOKUP(Observaciones[[#This Row],[Caso de Prueba]],CasoPrueba[Código CP],CasoPrueba[Código de REQ])</f>
        <v>INSPECCIÓN</v>
      </c>
    </row>
    <row r="375" spans="1:13" ht="45" hidden="1">
      <c r="A375" s="166" t="s">
        <v>1115</v>
      </c>
      <c r="B375" s="34" t="s">
        <v>175</v>
      </c>
      <c r="C375" s="34" t="str">
        <f>VLOOKUP(Observaciones[[#This Row],[Caso de Prueba]],CasoPrueba[[Código CP]:[Descripción Caso de Prueba]],3,0)</f>
        <v>Proceso - Planificación de los Programas Educativos Rurales</v>
      </c>
      <c r="D375" s="34" t="str">
        <f>VLOOKUP(Observaciones[Caso de Prueba],CasoPrueba[[#All],[Código CP]:[Prioridad]],7,TRUE)</f>
        <v>Alta</v>
      </c>
      <c r="E375" s="34" t="s">
        <v>30</v>
      </c>
      <c r="F375" s="34" t="s">
        <v>49</v>
      </c>
      <c r="G375" s="73">
        <v>40852</v>
      </c>
      <c r="H375" s="73">
        <v>40852</v>
      </c>
      <c r="I375" s="94" t="s">
        <v>132</v>
      </c>
      <c r="J375" s="34" t="s">
        <v>1119</v>
      </c>
      <c r="K375" s="34" t="s">
        <v>1137</v>
      </c>
      <c r="L375" s="34">
        <f>IF((Observaciones[[#This Row],[Fecha Levantamiento]]-Observaciones[[#This Row],[Fecha Detección]])&gt;=0,Observaciones[[#This Row],[Fecha Levantamiento]]-Observaciones[[#This Row],[Fecha Detección]]+1,0)</f>
        <v>1</v>
      </c>
      <c r="M375" s="34" t="str">
        <f>LOOKUP(Observaciones[[#This Row],[Caso de Prueba]],CasoPrueba[Código CP],CasoPrueba[Código de REQ])</f>
        <v>INSPECCIÓN</v>
      </c>
    </row>
    <row r="376" spans="1:13" ht="30" hidden="1">
      <c r="A376" s="166" t="s">
        <v>1116</v>
      </c>
      <c r="B376" s="34" t="s">
        <v>175</v>
      </c>
      <c r="C376" s="34" t="str">
        <f>VLOOKUP(Observaciones[[#This Row],[Caso de Prueba]],CasoPrueba[[Código CP]:[Descripción Caso de Prueba]],3,0)</f>
        <v>Proceso - Planificación de los Programas Educativos Rurales</v>
      </c>
      <c r="D376" s="34" t="str">
        <f>VLOOKUP(Observaciones[Caso de Prueba],CasoPrueba[[#All],[Código CP]:[Prioridad]],7,TRUE)</f>
        <v>Alta</v>
      </c>
      <c r="E376" s="34" t="s">
        <v>30</v>
      </c>
      <c r="F376" s="34" t="s">
        <v>49</v>
      </c>
      <c r="G376" s="73">
        <v>40852</v>
      </c>
      <c r="H376" s="73">
        <v>40852</v>
      </c>
      <c r="I376" s="94" t="s">
        <v>132</v>
      </c>
      <c r="J376" s="34" t="s">
        <v>1120</v>
      </c>
      <c r="K376" s="34" t="s">
        <v>1138</v>
      </c>
      <c r="L376" s="34">
        <f>IF((Observaciones[[#This Row],[Fecha Levantamiento]]-Observaciones[[#This Row],[Fecha Detección]])&gt;=0,Observaciones[[#This Row],[Fecha Levantamiento]]-Observaciones[[#This Row],[Fecha Detección]]+1,0)</f>
        <v>1</v>
      </c>
      <c r="M376" s="34" t="str">
        <f>LOOKUP(Observaciones[[#This Row],[Caso de Prueba]],CasoPrueba[Código CP],CasoPrueba[Código de REQ])</f>
        <v>INSPECCIÓN</v>
      </c>
    </row>
    <row r="377" spans="1:13" ht="45" hidden="1">
      <c r="A377" s="166" t="s">
        <v>1121</v>
      </c>
      <c r="B377" s="34" t="s">
        <v>175</v>
      </c>
      <c r="C377" s="34" t="str">
        <f>VLOOKUP(Observaciones[[#This Row],[Caso de Prueba]],CasoPrueba[[Código CP]:[Descripción Caso de Prueba]],3,0)</f>
        <v>Proceso - Planificación de los Programas Educativos Rurales</v>
      </c>
      <c r="D377" s="34" t="str">
        <f>VLOOKUP(Observaciones[Caso de Prueba],CasoPrueba[[#All],[Código CP]:[Prioridad]],7,TRUE)</f>
        <v>Alta</v>
      </c>
      <c r="E377" s="34" t="s">
        <v>30</v>
      </c>
      <c r="F377" s="34" t="s">
        <v>49</v>
      </c>
      <c r="G377" s="73">
        <v>40852</v>
      </c>
      <c r="H377" s="73">
        <v>40852</v>
      </c>
      <c r="I377" s="94" t="s">
        <v>132</v>
      </c>
      <c r="J377" s="164" t="s">
        <v>1127</v>
      </c>
      <c r="K377" s="34" t="s">
        <v>1139</v>
      </c>
      <c r="L377" s="164">
        <f>IF((Observaciones[[#This Row],[Fecha Levantamiento]]-Observaciones[[#This Row],[Fecha Detección]])&gt;=0,Observaciones[[#This Row],[Fecha Levantamiento]]-Observaciones[[#This Row],[Fecha Detección]]+1,0)</f>
        <v>1</v>
      </c>
      <c r="M377" s="164" t="str">
        <f>LOOKUP(Observaciones[[#This Row],[Caso de Prueba]],CasoPrueba[Código CP],CasoPrueba[Código de REQ])</f>
        <v>INSPECCIÓN</v>
      </c>
    </row>
    <row r="378" spans="1:13" hidden="1">
      <c r="A378" s="166" t="s">
        <v>1122</v>
      </c>
      <c r="B378" s="34" t="s">
        <v>176</v>
      </c>
      <c r="C378" s="34" t="str">
        <f>VLOOKUP(Observaciones[[#This Row],[Caso de Prueba]],CasoPrueba[[Código CP]:[Descripción Caso de Prueba]],3,0)</f>
        <v>Proceso - Seguimiento  a los Programas Educativos Rurales</v>
      </c>
      <c r="D378" s="34" t="str">
        <f>VLOOKUP(Observaciones[Caso de Prueba],CasoPrueba[[#All],[Código CP]:[Prioridad]],7,TRUE)</f>
        <v>Alta</v>
      </c>
      <c r="E378" s="34" t="s">
        <v>162</v>
      </c>
      <c r="F378" s="34" t="s">
        <v>49</v>
      </c>
      <c r="G378" s="73">
        <v>40852</v>
      </c>
      <c r="H378" s="73">
        <v>40852</v>
      </c>
      <c r="I378" s="94" t="s">
        <v>132</v>
      </c>
      <c r="J378" s="34" t="s">
        <v>1128</v>
      </c>
      <c r="K378" s="34" t="s">
        <v>1140</v>
      </c>
      <c r="L378" s="34">
        <f>IF((Observaciones[[#This Row],[Fecha Levantamiento]]-Observaciones[[#This Row],[Fecha Detección]])&gt;=0,Observaciones[[#This Row],[Fecha Levantamiento]]-Observaciones[[#This Row],[Fecha Detección]]+1,0)</f>
        <v>1</v>
      </c>
      <c r="M378" s="34" t="str">
        <f>LOOKUP(Observaciones[[#This Row],[Caso de Prueba]],CasoPrueba[Código CP],CasoPrueba[Código de REQ])</f>
        <v>INSPECCIÓN</v>
      </c>
    </row>
    <row r="379" spans="1:13" hidden="1">
      <c r="A379" s="166" t="s">
        <v>1123</v>
      </c>
      <c r="B379" s="34" t="s">
        <v>176</v>
      </c>
      <c r="C379" s="34" t="str">
        <f>VLOOKUP(Observaciones[[#This Row],[Caso de Prueba]],CasoPrueba[[Código CP]:[Descripción Caso de Prueba]],3,0)</f>
        <v>Proceso - Seguimiento  a los Programas Educativos Rurales</v>
      </c>
      <c r="D379" s="34" t="str">
        <f>VLOOKUP(Observaciones[Caso de Prueba],CasoPrueba[[#All],[Código CP]:[Prioridad]],7,TRUE)</f>
        <v>Alta</v>
      </c>
      <c r="E379" s="34" t="s">
        <v>162</v>
      </c>
      <c r="F379" s="34" t="s">
        <v>49</v>
      </c>
      <c r="G379" s="73">
        <v>40852</v>
      </c>
      <c r="H379" s="73">
        <v>40852</v>
      </c>
      <c r="I379" s="94" t="s">
        <v>132</v>
      </c>
      <c r="J379" s="34" t="s">
        <v>1129</v>
      </c>
      <c r="K379" s="34" t="s">
        <v>1141</v>
      </c>
      <c r="L379" s="34">
        <f>IF((Observaciones[[#This Row],[Fecha Levantamiento]]-Observaciones[[#This Row],[Fecha Detección]])&gt;=0,Observaciones[[#This Row],[Fecha Levantamiento]]-Observaciones[[#This Row],[Fecha Detección]]+1,0)</f>
        <v>1</v>
      </c>
      <c r="M379" s="34" t="str">
        <f>LOOKUP(Observaciones[[#This Row],[Caso de Prueba]],CasoPrueba[Código CP],CasoPrueba[Código de REQ])</f>
        <v>INSPECCIÓN</v>
      </c>
    </row>
    <row r="380" spans="1:13" ht="30" hidden="1">
      <c r="A380" s="166" t="s">
        <v>1124</v>
      </c>
      <c r="B380" s="34" t="s">
        <v>176</v>
      </c>
      <c r="C380" s="34" t="str">
        <f>VLOOKUP(Observaciones[[#This Row],[Caso de Prueba]],CasoPrueba[[Código CP]:[Descripción Caso de Prueba]],3,0)</f>
        <v>Proceso - Seguimiento  a los Programas Educativos Rurales</v>
      </c>
      <c r="D380" s="34" t="str">
        <f>VLOOKUP(Observaciones[Caso de Prueba],CasoPrueba[[#All],[Código CP]:[Prioridad]],7,TRUE)</f>
        <v>Alta</v>
      </c>
      <c r="E380" s="34" t="s">
        <v>30</v>
      </c>
      <c r="F380" s="34" t="s">
        <v>49</v>
      </c>
      <c r="G380" s="73">
        <v>40852</v>
      </c>
      <c r="H380" s="73">
        <v>40852</v>
      </c>
      <c r="I380" s="94" t="s">
        <v>132</v>
      </c>
      <c r="J380" s="34" t="s">
        <v>1130</v>
      </c>
      <c r="K380" s="34" t="s">
        <v>1142</v>
      </c>
      <c r="L380" s="34">
        <f>IF((Observaciones[[#This Row],[Fecha Levantamiento]]-Observaciones[[#This Row],[Fecha Detección]])&gt;=0,Observaciones[[#This Row],[Fecha Levantamiento]]-Observaciones[[#This Row],[Fecha Detección]]+1,0)</f>
        <v>1</v>
      </c>
      <c r="M380" s="34" t="str">
        <f>LOOKUP(Observaciones[[#This Row],[Caso de Prueba]],CasoPrueba[Código CP],CasoPrueba[Código de REQ])</f>
        <v>INSPECCIÓN</v>
      </c>
    </row>
    <row r="381" spans="1:13" ht="30" hidden="1">
      <c r="A381" s="166" t="s">
        <v>1125</v>
      </c>
      <c r="B381" s="34" t="s">
        <v>176</v>
      </c>
      <c r="C381" s="34" t="str">
        <f>VLOOKUP(Observaciones[[#This Row],[Caso de Prueba]],CasoPrueba[[Código CP]:[Descripción Caso de Prueba]],3,0)</f>
        <v>Proceso - Seguimiento  a los Programas Educativos Rurales</v>
      </c>
      <c r="D381" s="34" t="str">
        <f>VLOOKUP(Observaciones[Caso de Prueba],CasoPrueba[[#All],[Código CP]:[Prioridad]],7,TRUE)</f>
        <v>Alta</v>
      </c>
      <c r="E381" s="34" t="s">
        <v>30</v>
      </c>
      <c r="F381" s="34" t="s">
        <v>49</v>
      </c>
      <c r="G381" s="73">
        <v>40852</v>
      </c>
      <c r="H381" s="73">
        <v>40852</v>
      </c>
      <c r="I381" s="94" t="s">
        <v>132</v>
      </c>
      <c r="J381" s="34" t="s">
        <v>1131</v>
      </c>
      <c r="K381" s="34" t="s">
        <v>1143</v>
      </c>
      <c r="L381" s="34">
        <f>IF((Observaciones[[#This Row],[Fecha Levantamiento]]-Observaciones[[#This Row],[Fecha Detección]])&gt;=0,Observaciones[[#This Row],[Fecha Levantamiento]]-Observaciones[[#This Row],[Fecha Detección]]+1,0)</f>
        <v>1</v>
      </c>
      <c r="M381" s="34" t="str">
        <f>LOOKUP(Observaciones[[#This Row],[Caso de Prueba]],CasoPrueba[Código CP],CasoPrueba[Código de REQ])</f>
        <v>INSPECCIÓN</v>
      </c>
    </row>
    <row r="382" spans="1:13" ht="30" hidden="1">
      <c r="A382" s="166" t="s">
        <v>1126</v>
      </c>
      <c r="B382" s="34" t="s">
        <v>176</v>
      </c>
      <c r="C382" s="34" t="str">
        <f>VLOOKUP(Observaciones[[#This Row],[Caso de Prueba]],CasoPrueba[[Código CP]:[Descripción Caso de Prueba]],3,0)</f>
        <v>Proceso - Seguimiento  a los Programas Educativos Rurales</v>
      </c>
      <c r="D382" s="34" t="str">
        <f>VLOOKUP(Observaciones[Caso de Prueba],CasoPrueba[[#All],[Código CP]:[Prioridad]],7,TRUE)</f>
        <v>Alta</v>
      </c>
      <c r="E382" s="34" t="s">
        <v>30</v>
      </c>
      <c r="F382" s="34" t="s">
        <v>49</v>
      </c>
      <c r="G382" s="73">
        <v>40852</v>
      </c>
      <c r="H382" s="73">
        <v>40852</v>
      </c>
      <c r="I382" s="94" t="s">
        <v>132</v>
      </c>
      <c r="J382" s="34" t="s">
        <v>1132</v>
      </c>
      <c r="K382" s="34" t="s">
        <v>1144</v>
      </c>
      <c r="L382" s="34">
        <f>IF((Observaciones[[#This Row],[Fecha Levantamiento]]-Observaciones[[#This Row],[Fecha Detección]])&gt;=0,Observaciones[[#This Row],[Fecha Levantamiento]]-Observaciones[[#This Row],[Fecha Detección]]+1,0)</f>
        <v>1</v>
      </c>
      <c r="M382" s="34" t="str">
        <f>LOOKUP(Observaciones[[#This Row],[Caso de Prueba]],CasoPrueba[Código CP],CasoPrueba[Código de REQ])</f>
        <v>INSPECCIÓN</v>
      </c>
    </row>
    <row r="383" spans="1:13" ht="75" hidden="1">
      <c r="A383" s="166" t="s">
        <v>1145</v>
      </c>
      <c r="B383" s="34" t="s">
        <v>1182</v>
      </c>
      <c r="C383" s="34" t="str">
        <f>VLOOKUP(Observaciones[[#This Row],[Caso de Prueba]],CasoPrueba[[Código CP]:[Descripción Caso de Prueba]],3,0)</f>
        <v>Arquitectura de Procesos</v>
      </c>
      <c r="D383" s="34" t="str">
        <f>VLOOKUP(Observaciones[Caso de Prueba],CasoPrueba[[#All],[Código CP]:[Prioridad]],7,TRUE)</f>
        <v>Alta</v>
      </c>
      <c r="E383" s="34" t="s">
        <v>28</v>
      </c>
      <c r="F383" s="34" t="s">
        <v>49</v>
      </c>
      <c r="G383" s="73">
        <v>40852</v>
      </c>
      <c r="H383" s="73">
        <v>40853</v>
      </c>
      <c r="I383" s="94" t="s">
        <v>132</v>
      </c>
      <c r="J383" s="34" t="s">
        <v>1180</v>
      </c>
      <c r="K383" s="34" t="s">
        <v>1305</v>
      </c>
      <c r="L383" s="34">
        <f>IF((Observaciones[[#This Row],[Fecha Levantamiento]]-Observaciones[[#This Row],[Fecha Detección]])&gt;=0,Observaciones[[#This Row],[Fecha Levantamiento]]-Observaciones[[#This Row],[Fecha Detección]]+1,0)</f>
        <v>2</v>
      </c>
      <c r="M383" s="34" t="str">
        <f>LOOKUP(Observaciones[[#This Row],[Caso de Prueba]],CasoPrueba[Código CP],CasoPrueba[Código de REQ])</f>
        <v>INSPECCIÓN</v>
      </c>
    </row>
    <row r="384" spans="1:13" ht="45" hidden="1">
      <c r="A384" s="166" t="s">
        <v>1146</v>
      </c>
      <c r="B384" s="34" t="s">
        <v>1182</v>
      </c>
      <c r="C384" s="34" t="str">
        <f>VLOOKUP(Observaciones[[#This Row],[Caso de Prueba]],CasoPrueba[[Código CP]:[Descripción Caso de Prueba]],3,0)</f>
        <v>Arquitectura de Procesos</v>
      </c>
      <c r="D384" s="34" t="str">
        <f>VLOOKUP(Observaciones[Caso de Prueba],CasoPrueba[[#All],[Código CP]:[Prioridad]],7,TRUE)</f>
        <v>Alta</v>
      </c>
      <c r="E384" s="34" t="s">
        <v>162</v>
      </c>
      <c r="F384" s="34" t="s">
        <v>49</v>
      </c>
      <c r="G384" s="73">
        <v>40852</v>
      </c>
      <c r="H384" s="73">
        <v>40853</v>
      </c>
      <c r="I384" s="94" t="s">
        <v>132</v>
      </c>
      <c r="J384" s="34" t="s">
        <v>1181</v>
      </c>
      <c r="K384" s="34" t="s">
        <v>1258</v>
      </c>
      <c r="L384" s="34">
        <f>IF((Observaciones[[#This Row],[Fecha Levantamiento]]-Observaciones[[#This Row],[Fecha Detección]])&gt;=0,Observaciones[[#This Row],[Fecha Levantamiento]]-Observaciones[[#This Row],[Fecha Detección]]+1,0)</f>
        <v>2</v>
      </c>
      <c r="M384" s="34" t="str">
        <f>LOOKUP(Observaciones[[#This Row],[Caso de Prueba]],CasoPrueba[Código CP],CasoPrueba[Código de REQ])</f>
        <v>INSPECCIÓN</v>
      </c>
    </row>
    <row r="385" spans="1:13" ht="60" hidden="1">
      <c r="A385" s="166" t="s">
        <v>1147</v>
      </c>
      <c r="B385" s="34" t="s">
        <v>1182</v>
      </c>
      <c r="C385" s="34" t="str">
        <f>VLOOKUP(Observaciones[[#This Row],[Caso de Prueba]],CasoPrueba[[Código CP]:[Descripción Caso de Prueba]],3,0)</f>
        <v>Arquitectura de Procesos</v>
      </c>
      <c r="D385" s="34" t="str">
        <f>VLOOKUP(Observaciones[Caso de Prueba],CasoPrueba[[#All],[Código CP]:[Prioridad]],7,TRUE)</f>
        <v>Alta</v>
      </c>
      <c r="E385" s="34" t="s">
        <v>28</v>
      </c>
      <c r="F385" s="34" t="s">
        <v>49</v>
      </c>
      <c r="G385" s="73">
        <v>40852</v>
      </c>
      <c r="H385" s="73">
        <v>40853</v>
      </c>
      <c r="I385" s="94" t="s">
        <v>132</v>
      </c>
      <c r="J385" s="34" t="s">
        <v>1183</v>
      </c>
      <c r="K385" s="34" t="s">
        <v>1259</v>
      </c>
      <c r="L385" s="34">
        <f>IF((Observaciones[[#This Row],[Fecha Levantamiento]]-Observaciones[[#This Row],[Fecha Detección]])&gt;=0,Observaciones[[#This Row],[Fecha Levantamiento]]-Observaciones[[#This Row],[Fecha Detección]]+1,0)</f>
        <v>2</v>
      </c>
      <c r="M385" s="34" t="str">
        <f>LOOKUP(Observaciones[[#This Row],[Caso de Prueba]],CasoPrueba[Código CP],CasoPrueba[Código de REQ])</f>
        <v>INSPECCIÓN</v>
      </c>
    </row>
    <row r="386" spans="1:13" ht="60" hidden="1">
      <c r="A386" s="166" t="s">
        <v>1148</v>
      </c>
      <c r="B386" s="34" t="s">
        <v>1182</v>
      </c>
      <c r="C386" s="34" t="str">
        <f>VLOOKUP(Observaciones[[#This Row],[Caso de Prueba]],CasoPrueba[[Código CP]:[Descripción Caso de Prueba]],3,0)</f>
        <v>Arquitectura de Procesos</v>
      </c>
      <c r="D386" s="34" t="str">
        <f>VLOOKUP(Observaciones[Caso de Prueba],CasoPrueba[[#All],[Código CP]:[Prioridad]],7,TRUE)</f>
        <v>Alta</v>
      </c>
      <c r="E386" s="34" t="s">
        <v>28</v>
      </c>
      <c r="F386" s="34" t="s">
        <v>49</v>
      </c>
      <c r="G386" s="73">
        <v>40852</v>
      </c>
      <c r="H386" s="73">
        <v>40853</v>
      </c>
      <c r="I386" s="94" t="s">
        <v>132</v>
      </c>
      <c r="J386" s="34" t="s">
        <v>1184</v>
      </c>
      <c r="K386" s="34" t="s">
        <v>1260</v>
      </c>
      <c r="L386" s="34">
        <f>IF((Observaciones[[#This Row],[Fecha Levantamiento]]-Observaciones[[#This Row],[Fecha Detección]])&gt;=0,Observaciones[[#This Row],[Fecha Levantamiento]]-Observaciones[[#This Row],[Fecha Detección]]+1,0)</f>
        <v>2</v>
      </c>
      <c r="M386" s="34" t="str">
        <f>LOOKUP(Observaciones[[#This Row],[Caso de Prueba]],CasoPrueba[Código CP],CasoPrueba[Código de REQ])</f>
        <v>INSPECCIÓN</v>
      </c>
    </row>
    <row r="387" spans="1:13" ht="120" hidden="1">
      <c r="A387" s="166" t="s">
        <v>1149</v>
      </c>
      <c r="B387" s="34" t="s">
        <v>1182</v>
      </c>
      <c r="C387" s="34" t="str">
        <f>VLOOKUP(Observaciones[[#This Row],[Caso de Prueba]],CasoPrueba[[Código CP]:[Descripción Caso de Prueba]],3,0)</f>
        <v>Arquitectura de Procesos</v>
      </c>
      <c r="D387" s="34" t="str">
        <f>VLOOKUP(Observaciones[Caso de Prueba],CasoPrueba[[#All],[Código CP]:[Prioridad]],7,TRUE)</f>
        <v>Alta</v>
      </c>
      <c r="E387" s="34" t="s">
        <v>28</v>
      </c>
      <c r="F387" s="34" t="s">
        <v>49</v>
      </c>
      <c r="G387" s="73">
        <v>40852</v>
      </c>
      <c r="H387" s="73">
        <v>40853</v>
      </c>
      <c r="I387" s="94" t="s">
        <v>132</v>
      </c>
      <c r="J387" s="34" t="s">
        <v>1185</v>
      </c>
      <c r="K387" s="34" t="s">
        <v>858</v>
      </c>
      <c r="L387" s="34">
        <f>IF((Observaciones[[#This Row],[Fecha Levantamiento]]-Observaciones[[#This Row],[Fecha Detección]])&gt;=0,Observaciones[[#This Row],[Fecha Levantamiento]]-Observaciones[[#This Row],[Fecha Detección]]+1,0)</f>
        <v>2</v>
      </c>
      <c r="M387" s="34" t="str">
        <f>LOOKUP(Observaciones[[#This Row],[Caso de Prueba]],CasoPrueba[Código CP],CasoPrueba[Código de REQ])</f>
        <v>INSPECCIÓN</v>
      </c>
    </row>
    <row r="388" spans="1:13" ht="30" hidden="1">
      <c r="A388" s="166" t="s">
        <v>1150</v>
      </c>
      <c r="B388" s="34" t="s">
        <v>1182</v>
      </c>
      <c r="C388" s="34" t="str">
        <f>VLOOKUP(Observaciones[[#This Row],[Caso de Prueba]],CasoPrueba[[Código CP]:[Descripción Caso de Prueba]],3,0)</f>
        <v>Arquitectura de Procesos</v>
      </c>
      <c r="D388" s="34" t="str">
        <f>VLOOKUP(Observaciones[Caso de Prueba],CasoPrueba[[#All],[Código CP]:[Prioridad]],7,TRUE)</f>
        <v>Alta</v>
      </c>
      <c r="E388" s="34" t="s">
        <v>162</v>
      </c>
      <c r="F388" s="34" t="s">
        <v>49</v>
      </c>
      <c r="G388" s="73">
        <v>40852</v>
      </c>
      <c r="H388" s="73">
        <v>40853</v>
      </c>
      <c r="I388" s="94" t="s">
        <v>132</v>
      </c>
      <c r="J388" s="34" t="s">
        <v>1188</v>
      </c>
      <c r="K388" s="34" t="s">
        <v>234</v>
      </c>
      <c r="L388" s="34">
        <f>IF((Observaciones[[#This Row],[Fecha Levantamiento]]-Observaciones[[#This Row],[Fecha Detección]])&gt;=0,Observaciones[[#This Row],[Fecha Levantamiento]]-Observaciones[[#This Row],[Fecha Detección]]+1,0)</f>
        <v>2</v>
      </c>
      <c r="M388" s="34" t="str">
        <f>LOOKUP(Observaciones[[#This Row],[Caso de Prueba]],CasoPrueba[Código CP],CasoPrueba[Código de REQ])</f>
        <v>INSPECCIÓN</v>
      </c>
    </row>
    <row r="389" spans="1:13" ht="60" hidden="1">
      <c r="A389" s="166" t="s">
        <v>1151</v>
      </c>
      <c r="B389" s="34" t="s">
        <v>1182</v>
      </c>
      <c r="C389" s="34" t="str">
        <f>VLOOKUP(Observaciones[[#This Row],[Caso de Prueba]],CasoPrueba[[Código CP]:[Descripción Caso de Prueba]],3,0)</f>
        <v>Arquitectura de Procesos</v>
      </c>
      <c r="D389" s="34" t="str">
        <f>VLOOKUP(Observaciones[Caso de Prueba],CasoPrueba[[#All],[Código CP]:[Prioridad]],7,TRUE)</f>
        <v>Alta</v>
      </c>
      <c r="E389" s="34" t="s">
        <v>30</v>
      </c>
      <c r="F389" s="34" t="s">
        <v>49</v>
      </c>
      <c r="G389" s="73">
        <v>40852</v>
      </c>
      <c r="H389" s="73">
        <v>40853</v>
      </c>
      <c r="I389" s="94" t="s">
        <v>132</v>
      </c>
      <c r="J389" s="34" t="s">
        <v>1189</v>
      </c>
      <c r="K389" s="34" t="s">
        <v>1261</v>
      </c>
      <c r="L389" s="34">
        <f>IF((Observaciones[[#This Row],[Fecha Levantamiento]]-Observaciones[[#This Row],[Fecha Detección]])&gt;=0,Observaciones[[#This Row],[Fecha Levantamiento]]-Observaciones[[#This Row],[Fecha Detección]]+1,0)</f>
        <v>2</v>
      </c>
      <c r="M389" s="34" t="str">
        <f>LOOKUP(Observaciones[[#This Row],[Caso de Prueba]],CasoPrueba[Código CP],CasoPrueba[Código de REQ])</f>
        <v>INSPECCIÓN</v>
      </c>
    </row>
    <row r="390" spans="1:13" ht="30" hidden="1">
      <c r="A390" s="166" t="s">
        <v>1152</v>
      </c>
      <c r="B390" s="34" t="s">
        <v>1182</v>
      </c>
      <c r="C390" s="34" t="str">
        <f>VLOOKUP(Observaciones[[#This Row],[Caso de Prueba]],CasoPrueba[[Código CP]:[Descripción Caso de Prueba]],3,0)</f>
        <v>Arquitectura de Procesos</v>
      </c>
      <c r="D390" s="34" t="str">
        <f>VLOOKUP(Observaciones[Caso de Prueba],CasoPrueba[[#All],[Código CP]:[Prioridad]],7,TRUE)</f>
        <v>Alta</v>
      </c>
      <c r="E390" s="34" t="s">
        <v>162</v>
      </c>
      <c r="F390" s="34" t="s">
        <v>49</v>
      </c>
      <c r="G390" s="73">
        <v>40852</v>
      </c>
      <c r="H390" s="73">
        <v>40853</v>
      </c>
      <c r="I390" s="94" t="s">
        <v>132</v>
      </c>
      <c r="J390" s="34" t="s">
        <v>1190</v>
      </c>
      <c r="K390" s="34" t="s">
        <v>234</v>
      </c>
      <c r="L390" s="34">
        <f>IF((Observaciones[[#This Row],[Fecha Levantamiento]]-Observaciones[[#This Row],[Fecha Detección]])&gt;=0,Observaciones[[#This Row],[Fecha Levantamiento]]-Observaciones[[#This Row],[Fecha Detección]]+1,0)</f>
        <v>2</v>
      </c>
      <c r="M390" s="34" t="str">
        <f>LOOKUP(Observaciones[[#This Row],[Caso de Prueba]],CasoPrueba[Código CP],CasoPrueba[Código de REQ])</f>
        <v>INSPECCIÓN</v>
      </c>
    </row>
    <row r="391" spans="1:13" ht="30" hidden="1">
      <c r="A391" s="166" t="s">
        <v>1153</v>
      </c>
      <c r="B391" s="34" t="s">
        <v>1182</v>
      </c>
      <c r="C391" s="34" t="str">
        <f>VLOOKUP(Observaciones[[#This Row],[Caso de Prueba]],CasoPrueba[[Código CP]:[Descripción Caso de Prueba]],3,0)</f>
        <v>Arquitectura de Procesos</v>
      </c>
      <c r="D391" s="34" t="str">
        <f>VLOOKUP(Observaciones[Caso de Prueba],CasoPrueba[[#All],[Código CP]:[Prioridad]],7,TRUE)</f>
        <v>Alta</v>
      </c>
      <c r="E391" s="34" t="s">
        <v>162</v>
      </c>
      <c r="F391" s="34" t="s">
        <v>49</v>
      </c>
      <c r="G391" s="73">
        <v>40852</v>
      </c>
      <c r="H391" s="73">
        <v>40853</v>
      </c>
      <c r="I391" s="94" t="s">
        <v>132</v>
      </c>
      <c r="J391" s="34" t="s">
        <v>1191</v>
      </c>
      <c r="K391" s="34" t="s">
        <v>234</v>
      </c>
      <c r="L391" s="34">
        <f>IF((Observaciones[[#This Row],[Fecha Levantamiento]]-Observaciones[[#This Row],[Fecha Detección]])&gt;=0,Observaciones[[#This Row],[Fecha Levantamiento]]-Observaciones[[#This Row],[Fecha Detección]]+1,0)</f>
        <v>2</v>
      </c>
      <c r="M391" s="34" t="str">
        <f>LOOKUP(Observaciones[[#This Row],[Caso de Prueba]],CasoPrueba[Código CP],CasoPrueba[Código de REQ])</f>
        <v>INSPECCIÓN</v>
      </c>
    </row>
    <row r="392" spans="1:13" ht="45" hidden="1">
      <c r="A392" s="166" t="s">
        <v>1154</v>
      </c>
      <c r="B392" s="34" t="s">
        <v>1182</v>
      </c>
      <c r="C392" s="34" t="str">
        <f>VLOOKUP(Observaciones[[#This Row],[Caso de Prueba]],CasoPrueba[[Código CP]:[Descripción Caso de Prueba]],3,0)</f>
        <v>Arquitectura de Procesos</v>
      </c>
      <c r="D392" s="34" t="str">
        <f>VLOOKUP(Observaciones[Caso de Prueba],CasoPrueba[[#All],[Código CP]:[Prioridad]],7,TRUE)</f>
        <v>Alta</v>
      </c>
      <c r="E392" s="34" t="s">
        <v>29</v>
      </c>
      <c r="F392" s="34" t="s">
        <v>49</v>
      </c>
      <c r="G392" s="73">
        <v>40852</v>
      </c>
      <c r="H392" s="73">
        <v>40853</v>
      </c>
      <c r="I392" s="94" t="s">
        <v>132</v>
      </c>
      <c r="J392" s="34" t="s">
        <v>1192</v>
      </c>
      <c r="K392" s="34" t="s">
        <v>1305</v>
      </c>
      <c r="L392" s="34">
        <f>IF((Observaciones[[#This Row],[Fecha Levantamiento]]-Observaciones[[#This Row],[Fecha Detección]])&gt;=0,Observaciones[[#This Row],[Fecha Levantamiento]]-Observaciones[[#This Row],[Fecha Detección]]+1,0)</f>
        <v>2</v>
      </c>
      <c r="M392" s="34" t="str">
        <f>LOOKUP(Observaciones[[#This Row],[Caso de Prueba]],CasoPrueba[Código CP],CasoPrueba[Código de REQ])</f>
        <v>INSPECCIÓN</v>
      </c>
    </row>
    <row r="393" spans="1:13" ht="60" hidden="1">
      <c r="A393" s="166" t="s">
        <v>1155</v>
      </c>
      <c r="B393" s="34" t="s">
        <v>1182</v>
      </c>
      <c r="C393" s="34" t="str">
        <f>VLOOKUP(Observaciones[[#This Row],[Caso de Prueba]],CasoPrueba[[Código CP]:[Descripción Caso de Prueba]],3,0)</f>
        <v>Arquitectura de Procesos</v>
      </c>
      <c r="D393" s="34" t="str">
        <f>VLOOKUP(Observaciones[Caso de Prueba],CasoPrueba[[#All],[Código CP]:[Prioridad]],7,TRUE)</f>
        <v>Alta</v>
      </c>
      <c r="E393" s="34" t="s">
        <v>29</v>
      </c>
      <c r="F393" s="34" t="s">
        <v>49</v>
      </c>
      <c r="G393" s="73">
        <v>40852</v>
      </c>
      <c r="H393" s="73">
        <v>40853</v>
      </c>
      <c r="I393" s="94" t="s">
        <v>132</v>
      </c>
      <c r="J393" s="34" t="s">
        <v>1193</v>
      </c>
      <c r="K393" s="34" t="s">
        <v>1262</v>
      </c>
      <c r="L393" s="34">
        <f>IF((Observaciones[[#This Row],[Fecha Levantamiento]]-Observaciones[[#This Row],[Fecha Detección]])&gt;=0,Observaciones[[#This Row],[Fecha Levantamiento]]-Observaciones[[#This Row],[Fecha Detección]]+1,0)</f>
        <v>2</v>
      </c>
      <c r="M393" s="34" t="str">
        <f>LOOKUP(Observaciones[[#This Row],[Caso de Prueba]],CasoPrueba[Código CP],CasoPrueba[Código de REQ])</f>
        <v>INSPECCIÓN</v>
      </c>
    </row>
    <row r="394" spans="1:13" ht="45" hidden="1">
      <c r="A394" s="166" t="s">
        <v>1156</v>
      </c>
      <c r="B394" s="34" t="s">
        <v>1182</v>
      </c>
      <c r="C394" s="34" t="str">
        <f>VLOOKUP(Observaciones[[#This Row],[Caso de Prueba]],CasoPrueba[[Código CP]:[Descripción Caso de Prueba]],3,0)</f>
        <v>Arquitectura de Procesos</v>
      </c>
      <c r="D394" s="34" t="str">
        <f>VLOOKUP(Observaciones[Caso de Prueba],CasoPrueba[[#All],[Código CP]:[Prioridad]],7,TRUE)</f>
        <v>Alta</v>
      </c>
      <c r="E394" s="34" t="s">
        <v>29</v>
      </c>
      <c r="F394" s="34" t="s">
        <v>49</v>
      </c>
      <c r="G394" s="73">
        <v>40852</v>
      </c>
      <c r="H394" s="73">
        <v>40853</v>
      </c>
      <c r="I394" s="94" t="s">
        <v>132</v>
      </c>
      <c r="J394" s="34" t="s">
        <v>1194</v>
      </c>
      <c r="K394" s="34" t="s">
        <v>1263</v>
      </c>
      <c r="L394" s="34">
        <f>IF((Observaciones[[#This Row],[Fecha Levantamiento]]-Observaciones[[#This Row],[Fecha Detección]])&gt;=0,Observaciones[[#This Row],[Fecha Levantamiento]]-Observaciones[[#This Row],[Fecha Detección]]+1,0)</f>
        <v>2</v>
      </c>
      <c r="M394" s="34" t="str">
        <f>LOOKUP(Observaciones[[#This Row],[Caso de Prueba]],CasoPrueba[Código CP],CasoPrueba[Código de REQ])</f>
        <v>INSPECCIÓN</v>
      </c>
    </row>
    <row r="395" spans="1:13" ht="60" hidden="1">
      <c r="A395" s="166" t="s">
        <v>1157</v>
      </c>
      <c r="B395" s="34" t="s">
        <v>1182</v>
      </c>
      <c r="C395" s="34" t="str">
        <f>VLOOKUP(Observaciones[[#This Row],[Caso de Prueba]],CasoPrueba[[Código CP]:[Descripción Caso de Prueba]],3,0)</f>
        <v>Arquitectura de Procesos</v>
      </c>
      <c r="D395" s="34" t="str">
        <f>VLOOKUP(Observaciones[Caso de Prueba],CasoPrueba[[#All],[Código CP]:[Prioridad]],7,TRUE)</f>
        <v>Alta</v>
      </c>
      <c r="E395" s="34" t="s">
        <v>29</v>
      </c>
      <c r="F395" s="34" t="s">
        <v>49</v>
      </c>
      <c r="G395" s="73">
        <v>40852</v>
      </c>
      <c r="H395" s="73">
        <v>40853</v>
      </c>
      <c r="I395" s="94" t="s">
        <v>132</v>
      </c>
      <c r="J395" s="34" t="s">
        <v>1195</v>
      </c>
      <c r="K395" s="34" t="s">
        <v>1264</v>
      </c>
      <c r="L395" s="34">
        <f>IF((Observaciones[[#This Row],[Fecha Levantamiento]]-Observaciones[[#This Row],[Fecha Detección]])&gt;=0,Observaciones[[#This Row],[Fecha Levantamiento]]-Observaciones[[#This Row],[Fecha Detección]]+1,0)</f>
        <v>2</v>
      </c>
      <c r="M395" s="34" t="str">
        <f>LOOKUP(Observaciones[[#This Row],[Caso de Prueba]],CasoPrueba[Código CP],CasoPrueba[Código de REQ])</f>
        <v>INSPECCIÓN</v>
      </c>
    </row>
    <row r="396" spans="1:13" ht="60" hidden="1">
      <c r="A396" s="166" t="s">
        <v>1158</v>
      </c>
      <c r="B396" s="34" t="s">
        <v>1182</v>
      </c>
      <c r="C396" s="34" t="str">
        <f>VLOOKUP(Observaciones[[#This Row],[Caso de Prueba]],CasoPrueba[[Código CP]:[Descripción Caso de Prueba]],3,0)</f>
        <v>Arquitectura de Procesos</v>
      </c>
      <c r="D396" s="34" t="str">
        <f>VLOOKUP(Observaciones[Caso de Prueba],CasoPrueba[[#All],[Código CP]:[Prioridad]],7,TRUE)</f>
        <v>Alta</v>
      </c>
      <c r="E396" s="34" t="s">
        <v>29</v>
      </c>
      <c r="F396" s="34" t="s">
        <v>49</v>
      </c>
      <c r="G396" s="73">
        <v>40852</v>
      </c>
      <c r="H396" s="73">
        <v>40853</v>
      </c>
      <c r="I396" s="94" t="s">
        <v>132</v>
      </c>
      <c r="J396" s="34" t="s">
        <v>1196</v>
      </c>
      <c r="K396" s="34" t="s">
        <v>1265</v>
      </c>
      <c r="L396" s="34">
        <f>IF((Observaciones[[#This Row],[Fecha Levantamiento]]-Observaciones[[#This Row],[Fecha Detección]])&gt;=0,Observaciones[[#This Row],[Fecha Levantamiento]]-Observaciones[[#This Row],[Fecha Detección]]+1,0)</f>
        <v>2</v>
      </c>
      <c r="M396" s="34" t="str">
        <f>LOOKUP(Observaciones[[#This Row],[Caso de Prueba]],CasoPrueba[Código CP],CasoPrueba[Código de REQ])</f>
        <v>INSPECCIÓN</v>
      </c>
    </row>
    <row r="397" spans="1:13" ht="45" hidden="1">
      <c r="A397" s="166" t="s">
        <v>1159</v>
      </c>
      <c r="B397" s="34" t="s">
        <v>1182</v>
      </c>
      <c r="C397" s="34" t="str">
        <f>VLOOKUP(Observaciones[[#This Row],[Caso de Prueba]],CasoPrueba[[Código CP]:[Descripción Caso de Prueba]],3,0)</f>
        <v>Arquitectura de Procesos</v>
      </c>
      <c r="D397" s="34" t="str">
        <f>VLOOKUP(Observaciones[Caso de Prueba],CasoPrueba[[#All],[Código CP]:[Prioridad]],7,TRUE)</f>
        <v>Alta</v>
      </c>
      <c r="E397" s="34" t="s">
        <v>29</v>
      </c>
      <c r="F397" s="34" t="s">
        <v>49</v>
      </c>
      <c r="G397" s="73">
        <v>40852</v>
      </c>
      <c r="H397" s="73">
        <v>40853</v>
      </c>
      <c r="I397" s="94" t="s">
        <v>132</v>
      </c>
      <c r="J397" s="34" t="s">
        <v>1197</v>
      </c>
      <c r="K397" s="34" t="s">
        <v>1265</v>
      </c>
      <c r="L397" s="34">
        <f>IF((Observaciones[[#This Row],[Fecha Levantamiento]]-Observaciones[[#This Row],[Fecha Detección]])&gt;=0,Observaciones[[#This Row],[Fecha Levantamiento]]-Observaciones[[#This Row],[Fecha Detección]]+1,0)</f>
        <v>2</v>
      </c>
      <c r="M397" s="34" t="str">
        <f>LOOKUP(Observaciones[[#This Row],[Caso de Prueba]],CasoPrueba[Código CP],CasoPrueba[Código de REQ])</f>
        <v>INSPECCIÓN</v>
      </c>
    </row>
    <row r="398" spans="1:13" ht="45" hidden="1">
      <c r="A398" s="166" t="s">
        <v>1160</v>
      </c>
      <c r="B398" s="34" t="s">
        <v>1182</v>
      </c>
      <c r="C398" s="34" t="str">
        <f>VLOOKUP(Observaciones[[#This Row],[Caso de Prueba]],CasoPrueba[[Código CP]:[Descripción Caso de Prueba]],3,0)</f>
        <v>Arquitectura de Procesos</v>
      </c>
      <c r="D398" s="34" t="str">
        <f>VLOOKUP(Observaciones[Caso de Prueba],CasoPrueba[[#All],[Código CP]:[Prioridad]],7,TRUE)</f>
        <v>Alta</v>
      </c>
      <c r="E398" s="34" t="s">
        <v>29</v>
      </c>
      <c r="F398" s="34" t="s">
        <v>49</v>
      </c>
      <c r="G398" s="73">
        <v>40852</v>
      </c>
      <c r="H398" s="73">
        <v>40853</v>
      </c>
      <c r="I398" s="94" t="s">
        <v>132</v>
      </c>
      <c r="J398" s="34" t="s">
        <v>1198</v>
      </c>
      <c r="K398" s="34" t="s">
        <v>1262</v>
      </c>
      <c r="L398" s="34">
        <f>IF((Observaciones[[#This Row],[Fecha Levantamiento]]-Observaciones[[#This Row],[Fecha Detección]])&gt;=0,Observaciones[[#This Row],[Fecha Levantamiento]]-Observaciones[[#This Row],[Fecha Detección]]+1,0)</f>
        <v>2</v>
      </c>
      <c r="M398" s="34" t="str">
        <f>LOOKUP(Observaciones[[#This Row],[Caso de Prueba]],CasoPrueba[Código CP],CasoPrueba[Código de REQ])</f>
        <v>INSPECCIÓN</v>
      </c>
    </row>
    <row r="399" spans="1:13" ht="60" hidden="1">
      <c r="A399" s="166" t="s">
        <v>1161</v>
      </c>
      <c r="B399" s="34" t="s">
        <v>1182</v>
      </c>
      <c r="C399" s="34" t="str">
        <f>VLOOKUP(Observaciones[[#This Row],[Caso de Prueba]],CasoPrueba[[Código CP]:[Descripción Caso de Prueba]],3,0)</f>
        <v>Arquitectura de Procesos</v>
      </c>
      <c r="D399" s="34" t="str">
        <f>VLOOKUP(Observaciones[Caso de Prueba],CasoPrueba[[#All],[Código CP]:[Prioridad]],7,TRUE)</f>
        <v>Alta</v>
      </c>
      <c r="E399" s="34" t="s">
        <v>29</v>
      </c>
      <c r="F399" s="34" t="s">
        <v>49</v>
      </c>
      <c r="G399" s="73">
        <v>40852</v>
      </c>
      <c r="H399" s="73">
        <v>40853</v>
      </c>
      <c r="I399" s="94" t="s">
        <v>132</v>
      </c>
      <c r="J399" s="34" t="s">
        <v>1199</v>
      </c>
      <c r="K399" s="34" t="s">
        <v>1266</v>
      </c>
      <c r="L399" s="34">
        <f>IF((Observaciones[[#This Row],[Fecha Levantamiento]]-Observaciones[[#This Row],[Fecha Detección]])&gt;=0,Observaciones[[#This Row],[Fecha Levantamiento]]-Observaciones[[#This Row],[Fecha Detección]]+1,0)</f>
        <v>2</v>
      </c>
      <c r="M399" s="34" t="str">
        <f>LOOKUP(Observaciones[[#This Row],[Caso de Prueba]],CasoPrueba[Código CP],CasoPrueba[Código de REQ])</f>
        <v>INSPECCIÓN</v>
      </c>
    </row>
    <row r="400" spans="1:13" ht="45" hidden="1">
      <c r="A400" s="164" t="s">
        <v>1162</v>
      </c>
      <c r="B400" s="34" t="s">
        <v>1182</v>
      </c>
      <c r="C400" s="34" t="str">
        <f>VLOOKUP(Observaciones[[#This Row],[Caso de Prueba]],CasoPrueba[[Código CP]:[Descripción Caso de Prueba]],3,0)</f>
        <v>Arquitectura de Procesos</v>
      </c>
      <c r="D400" s="34" t="str">
        <f>VLOOKUP(Observaciones[Caso de Prueba],CasoPrueba[[#All],[Código CP]:[Prioridad]],7,TRUE)</f>
        <v>Alta</v>
      </c>
      <c r="E400" s="34" t="s">
        <v>30</v>
      </c>
      <c r="F400" s="34" t="s">
        <v>49</v>
      </c>
      <c r="G400" s="73">
        <v>40852</v>
      </c>
      <c r="H400" s="73">
        <v>40853</v>
      </c>
      <c r="I400" s="94" t="s">
        <v>132</v>
      </c>
      <c r="J400" s="34" t="s">
        <v>1289</v>
      </c>
      <c r="K400" s="34" t="s">
        <v>1267</v>
      </c>
      <c r="L400" s="34">
        <f>IF((Observaciones[[#This Row],[Fecha Levantamiento]]-Observaciones[[#This Row],[Fecha Detección]])&gt;=0,Observaciones[[#This Row],[Fecha Levantamiento]]-Observaciones[[#This Row],[Fecha Detección]]+1,0)</f>
        <v>2</v>
      </c>
      <c r="M400" s="34" t="str">
        <f>LOOKUP(Observaciones[[#This Row],[Caso de Prueba]],CasoPrueba[Código CP],CasoPrueba[Código de REQ])</f>
        <v>INSPECCIÓN</v>
      </c>
    </row>
    <row r="401" spans="1:13" ht="45" hidden="1">
      <c r="A401" s="166" t="s">
        <v>1163</v>
      </c>
      <c r="B401" s="34" t="s">
        <v>1182</v>
      </c>
      <c r="C401" s="34" t="str">
        <f>VLOOKUP(Observaciones[[#This Row],[Caso de Prueba]],CasoPrueba[[Código CP]:[Descripción Caso de Prueba]],3,0)</f>
        <v>Arquitectura de Procesos</v>
      </c>
      <c r="D401" s="34" t="str">
        <f>VLOOKUP(Observaciones[Caso de Prueba],CasoPrueba[[#All],[Código CP]:[Prioridad]],7,TRUE)</f>
        <v>Alta</v>
      </c>
      <c r="E401" s="34" t="s">
        <v>30</v>
      </c>
      <c r="F401" s="34" t="s">
        <v>49</v>
      </c>
      <c r="G401" s="73">
        <v>40852</v>
      </c>
      <c r="H401" s="73">
        <v>40853</v>
      </c>
      <c r="I401" s="94" t="s">
        <v>132</v>
      </c>
      <c r="J401" s="34" t="s">
        <v>1200</v>
      </c>
      <c r="K401" s="34" t="s">
        <v>1268</v>
      </c>
      <c r="L401" s="34">
        <f>IF((Observaciones[[#This Row],[Fecha Levantamiento]]-Observaciones[[#This Row],[Fecha Detección]])&gt;=0,Observaciones[[#This Row],[Fecha Levantamiento]]-Observaciones[[#This Row],[Fecha Detección]]+1,0)</f>
        <v>2</v>
      </c>
      <c r="M401" s="34" t="str">
        <f>LOOKUP(Observaciones[[#This Row],[Caso de Prueba]],CasoPrueba[Código CP],CasoPrueba[Código de REQ])</f>
        <v>INSPECCIÓN</v>
      </c>
    </row>
    <row r="402" spans="1:13" ht="30" hidden="1">
      <c r="A402" s="166" t="s">
        <v>1164</v>
      </c>
      <c r="B402" s="34" t="s">
        <v>1182</v>
      </c>
      <c r="C402" s="34" t="str">
        <f>VLOOKUP(Observaciones[[#This Row],[Caso de Prueba]],CasoPrueba[[Código CP]:[Descripción Caso de Prueba]],3,0)</f>
        <v>Arquitectura de Procesos</v>
      </c>
      <c r="D402" s="34" t="str">
        <f>VLOOKUP(Observaciones[Caso de Prueba],CasoPrueba[[#All],[Código CP]:[Prioridad]],7,TRUE)</f>
        <v>Alta</v>
      </c>
      <c r="E402" s="34" t="s">
        <v>29</v>
      </c>
      <c r="F402" s="34" t="s">
        <v>49</v>
      </c>
      <c r="G402" s="73">
        <v>40852</v>
      </c>
      <c r="H402" s="73">
        <v>40853</v>
      </c>
      <c r="I402" s="94" t="s">
        <v>132</v>
      </c>
      <c r="J402" s="34" t="s">
        <v>1201</v>
      </c>
      <c r="K402" s="34" t="s">
        <v>982</v>
      </c>
      <c r="L402" s="34">
        <f>IF((Observaciones[[#This Row],[Fecha Levantamiento]]-Observaciones[[#This Row],[Fecha Detección]])&gt;=0,Observaciones[[#This Row],[Fecha Levantamiento]]-Observaciones[[#This Row],[Fecha Detección]]+1,0)</f>
        <v>2</v>
      </c>
      <c r="M402" s="34" t="str">
        <f>LOOKUP(Observaciones[[#This Row],[Caso de Prueba]],CasoPrueba[Código CP],CasoPrueba[Código de REQ])</f>
        <v>INSPECCIÓN</v>
      </c>
    </row>
    <row r="403" spans="1:13" ht="45" hidden="1">
      <c r="A403" s="166" t="s">
        <v>1165</v>
      </c>
      <c r="B403" s="34" t="s">
        <v>1182</v>
      </c>
      <c r="C403" s="34" t="str">
        <f>VLOOKUP(Observaciones[[#This Row],[Caso de Prueba]],CasoPrueba[[Código CP]:[Descripción Caso de Prueba]],3,0)</f>
        <v>Arquitectura de Procesos</v>
      </c>
      <c r="D403" s="34" t="str">
        <f>VLOOKUP(Observaciones[Caso de Prueba],CasoPrueba[[#All],[Código CP]:[Prioridad]],7,TRUE)</f>
        <v>Alta</v>
      </c>
      <c r="E403" s="34" t="s">
        <v>29</v>
      </c>
      <c r="F403" s="34" t="s">
        <v>49</v>
      </c>
      <c r="G403" s="73">
        <v>40852</v>
      </c>
      <c r="H403" s="73">
        <v>40853</v>
      </c>
      <c r="I403" s="94" t="s">
        <v>132</v>
      </c>
      <c r="J403" s="34" t="s">
        <v>1202</v>
      </c>
      <c r="K403" s="34" t="s">
        <v>1262</v>
      </c>
      <c r="L403" s="34">
        <f>IF((Observaciones[[#This Row],[Fecha Levantamiento]]-Observaciones[[#This Row],[Fecha Detección]])&gt;=0,Observaciones[[#This Row],[Fecha Levantamiento]]-Observaciones[[#This Row],[Fecha Detección]]+1,0)</f>
        <v>2</v>
      </c>
      <c r="M403" s="34" t="str">
        <f>LOOKUP(Observaciones[[#This Row],[Caso de Prueba]],CasoPrueba[Código CP],CasoPrueba[Código de REQ])</f>
        <v>INSPECCIÓN</v>
      </c>
    </row>
    <row r="404" spans="1:13" ht="30" hidden="1">
      <c r="A404" s="166" t="s">
        <v>1166</v>
      </c>
      <c r="B404" s="34" t="s">
        <v>1182</v>
      </c>
      <c r="C404" s="34" t="str">
        <f>VLOOKUP(Observaciones[[#This Row],[Caso de Prueba]],CasoPrueba[[Código CP]:[Descripción Caso de Prueba]],3,0)</f>
        <v>Arquitectura de Procesos</v>
      </c>
      <c r="D404" s="34" t="str">
        <f>VLOOKUP(Observaciones[Caso de Prueba],CasoPrueba[[#All],[Código CP]:[Prioridad]],7,TRUE)</f>
        <v>Alta</v>
      </c>
      <c r="E404" s="34" t="s">
        <v>29</v>
      </c>
      <c r="F404" s="34" t="s">
        <v>49</v>
      </c>
      <c r="G404" s="73">
        <v>40852</v>
      </c>
      <c r="H404" s="73">
        <v>40853</v>
      </c>
      <c r="I404" s="94" t="s">
        <v>132</v>
      </c>
      <c r="J404" s="34" t="s">
        <v>1203</v>
      </c>
      <c r="K404" s="34" t="s">
        <v>1269</v>
      </c>
      <c r="L404" s="34">
        <f>IF((Observaciones[[#This Row],[Fecha Levantamiento]]-Observaciones[[#This Row],[Fecha Detección]])&gt;=0,Observaciones[[#This Row],[Fecha Levantamiento]]-Observaciones[[#This Row],[Fecha Detección]]+1,0)</f>
        <v>2</v>
      </c>
      <c r="M404" s="34" t="str">
        <f>LOOKUP(Observaciones[[#This Row],[Caso de Prueba]],CasoPrueba[Código CP],CasoPrueba[Código de REQ])</f>
        <v>INSPECCIÓN</v>
      </c>
    </row>
    <row r="405" spans="1:13" ht="30" hidden="1">
      <c r="A405" s="166" t="s">
        <v>1167</v>
      </c>
      <c r="B405" s="34" t="s">
        <v>1182</v>
      </c>
      <c r="C405" s="34" t="str">
        <f>VLOOKUP(Observaciones[[#This Row],[Caso de Prueba]],CasoPrueba[[Código CP]:[Descripción Caso de Prueba]],3,0)</f>
        <v>Arquitectura de Procesos</v>
      </c>
      <c r="D405" s="34" t="str">
        <f>VLOOKUP(Observaciones[Caso de Prueba],CasoPrueba[[#All],[Código CP]:[Prioridad]],7,TRUE)</f>
        <v>Alta</v>
      </c>
      <c r="E405" s="34" t="s">
        <v>29</v>
      </c>
      <c r="F405" s="34" t="s">
        <v>49</v>
      </c>
      <c r="G405" s="73">
        <v>40852</v>
      </c>
      <c r="H405" s="73">
        <v>40853</v>
      </c>
      <c r="I405" s="94" t="s">
        <v>132</v>
      </c>
      <c r="J405" s="34" t="s">
        <v>1204</v>
      </c>
      <c r="K405" s="34" t="s">
        <v>1270</v>
      </c>
      <c r="L405" s="34">
        <f>IF((Observaciones[[#This Row],[Fecha Levantamiento]]-Observaciones[[#This Row],[Fecha Detección]])&gt;=0,Observaciones[[#This Row],[Fecha Levantamiento]]-Observaciones[[#This Row],[Fecha Detección]]+1,0)</f>
        <v>2</v>
      </c>
      <c r="M405" s="34" t="str">
        <f>LOOKUP(Observaciones[[#This Row],[Caso de Prueba]],CasoPrueba[Código CP],CasoPrueba[Código de REQ])</f>
        <v>INSPECCIÓN</v>
      </c>
    </row>
    <row r="406" spans="1:13" ht="30" hidden="1">
      <c r="A406" s="166" t="s">
        <v>1168</v>
      </c>
      <c r="B406" s="34" t="s">
        <v>1182</v>
      </c>
      <c r="C406" s="34" t="str">
        <f>VLOOKUP(Observaciones[[#This Row],[Caso de Prueba]],CasoPrueba[[Código CP]:[Descripción Caso de Prueba]],3,0)</f>
        <v>Arquitectura de Procesos</v>
      </c>
      <c r="D406" s="34" t="str">
        <f>VLOOKUP(Observaciones[Caso de Prueba],CasoPrueba[[#All],[Código CP]:[Prioridad]],7,TRUE)</f>
        <v>Alta</v>
      </c>
      <c r="E406" s="34" t="s">
        <v>29</v>
      </c>
      <c r="F406" s="34" t="s">
        <v>49</v>
      </c>
      <c r="G406" s="73">
        <v>40852</v>
      </c>
      <c r="H406" s="73">
        <v>40853</v>
      </c>
      <c r="I406" s="94" t="s">
        <v>132</v>
      </c>
      <c r="J406" s="34" t="s">
        <v>1205</v>
      </c>
      <c r="K406" s="34" t="s">
        <v>1271</v>
      </c>
      <c r="L406" s="34">
        <f>IF((Observaciones[[#This Row],[Fecha Levantamiento]]-Observaciones[[#This Row],[Fecha Detección]])&gt;=0,Observaciones[[#This Row],[Fecha Levantamiento]]-Observaciones[[#This Row],[Fecha Detección]]+1,0)</f>
        <v>2</v>
      </c>
      <c r="M406" s="34" t="str">
        <f>LOOKUP(Observaciones[[#This Row],[Caso de Prueba]],CasoPrueba[Código CP],CasoPrueba[Código de REQ])</f>
        <v>INSPECCIÓN</v>
      </c>
    </row>
    <row r="407" spans="1:13" ht="45" hidden="1">
      <c r="A407" s="166" t="s">
        <v>1169</v>
      </c>
      <c r="B407" s="34" t="s">
        <v>1182</v>
      </c>
      <c r="C407" s="34" t="str">
        <f>VLOOKUP(Observaciones[[#This Row],[Caso de Prueba]],CasoPrueba[[Código CP]:[Descripción Caso de Prueba]],3,0)</f>
        <v>Arquitectura de Procesos</v>
      </c>
      <c r="D407" s="34" t="str">
        <f>VLOOKUP(Observaciones[Caso de Prueba],CasoPrueba[[#All],[Código CP]:[Prioridad]],7,TRUE)</f>
        <v>Alta</v>
      </c>
      <c r="E407" s="34" t="s">
        <v>29</v>
      </c>
      <c r="F407" s="34" t="s">
        <v>49</v>
      </c>
      <c r="G407" s="73">
        <v>40852</v>
      </c>
      <c r="H407" s="73">
        <v>40853</v>
      </c>
      <c r="I407" s="94" t="s">
        <v>132</v>
      </c>
      <c r="J407" s="34" t="s">
        <v>1206</v>
      </c>
      <c r="K407" s="34" t="s">
        <v>1272</v>
      </c>
      <c r="L407" s="34">
        <f>IF((Observaciones[[#This Row],[Fecha Levantamiento]]-Observaciones[[#This Row],[Fecha Detección]])&gt;=0,Observaciones[[#This Row],[Fecha Levantamiento]]-Observaciones[[#This Row],[Fecha Detección]]+1,0)</f>
        <v>2</v>
      </c>
      <c r="M407" s="34" t="str">
        <f>LOOKUP(Observaciones[[#This Row],[Caso de Prueba]],CasoPrueba[Código CP],CasoPrueba[Código de REQ])</f>
        <v>INSPECCIÓN</v>
      </c>
    </row>
    <row r="408" spans="1:13" ht="30" hidden="1">
      <c r="A408" s="166" t="s">
        <v>1170</v>
      </c>
      <c r="B408" s="34" t="s">
        <v>1182</v>
      </c>
      <c r="C408" s="34" t="str">
        <f>VLOOKUP(Observaciones[[#This Row],[Caso de Prueba]],CasoPrueba[[Código CP]:[Descripción Caso de Prueba]],3,0)</f>
        <v>Arquitectura de Procesos</v>
      </c>
      <c r="D408" s="34" t="str">
        <f>VLOOKUP(Observaciones[Caso de Prueba],CasoPrueba[[#All],[Código CP]:[Prioridad]],7,TRUE)</f>
        <v>Alta</v>
      </c>
      <c r="E408" s="34" t="s">
        <v>29</v>
      </c>
      <c r="F408" s="34" t="s">
        <v>49</v>
      </c>
      <c r="G408" s="73">
        <v>40852</v>
      </c>
      <c r="H408" s="73">
        <v>40853</v>
      </c>
      <c r="I408" s="94" t="s">
        <v>132</v>
      </c>
      <c r="J408" s="34" t="s">
        <v>1207</v>
      </c>
      <c r="K408" s="34" t="s">
        <v>1273</v>
      </c>
      <c r="L408" s="34">
        <f>IF((Observaciones[[#This Row],[Fecha Levantamiento]]-Observaciones[[#This Row],[Fecha Detección]])&gt;=0,Observaciones[[#This Row],[Fecha Levantamiento]]-Observaciones[[#This Row],[Fecha Detección]]+1,0)</f>
        <v>2</v>
      </c>
      <c r="M408" s="34" t="str">
        <f>LOOKUP(Observaciones[[#This Row],[Caso de Prueba]],CasoPrueba[Código CP],CasoPrueba[Código de REQ])</f>
        <v>INSPECCIÓN</v>
      </c>
    </row>
    <row r="409" spans="1:13" ht="30" hidden="1">
      <c r="A409" s="166" t="s">
        <v>1171</v>
      </c>
      <c r="B409" s="34" t="s">
        <v>1182</v>
      </c>
      <c r="C409" s="34" t="str">
        <f>VLOOKUP(Observaciones[[#This Row],[Caso de Prueba]],CasoPrueba[[Código CP]:[Descripción Caso de Prueba]],3,0)</f>
        <v>Arquitectura de Procesos</v>
      </c>
      <c r="D409" s="34" t="str">
        <f>VLOOKUP(Observaciones[Caso de Prueba],CasoPrueba[[#All],[Código CP]:[Prioridad]],7,TRUE)</f>
        <v>Alta</v>
      </c>
      <c r="E409" s="34" t="s">
        <v>29</v>
      </c>
      <c r="F409" s="34" t="s">
        <v>49</v>
      </c>
      <c r="G409" s="73">
        <v>40852</v>
      </c>
      <c r="H409" s="73">
        <v>40853</v>
      </c>
      <c r="I409" s="94" t="s">
        <v>132</v>
      </c>
      <c r="J409" s="34" t="s">
        <v>1208</v>
      </c>
      <c r="K409" s="34" t="s">
        <v>1261</v>
      </c>
      <c r="L409" s="34">
        <f>IF((Observaciones[[#This Row],[Fecha Levantamiento]]-Observaciones[[#This Row],[Fecha Detección]])&gt;=0,Observaciones[[#This Row],[Fecha Levantamiento]]-Observaciones[[#This Row],[Fecha Detección]]+1,0)</f>
        <v>2</v>
      </c>
      <c r="M409" s="34" t="str">
        <f>LOOKUP(Observaciones[[#This Row],[Caso de Prueba]],CasoPrueba[Código CP],CasoPrueba[Código de REQ])</f>
        <v>INSPECCIÓN</v>
      </c>
    </row>
    <row r="410" spans="1:13" ht="30" hidden="1">
      <c r="A410" s="166" t="s">
        <v>1172</v>
      </c>
      <c r="B410" s="34" t="s">
        <v>1182</v>
      </c>
      <c r="C410" s="34" t="str">
        <f>VLOOKUP(Observaciones[[#This Row],[Caso de Prueba]],CasoPrueba[[Código CP]:[Descripción Caso de Prueba]],3,0)</f>
        <v>Arquitectura de Procesos</v>
      </c>
      <c r="D410" s="34" t="str">
        <f>VLOOKUP(Observaciones[Caso de Prueba],CasoPrueba[[#All],[Código CP]:[Prioridad]],7,TRUE)</f>
        <v>Alta</v>
      </c>
      <c r="E410" s="34" t="s">
        <v>29</v>
      </c>
      <c r="F410" s="34" t="s">
        <v>49</v>
      </c>
      <c r="G410" s="73">
        <v>40852</v>
      </c>
      <c r="H410" s="73">
        <v>40853</v>
      </c>
      <c r="I410" s="94" t="s">
        <v>132</v>
      </c>
      <c r="J410" s="34" t="s">
        <v>1209</v>
      </c>
      <c r="K410" s="34" t="s">
        <v>1261</v>
      </c>
      <c r="L410" s="34">
        <f>IF((Observaciones[[#This Row],[Fecha Levantamiento]]-Observaciones[[#This Row],[Fecha Detección]])&gt;=0,Observaciones[[#This Row],[Fecha Levantamiento]]-Observaciones[[#This Row],[Fecha Detección]]+1,0)</f>
        <v>2</v>
      </c>
      <c r="M410" s="34" t="str">
        <f>LOOKUP(Observaciones[[#This Row],[Caso de Prueba]],CasoPrueba[Código CP],CasoPrueba[Código de REQ])</f>
        <v>INSPECCIÓN</v>
      </c>
    </row>
    <row r="411" spans="1:13" ht="30" hidden="1">
      <c r="A411" s="166" t="s">
        <v>1173</v>
      </c>
      <c r="B411" s="34" t="s">
        <v>1182</v>
      </c>
      <c r="C411" s="34" t="str">
        <f>VLOOKUP(Observaciones[[#This Row],[Caso de Prueba]],CasoPrueba[[Código CP]:[Descripción Caso de Prueba]],3,0)</f>
        <v>Arquitectura de Procesos</v>
      </c>
      <c r="D411" s="34" t="str">
        <f>VLOOKUP(Observaciones[Caso de Prueba],CasoPrueba[[#All],[Código CP]:[Prioridad]],7,TRUE)</f>
        <v>Alta</v>
      </c>
      <c r="E411" s="34" t="s">
        <v>29</v>
      </c>
      <c r="F411" s="34" t="s">
        <v>49</v>
      </c>
      <c r="G411" s="73">
        <v>40852</v>
      </c>
      <c r="H411" s="73">
        <v>40853</v>
      </c>
      <c r="I411" s="94" t="s">
        <v>132</v>
      </c>
      <c r="J411" s="34" t="s">
        <v>1210</v>
      </c>
      <c r="K411" s="34" t="s">
        <v>1274</v>
      </c>
      <c r="L411" s="34">
        <f>IF((Observaciones[[#This Row],[Fecha Levantamiento]]-Observaciones[[#This Row],[Fecha Detección]])&gt;=0,Observaciones[[#This Row],[Fecha Levantamiento]]-Observaciones[[#This Row],[Fecha Detección]]+1,0)</f>
        <v>2</v>
      </c>
      <c r="M411" s="34" t="str">
        <f>LOOKUP(Observaciones[[#This Row],[Caso de Prueba]],CasoPrueba[Código CP],CasoPrueba[Código de REQ])</f>
        <v>INSPECCIÓN</v>
      </c>
    </row>
    <row r="412" spans="1:13" ht="45" hidden="1">
      <c r="A412" s="166" t="s">
        <v>1174</v>
      </c>
      <c r="B412" s="34" t="s">
        <v>1182</v>
      </c>
      <c r="C412" s="34" t="str">
        <f>VLOOKUP(Observaciones[[#This Row],[Caso de Prueba]],CasoPrueba[[Código CP]:[Descripción Caso de Prueba]],3,0)</f>
        <v>Arquitectura de Procesos</v>
      </c>
      <c r="D412" s="34" t="str">
        <f>VLOOKUP(Observaciones[Caso de Prueba],CasoPrueba[[#All],[Código CP]:[Prioridad]],7,TRUE)</f>
        <v>Alta</v>
      </c>
      <c r="E412" s="34" t="s">
        <v>29</v>
      </c>
      <c r="F412" s="34" t="s">
        <v>49</v>
      </c>
      <c r="G412" s="73">
        <v>40852</v>
      </c>
      <c r="H412" s="73">
        <v>40853</v>
      </c>
      <c r="I412" s="94" t="s">
        <v>132</v>
      </c>
      <c r="J412" s="34" t="s">
        <v>1211</v>
      </c>
      <c r="K412" s="34" t="s">
        <v>1275</v>
      </c>
      <c r="L412" s="34">
        <f>IF((Observaciones[[#This Row],[Fecha Levantamiento]]-Observaciones[[#This Row],[Fecha Detección]])&gt;=0,Observaciones[[#This Row],[Fecha Levantamiento]]-Observaciones[[#This Row],[Fecha Detección]]+1,0)</f>
        <v>2</v>
      </c>
      <c r="M412" s="34" t="str">
        <f>LOOKUP(Observaciones[[#This Row],[Caso de Prueba]],CasoPrueba[Código CP],CasoPrueba[Código de REQ])</f>
        <v>INSPECCIÓN</v>
      </c>
    </row>
    <row r="413" spans="1:13" ht="30" hidden="1">
      <c r="A413" s="166" t="s">
        <v>1175</v>
      </c>
      <c r="B413" s="34" t="s">
        <v>1182</v>
      </c>
      <c r="C413" s="34" t="str">
        <f>VLOOKUP(Observaciones[[#This Row],[Caso de Prueba]],CasoPrueba[[Código CP]:[Descripción Caso de Prueba]],3,0)</f>
        <v>Arquitectura de Procesos</v>
      </c>
      <c r="D413" s="34" t="str">
        <f>VLOOKUP(Observaciones[Caso de Prueba],CasoPrueba[[#All],[Código CP]:[Prioridad]],7,TRUE)</f>
        <v>Alta</v>
      </c>
      <c r="E413" s="34" t="s">
        <v>162</v>
      </c>
      <c r="F413" s="34" t="s">
        <v>49</v>
      </c>
      <c r="G413" s="73">
        <v>40852</v>
      </c>
      <c r="H413" s="73">
        <v>40853</v>
      </c>
      <c r="I413" s="94" t="s">
        <v>132</v>
      </c>
      <c r="J413" s="34" t="s">
        <v>1212</v>
      </c>
      <c r="K413" s="34" t="s">
        <v>234</v>
      </c>
      <c r="L413" s="34">
        <f>IF((Observaciones[[#This Row],[Fecha Levantamiento]]-Observaciones[[#This Row],[Fecha Detección]])&gt;=0,Observaciones[[#This Row],[Fecha Levantamiento]]-Observaciones[[#This Row],[Fecha Detección]]+1,0)</f>
        <v>2</v>
      </c>
      <c r="M413" s="34" t="str">
        <f>LOOKUP(Observaciones[[#This Row],[Caso de Prueba]],CasoPrueba[Código CP],CasoPrueba[Código de REQ])</f>
        <v>INSPECCIÓN</v>
      </c>
    </row>
    <row r="414" spans="1:13" ht="45" hidden="1">
      <c r="A414" s="166" t="s">
        <v>1176</v>
      </c>
      <c r="B414" s="34" t="s">
        <v>1182</v>
      </c>
      <c r="C414" s="34" t="str">
        <f>VLOOKUP(Observaciones[[#This Row],[Caso de Prueba]],CasoPrueba[[Código CP]:[Descripción Caso de Prueba]],3,0)</f>
        <v>Arquitectura de Procesos</v>
      </c>
      <c r="D414" s="34" t="str">
        <f>VLOOKUP(Observaciones[Caso de Prueba],CasoPrueba[[#All],[Código CP]:[Prioridad]],7,TRUE)</f>
        <v>Alta</v>
      </c>
      <c r="E414" s="34" t="s">
        <v>30</v>
      </c>
      <c r="F414" s="34" t="s">
        <v>49</v>
      </c>
      <c r="G414" s="73">
        <v>40852</v>
      </c>
      <c r="H414" s="73">
        <v>40853</v>
      </c>
      <c r="I414" s="94" t="s">
        <v>132</v>
      </c>
      <c r="J414" s="34" t="s">
        <v>1213</v>
      </c>
      <c r="K414" s="34" t="s">
        <v>1268</v>
      </c>
      <c r="L414" s="34">
        <f>IF((Observaciones[[#This Row],[Fecha Levantamiento]]-Observaciones[[#This Row],[Fecha Detección]])&gt;=0,Observaciones[[#This Row],[Fecha Levantamiento]]-Observaciones[[#This Row],[Fecha Detección]]+1,0)</f>
        <v>2</v>
      </c>
      <c r="M414" s="34" t="str">
        <f>LOOKUP(Observaciones[[#This Row],[Caso de Prueba]],CasoPrueba[Código CP],CasoPrueba[Código de REQ])</f>
        <v>INSPECCIÓN</v>
      </c>
    </row>
    <row r="415" spans="1:13" ht="30" hidden="1">
      <c r="A415" s="166" t="s">
        <v>1177</v>
      </c>
      <c r="B415" s="34" t="s">
        <v>1182</v>
      </c>
      <c r="C415" s="34" t="str">
        <f>VLOOKUP(Observaciones[[#This Row],[Caso de Prueba]],CasoPrueba[[Código CP]:[Descripción Caso de Prueba]],3,0)</f>
        <v>Arquitectura de Procesos</v>
      </c>
      <c r="D415" s="34" t="str">
        <f>VLOOKUP(Observaciones[Caso de Prueba],CasoPrueba[[#All],[Código CP]:[Prioridad]],7,TRUE)</f>
        <v>Alta</v>
      </c>
      <c r="E415" s="34" t="s">
        <v>29</v>
      </c>
      <c r="F415" s="34" t="s">
        <v>49</v>
      </c>
      <c r="G415" s="73">
        <v>40852</v>
      </c>
      <c r="H415" s="73">
        <v>40853</v>
      </c>
      <c r="I415" s="94" t="s">
        <v>132</v>
      </c>
      <c r="J415" s="34" t="s">
        <v>1214</v>
      </c>
      <c r="K415" s="34" t="s">
        <v>1276</v>
      </c>
      <c r="L415" s="34">
        <f>IF((Observaciones[[#This Row],[Fecha Levantamiento]]-Observaciones[[#This Row],[Fecha Detección]])&gt;=0,Observaciones[[#This Row],[Fecha Levantamiento]]-Observaciones[[#This Row],[Fecha Detección]]+1,0)</f>
        <v>2</v>
      </c>
      <c r="M415" s="34" t="str">
        <f>LOOKUP(Observaciones[[#This Row],[Caso de Prueba]],CasoPrueba[Código CP],CasoPrueba[Código de REQ])</f>
        <v>INSPECCIÓN</v>
      </c>
    </row>
    <row r="416" spans="1:13" ht="30" hidden="1">
      <c r="A416" s="166" t="s">
        <v>1178</v>
      </c>
      <c r="B416" s="34" t="s">
        <v>1182</v>
      </c>
      <c r="C416" s="34" t="str">
        <f>VLOOKUP(Observaciones[[#This Row],[Caso de Prueba]],CasoPrueba[[Código CP]:[Descripción Caso de Prueba]],3,0)</f>
        <v>Arquitectura de Procesos</v>
      </c>
      <c r="D416" s="34" t="str">
        <f>VLOOKUP(Observaciones[Caso de Prueba],CasoPrueba[[#All],[Código CP]:[Prioridad]],7,TRUE)</f>
        <v>Alta</v>
      </c>
      <c r="E416" s="34" t="s">
        <v>29</v>
      </c>
      <c r="F416" s="34" t="s">
        <v>49</v>
      </c>
      <c r="G416" s="73">
        <v>40852</v>
      </c>
      <c r="H416" s="73">
        <v>40853</v>
      </c>
      <c r="I416" s="94" t="s">
        <v>132</v>
      </c>
      <c r="J416" s="34" t="s">
        <v>1215</v>
      </c>
      <c r="K416" s="34" t="s">
        <v>1277</v>
      </c>
      <c r="L416" s="34">
        <f>IF((Observaciones[[#This Row],[Fecha Levantamiento]]-Observaciones[[#This Row],[Fecha Detección]])&gt;=0,Observaciones[[#This Row],[Fecha Levantamiento]]-Observaciones[[#This Row],[Fecha Detección]]+1,0)</f>
        <v>2</v>
      </c>
      <c r="M416" s="34" t="str">
        <f>LOOKUP(Observaciones[[#This Row],[Caso de Prueba]],CasoPrueba[Código CP],CasoPrueba[Código de REQ])</f>
        <v>INSPECCIÓN</v>
      </c>
    </row>
    <row r="417" spans="1:13" ht="45" hidden="1">
      <c r="A417" s="166" t="s">
        <v>1179</v>
      </c>
      <c r="B417" s="34" t="s">
        <v>1182</v>
      </c>
      <c r="C417" s="34" t="str">
        <f>VLOOKUP(Observaciones[[#This Row],[Caso de Prueba]],CasoPrueba[[Código CP]:[Descripción Caso de Prueba]],3,0)</f>
        <v>Arquitectura de Procesos</v>
      </c>
      <c r="D417" s="34" t="str">
        <f>VLOOKUP(Observaciones[Caso de Prueba],CasoPrueba[[#All],[Código CP]:[Prioridad]],7,TRUE)</f>
        <v>Alta</v>
      </c>
      <c r="E417" s="34" t="s">
        <v>29</v>
      </c>
      <c r="F417" s="34" t="s">
        <v>49</v>
      </c>
      <c r="G417" s="73">
        <v>40852</v>
      </c>
      <c r="H417" s="73">
        <v>40853</v>
      </c>
      <c r="I417" s="94" t="s">
        <v>132</v>
      </c>
      <c r="J417" s="34" t="s">
        <v>1216</v>
      </c>
      <c r="K417" s="34" t="s">
        <v>1278</v>
      </c>
      <c r="L417" s="34">
        <f>IF((Observaciones[[#This Row],[Fecha Levantamiento]]-Observaciones[[#This Row],[Fecha Detección]])&gt;=0,Observaciones[[#This Row],[Fecha Levantamiento]]-Observaciones[[#This Row],[Fecha Detección]]+1,0)</f>
        <v>2</v>
      </c>
      <c r="M417" s="34" t="str">
        <f>LOOKUP(Observaciones[[#This Row],[Caso de Prueba]],CasoPrueba[Código CP],CasoPrueba[Código de REQ])</f>
        <v>INSPECCIÓN</v>
      </c>
    </row>
    <row r="418" spans="1:13" ht="45" hidden="1">
      <c r="A418" s="166" t="s">
        <v>1218</v>
      </c>
      <c r="B418" s="34" t="s">
        <v>1182</v>
      </c>
      <c r="C418" s="34" t="str">
        <f>VLOOKUP(Observaciones[[#This Row],[Caso de Prueba]],CasoPrueba[[Código CP]:[Descripción Caso de Prueba]],3,0)</f>
        <v>Arquitectura de Procesos</v>
      </c>
      <c r="D418" s="164" t="str">
        <f>VLOOKUP(Observaciones[Caso de Prueba],CasoPrueba[[#All],[Código CP]:[Prioridad]],7,TRUE)</f>
        <v>Alta</v>
      </c>
      <c r="E418" s="34" t="s">
        <v>29</v>
      </c>
      <c r="F418" s="34" t="s">
        <v>49</v>
      </c>
      <c r="G418" s="73">
        <v>40852</v>
      </c>
      <c r="H418" s="73">
        <v>40853</v>
      </c>
      <c r="I418" s="94" t="s">
        <v>132</v>
      </c>
      <c r="J418" s="164" t="s">
        <v>1217</v>
      </c>
      <c r="K418" s="34" t="s">
        <v>1279</v>
      </c>
      <c r="L418" s="164">
        <f>IF((Observaciones[[#This Row],[Fecha Levantamiento]]-Observaciones[[#This Row],[Fecha Detección]])&gt;=0,Observaciones[[#This Row],[Fecha Levantamiento]]-Observaciones[[#This Row],[Fecha Detección]]+1,0)</f>
        <v>2</v>
      </c>
      <c r="M418" s="164" t="str">
        <f>LOOKUP(Observaciones[[#This Row],[Caso de Prueba]],CasoPrueba[Código CP],CasoPrueba[Código de REQ])</f>
        <v>INSPECCIÓN</v>
      </c>
    </row>
    <row r="419" spans="1:13" ht="60" hidden="1">
      <c r="A419" s="166" t="s">
        <v>1219</v>
      </c>
      <c r="B419" s="34" t="s">
        <v>1182</v>
      </c>
      <c r="C419" s="34" t="str">
        <f>VLOOKUP(Observaciones[[#This Row],[Caso de Prueba]],CasoPrueba[[Código CP]:[Descripción Caso de Prueba]],3,0)</f>
        <v>Arquitectura de Procesos</v>
      </c>
      <c r="D419" s="34" t="str">
        <f>VLOOKUP(Observaciones[Caso de Prueba],CasoPrueba[[#All],[Código CP]:[Prioridad]],7,TRUE)</f>
        <v>Alta</v>
      </c>
      <c r="E419" s="34" t="s">
        <v>29</v>
      </c>
      <c r="F419" s="34" t="s">
        <v>49</v>
      </c>
      <c r="G419" s="73">
        <v>40852</v>
      </c>
      <c r="H419" s="73">
        <v>40853</v>
      </c>
      <c r="I419" s="94" t="s">
        <v>132</v>
      </c>
      <c r="J419" s="34" t="s">
        <v>1248</v>
      </c>
      <c r="K419" s="34" t="s">
        <v>1280</v>
      </c>
      <c r="L419" s="34">
        <f>IF((Observaciones[[#This Row],[Fecha Levantamiento]]-Observaciones[[#This Row],[Fecha Detección]])&gt;=0,Observaciones[[#This Row],[Fecha Levantamiento]]-Observaciones[[#This Row],[Fecha Detección]]+1,0)</f>
        <v>2</v>
      </c>
      <c r="M419" s="34" t="str">
        <f>LOOKUP(Observaciones[[#This Row],[Caso de Prueba]],CasoPrueba[Código CP],CasoPrueba[Código de REQ])</f>
        <v>INSPECCIÓN</v>
      </c>
    </row>
    <row r="420" spans="1:13" ht="30" hidden="1">
      <c r="A420" s="166" t="s">
        <v>1220</v>
      </c>
      <c r="B420" s="34" t="s">
        <v>1182</v>
      </c>
      <c r="C420" s="34" t="str">
        <f>VLOOKUP(Observaciones[[#This Row],[Caso de Prueba]],CasoPrueba[[Código CP]:[Descripción Caso de Prueba]],3,0)</f>
        <v>Arquitectura de Procesos</v>
      </c>
      <c r="D420" s="34" t="str">
        <f>VLOOKUP(Observaciones[Caso de Prueba],CasoPrueba[[#All],[Código CP]:[Prioridad]],7,TRUE)</f>
        <v>Alta</v>
      </c>
      <c r="E420" s="34" t="s">
        <v>29</v>
      </c>
      <c r="F420" s="34" t="s">
        <v>49</v>
      </c>
      <c r="G420" s="73">
        <v>40852</v>
      </c>
      <c r="H420" s="73">
        <v>40853</v>
      </c>
      <c r="I420" s="94" t="s">
        <v>132</v>
      </c>
      <c r="J420" s="34" t="s">
        <v>1249</v>
      </c>
      <c r="K420" s="34" t="s">
        <v>1281</v>
      </c>
      <c r="L420" s="34">
        <f>IF((Observaciones[[#This Row],[Fecha Levantamiento]]-Observaciones[[#This Row],[Fecha Detección]])&gt;=0,Observaciones[[#This Row],[Fecha Levantamiento]]-Observaciones[[#This Row],[Fecha Detección]]+1,0)</f>
        <v>2</v>
      </c>
      <c r="M420" s="34" t="str">
        <f>LOOKUP(Observaciones[[#This Row],[Caso de Prueba]],CasoPrueba[Código CP],CasoPrueba[Código de REQ])</f>
        <v>INSPECCIÓN</v>
      </c>
    </row>
    <row r="421" spans="1:13" ht="30" hidden="1">
      <c r="A421" s="166" t="s">
        <v>1221</v>
      </c>
      <c r="B421" s="34" t="s">
        <v>1182</v>
      </c>
      <c r="C421" s="34" t="str">
        <f>VLOOKUP(Observaciones[[#This Row],[Caso de Prueba]],CasoPrueba[[Código CP]:[Descripción Caso de Prueba]],3,0)</f>
        <v>Arquitectura de Procesos</v>
      </c>
      <c r="D421" s="34" t="str">
        <f>VLOOKUP(Observaciones[Caso de Prueba],CasoPrueba[[#All],[Código CP]:[Prioridad]],7,TRUE)</f>
        <v>Alta</v>
      </c>
      <c r="E421" s="34" t="s">
        <v>162</v>
      </c>
      <c r="F421" s="34" t="s">
        <v>49</v>
      </c>
      <c r="G421" s="73">
        <v>40852</v>
      </c>
      <c r="H421" s="73">
        <v>40853</v>
      </c>
      <c r="I421" s="94" t="s">
        <v>132</v>
      </c>
      <c r="J421" s="34" t="s">
        <v>1250</v>
      </c>
      <c r="K421" s="34" t="s">
        <v>1282</v>
      </c>
      <c r="L421" s="34">
        <f>IF((Observaciones[[#This Row],[Fecha Levantamiento]]-Observaciones[[#This Row],[Fecha Detección]])&gt;=0,Observaciones[[#This Row],[Fecha Levantamiento]]-Observaciones[[#This Row],[Fecha Detección]]+1,0)</f>
        <v>2</v>
      </c>
      <c r="M421" s="34" t="str">
        <f>LOOKUP(Observaciones[[#This Row],[Caso de Prueba]],CasoPrueba[Código CP],CasoPrueba[Código de REQ])</f>
        <v>INSPECCIÓN</v>
      </c>
    </row>
    <row r="422" spans="1:13" ht="30" hidden="1">
      <c r="A422" s="166" t="s">
        <v>1222</v>
      </c>
      <c r="B422" s="34" t="s">
        <v>1182</v>
      </c>
      <c r="C422" s="34" t="str">
        <f>VLOOKUP(Observaciones[[#This Row],[Caso de Prueba]],CasoPrueba[[Código CP]:[Descripción Caso de Prueba]],3,0)</f>
        <v>Arquitectura de Procesos</v>
      </c>
      <c r="D422" s="34" t="str">
        <f>VLOOKUP(Observaciones[Caso de Prueba],CasoPrueba[[#All],[Código CP]:[Prioridad]],7,TRUE)</f>
        <v>Alta</v>
      </c>
      <c r="E422" s="34" t="s">
        <v>30</v>
      </c>
      <c r="F422" s="34" t="s">
        <v>49</v>
      </c>
      <c r="G422" s="73">
        <v>40852</v>
      </c>
      <c r="H422" s="73">
        <v>40853</v>
      </c>
      <c r="I422" s="94" t="s">
        <v>132</v>
      </c>
      <c r="J422" s="34" t="s">
        <v>1251</v>
      </c>
      <c r="K422" s="34" t="s">
        <v>857</v>
      </c>
      <c r="L422" s="34">
        <f>IF((Observaciones[[#This Row],[Fecha Levantamiento]]-Observaciones[[#This Row],[Fecha Detección]])&gt;=0,Observaciones[[#This Row],[Fecha Levantamiento]]-Observaciones[[#This Row],[Fecha Detección]]+1,0)</f>
        <v>2</v>
      </c>
      <c r="M422" s="34" t="str">
        <f>LOOKUP(Observaciones[[#This Row],[Caso de Prueba]],CasoPrueba[Código CP],CasoPrueba[Código de REQ])</f>
        <v>INSPECCIÓN</v>
      </c>
    </row>
    <row r="423" spans="1:13" ht="45" hidden="1">
      <c r="A423" s="166" t="s">
        <v>1223</v>
      </c>
      <c r="B423" s="34" t="s">
        <v>1182</v>
      </c>
      <c r="C423" s="34" t="str">
        <f>VLOOKUP(Observaciones[[#This Row],[Caso de Prueba]],CasoPrueba[[Código CP]:[Descripción Caso de Prueba]],3,0)</f>
        <v>Arquitectura de Procesos</v>
      </c>
      <c r="D423" s="34" t="str">
        <f>VLOOKUP(Observaciones[Caso de Prueba],CasoPrueba[[#All],[Código CP]:[Prioridad]],7,TRUE)</f>
        <v>Alta</v>
      </c>
      <c r="E423" s="34" t="s">
        <v>162</v>
      </c>
      <c r="F423" s="34" t="s">
        <v>49</v>
      </c>
      <c r="G423" s="73">
        <v>40852</v>
      </c>
      <c r="H423" s="73">
        <v>40853</v>
      </c>
      <c r="I423" s="94" t="s">
        <v>132</v>
      </c>
      <c r="J423" s="34" t="s">
        <v>1252</v>
      </c>
      <c r="K423" s="34" t="s">
        <v>196</v>
      </c>
      <c r="L423" s="34">
        <f>IF((Observaciones[[#This Row],[Fecha Levantamiento]]-Observaciones[[#This Row],[Fecha Detección]])&gt;=0,Observaciones[[#This Row],[Fecha Levantamiento]]-Observaciones[[#This Row],[Fecha Detección]]+1,0)</f>
        <v>2</v>
      </c>
      <c r="M423" s="34" t="str">
        <f>LOOKUP(Observaciones[[#This Row],[Caso de Prueba]],CasoPrueba[Código CP],CasoPrueba[Código de REQ])</f>
        <v>INSPECCIÓN</v>
      </c>
    </row>
    <row r="424" spans="1:13" ht="60" hidden="1">
      <c r="A424" s="166" t="s">
        <v>1224</v>
      </c>
      <c r="B424" s="34" t="s">
        <v>1182</v>
      </c>
      <c r="C424" s="34" t="str">
        <f>VLOOKUP(Observaciones[[#This Row],[Caso de Prueba]],CasoPrueba[[Código CP]:[Descripción Caso de Prueba]],3,0)</f>
        <v>Arquitectura de Procesos</v>
      </c>
      <c r="D424" s="34" t="str">
        <f>VLOOKUP(Observaciones[Caso de Prueba],CasoPrueba[[#All],[Código CP]:[Prioridad]],7,TRUE)</f>
        <v>Alta</v>
      </c>
      <c r="E424" s="34" t="s">
        <v>162</v>
      </c>
      <c r="F424" s="34" t="s">
        <v>49</v>
      </c>
      <c r="G424" s="73">
        <v>40852</v>
      </c>
      <c r="H424" s="73">
        <v>40853</v>
      </c>
      <c r="I424" s="94" t="s">
        <v>132</v>
      </c>
      <c r="J424" s="34" t="s">
        <v>1253</v>
      </c>
      <c r="K424" s="34" t="s">
        <v>196</v>
      </c>
      <c r="L424" s="34">
        <f>IF((Observaciones[[#This Row],[Fecha Levantamiento]]-Observaciones[[#This Row],[Fecha Detección]])&gt;=0,Observaciones[[#This Row],[Fecha Levantamiento]]-Observaciones[[#This Row],[Fecha Detección]]+1,0)</f>
        <v>2</v>
      </c>
      <c r="M424" s="34" t="str">
        <f>LOOKUP(Observaciones[[#This Row],[Caso de Prueba]],CasoPrueba[Código CP],CasoPrueba[Código de REQ])</f>
        <v>INSPECCIÓN</v>
      </c>
    </row>
    <row r="425" spans="1:13" ht="30" hidden="1">
      <c r="A425" s="166" t="s">
        <v>1225</v>
      </c>
      <c r="B425" s="34" t="s">
        <v>1182</v>
      </c>
      <c r="C425" s="34" t="str">
        <f>VLOOKUP(Observaciones[[#This Row],[Caso de Prueba]],CasoPrueba[[Código CP]:[Descripción Caso de Prueba]],3,0)</f>
        <v>Arquitectura de Procesos</v>
      </c>
      <c r="D425" s="34" t="str">
        <f>VLOOKUP(Observaciones[Caso de Prueba],CasoPrueba[[#All],[Código CP]:[Prioridad]],7,TRUE)</f>
        <v>Alta</v>
      </c>
      <c r="E425" s="34" t="s">
        <v>162</v>
      </c>
      <c r="F425" s="34" t="s">
        <v>49</v>
      </c>
      <c r="G425" s="73">
        <v>40852</v>
      </c>
      <c r="H425" s="73">
        <v>40853</v>
      </c>
      <c r="I425" s="94" t="s">
        <v>132</v>
      </c>
      <c r="J425" s="34" t="s">
        <v>1254</v>
      </c>
      <c r="K425" s="34" t="s">
        <v>1283</v>
      </c>
      <c r="L425" s="34">
        <f>IF((Observaciones[[#This Row],[Fecha Levantamiento]]-Observaciones[[#This Row],[Fecha Detección]])&gt;=0,Observaciones[[#This Row],[Fecha Levantamiento]]-Observaciones[[#This Row],[Fecha Detección]]+1,0)</f>
        <v>2</v>
      </c>
      <c r="M425" s="34" t="str">
        <f>LOOKUP(Observaciones[[#This Row],[Caso de Prueba]],CasoPrueba[Código CP],CasoPrueba[Código de REQ])</f>
        <v>INSPECCIÓN</v>
      </c>
    </row>
    <row r="426" spans="1:13" ht="45" hidden="1">
      <c r="A426" s="166" t="s">
        <v>1226</v>
      </c>
      <c r="B426" s="34" t="s">
        <v>1182</v>
      </c>
      <c r="C426" s="34" t="str">
        <f>VLOOKUP(Observaciones[[#This Row],[Caso de Prueba]],CasoPrueba[[Código CP]:[Descripción Caso de Prueba]],3,0)</f>
        <v>Arquitectura de Procesos</v>
      </c>
      <c r="D426" s="34" t="str">
        <f>VLOOKUP(Observaciones[Caso de Prueba],CasoPrueba[[#All],[Código CP]:[Prioridad]],7,TRUE)</f>
        <v>Alta</v>
      </c>
      <c r="E426" s="34" t="s">
        <v>30</v>
      </c>
      <c r="F426" s="34" t="s">
        <v>49</v>
      </c>
      <c r="G426" s="73">
        <v>40852</v>
      </c>
      <c r="H426" s="73">
        <v>40853</v>
      </c>
      <c r="I426" s="94" t="s">
        <v>132</v>
      </c>
      <c r="J426" s="34" t="s">
        <v>1255</v>
      </c>
      <c r="K426" s="34" t="s">
        <v>1284</v>
      </c>
      <c r="L426" s="34">
        <f>IF((Observaciones[[#This Row],[Fecha Levantamiento]]-Observaciones[[#This Row],[Fecha Detección]])&gt;=0,Observaciones[[#This Row],[Fecha Levantamiento]]-Observaciones[[#This Row],[Fecha Detección]]+1,0)</f>
        <v>2</v>
      </c>
      <c r="M426" s="34" t="str">
        <f>LOOKUP(Observaciones[[#This Row],[Caso de Prueba]],CasoPrueba[Código CP],CasoPrueba[Código de REQ])</f>
        <v>INSPECCIÓN</v>
      </c>
    </row>
    <row r="427" spans="1:13" ht="45" hidden="1">
      <c r="A427" s="166" t="s">
        <v>1227</v>
      </c>
      <c r="B427" s="34" t="s">
        <v>1182</v>
      </c>
      <c r="C427" s="34" t="str">
        <f>VLOOKUP(Observaciones[[#This Row],[Caso de Prueba]],CasoPrueba[[Código CP]:[Descripción Caso de Prueba]],3,0)</f>
        <v>Arquitectura de Procesos</v>
      </c>
      <c r="D427" s="34" t="str">
        <f>VLOOKUP(Observaciones[Caso de Prueba],CasoPrueba[[#All],[Código CP]:[Prioridad]],7,TRUE)</f>
        <v>Alta</v>
      </c>
      <c r="E427" s="34" t="s">
        <v>30</v>
      </c>
      <c r="F427" s="34" t="s">
        <v>49</v>
      </c>
      <c r="G427" s="73">
        <v>40852</v>
      </c>
      <c r="H427" s="73">
        <v>40853</v>
      </c>
      <c r="I427" s="94" t="s">
        <v>132</v>
      </c>
      <c r="J427" s="34" t="s">
        <v>1293</v>
      </c>
      <c r="K427" s="34" t="s">
        <v>1294</v>
      </c>
      <c r="L427" s="34">
        <f>IF((Observaciones[[#This Row],[Fecha Levantamiento]]-Observaciones[[#This Row],[Fecha Detección]])&gt;=0,Observaciones[[#This Row],[Fecha Levantamiento]]-Observaciones[[#This Row],[Fecha Detección]]+1,0)</f>
        <v>2</v>
      </c>
      <c r="M427" s="34" t="str">
        <f>LOOKUP(Observaciones[[#This Row],[Caso de Prueba]],CasoPrueba[Código CP],CasoPrueba[Código de REQ])</f>
        <v>INSPECCIÓN</v>
      </c>
    </row>
    <row r="428" spans="1:13" ht="30" hidden="1">
      <c r="A428" s="166" t="s">
        <v>1228</v>
      </c>
      <c r="B428" s="34" t="s">
        <v>1182</v>
      </c>
      <c r="C428" s="34" t="str">
        <f>VLOOKUP(Observaciones[[#This Row],[Caso de Prueba]],CasoPrueba[[Código CP]:[Descripción Caso de Prueba]],3,0)</f>
        <v>Arquitectura de Procesos</v>
      </c>
      <c r="D428" s="34" t="str">
        <f>VLOOKUP(Observaciones[Caso de Prueba],CasoPrueba[[#All],[Código CP]:[Prioridad]],7,TRUE)</f>
        <v>Alta</v>
      </c>
      <c r="E428" s="34" t="s">
        <v>162</v>
      </c>
      <c r="F428" s="34" t="s">
        <v>49</v>
      </c>
      <c r="G428" s="73">
        <v>40852</v>
      </c>
      <c r="H428" s="73">
        <v>40853</v>
      </c>
      <c r="I428" s="94" t="s">
        <v>132</v>
      </c>
      <c r="J428" s="34" t="s">
        <v>1295</v>
      </c>
      <c r="K428" s="34" t="s">
        <v>1285</v>
      </c>
      <c r="L428" s="34">
        <f>IF((Observaciones[[#This Row],[Fecha Levantamiento]]-Observaciones[[#This Row],[Fecha Detección]])&gt;=0,Observaciones[[#This Row],[Fecha Levantamiento]]-Observaciones[[#This Row],[Fecha Detección]]+1,0)</f>
        <v>2</v>
      </c>
      <c r="M428" s="34" t="str">
        <f>LOOKUP(Observaciones[[#This Row],[Caso de Prueba]],CasoPrueba[Código CP],CasoPrueba[Código de REQ])</f>
        <v>INSPECCIÓN</v>
      </c>
    </row>
    <row r="429" spans="1:13" ht="45" hidden="1">
      <c r="A429" s="166" t="s">
        <v>1229</v>
      </c>
      <c r="B429" s="34" t="s">
        <v>1182</v>
      </c>
      <c r="C429" s="34" t="str">
        <f>VLOOKUP(Observaciones[[#This Row],[Caso de Prueba]],CasoPrueba[[Código CP]:[Descripción Caso de Prueba]],3,0)</f>
        <v>Arquitectura de Procesos</v>
      </c>
      <c r="D429" s="34" t="str">
        <f>VLOOKUP(Observaciones[Caso de Prueba],CasoPrueba[[#All],[Código CP]:[Prioridad]],7,TRUE)</f>
        <v>Alta</v>
      </c>
      <c r="E429" s="34" t="s">
        <v>28</v>
      </c>
      <c r="F429" s="34" t="s">
        <v>49</v>
      </c>
      <c r="G429" s="73">
        <v>40852</v>
      </c>
      <c r="H429" s="73">
        <v>40853</v>
      </c>
      <c r="I429" s="94" t="s">
        <v>132</v>
      </c>
      <c r="J429" s="34" t="s">
        <v>1256</v>
      </c>
      <c r="K429" s="34" t="s">
        <v>857</v>
      </c>
      <c r="L429" s="34">
        <f>IF((Observaciones[[#This Row],[Fecha Levantamiento]]-Observaciones[[#This Row],[Fecha Detección]])&gt;=0,Observaciones[[#This Row],[Fecha Levantamiento]]-Observaciones[[#This Row],[Fecha Detección]]+1,0)</f>
        <v>2</v>
      </c>
      <c r="M429" s="34" t="str">
        <f>LOOKUP(Observaciones[[#This Row],[Caso de Prueba]],CasoPrueba[Código CP],CasoPrueba[Código de REQ])</f>
        <v>INSPECCIÓN</v>
      </c>
    </row>
    <row r="430" spans="1:13" ht="45" hidden="1">
      <c r="A430" s="166" t="s">
        <v>1230</v>
      </c>
      <c r="B430" s="34" t="s">
        <v>1182</v>
      </c>
      <c r="C430" s="34" t="str">
        <f>VLOOKUP(Observaciones[[#This Row],[Caso de Prueba]],CasoPrueba[[Código CP]:[Descripción Caso de Prueba]],3,0)</f>
        <v>Arquitectura de Procesos</v>
      </c>
      <c r="D430" s="34" t="str">
        <f>VLOOKUP(Observaciones[Caso de Prueba],CasoPrueba[[#All],[Código CP]:[Prioridad]],7,TRUE)</f>
        <v>Alta</v>
      </c>
      <c r="E430" s="34" t="s">
        <v>162</v>
      </c>
      <c r="F430" s="34" t="s">
        <v>49</v>
      </c>
      <c r="G430" s="73">
        <v>40852</v>
      </c>
      <c r="H430" s="73">
        <v>40853</v>
      </c>
      <c r="I430" s="94" t="s">
        <v>132</v>
      </c>
      <c r="J430" s="34" t="s">
        <v>1257</v>
      </c>
      <c r="K430" s="34" t="s">
        <v>196</v>
      </c>
      <c r="L430" s="34">
        <f>IF((Observaciones[[#This Row],[Fecha Levantamiento]]-Observaciones[[#This Row],[Fecha Detección]])&gt;=0,Observaciones[[#This Row],[Fecha Levantamiento]]-Observaciones[[#This Row],[Fecha Detección]]+1,0)</f>
        <v>2</v>
      </c>
      <c r="M430" s="34" t="str">
        <f>LOOKUP(Observaciones[[#This Row],[Caso de Prueba]],CasoPrueba[Código CP],CasoPrueba[Código de REQ])</f>
        <v>INSPECCIÓN</v>
      </c>
    </row>
    <row r="431" spans="1:13" ht="45" hidden="1">
      <c r="A431" s="166" t="s">
        <v>1231</v>
      </c>
      <c r="B431" s="34" t="s">
        <v>1182</v>
      </c>
      <c r="C431" s="34" t="str">
        <f>VLOOKUP(Observaciones[[#This Row],[Caso de Prueba]],CasoPrueba[[Código CP]:[Descripción Caso de Prueba]],3,0)</f>
        <v>Arquitectura de Procesos</v>
      </c>
      <c r="D431" s="34" t="str">
        <f>VLOOKUP(Observaciones[Caso de Prueba],CasoPrueba[[#All],[Código CP]:[Prioridad]],7,TRUE)</f>
        <v>Alta</v>
      </c>
      <c r="E431" s="34" t="s">
        <v>30</v>
      </c>
      <c r="F431" s="34" t="s">
        <v>49</v>
      </c>
      <c r="G431" s="73">
        <v>40853</v>
      </c>
      <c r="H431" s="73">
        <v>40855</v>
      </c>
      <c r="I431" s="94" t="s">
        <v>132</v>
      </c>
      <c r="J431" s="34" t="s">
        <v>1288</v>
      </c>
      <c r="K431" s="34" t="s">
        <v>1306</v>
      </c>
      <c r="L431" s="34">
        <f>IF((Observaciones[[#This Row],[Fecha Levantamiento]]-Observaciones[[#This Row],[Fecha Detección]])&gt;=0,Observaciones[[#This Row],[Fecha Levantamiento]]-Observaciones[[#This Row],[Fecha Detección]]+1,0)</f>
        <v>3</v>
      </c>
      <c r="M431" s="34" t="str">
        <f>LOOKUP(Observaciones[[#This Row],[Caso de Prueba]],CasoPrueba[Código CP],CasoPrueba[Código de REQ])</f>
        <v>INSPECCIÓN</v>
      </c>
    </row>
    <row r="432" spans="1:13" ht="30" hidden="1">
      <c r="A432" s="166" t="s">
        <v>1232</v>
      </c>
      <c r="B432" s="34" t="s">
        <v>1182</v>
      </c>
      <c r="C432" s="34" t="str">
        <f>VLOOKUP(Observaciones[[#This Row],[Caso de Prueba]],CasoPrueba[[Código CP]:[Descripción Caso de Prueba]],3,0)</f>
        <v>Arquitectura de Procesos</v>
      </c>
      <c r="D432" s="34" t="str">
        <f>VLOOKUP(Observaciones[Caso de Prueba],CasoPrueba[[#All],[Código CP]:[Prioridad]],7,TRUE)</f>
        <v>Alta</v>
      </c>
      <c r="E432" s="34" t="s">
        <v>29</v>
      </c>
      <c r="F432" s="34" t="s">
        <v>49</v>
      </c>
      <c r="G432" s="73">
        <v>40853</v>
      </c>
      <c r="H432" s="73">
        <v>40855</v>
      </c>
      <c r="I432" s="94" t="s">
        <v>132</v>
      </c>
      <c r="J432" s="34" t="s">
        <v>1286</v>
      </c>
      <c r="K432" s="34" t="s">
        <v>1308</v>
      </c>
      <c r="L432" s="34">
        <f>IF((Observaciones[[#This Row],[Fecha Levantamiento]]-Observaciones[[#This Row],[Fecha Detección]])&gt;=0,Observaciones[[#This Row],[Fecha Levantamiento]]-Observaciones[[#This Row],[Fecha Detección]]+1,0)</f>
        <v>3</v>
      </c>
      <c r="M432" s="34" t="str">
        <f>LOOKUP(Observaciones[[#This Row],[Caso de Prueba]],CasoPrueba[Código CP],CasoPrueba[Código de REQ])</f>
        <v>INSPECCIÓN</v>
      </c>
    </row>
    <row r="433" spans="1:13" ht="30" hidden="1">
      <c r="A433" s="166" t="s">
        <v>1233</v>
      </c>
      <c r="B433" s="34" t="s">
        <v>1182</v>
      </c>
      <c r="C433" s="34" t="str">
        <f>VLOOKUP(Observaciones[[#This Row],[Caso de Prueba]],CasoPrueba[[Código CP]:[Descripción Caso de Prueba]],3,0)</f>
        <v>Arquitectura de Procesos</v>
      </c>
      <c r="D433" s="34" t="str">
        <f>VLOOKUP(Observaciones[Caso de Prueba],CasoPrueba[[#All],[Código CP]:[Prioridad]],7,TRUE)</f>
        <v>Alta</v>
      </c>
      <c r="E433" s="34" t="s">
        <v>162</v>
      </c>
      <c r="F433" s="34" t="s">
        <v>49</v>
      </c>
      <c r="G433" s="73">
        <v>40853</v>
      </c>
      <c r="H433" s="73">
        <v>40855</v>
      </c>
      <c r="I433" s="94" t="s">
        <v>132</v>
      </c>
      <c r="J433" s="34" t="s">
        <v>1287</v>
      </c>
      <c r="K433" s="34" t="s">
        <v>1309</v>
      </c>
      <c r="L433" s="34">
        <f>IF((Observaciones[[#This Row],[Fecha Levantamiento]]-Observaciones[[#This Row],[Fecha Detección]])&gt;=0,Observaciones[[#This Row],[Fecha Levantamiento]]-Observaciones[[#This Row],[Fecha Detección]]+1,0)</f>
        <v>3</v>
      </c>
      <c r="M433" s="34" t="str">
        <f>LOOKUP(Observaciones[[#This Row],[Caso de Prueba]],CasoPrueba[Código CP],CasoPrueba[Código de REQ])</f>
        <v>INSPECCIÓN</v>
      </c>
    </row>
    <row r="434" spans="1:13" hidden="1">
      <c r="A434" s="166" t="s">
        <v>1234</v>
      </c>
      <c r="B434" s="34" t="s">
        <v>1182</v>
      </c>
      <c r="C434" s="34" t="str">
        <f>VLOOKUP(Observaciones[[#This Row],[Caso de Prueba]],CasoPrueba[[Código CP]:[Descripción Caso de Prueba]],3,0)</f>
        <v>Arquitectura de Procesos</v>
      </c>
      <c r="D434" s="34" t="str">
        <f>VLOOKUP(Observaciones[Caso de Prueba],CasoPrueba[[#All],[Código CP]:[Prioridad]],7,TRUE)</f>
        <v>Alta</v>
      </c>
      <c r="E434" s="34" t="s">
        <v>30</v>
      </c>
      <c r="F434" s="34" t="s">
        <v>49</v>
      </c>
      <c r="G434" s="73">
        <v>40853</v>
      </c>
      <c r="H434" s="73">
        <v>40855</v>
      </c>
      <c r="I434" s="94" t="s">
        <v>132</v>
      </c>
      <c r="J434" s="34" t="s">
        <v>1290</v>
      </c>
      <c r="K434" s="34" t="s">
        <v>1319</v>
      </c>
      <c r="L434" s="34">
        <f>IF((Observaciones[[#This Row],[Fecha Levantamiento]]-Observaciones[[#This Row],[Fecha Detección]])&gt;=0,Observaciones[[#This Row],[Fecha Levantamiento]]-Observaciones[[#This Row],[Fecha Detección]]+1,0)</f>
        <v>3</v>
      </c>
      <c r="M434" s="34" t="str">
        <f>LOOKUP(Observaciones[[#This Row],[Caso de Prueba]],CasoPrueba[Código CP],CasoPrueba[Código de REQ])</f>
        <v>INSPECCIÓN</v>
      </c>
    </row>
    <row r="435" spans="1:13" ht="60" hidden="1">
      <c r="A435" s="166" t="s">
        <v>1235</v>
      </c>
      <c r="B435" s="34" t="s">
        <v>1182</v>
      </c>
      <c r="C435" s="34" t="str">
        <f>VLOOKUP(Observaciones[[#This Row],[Caso de Prueba]],CasoPrueba[[Código CP]:[Descripción Caso de Prueba]],3,0)</f>
        <v>Arquitectura de Procesos</v>
      </c>
      <c r="D435" s="34" t="str">
        <f>VLOOKUP(Observaciones[Caso de Prueba],CasoPrueba[[#All],[Código CP]:[Prioridad]],7,TRUE)</f>
        <v>Alta</v>
      </c>
      <c r="E435" s="34" t="s">
        <v>30</v>
      </c>
      <c r="F435" s="34" t="s">
        <v>49</v>
      </c>
      <c r="G435" s="73">
        <v>40853</v>
      </c>
      <c r="H435" s="73">
        <v>40855</v>
      </c>
      <c r="I435" s="94" t="s">
        <v>132</v>
      </c>
      <c r="J435" s="34" t="s">
        <v>1291</v>
      </c>
      <c r="K435" s="34" t="s">
        <v>1311</v>
      </c>
      <c r="L435" s="34">
        <f>IF((Observaciones[[#This Row],[Fecha Levantamiento]]-Observaciones[[#This Row],[Fecha Detección]])&gt;=0,Observaciones[[#This Row],[Fecha Levantamiento]]-Observaciones[[#This Row],[Fecha Detección]]+1,0)</f>
        <v>3</v>
      </c>
      <c r="M435" s="34" t="str">
        <f>LOOKUP(Observaciones[[#This Row],[Caso de Prueba]],CasoPrueba[Código CP],CasoPrueba[Código de REQ])</f>
        <v>INSPECCIÓN</v>
      </c>
    </row>
    <row r="436" spans="1:13" ht="75" hidden="1">
      <c r="A436" s="166" t="s">
        <v>1236</v>
      </c>
      <c r="B436" s="34" t="s">
        <v>1182</v>
      </c>
      <c r="C436" s="34" t="str">
        <f>VLOOKUP(Observaciones[[#This Row],[Caso de Prueba]],CasoPrueba[[Código CP]:[Descripción Caso de Prueba]],3,0)</f>
        <v>Arquitectura de Procesos</v>
      </c>
      <c r="D436" s="34" t="str">
        <f>VLOOKUP(Observaciones[Caso de Prueba],CasoPrueba[[#All],[Código CP]:[Prioridad]],7,TRUE)</f>
        <v>Alta</v>
      </c>
      <c r="E436" s="34" t="s">
        <v>30</v>
      </c>
      <c r="F436" s="34" t="s">
        <v>49</v>
      </c>
      <c r="G436" s="73">
        <v>40853</v>
      </c>
      <c r="H436" s="73">
        <v>40855</v>
      </c>
      <c r="I436" s="94" t="s">
        <v>132</v>
      </c>
      <c r="J436" s="34" t="s">
        <v>1292</v>
      </c>
      <c r="K436" s="34" t="s">
        <v>1310</v>
      </c>
      <c r="L436" s="34">
        <f>IF((Observaciones[[#This Row],[Fecha Levantamiento]]-Observaciones[[#This Row],[Fecha Detección]])&gt;=0,Observaciones[[#This Row],[Fecha Levantamiento]]-Observaciones[[#This Row],[Fecha Detección]]+1,0)</f>
        <v>3</v>
      </c>
      <c r="M436" s="34" t="str">
        <f>LOOKUP(Observaciones[[#This Row],[Caso de Prueba]],CasoPrueba[Código CP],CasoPrueba[Código de REQ])</f>
        <v>INSPECCIÓN</v>
      </c>
    </row>
    <row r="437" spans="1:13" ht="45" hidden="1">
      <c r="A437" s="166" t="s">
        <v>1237</v>
      </c>
      <c r="B437" s="34" t="s">
        <v>1182</v>
      </c>
      <c r="C437" s="34" t="str">
        <f>VLOOKUP(Observaciones[[#This Row],[Caso de Prueba]],CasoPrueba[[Código CP]:[Descripción Caso de Prueba]],3,0)</f>
        <v>Arquitectura de Procesos</v>
      </c>
      <c r="D437" s="34" t="str">
        <f>VLOOKUP(Observaciones[Caso de Prueba],CasoPrueba[[#All],[Código CP]:[Prioridad]],7,TRUE)</f>
        <v>Alta</v>
      </c>
      <c r="E437" s="34" t="s">
        <v>30</v>
      </c>
      <c r="F437" s="34" t="s">
        <v>49</v>
      </c>
      <c r="G437" s="73">
        <v>40853</v>
      </c>
      <c r="H437" s="73">
        <v>40855</v>
      </c>
      <c r="I437" s="94" t="s">
        <v>132</v>
      </c>
      <c r="J437" s="34" t="s">
        <v>1321</v>
      </c>
      <c r="K437" s="34" t="s">
        <v>1313</v>
      </c>
      <c r="L437" s="34">
        <f>IF((Observaciones[[#This Row],[Fecha Levantamiento]]-Observaciones[[#This Row],[Fecha Detección]])&gt;=0,Observaciones[[#This Row],[Fecha Levantamiento]]-Observaciones[[#This Row],[Fecha Detección]]+1,0)</f>
        <v>3</v>
      </c>
      <c r="M437" s="34" t="str">
        <f>LOOKUP(Observaciones[[#This Row],[Caso de Prueba]],CasoPrueba[Código CP],CasoPrueba[Código de REQ])</f>
        <v>INSPECCIÓN</v>
      </c>
    </row>
    <row r="438" spans="1:13" ht="75" hidden="1">
      <c r="A438" s="166" t="s">
        <v>1238</v>
      </c>
      <c r="B438" s="34" t="s">
        <v>1182</v>
      </c>
      <c r="C438" s="34" t="str">
        <f>VLOOKUP(Observaciones[[#This Row],[Caso de Prueba]],CasoPrueba[[Código CP]:[Descripción Caso de Prueba]],3,0)</f>
        <v>Arquitectura de Procesos</v>
      </c>
      <c r="D438" s="34" t="str">
        <f>VLOOKUP(Observaciones[Caso de Prueba],CasoPrueba[[#All],[Código CP]:[Prioridad]],7,TRUE)</f>
        <v>Alta</v>
      </c>
      <c r="E438" s="34" t="s">
        <v>28</v>
      </c>
      <c r="F438" s="34" t="s">
        <v>49</v>
      </c>
      <c r="G438" s="73">
        <v>40853</v>
      </c>
      <c r="H438" s="73">
        <v>40855</v>
      </c>
      <c r="I438" s="94" t="s">
        <v>132</v>
      </c>
      <c r="J438" s="34" t="s">
        <v>1322</v>
      </c>
      <c r="K438" s="34" t="s">
        <v>1314</v>
      </c>
      <c r="L438" s="34">
        <f>IF((Observaciones[[#This Row],[Fecha Levantamiento]]-Observaciones[[#This Row],[Fecha Detección]])&gt;=0,Observaciones[[#This Row],[Fecha Levantamiento]]-Observaciones[[#This Row],[Fecha Detección]]+1,0)</f>
        <v>3</v>
      </c>
      <c r="M438" s="34" t="str">
        <f>LOOKUP(Observaciones[[#This Row],[Caso de Prueba]],CasoPrueba[Código CP],CasoPrueba[Código de REQ])</f>
        <v>INSPECCIÓN</v>
      </c>
    </row>
    <row r="439" spans="1:13" ht="60" hidden="1">
      <c r="A439" s="166" t="s">
        <v>1239</v>
      </c>
      <c r="B439" s="34" t="s">
        <v>1182</v>
      </c>
      <c r="C439" s="34" t="str">
        <f>VLOOKUP(Observaciones[[#This Row],[Caso de Prueba]],CasoPrueba[[Código CP]:[Descripción Caso de Prueba]],3,0)</f>
        <v>Arquitectura de Procesos</v>
      </c>
      <c r="D439" s="34" t="str">
        <f>VLOOKUP(Observaciones[Caso de Prueba],CasoPrueba[[#All],[Código CP]:[Prioridad]],7,TRUE)</f>
        <v>Alta</v>
      </c>
      <c r="E439" s="34" t="s">
        <v>28</v>
      </c>
      <c r="F439" s="34" t="s">
        <v>49</v>
      </c>
      <c r="G439" s="73">
        <v>40853</v>
      </c>
      <c r="H439" s="73">
        <v>40855</v>
      </c>
      <c r="I439" s="94" t="s">
        <v>132</v>
      </c>
      <c r="J439" s="34" t="s">
        <v>1296</v>
      </c>
      <c r="K439" s="34" t="s">
        <v>1312</v>
      </c>
      <c r="L439" s="34">
        <f>IF((Observaciones[[#This Row],[Fecha Levantamiento]]-Observaciones[[#This Row],[Fecha Detección]])&gt;=0,Observaciones[[#This Row],[Fecha Levantamiento]]-Observaciones[[#This Row],[Fecha Detección]]+1,0)</f>
        <v>3</v>
      </c>
      <c r="M439" s="34" t="str">
        <f>LOOKUP(Observaciones[[#This Row],[Caso de Prueba]],CasoPrueba[Código CP],CasoPrueba[Código de REQ])</f>
        <v>INSPECCIÓN</v>
      </c>
    </row>
    <row r="440" spans="1:13" ht="30" hidden="1">
      <c r="A440" s="166" t="s">
        <v>1240</v>
      </c>
      <c r="B440" s="34" t="s">
        <v>1182</v>
      </c>
      <c r="C440" s="34" t="str">
        <f>VLOOKUP(Observaciones[[#This Row],[Caso de Prueba]],CasoPrueba[[Código CP]:[Descripción Caso de Prueba]],3,0)</f>
        <v>Arquitectura de Procesos</v>
      </c>
      <c r="D440" s="34" t="str">
        <f>VLOOKUP(Observaciones[Caso de Prueba],CasoPrueba[[#All],[Código CP]:[Prioridad]],7,TRUE)</f>
        <v>Alta</v>
      </c>
      <c r="E440" s="34" t="s">
        <v>29</v>
      </c>
      <c r="F440" s="34" t="s">
        <v>49</v>
      </c>
      <c r="G440" s="73">
        <v>40853</v>
      </c>
      <c r="H440" s="73">
        <v>40855</v>
      </c>
      <c r="I440" s="94" t="s">
        <v>132</v>
      </c>
      <c r="J440" s="34" t="s">
        <v>1297</v>
      </c>
      <c r="K440" s="34" t="s">
        <v>1320</v>
      </c>
      <c r="L440" s="34">
        <f>IF((Observaciones[[#This Row],[Fecha Levantamiento]]-Observaciones[[#This Row],[Fecha Detección]])&gt;=0,Observaciones[[#This Row],[Fecha Levantamiento]]-Observaciones[[#This Row],[Fecha Detección]]+1,0)</f>
        <v>3</v>
      </c>
      <c r="M440" s="34" t="str">
        <f>LOOKUP(Observaciones[[#This Row],[Caso de Prueba]],CasoPrueba[Código CP],CasoPrueba[Código de REQ])</f>
        <v>INSPECCIÓN</v>
      </c>
    </row>
    <row r="441" spans="1:13" ht="60" hidden="1">
      <c r="A441" s="166" t="s">
        <v>1241</v>
      </c>
      <c r="B441" s="34" t="s">
        <v>1182</v>
      </c>
      <c r="C441" s="34" t="str">
        <f>VLOOKUP(Observaciones[[#This Row],[Caso de Prueba]],CasoPrueba[[Código CP]:[Descripción Caso de Prueba]],3,0)</f>
        <v>Arquitectura de Procesos</v>
      </c>
      <c r="D441" s="34" t="str">
        <f>VLOOKUP(Observaciones[Caso de Prueba],CasoPrueba[[#All],[Código CP]:[Prioridad]],7,TRUE)</f>
        <v>Alta</v>
      </c>
      <c r="E441" s="34" t="s">
        <v>29</v>
      </c>
      <c r="F441" s="34" t="s">
        <v>49</v>
      </c>
      <c r="G441" s="73">
        <v>40853</v>
      </c>
      <c r="H441" s="73">
        <v>40855</v>
      </c>
      <c r="I441" s="94" t="s">
        <v>132</v>
      </c>
      <c r="J441" s="34" t="s">
        <v>1298</v>
      </c>
      <c r="K441" s="34" t="s">
        <v>1315</v>
      </c>
      <c r="L441" s="34">
        <f>IF((Observaciones[[#This Row],[Fecha Levantamiento]]-Observaciones[[#This Row],[Fecha Detección]])&gt;=0,Observaciones[[#This Row],[Fecha Levantamiento]]-Observaciones[[#This Row],[Fecha Detección]]+1,0)</f>
        <v>3</v>
      </c>
      <c r="M441" s="34" t="str">
        <f>LOOKUP(Observaciones[[#This Row],[Caso de Prueba]],CasoPrueba[Código CP],CasoPrueba[Código de REQ])</f>
        <v>INSPECCIÓN</v>
      </c>
    </row>
    <row r="442" spans="1:13" ht="120" hidden="1">
      <c r="A442" s="166" t="s">
        <v>1242</v>
      </c>
      <c r="B442" s="34" t="s">
        <v>1182</v>
      </c>
      <c r="C442" s="34" t="str">
        <f>VLOOKUP(Observaciones[[#This Row],[Caso de Prueba]],CasoPrueba[[Código CP]:[Descripción Caso de Prueba]],3,0)</f>
        <v>Arquitectura de Procesos</v>
      </c>
      <c r="D442" s="34" t="str">
        <f>VLOOKUP(Observaciones[Caso de Prueba],CasoPrueba[[#All],[Código CP]:[Prioridad]],7,TRUE)</f>
        <v>Alta</v>
      </c>
      <c r="E442" s="34" t="s">
        <v>28</v>
      </c>
      <c r="F442" s="34" t="s">
        <v>49</v>
      </c>
      <c r="G442" s="73">
        <v>40853</v>
      </c>
      <c r="H442" s="73">
        <v>40855</v>
      </c>
      <c r="I442" s="94" t="s">
        <v>132</v>
      </c>
      <c r="J442" s="34" t="s">
        <v>1299</v>
      </c>
      <c r="K442" s="34" t="s">
        <v>1316</v>
      </c>
      <c r="L442" s="34">
        <f>IF((Observaciones[[#This Row],[Fecha Levantamiento]]-Observaciones[[#This Row],[Fecha Detección]])&gt;=0,Observaciones[[#This Row],[Fecha Levantamiento]]-Observaciones[[#This Row],[Fecha Detección]]+1,0)</f>
        <v>3</v>
      </c>
      <c r="M442" s="34" t="str">
        <f>LOOKUP(Observaciones[[#This Row],[Caso de Prueba]],CasoPrueba[Código CP],CasoPrueba[Código de REQ])</f>
        <v>INSPECCIÓN</v>
      </c>
    </row>
    <row r="443" spans="1:13" ht="60" hidden="1">
      <c r="A443" s="166" t="s">
        <v>1243</v>
      </c>
      <c r="B443" s="34" t="s">
        <v>1182</v>
      </c>
      <c r="C443" s="34" t="str">
        <f>VLOOKUP(Observaciones[[#This Row],[Caso de Prueba]],CasoPrueba[[Código CP]:[Descripción Caso de Prueba]],3,0)</f>
        <v>Arquitectura de Procesos</v>
      </c>
      <c r="D443" s="34" t="str">
        <f>VLOOKUP(Observaciones[Caso de Prueba],CasoPrueba[[#All],[Código CP]:[Prioridad]],7,TRUE)</f>
        <v>Alta</v>
      </c>
      <c r="E443" s="34" t="s">
        <v>28</v>
      </c>
      <c r="F443" s="34" t="s">
        <v>49</v>
      </c>
      <c r="G443" s="73">
        <v>40853</v>
      </c>
      <c r="H443" s="73">
        <v>40855</v>
      </c>
      <c r="I443" s="94" t="s">
        <v>132</v>
      </c>
      <c r="J443" s="34" t="s">
        <v>1300</v>
      </c>
      <c r="K443" s="34" t="s">
        <v>1323</v>
      </c>
      <c r="L443" s="34">
        <f>IF((Observaciones[[#This Row],[Fecha Levantamiento]]-Observaciones[[#This Row],[Fecha Detección]])&gt;=0,Observaciones[[#This Row],[Fecha Levantamiento]]-Observaciones[[#This Row],[Fecha Detección]]+1,0)</f>
        <v>3</v>
      </c>
      <c r="M443" s="34" t="str">
        <f>LOOKUP(Observaciones[[#This Row],[Caso de Prueba]],CasoPrueba[Código CP],CasoPrueba[Código de REQ])</f>
        <v>INSPECCIÓN</v>
      </c>
    </row>
    <row r="444" spans="1:13" ht="30" hidden="1">
      <c r="A444" s="166" t="s">
        <v>1244</v>
      </c>
      <c r="B444" s="34" t="s">
        <v>1182</v>
      </c>
      <c r="C444" s="34" t="str">
        <f>VLOOKUP(Observaciones[[#This Row],[Caso de Prueba]],CasoPrueba[[Código CP]:[Descripción Caso de Prueba]],3,0)</f>
        <v>Arquitectura de Procesos</v>
      </c>
      <c r="D444" s="34" t="str">
        <f>VLOOKUP(Observaciones[Caso de Prueba],CasoPrueba[[#All],[Código CP]:[Prioridad]],7,TRUE)</f>
        <v>Alta</v>
      </c>
      <c r="E444" s="34" t="s">
        <v>162</v>
      </c>
      <c r="F444" s="34" t="s">
        <v>49</v>
      </c>
      <c r="G444" s="73">
        <v>40853</v>
      </c>
      <c r="H444" s="73">
        <v>40855</v>
      </c>
      <c r="I444" s="94" t="s">
        <v>132</v>
      </c>
      <c r="J444" s="34" t="s">
        <v>1301</v>
      </c>
      <c r="K444" s="34" t="s">
        <v>1317</v>
      </c>
      <c r="L444" s="34">
        <f>IF((Observaciones[[#This Row],[Fecha Levantamiento]]-Observaciones[[#This Row],[Fecha Detección]])&gt;=0,Observaciones[[#This Row],[Fecha Levantamiento]]-Observaciones[[#This Row],[Fecha Detección]]+1,0)</f>
        <v>3</v>
      </c>
      <c r="M444" s="34" t="str">
        <f>LOOKUP(Observaciones[[#This Row],[Caso de Prueba]],CasoPrueba[Código CP],CasoPrueba[Código de REQ])</f>
        <v>INSPECCIÓN</v>
      </c>
    </row>
    <row r="445" spans="1:13" ht="45" hidden="1">
      <c r="A445" s="166" t="s">
        <v>1245</v>
      </c>
      <c r="B445" s="34" t="s">
        <v>1182</v>
      </c>
      <c r="C445" s="34" t="str">
        <f>VLOOKUP(Observaciones[[#This Row],[Caso de Prueba]],CasoPrueba[[Código CP]:[Descripción Caso de Prueba]],3,0)</f>
        <v>Arquitectura de Procesos</v>
      </c>
      <c r="D445" s="34" t="str">
        <f>VLOOKUP(Observaciones[Caso de Prueba],CasoPrueba[[#All],[Código CP]:[Prioridad]],7,TRUE)</f>
        <v>Alta</v>
      </c>
      <c r="E445" s="34" t="s">
        <v>162</v>
      </c>
      <c r="F445" s="34" t="s">
        <v>49</v>
      </c>
      <c r="G445" s="73">
        <v>40853</v>
      </c>
      <c r="H445" s="73">
        <v>40855</v>
      </c>
      <c r="I445" s="94" t="s">
        <v>132</v>
      </c>
      <c r="J445" s="34" t="s">
        <v>1302</v>
      </c>
      <c r="K445" s="34" t="s">
        <v>1317</v>
      </c>
      <c r="L445" s="34">
        <f>IF((Observaciones[[#This Row],[Fecha Levantamiento]]-Observaciones[[#This Row],[Fecha Detección]])&gt;=0,Observaciones[[#This Row],[Fecha Levantamiento]]-Observaciones[[#This Row],[Fecha Detección]]+1,0)</f>
        <v>3</v>
      </c>
      <c r="M445" s="34" t="str">
        <f>LOOKUP(Observaciones[[#This Row],[Caso de Prueba]],CasoPrueba[Código CP],CasoPrueba[Código de REQ])</f>
        <v>INSPECCIÓN</v>
      </c>
    </row>
    <row r="446" spans="1:13" ht="45" hidden="1">
      <c r="A446" s="166" t="s">
        <v>1246</v>
      </c>
      <c r="B446" s="34" t="s">
        <v>1182</v>
      </c>
      <c r="C446" s="34" t="str">
        <f>VLOOKUP(Observaciones[[#This Row],[Caso de Prueba]],CasoPrueba[[Código CP]:[Descripción Caso de Prueba]],3,0)</f>
        <v>Arquitectura de Procesos</v>
      </c>
      <c r="D446" s="34" t="str">
        <f>VLOOKUP(Observaciones[Caso de Prueba],CasoPrueba[[#All],[Código CP]:[Prioridad]],7,TRUE)</f>
        <v>Alta</v>
      </c>
      <c r="E446" s="34" t="s">
        <v>28</v>
      </c>
      <c r="F446" s="34" t="s">
        <v>49</v>
      </c>
      <c r="G446" s="73">
        <v>40853</v>
      </c>
      <c r="H446" s="73">
        <v>40855</v>
      </c>
      <c r="I446" s="94" t="s">
        <v>132</v>
      </c>
      <c r="J446" s="34" t="s">
        <v>1303</v>
      </c>
      <c r="K446" s="34" t="s">
        <v>1307</v>
      </c>
      <c r="L446" s="34">
        <f>IF((Observaciones[[#This Row],[Fecha Levantamiento]]-Observaciones[[#This Row],[Fecha Detección]])&gt;=0,Observaciones[[#This Row],[Fecha Levantamiento]]-Observaciones[[#This Row],[Fecha Detección]]+1,0)</f>
        <v>3</v>
      </c>
      <c r="M446" s="34" t="str">
        <f>LOOKUP(Observaciones[[#This Row],[Caso de Prueba]],CasoPrueba[Código CP],CasoPrueba[Código de REQ])</f>
        <v>INSPECCIÓN</v>
      </c>
    </row>
    <row r="447" spans="1:13" ht="30" hidden="1">
      <c r="A447" s="166" t="s">
        <v>1247</v>
      </c>
      <c r="B447" s="34" t="s">
        <v>1182</v>
      </c>
      <c r="C447" s="34" t="str">
        <f>VLOOKUP(Observaciones[[#This Row],[Caso de Prueba]],CasoPrueba[[Código CP]:[Descripción Caso de Prueba]],3,0)</f>
        <v>Arquitectura de Procesos</v>
      </c>
      <c r="D447" s="34" t="str">
        <f>VLOOKUP(Observaciones[Caso de Prueba],CasoPrueba[[#All],[Código CP]:[Prioridad]],7,TRUE)</f>
        <v>Alta</v>
      </c>
      <c r="E447" s="34" t="s">
        <v>29</v>
      </c>
      <c r="F447" s="34" t="s">
        <v>49</v>
      </c>
      <c r="G447" s="73">
        <v>40853</v>
      </c>
      <c r="H447" s="73">
        <v>40855</v>
      </c>
      <c r="I447" s="94" t="s">
        <v>132</v>
      </c>
      <c r="J447" s="34" t="s">
        <v>1304</v>
      </c>
      <c r="K447" s="34" t="s">
        <v>1318</v>
      </c>
      <c r="L447" s="34">
        <f>IF((Observaciones[[#This Row],[Fecha Levantamiento]]-Observaciones[[#This Row],[Fecha Detección]])&gt;=0,Observaciones[[#This Row],[Fecha Levantamiento]]-Observaciones[[#This Row],[Fecha Detección]]+1,0)</f>
        <v>3</v>
      </c>
      <c r="M447" s="34" t="str">
        <f>LOOKUP(Observaciones[[#This Row],[Caso de Prueba]],CasoPrueba[Código CP],CasoPrueba[Código de REQ])</f>
        <v>INSPECCIÓN</v>
      </c>
    </row>
    <row r="448" spans="1:13" ht="30" hidden="1">
      <c r="A448" s="164" t="s">
        <v>1324</v>
      </c>
      <c r="B448" s="34" t="s">
        <v>1182</v>
      </c>
      <c r="C448" s="34" t="str">
        <f>VLOOKUP(Observaciones[[#This Row],[Caso de Prueba]],CasoPrueba[[Código CP]:[Descripción Caso de Prueba]],3,0)</f>
        <v>Arquitectura de Procesos</v>
      </c>
      <c r="D448" s="164" t="str">
        <f>VLOOKUP(Observaciones[Caso de Prueba],CasoPrueba[[#All],[Código CP]:[Prioridad]],7,TRUE)</f>
        <v>Alta</v>
      </c>
      <c r="E448" s="34" t="s">
        <v>29</v>
      </c>
      <c r="F448" s="34" t="s">
        <v>49</v>
      </c>
      <c r="G448" s="73">
        <v>40856</v>
      </c>
      <c r="H448" s="73">
        <v>40826</v>
      </c>
      <c r="I448" s="94" t="s">
        <v>132</v>
      </c>
      <c r="J448" s="34" t="s">
        <v>1325</v>
      </c>
      <c r="K448" s="164" t="s">
        <v>1337</v>
      </c>
      <c r="L448" s="164">
        <f>IF((Observaciones[[#This Row],[Fecha Levantamiento]]-Observaciones[[#This Row],[Fecha Detección]])&gt;=0,Observaciones[[#This Row],[Fecha Levantamiento]]-Observaciones[[#This Row],[Fecha Detección]]+1,0)</f>
        <v>0</v>
      </c>
      <c r="M448" s="164" t="str">
        <f>LOOKUP(Observaciones[[#This Row],[Caso de Prueba]],CasoPrueba[Código CP],CasoPrueba[Código de REQ])</f>
        <v>INSPECCIÓN</v>
      </c>
    </row>
    <row r="449" spans="1:13" ht="45" hidden="1">
      <c r="A449" s="164" t="s">
        <v>1326</v>
      </c>
      <c r="B449" s="34" t="s">
        <v>1182</v>
      </c>
      <c r="C449" s="34" t="str">
        <f>VLOOKUP(Observaciones[[#This Row],[Caso de Prueba]],CasoPrueba[[Código CP]:[Descripción Caso de Prueba]],3,0)</f>
        <v>Arquitectura de Procesos</v>
      </c>
      <c r="D449" s="164" t="str">
        <f>VLOOKUP(Observaciones[Caso de Prueba],CasoPrueba[[#All],[Código CP]:[Prioridad]],7,TRUE)</f>
        <v>Alta</v>
      </c>
      <c r="E449" s="164" t="s">
        <v>162</v>
      </c>
      <c r="F449" s="34" t="s">
        <v>49</v>
      </c>
      <c r="G449" s="73">
        <v>40856</v>
      </c>
      <c r="H449" s="73">
        <v>40826</v>
      </c>
      <c r="I449" s="94" t="s">
        <v>132</v>
      </c>
      <c r="J449" s="164" t="s">
        <v>1327</v>
      </c>
      <c r="K449" s="164" t="s">
        <v>1336</v>
      </c>
      <c r="L449" s="164">
        <f>IF((Observaciones[[#This Row],[Fecha Levantamiento]]-Observaciones[[#This Row],[Fecha Detección]])&gt;=0,Observaciones[[#This Row],[Fecha Levantamiento]]-Observaciones[[#This Row],[Fecha Detección]]+1,0)</f>
        <v>0</v>
      </c>
      <c r="M449" s="164" t="str">
        <f>LOOKUP(Observaciones[[#This Row],[Caso de Prueba]],CasoPrueba[Código CP],CasoPrueba[Código de REQ])</f>
        <v>INSPECCIÓN</v>
      </c>
    </row>
    <row r="450" spans="1:13" ht="30" hidden="1">
      <c r="A450" s="164" t="s">
        <v>1328</v>
      </c>
      <c r="B450" s="34" t="s">
        <v>1182</v>
      </c>
      <c r="C450" s="34" t="str">
        <f>VLOOKUP(Observaciones[[#This Row],[Caso de Prueba]],CasoPrueba[[Código CP]:[Descripción Caso de Prueba]],3,0)</f>
        <v>Arquitectura de Procesos</v>
      </c>
      <c r="D450" s="164" t="str">
        <f>VLOOKUP(Observaciones[Caso de Prueba],CasoPrueba[[#All],[Código CP]:[Prioridad]],7,TRUE)</f>
        <v>Alta</v>
      </c>
      <c r="E450" s="164" t="s">
        <v>30</v>
      </c>
      <c r="F450" s="34" t="s">
        <v>49</v>
      </c>
      <c r="G450" s="73">
        <v>40856</v>
      </c>
      <c r="H450" s="73">
        <v>40826</v>
      </c>
      <c r="I450" s="94" t="s">
        <v>132</v>
      </c>
      <c r="J450" s="164" t="s">
        <v>1329</v>
      </c>
      <c r="K450" s="164" t="s">
        <v>1338</v>
      </c>
      <c r="L450" s="164">
        <f>IF((Observaciones[[#This Row],[Fecha Levantamiento]]-Observaciones[[#This Row],[Fecha Detección]])&gt;=0,Observaciones[[#This Row],[Fecha Levantamiento]]-Observaciones[[#This Row],[Fecha Detección]]+1,0)</f>
        <v>0</v>
      </c>
      <c r="M450" s="164" t="str">
        <f>LOOKUP(Observaciones[[#This Row],[Caso de Prueba]],CasoPrueba[Código CP],CasoPrueba[Código de REQ])</f>
        <v>INSPECCIÓN</v>
      </c>
    </row>
    <row r="451" spans="1:13" ht="45" hidden="1">
      <c r="A451" s="166" t="s">
        <v>1330</v>
      </c>
      <c r="B451" s="34" t="s">
        <v>1186</v>
      </c>
      <c r="C451" s="34" t="str">
        <f>VLOOKUP(Observaciones[[#This Row],[Caso de Prueba]],CasoPrueba[[Código CP]:[Descripción Caso de Prueba]],3,0)</f>
        <v>RAM (Matriz de Asignación de Responsabilidades)</v>
      </c>
      <c r="D451" s="34" t="str">
        <f>VLOOKUP(Observaciones[Caso de Prueba],CasoPrueba[[#All],[Código CP]:[Prioridad]],7,TRUE)</f>
        <v>Alta</v>
      </c>
      <c r="E451" s="34" t="s">
        <v>29</v>
      </c>
      <c r="F451" s="34" t="s">
        <v>49</v>
      </c>
      <c r="G451" s="73">
        <v>40856</v>
      </c>
      <c r="H451" s="73">
        <v>40827</v>
      </c>
      <c r="I451" s="94" t="s">
        <v>132</v>
      </c>
      <c r="J451" s="34" t="s">
        <v>1332</v>
      </c>
      <c r="K451" s="34" t="s">
        <v>1339</v>
      </c>
      <c r="L451" s="34">
        <f>IF((Observaciones[[#This Row],[Fecha Levantamiento]]-Observaciones[[#This Row],[Fecha Detección]])&gt;=0,Observaciones[[#This Row],[Fecha Levantamiento]]-Observaciones[[#This Row],[Fecha Detección]]+1,0)</f>
        <v>0</v>
      </c>
      <c r="M451" s="34" t="str">
        <f>LOOKUP(Observaciones[[#This Row],[Caso de Prueba]],CasoPrueba[Código CP],CasoPrueba[Código de REQ])</f>
        <v>INSPECCIÓN</v>
      </c>
    </row>
    <row r="452" spans="1:13" hidden="1">
      <c r="A452" s="164" t="s">
        <v>1331</v>
      </c>
      <c r="B452" s="34" t="s">
        <v>1186</v>
      </c>
      <c r="C452" s="34" t="str">
        <f>VLOOKUP(Observaciones[[#This Row],[Caso de Prueba]],CasoPrueba[[Código CP]:[Descripción Caso de Prueba]],3,0)</f>
        <v>RAM (Matriz de Asignación de Responsabilidades)</v>
      </c>
      <c r="D452" s="34" t="str">
        <f>VLOOKUP(Observaciones[Caso de Prueba],CasoPrueba[[#All],[Código CP]:[Prioridad]],7,TRUE)</f>
        <v>Alta</v>
      </c>
      <c r="E452" s="34" t="s">
        <v>29</v>
      </c>
      <c r="F452" s="34" t="s">
        <v>49</v>
      </c>
      <c r="G452" s="73">
        <v>40856</v>
      </c>
      <c r="H452" s="73">
        <v>40827</v>
      </c>
      <c r="I452" s="94" t="s">
        <v>132</v>
      </c>
      <c r="J452" s="34" t="s">
        <v>1333</v>
      </c>
      <c r="K452" s="34" t="s">
        <v>987</v>
      </c>
      <c r="L452" s="34">
        <f>IF((Observaciones[[#This Row],[Fecha Levantamiento]]-Observaciones[[#This Row],[Fecha Detección]])&gt;=0,Observaciones[[#This Row],[Fecha Levantamiento]]-Observaciones[[#This Row],[Fecha Detección]]+1,0)</f>
        <v>0</v>
      </c>
      <c r="M452" s="34" t="str">
        <f>LOOKUP(Observaciones[[#This Row],[Caso de Prueba]],CasoPrueba[Código CP],CasoPrueba[Código de REQ])</f>
        <v>INSPECCIÓN</v>
      </c>
    </row>
    <row r="453" spans="1:13" ht="45">
      <c r="A453" s="166" t="s">
        <v>1340</v>
      </c>
      <c r="B453" s="34" t="s">
        <v>88</v>
      </c>
      <c r="C453" s="34" t="str">
        <f>VLOOKUP(Observaciones[[#This Row],[Caso de Prueba]],CasoPrueba[[Código CP]:[Descripción Caso de Prueba]],3,0)</f>
        <v>MacroProceso - Gestión de Recursos Humanos</v>
      </c>
      <c r="D453" s="34" t="str">
        <f>VLOOKUP(Observaciones[Caso de Prueba],CasoPrueba[[#All],[Código CP]:[Prioridad]],7,TRUE)</f>
        <v>Alta</v>
      </c>
      <c r="E453" s="34" t="s">
        <v>29</v>
      </c>
      <c r="F453" s="34" t="s">
        <v>47</v>
      </c>
      <c r="G453" s="73">
        <v>40860</v>
      </c>
      <c r="I453" s="94" t="s">
        <v>132</v>
      </c>
      <c r="J453" s="34" t="s">
        <v>1349</v>
      </c>
      <c r="K453" s="34" t="s">
        <v>1372</v>
      </c>
      <c r="L453" s="34">
        <f>IF((Observaciones[[#This Row],[Fecha Levantamiento]]-Observaciones[[#This Row],[Fecha Detección]])&gt;=0,Observaciones[[#This Row],[Fecha Levantamiento]]-Observaciones[[#This Row],[Fecha Detección]]+1,0)</f>
        <v>0</v>
      </c>
      <c r="M453" s="34" t="str">
        <f>LOOKUP(Observaciones[[#This Row],[Caso de Prueba]],CasoPrueba[Código CP],CasoPrueba[Código de REQ])</f>
        <v>INSPECCIÓN</v>
      </c>
    </row>
    <row r="454" spans="1:13">
      <c r="A454" s="166" t="s">
        <v>1341</v>
      </c>
      <c r="B454" s="34" t="s">
        <v>151</v>
      </c>
      <c r="C454" s="34" t="str">
        <f>VLOOKUP(Observaciones[[#This Row],[Caso de Prueba]],CasoPrueba[[Código CP]:[Descripción Caso de Prueba]],3,0)</f>
        <v>Proceso - Capacitación de Personal</v>
      </c>
      <c r="D454" s="34" t="str">
        <f>VLOOKUP(Observaciones[Caso de Prueba],CasoPrueba[[#All],[Código CP]:[Prioridad]],7,TRUE)</f>
        <v>Alta</v>
      </c>
      <c r="E454" s="34" t="s">
        <v>29</v>
      </c>
      <c r="F454" s="34" t="s">
        <v>47</v>
      </c>
      <c r="G454" s="73">
        <v>40860</v>
      </c>
      <c r="I454" s="94" t="s">
        <v>132</v>
      </c>
      <c r="J454" s="34" t="s">
        <v>250</v>
      </c>
      <c r="K454" s="34" t="s">
        <v>1379</v>
      </c>
      <c r="L454" s="34">
        <f>IF((Observaciones[[#This Row],[Fecha Levantamiento]]-Observaciones[[#This Row],[Fecha Detección]])&gt;=0,Observaciones[[#This Row],[Fecha Levantamiento]]-Observaciones[[#This Row],[Fecha Detección]]+1,0)</f>
        <v>0</v>
      </c>
      <c r="M454" s="34" t="str">
        <f>LOOKUP(Observaciones[[#This Row],[Caso de Prueba]],CasoPrueba[Código CP],CasoPrueba[Código de REQ])</f>
        <v>INSPECCIÓN</v>
      </c>
    </row>
    <row r="455" spans="1:13" ht="45" customHeight="1">
      <c r="A455" s="166" t="s">
        <v>1342</v>
      </c>
      <c r="B455" s="34" t="s">
        <v>152</v>
      </c>
      <c r="C455" s="34" t="str">
        <f>VLOOKUP(Observaciones[[#This Row],[Caso de Prueba]],CasoPrueba[[Código CP]:[Descripción Caso de Prueba]],3,0)</f>
        <v>Proceso - Contratación e Inducción</v>
      </c>
      <c r="D455" s="34" t="str">
        <f>VLOOKUP(Observaciones[Caso de Prueba],CasoPrueba[[#All],[Código CP]:[Prioridad]],7,TRUE)</f>
        <v>Alta</v>
      </c>
      <c r="E455" s="34" t="s">
        <v>30</v>
      </c>
      <c r="F455" s="34" t="s">
        <v>47</v>
      </c>
      <c r="G455" s="73">
        <v>40860</v>
      </c>
      <c r="I455" s="94" t="s">
        <v>132</v>
      </c>
      <c r="J455" s="34" t="s">
        <v>1350</v>
      </c>
      <c r="K455" s="34" t="s">
        <v>1373</v>
      </c>
      <c r="L455" s="34">
        <f>IF((Observaciones[[#This Row],[Fecha Levantamiento]]-Observaciones[[#This Row],[Fecha Detección]])&gt;=0,Observaciones[[#This Row],[Fecha Levantamiento]]-Observaciones[[#This Row],[Fecha Detección]]+1,0)</f>
        <v>0</v>
      </c>
      <c r="M455" s="34" t="str">
        <f>LOOKUP(Observaciones[[#This Row],[Caso de Prueba]],CasoPrueba[Código CP],CasoPrueba[Código de REQ])</f>
        <v>INSPECCIÓN</v>
      </c>
    </row>
    <row r="456" spans="1:13" ht="45">
      <c r="A456" s="166" t="s">
        <v>1343</v>
      </c>
      <c r="B456" s="34" t="s">
        <v>154</v>
      </c>
      <c r="C456" s="34" t="str">
        <f>VLOOKUP(Observaciones[[#This Row],[Caso de Prueba]],CasoPrueba[[Código CP]:[Descripción Caso de Prueba]],3,0)</f>
        <v>Proceso - Evaluación de Postulantes</v>
      </c>
      <c r="D456" s="34" t="str">
        <f>VLOOKUP(Observaciones[Caso de Prueba],CasoPrueba[[#All],[Código CP]:[Prioridad]],7,TRUE)</f>
        <v>Alta</v>
      </c>
      <c r="E456" s="34" t="s">
        <v>30</v>
      </c>
      <c r="F456" s="34" t="s">
        <v>47</v>
      </c>
      <c r="G456" s="73">
        <v>40860</v>
      </c>
      <c r="I456" s="94" t="s">
        <v>132</v>
      </c>
      <c r="J456" s="34" t="s">
        <v>1351</v>
      </c>
      <c r="K456" s="34" t="s">
        <v>1374</v>
      </c>
      <c r="L456" s="34">
        <f>IF((Observaciones[[#This Row],[Fecha Levantamiento]]-Observaciones[[#This Row],[Fecha Detección]])&gt;=0,Observaciones[[#This Row],[Fecha Levantamiento]]-Observaciones[[#This Row],[Fecha Detección]]+1,0)</f>
        <v>0</v>
      </c>
      <c r="M456" s="34" t="str">
        <f>LOOKUP(Observaciones[[#This Row],[Caso de Prueba]],CasoPrueba[Código CP],CasoPrueba[Código de REQ])</f>
        <v>INSPECCIÓN</v>
      </c>
    </row>
    <row r="457" spans="1:13" ht="30">
      <c r="A457" s="166" t="s">
        <v>1344</v>
      </c>
      <c r="B457" s="34" t="s">
        <v>158</v>
      </c>
      <c r="C457" s="34" t="str">
        <f>VLOOKUP(Observaciones[[#This Row],[Caso de Prueba]],CasoPrueba[[Código CP]:[Descripción Caso de Prueba]],3,0)</f>
        <v>Proceso - Solicitud de Fondos de Viaje</v>
      </c>
      <c r="D457" s="34" t="str">
        <f>VLOOKUP(Observaciones[Caso de Prueba],CasoPrueba[[#All],[Código CP]:[Prioridad]],7,TRUE)</f>
        <v>Alta</v>
      </c>
      <c r="E457" s="34" t="s">
        <v>28</v>
      </c>
      <c r="F457" s="34" t="s">
        <v>47</v>
      </c>
      <c r="G457" s="73">
        <v>40860</v>
      </c>
      <c r="I457" s="94" t="s">
        <v>132</v>
      </c>
      <c r="J457" s="34" t="s">
        <v>1352</v>
      </c>
      <c r="K457" s="34" t="s">
        <v>1375</v>
      </c>
      <c r="L457" s="34">
        <f>IF((Observaciones[[#This Row],[Fecha Levantamiento]]-Observaciones[[#This Row],[Fecha Detección]])&gt;=0,Observaciones[[#This Row],[Fecha Levantamiento]]-Observaciones[[#This Row],[Fecha Detección]]+1,0)</f>
        <v>0</v>
      </c>
      <c r="M457" s="34" t="str">
        <f>LOOKUP(Observaciones[[#This Row],[Caso de Prueba]],CasoPrueba[Código CP],CasoPrueba[Código de REQ])</f>
        <v>INSPECCIÓN</v>
      </c>
    </row>
    <row r="458" spans="1:13" ht="60">
      <c r="A458" s="164" t="s">
        <v>1345</v>
      </c>
      <c r="B458" s="34" t="s">
        <v>171</v>
      </c>
      <c r="C458" s="34" t="str">
        <f>VLOOKUP(Observaciones[[#This Row],[Caso de Prueba]],CasoPrueba[[Código CP]:[Descripción Caso de Prueba]],3,0)</f>
        <v>Proceso - Solicitud de Personal</v>
      </c>
      <c r="D458" s="34" t="str">
        <f>VLOOKUP(Observaciones[Caso de Prueba],CasoPrueba[[#All],[Código CP]:[Prioridad]],7,TRUE)</f>
        <v>Alta</v>
      </c>
      <c r="E458" s="34" t="s">
        <v>30</v>
      </c>
      <c r="F458" s="34" t="s">
        <v>47</v>
      </c>
      <c r="G458" s="73">
        <v>40860</v>
      </c>
      <c r="I458" s="94" t="s">
        <v>132</v>
      </c>
      <c r="J458" s="34" t="s">
        <v>1353</v>
      </c>
      <c r="K458" s="34" t="s">
        <v>1376</v>
      </c>
      <c r="L458" s="34">
        <f>IF((Observaciones[[#This Row],[Fecha Levantamiento]]-Observaciones[[#This Row],[Fecha Detección]])&gt;=0,Observaciones[[#This Row],[Fecha Levantamiento]]-Observaciones[[#This Row],[Fecha Detección]]+1,0)</f>
        <v>0</v>
      </c>
      <c r="M458" s="34" t="str">
        <f>LOOKUP(Observaciones[[#This Row],[Caso de Prueba]],CasoPrueba[Código CP],CasoPrueba[Código de REQ])</f>
        <v>INSPECCIÓN</v>
      </c>
    </row>
    <row r="459" spans="1:13">
      <c r="A459" s="164" t="s">
        <v>1346</v>
      </c>
      <c r="B459" s="34" t="s">
        <v>176</v>
      </c>
      <c r="C459" s="34" t="str">
        <f>VLOOKUP(Observaciones[[#This Row],[Caso de Prueba]],CasoPrueba[[Código CP]:[Descripción Caso de Prueba]],3,0)</f>
        <v>Proceso - Seguimiento  a los Programas Educativos Rurales</v>
      </c>
      <c r="D459" s="34" t="str">
        <f>VLOOKUP(Observaciones[Caso de Prueba],CasoPrueba[[#All],[Código CP]:[Prioridad]],7,TRUE)</f>
        <v>Alta</v>
      </c>
      <c r="E459" s="34" t="s">
        <v>29</v>
      </c>
      <c r="F459" s="34" t="s">
        <v>47</v>
      </c>
      <c r="G459" s="73">
        <v>40860</v>
      </c>
      <c r="I459" s="94" t="s">
        <v>132</v>
      </c>
      <c r="J459" s="34" t="s">
        <v>1354</v>
      </c>
      <c r="K459" s="34" t="s">
        <v>1377</v>
      </c>
      <c r="L459" s="34">
        <f>IF((Observaciones[[#This Row],[Fecha Levantamiento]]-Observaciones[[#This Row],[Fecha Detección]])&gt;=0,Observaciones[[#This Row],[Fecha Levantamiento]]-Observaciones[[#This Row],[Fecha Detección]]+1,0)</f>
        <v>0</v>
      </c>
      <c r="M459" s="34" t="str">
        <f>LOOKUP(Observaciones[[#This Row],[Caso de Prueba]],CasoPrueba[Código CP],CasoPrueba[Código de REQ])</f>
        <v>INSPECCIÓN</v>
      </c>
    </row>
    <row r="460" spans="1:13" ht="90">
      <c r="A460" s="164" t="s">
        <v>1347</v>
      </c>
      <c r="B460" s="34" t="s">
        <v>176</v>
      </c>
      <c r="C460" s="34" t="str">
        <f>VLOOKUP(Observaciones[[#This Row],[Caso de Prueba]],CasoPrueba[[Código CP]:[Descripción Caso de Prueba]],3,0)</f>
        <v>Proceso - Seguimiento  a los Programas Educativos Rurales</v>
      </c>
      <c r="D460" s="34" t="str">
        <f>VLOOKUP(Observaciones[Caso de Prueba],CasoPrueba[[#All],[Código CP]:[Prioridad]],7,TRUE)</f>
        <v>Alta</v>
      </c>
      <c r="E460" s="34" t="s">
        <v>30</v>
      </c>
      <c r="F460" s="34" t="s">
        <v>47</v>
      </c>
      <c r="G460" s="73">
        <v>40860</v>
      </c>
      <c r="I460" s="94" t="s">
        <v>132</v>
      </c>
      <c r="J460" s="34" t="s">
        <v>1355</v>
      </c>
      <c r="K460" s="34" t="s">
        <v>1378</v>
      </c>
      <c r="L460" s="34">
        <f>IF((Observaciones[[#This Row],[Fecha Levantamiento]]-Observaciones[[#This Row],[Fecha Detección]])&gt;=0,Observaciones[[#This Row],[Fecha Levantamiento]]-Observaciones[[#This Row],[Fecha Detección]]+1,0)</f>
        <v>0</v>
      </c>
      <c r="M460" s="34" t="str">
        <f>LOOKUP(Observaciones[[#This Row],[Caso de Prueba]],CasoPrueba[Código CP],CasoPrueba[Código de REQ])</f>
        <v>INSPECCIÓN</v>
      </c>
    </row>
    <row r="461" spans="1:13" ht="45">
      <c r="A461" s="204" t="s">
        <v>1348</v>
      </c>
      <c r="B461" s="205" t="s">
        <v>489</v>
      </c>
      <c r="C461" s="205" t="str">
        <f>VLOOKUP(Observaciones[[#This Row],[Caso de Prueba]],CasoPrueba[[Código CP]:[Descripción Caso de Prueba]],3,0)</f>
        <v>PROCESO - Planificación del Departamento de Proyectos</v>
      </c>
      <c r="D461" s="205" t="str">
        <f>VLOOKUP(Observaciones[Caso de Prueba],CasoPrueba[[#All],[Código CP]:[Prioridad]],7,TRUE)</f>
        <v>Alta</v>
      </c>
      <c r="E461" s="205" t="s">
        <v>29</v>
      </c>
      <c r="F461" s="205" t="s">
        <v>47</v>
      </c>
      <c r="G461" s="206">
        <v>40860</v>
      </c>
      <c r="H461" s="206"/>
      <c r="I461" s="207" t="s">
        <v>132</v>
      </c>
      <c r="J461" s="205" t="s">
        <v>1349</v>
      </c>
      <c r="K461" s="205" t="s">
        <v>1372</v>
      </c>
      <c r="L461" s="205">
        <f>IF((Observaciones[[#This Row],[Fecha Levantamiento]]-Observaciones[[#This Row],[Fecha Detección]])&gt;=0,Observaciones[[#This Row],[Fecha Levantamiento]]-Observaciones[[#This Row],[Fecha Detección]]+1,0)</f>
        <v>0</v>
      </c>
      <c r="M461" s="205" t="str">
        <f>LOOKUP(Observaciones[[#This Row],[Caso de Prueba]],CasoPrueba[Código CP],CasoPrueba[Código de REQ])</f>
        <v>INSPECCIÓN</v>
      </c>
    </row>
    <row r="462" spans="1:13" ht="30">
      <c r="A462" s="204" t="s">
        <v>1363</v>
      </c>
      <c r="B462" s="205" t="s">
        <v>616</v>
      </c>
      <c r="C462" s="205" t="str">
        <f>VLOOKUP(Observaciones[[#This Row],[Caso de Prueba]],CasoPrueba[[Código CP]:[Descripción Caso de Prueba]],3,0)</f>
        <v>Proceso - Elaboración de Campaña Publicitaria de Imagen Institucional</v>
      </c>
      <c r="D462" s="205" t="str">
        <f>VLOOKUP(Observaciones[Caso de Prueba],CasoPrueba[[#All],[Código CP]:[Prioridad]],7,TRUE)</f>
        <v>Alta</v>
      </c>
      <c r="E462" s="205" t="s">
        <v>28</v>
      </c>
      <c r="F462" s="205" t="s">
        <v>47</v>
      </c>
      <c r="G462" s="206">
        <v>40860</v>
      </c>
      <c r="H462" s="206"/>
      <c r="I462" s="207" t="s">
        <v>132</v>
      </c>
      <c r="J462" s="205" t="s">
        <v>1352</v>
      </c>
      <c r="K462" s="205" t="s">
        <v>1375</v>
      </c>
      <c r="L462" s="205">
        <f>IF((Observaciones[[#This Row],[Fecha Levantamiento]]-Observaciones[[#This Row],[Fecha Detección]])&gt;=0,Observaciones[[#This Row],[Fecha Levantamiento]]-Observaciones[[#This Row],[Fecha Detección]]+1,0)</f>
        <v>0</v>
      </c>
      <c r="M462" s="205" t="str">
        <f>LOOKUP(Observaciones[[#This Row],[Caso de Prueba]],CasoPrueba[Código CP],CasoPrueba[Código de REQ])</f>
        <v>INSPECCIÓN</v>
      </c>
    </row>
    <row r="463" spans="1:13" ht="45">
      <c r="A463" s="204" t="s">
        <v>1364</v>
      </c>
      <c r="B463" s="205" t="s">
        <v>619</v>
      </c>
      <c r="C463" s="205" t="str">
        <f>VLOOKUP(Observaciones[[#This Row],[Caso de Prueba]],CasoPrueba[[Código CP]:[Descripción Caso de Prueba]],3,0)</f>
        <v>Proceso - Recepción de Donaciones</v>
      </c>
      <c r="D463" s="205" t="str">
        <f>VLOOKUP(Observaciones[Caso de Prueba],CasoPrueba[[#All],[Código CP]:[Prioridad]],7,TRUE)</f>
        <v>Alta</v>
      </c>
      <c r="E463" s="205" t="s">
        <v>29</v>
      </c>
      <c r="F463" s="205" t="s">
        <v>47</v>
      </c>
      <c r="G463" s="206">
        <v>40860</v>
      </c>
      <c r="H463" s="206"/>
      <c r="I463" s="207" t="s">
        <v>132</v>
      </c>
      <c r="J463" s="205" t="s">
        <v>1349</v>
      </c>
      <c r="K463" s="205" t="s">
        <v>1372</v>
      </c>
      <c r="L463" s="205">
        <f>IF((Observaciones[[#This Row],[Fecha Levantamiento]]-Observaciones[[#This Row],[Fecha Detección]])&gt;=0,Observaciones[[#This Row],[Fecha Levantamiento]]-Observaciones[[#This Row],[Fecha Detección]]+1,0)</f>
        <v>0</v>
      </c>
      <c r="M463" s="205" t="str">
        <f>LOOKUP(Observaciones[[#This Row],[Caso de Prueba]],CasoPrueba[Código CP],CasoPrueba[Código de REQ])</f>
        <v>INSPECCIÓN</v>
      </c>
    </row>
    <row r="464" spans="1:13" ht="45">
      <c r="A464" s="164" t="s">
        <v>1365</v>
      </c>
      <c r="B464" s="34" t="s">
        <v>653</v>
      </c>
      <c r="C464" s="34" t="str">
        <f>VLOOKUP(Observaciones[[#This Row],[Caso de Prueba]],CasoPrueba[[Código CP]:[Descripción Caso de Prueba]],3,0)</f>
        <v>MacroProceso - Gestión de Abastecimiento</v>
      </c>
      <c r="D464" s="34" t="str">
        <f>VLOOKUP(Observaciones[Caso de Prueba],CasoPrueba[[#All],[Código CP]:[Prioridad]],7,TRUE)</f>
        <v>Alta</v>
      </c>
      <c r="E464" s="34" t="s">
        <v>29</v>
      </c>
      <c r="F464" s="34" t="s">
        <v>47</v>
      </c>
      <c r="G464" s="73">
        <v>40860</v>
      </c>
      <c r="I464" s="94" t="s">
        <v>132</v>
      </c>
      <c r="J464" s="34" t="s">
        <v>1349</v>
      </c>
      <c r="K464" s="34" t="s">
        <v>1372</v>
      </c>
      <c r="L464" s="34">
        <f>IF((Observaciones[[#This Row],[Fecha Levantamiento]]-Observaciones[[#This Row],[Fecha Detección]])&gt;=0,Observaciones[[#This Row],[Fecha Levantamiento]]-Observaciones[[#This Row],[Fecha Detección]]+1,0)</f>
        <v>0</v>
      </c>
      <c r="M464" s="34" t="str">
        <f>LOOKUP(Observaciones[[#This Row],[Caso de Prueba]],CasoPrueba[Código CP],CasoPrueba[Código de REQ])</f>
        <v>INSPECCIÓN</v>
      </c>
    </row>
    <row r="465" spans="1:13" ht="45">
      <c r="A465" s="166" t="s">
        <v>1366</v>
      </c>
      <c r="B465" s="34" t="s">
        <v>905</v>
      </c>
      <c r="C465" s="34" t="str">
        <f>VLOOKUP(Observaciones[[#This Row],[Caso de Prueba]],CasoPrueba[[Código CP]:[Descripción Caso de Prueba]],3,0)</f>
        <v>PROCESO - Seguimiento Presupuestal</v>
      </c>
      <c r="D465" s="34" t="str">
        <f>VLOOKUP(Observaciones[Caso de Prueba],CasoPrueba[[#All],[Código CP]:[Prioridad]],7,TRUE)</f>
        <v>Alta</v>
      </c>
      <c r="E465" s="34" t="s">
        <v>29</v>
      </c>
      <c r="F465" s="34" t="s">
        <v>47</v>
      </c>
      <c r="G465" s="73">
        <v>40860</v>
      </c>
      <c r="I465" s="94" t="s">
        <v>132</v>
      </c>
      <c r="J465" s="34" t="s">
        <v>1349</v>
      </c>
      <c r="K465" s="34" t="s">
        <v>1372</v>
      </c>
      <c r="L465" s="34">
        <f>IF((Observaciones[[#This Row],[Fecha Levantamiento]]-Observaciones[[#This Row],[Fecha Detección]])&gt;=0,Observaciones[[#This Row],[Fecha Levantamiento]]-Observaciones[[#This Row],[Fecha Detección]]+1,0)</f>
        <v>0</v>
      </c>
      <c r="M465" s="34" t="str">
        <f>LOOKUP(Observaciones[[#This Row],[Caso de Prueba]],CasoPrueba[Código CP],CasoPrueba[Código de REQ])</f>
        <v>INSPECCIÓN</v>
      </c>
    </row>
  </sheetData>
  <mergeCells count="1">
    <mergeCell ref="A1:L1"/>
  </mergeCells>
  <dataValidations disablePrompts="1" count="1">
    <dataValidation type="list" allowBlank="1" showInputMessage="1" showErrorMessage="1" sqref="I3:I465">
      <formula1>$O$1:$O$2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2</xdr:col>
                    <xdr:colOff>2562225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Resumen!$P$22:$P$24</xm:f>
          </x14:formula1>
          <xm:sqref>F284 F280:F282 F278 F269:F276 F257:F267 F3:F238 F286:F292 F294:F298 F302:F304</xm:sqref>
        </x14:dataValidation>
        <x14:dataValidation type="list" allowBlank="1" showInputMessage="1" showErrorMessage="1">
          <x14:formula1>
            <xm:f>Resumen!$P$11:$P$14</xm:f>
          </x14:formula1>
          <xm:sqref>E150:E185 E280:E281 E269 E257:E258 E3:E148 E190:E191 E193:E215 E218:E238 E286 E294 E302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20"/>
  <sheetViews>
    <sheetView zoomScale="85" zoomScaleNormal="85" workbookViewId="0">
      <selection activeCell="O22" sqref="O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row r="17" spans="2:15">
      <c r="B17" s="69">
        <v>40854</v>
      </c>
      <c r="C17" s="40">
        <v>36</v>
      </c>
      <c r="D17" s="40">
        <v>1</v>
      </c>
      <c r="E17" s="40">
        <v>0</v>
      </c>
      <c r="F17" s="40">
        <v>0</v>
      </c>
      <c r="G17" s="40">
        <v>0</v>
      </c>
      <c r="H17" s="40">
        <v>0</v>
      </c>
      <c r="I17" s="40">
        <v>0</v>
      </c>
      <c r="J17" s="42">
        <f>SUM(HistóricoEjecuciones[[#This Row],[Aciertos]:[En Proceso]])</f>
        <v>37</v>
      </c>
      <c r="L17" s="69">
        <v>40854</v>
      </c>
      <c r="M17" s="40">
        <v>20</v>
      </c>
      <c r="N17" s="40">
        <v>425</v>
      </c>
      <c r="O17" s="70">
        <f>SUM(HistoricoIncidencias[[#This Row],[Abiertas]:[Cerradas]])</f>
        <v>445</v>
      </c>
    </row>
    <row r="18" spans="2:15">
      <c r="B18" s="69">
        <v>40856</v>
      </c>
      <c r="C18" s="40">
        <v>35</v>
      </c>
      <c r="D18" s="40">
        <v>2</v>
      </c>
      <c r="E18" s="40">
        <v>0</v>
      </c>
      <c r="F18" s="40">
        <v>0</v>
      </c>
      <c r="G18" s="40">
        <v>0</v>
      </c>
      <c r="H18" s="40">
        <v>0</v>
      </c>
      <c r="I18" s="40">
        <v>0</v>
      </c>
      <c r="J18" s="42">
        <f>SUM(HistóricoEjecuciones[[#This Row],[Aciertos]:[En Proceso]])</f>
        <v>37</v>
      </c>
      <c r="L18" s="69">
        <v>40856</v>
      </c>
      <c r="M18" s="40">
        <v>5</v>
      </c>
      <c r="N18" s="40">
        <v>445</v>
      </c>
      <c r="O18" s="70">
        <f>SUM(HistoricoIncidencias[[#This Row],[Abiertas]:[Cerradas]])</f>
        <v>450</v>
      </c>
    </row>
    <row r="19" spans="2:15">
      <c r="B19" s="69">
        <v>40858</v>
      </c>
      <c r="C19" s="40">
        <v>37</v>
      </c>
      <c r="D19" s="40">
        <v>0</v>
      </c>
      <c r="E19" s="40">
        <v>0</v>
      </c>
      <c r="F19" s="40">
        <v>0</v>
      </c>
      <c r="G19" s="40">
        <v>0</v>
      </c>
      <c r="H19" s="40">
        <v>0</v>
      </c>
      <c r="I19" s="40">
        <v>0</v>
      </c>
      <c r="J19" s="42">
        <f>SUM(HistóricoEjecuciones[[#This Row],[Aciertos]:[En Proceso]])</f>
        <v>37</v>
      </c>
      <c r="L19" s="69">
        <v>40858</v>
      </c>
      <c r="M19" s="40">
        <v>0</v>
      </c>
      <c r="N19" s="40">
        <v>450</v>
      </c>
      <c r="O19" s="70">
        <f>SUM(HistoricoIncidencias[[#This Row],[Abiertas]:[Cerradas]])</f>
        <v>450</v>
      </c>
    </row>
    <row r="20" spans="2:15">
      <c r="B20" s="69">
        <v>40860</v>
      </c>
      <c r="C20" s="40">
        <v>25</v>
      </c>
      <c r="D20" s="40">
        <v>12</v>
      </c>
      <c r="E20" s="40">
        <v>0</v>
      </c>
      <c r="F20" s="40">
        <v>0</v>
      </c>
      <c r="G20" s="40">
        <v>0</v>
      </c>
      <c r="H20" s="40">
        <v>0</v>
      </c>
      <c r="I20" s="40">
        <v>0</v>
      </c>
      <c r="J20" s="42">
        <f>SUM(HistóricoEjecuciones[[#This Row],[Aciertos]:[En Proceso]])</f>
        <v>37</v>
      </c>
      <c r="L20" s="69">
        <v>40860</v>
      </c>
      <c r="M20" s="40">
        <v>13</v>
      </c>
      <c r="N20" s="40">
        <v>450</v>
      </c>
      <c r="O20" s="70">
        <f>SUM(HistoricoIncidencias[[#This Row],[Abiertas]:[Cerradas]])</f>
        <v>463</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2011-11-17T21:05:29Z</dcterms:modified>
</cp:coreProperties>
</file>