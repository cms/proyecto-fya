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20" i="6" l="1"/>
  <c r="J20" i="6"/>
  <c r="C463" i="4"/>
  <c r="C464" i="4"/>
  <c r="C461" i="4"/>
  <c r="C465" i="4"/>
  <c r="K463" i="4"/>
  <c r="K464" i="4"/>
  <c r="K461" i="4"/>
  <c r="K465" i="4"/>
  <c r="L463" i="4"/>
  <c r="L464" i="4"/>
  <c r="L461" i="4"/>
  <c r="L465" i="4"/>
  <c r="C453" i="4"/>
  <c r="C454" i="4"/>
  <c r="C455" i="4"/>
  <c r="C456" i="4"/>
  <c r="C457" i="4"/>
  <c r="C458" i="4"/>
  <c r="C459" i="4"/>
  <c r="C460" i="4"/>
  <c r="C462" i="4"/>
  <c r="K453" i="4"/>
  <c r="K454" i="4"/>
  <c r="K455" i="4"/>
  <c r="K456" i="4"/>
  <c r="K457" i="4"/>
  <c r="K458" i="4"/>
  <c r="K459" i="4"/>
  <c r="K460" i="4"/>
  <c r="K462" i="4"/>
  <c r="L453" i="4"/>
  <c r="L454" i="4"/>
  <c r="L455" i="4"/>
  <c r="L456" i="4"/>
  <c r="L457" i="4"/>
  <c r="L458" i="4"/>
  <c r="L459" i="4"/>
  <c r="L460" i="4"/>
  <c r="L462" i="4"/>
  <c r="O19" i="6"/>
  <c r="J19" i="6"/>
  <c r="O18" i="6"/>
  <c r="J18" i="6"/>
  <c r="C451" i="4"/>
  <c r="C452" i="4"/>
  <c r="K451" i="4"/>
  <c r="K452" i="4"/>
  <c r="L451" i="4"/>
  <c r="L452" i="4"/>
  <c r="C450" i="4"/>
  <c r="K450" i="4"/>
  <c r="L450" i="4"/>
  <c r="C449" i="4"/>
  <c r="K449" i="4"/>
  <c r="L449" i="4"/>
  <c r="C448" i="4"/>
  <c r="K448" i="4"/>
  <c r="L448" i="4"/>
  <c r="O17" i="6"/>
  <c r="J17" i="6"/>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operador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I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 ref="I461" authorId="0">
      <text>
        <r>
          <rPr>
            <b/>
            <sz val="9"/>
            <color indexed="81"/>
            <rFont val="Tahoma"/>
            <family val="2"/>
          </rPr>
          <t>User:</t>
        </r>
        <r>
          <rPr>
            <sz val="9"/>
            <color indexed="81"/>
            <rFont val="Tahoma"/>
            <family val="2"/>
          </rPr>
          <t xml:space="preserve">
dicen q charo tmb ha puesto esta regla</t>
        </r>
      </text>
    </comment>
    <comment ref="I463" authorId="0">
      <text>
        <r>
          <rPr>
            <b/>
            <sz val="9"/>
            <color indexed="81"/>
            <rFont val="Tahoma"/>
            <family val="2"/>
          </rPr>
          <t>User:</t>
        </r>
        <r>
          <rPr>
            <sz val="9"/>
            <color indexed="81"/>
            <rFont val="Tahoma"/>
            <family val="2"/>
          </rPr>
          <t xml:space="preserve">
dicen q charo tmb ha puesto esta regla</t>
        </r>
      </text>
    </comment>
    <comment ref="I464" authorId="0">
      <text>
        <r>
          <rPr>
            <b/>
            <sz val="9"/>
            <color indexed="81"/>
            <rFont val="Tahoma"/>
            <family val="2"/>
          </rPr>
          <t>User:</t>
        </r>
        <r>
          <rPr>
            <sz val="9"/>
            <color indexed="81"/>
            <rFont val="Tahoma"/>
            <family val="2"/>
          </rPr>
          <t xml:space="preserve">
dicen q charo tmb ha puesto esta regla</t>
        </r>
      </text>
    </comment>
    <comment ref="I465" authorId="0">
      <text>
        <r>
          <rPr>
            <b/>
            <sz val="9"/>
            <color indexed="81"/>
            <rFont val="Tahoma"/>
            <family val="2"/>
          </rPr>
          <t>User:</t>
        </r>
        <r>
          <rPr>
            <sz val="9"/>
            <color indexed="81"/>
            <rFont val="Tahoma"/>
            <family val="2"/>
          </rPr>
          <t xml:space="preserve">
dicen q charo tmb ha puesto esta regla</t>
        </r>
      </text>
    </comment>
  </commentList>
</comments>
</file>

<file path=xl/sharedStrings.xml><?xml version="1.0" encoding="utf-8"?>
<sst xmlns="http://schemas.openxmlformats.org/spreadsheetml/2006/main" count="3800" uniqueCount="1380">
  <si>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</si>
  <si>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</si>
  <si>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</si>
  <si>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</si>
  <si>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</si>
  <si>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</si>
  <si>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</si>
  <si>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</si>
  <si>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</si>
  <si>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</si>
  <si>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</si>
  <si>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</si>
  <si>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</si>
  <si>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</si>
  <si>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</si>
  <si>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</si>
  <si>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</si>
  <si>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</si>
  <si>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</si>
  <si>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</si>
  <si>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</si>
  <si>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</si>
  <si>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</si>
  <si>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</si>
  <si>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</si>
  <si>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</si>
  <si>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</si>
  <si>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</si>
  <si>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</si>
  <si>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</si>
  <si>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</si>
  <si>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</si>
  <si>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</si>
  <si>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</si>
  <si>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</si>
  <si>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</si>
  <si>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</si>
  <si>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</si>
  <si>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</si>
  <si>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</si>
  <si>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</si>
  <si>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</si>
  <si>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</si>
  <si>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</si>
  <si>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</si>
  <si>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</si>
  <si>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</si>
  <si>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</si>
  <si>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</si>
  <si>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</si>
  <si>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</si>
  <si>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</si>
  <si>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</si>
  <si>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</si>
  <si>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</si>
  <si>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</si>
  <si>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</si>
  <si>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</si>
  <si>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</si>
  <si>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</si>
  <si>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</si>
  <si>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</si>
  <si>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</si>
  <si>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</si>
  <si>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</si>
  <si>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</si>
  <si>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</si>
  <si>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</si>
  <si>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</si>
  <si>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</si>
  <si>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</si>
  <si>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</si>
  <si>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</si>
  <si>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</si>
  <si>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</si>
  <si>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</si>
  <si>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</si>
  <si>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</si>
  <si>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</si>
  <si>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</si>
  <si>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</si>
  <si>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</si>
  <si>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</si>
  <si>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</si>
  <si>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</si>
  <si>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</si>
  <si>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</si>
  <si>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</si>
  <si>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</si>
  <si>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</si>
  <si>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</si>
  <si>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</si>
  <si>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</si>
  <si>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</si>
  <si>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</si>
  <si>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</si>
  <si>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</si>
  <si>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</si>
  <si>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</si>
  <si>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</si>
  <si>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</si>
  <si>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</si>
  <si>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</si>
  <si>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</si>
  <si>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</si>
  <si>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</si>
  <si>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</si>
  <si>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</si>
  <si>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</si>
  <si>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</si>
  <si>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</si>
  <si>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</si>
  <si>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</si>
  <si>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</si>
  <si>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</si>
  <si>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</si>
  <si>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</si>
  <si>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</si>
  <si>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</si>
  <si>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</si>
  <si>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</si>
  <si>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</si>
  <si>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</si>
  <si>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</si>
  <si>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</si>
  <si>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</si>
  <si>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</si>
  <si>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</si>
  <si>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</si>
  <si>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</si>
  <si>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</si>
  <si>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</si>
  <si>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</si>
  <si>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</si>
  <si>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</si>
  <si>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</si>
  <si>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</si>
  <si>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</si>
  <si>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</si>
  <si>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</si>
  <si>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</si>
  <si>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</si>
  <si>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</si>
  <si>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</si>
  <si>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</si>
  <si>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</si>
  <si>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</si>
  <si>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</si>
  <si>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</si>
  <si>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</si>
  <si>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</si>
  <si>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</si>
  <si>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</si>
  <si>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</si>
  <si>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</si>
  <si>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</si>
  <si>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</si>
  <si>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</si>
  <si>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</si>
  <si>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</si>
  <si>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</si>
  <si>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</si>
  <si>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</si>
  <si>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</si>
  <si>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</si>
  <si>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</si>
  <si>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</si>
  <si>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</si>
  <si>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</si>
  <si>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</si>
  <si>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</si>
  <si>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</si>
  <si>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</si>
  <si>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</si>
  <si>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</si>
  <si>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</si>
  <si>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</si>
  <si>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</si>
  <si>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</si>
  <si>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</si>
  <si>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</si>
  <si>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</si>
  <si>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</si>
  <si>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</si>
  <si>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</si>
  <si>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</si>
  <si>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</si>
  <si>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</si>
  <si>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</si>
  <si>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</si>
  <si>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</si>
  <si>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</si>
  <si>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</si>
  <si>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</si>
  <si>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</si>
  <si>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</si>
  <si>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</si>
  <si>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</si>
  <si>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</si>
  <si>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</si>
  <si>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</si>
  <si>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</si>
  <si>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</si>
  <si>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</si>
  <si>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</si>
  <si>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</si>
  <si>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</si>
  <si>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</si>
  <si>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</si>
  <si>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</si>
  <si>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</si>
  <si>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</si>
  <si>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</si>
  <si>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</si>
  <si>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</si>
  <si>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</si>
  <si>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</si>
  <si>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</si>
  <si>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</si>
  <si>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</si>
  <si>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</si>
  <si>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</si>
  <si>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</si>
  <si>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</si>
  <si>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</si>
  <si>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</si>
  <si>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</si>
  <si>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</si>
  <si>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</si>
  <si>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</si>
  <si>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</si>
  <si>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</si>
  <si>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</si>
  <si>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</si>
  <si>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</si>
  <si>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</si>
  <si>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</si>
  <si>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</si>
  <si>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</si>
  <si>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</si>
  <si>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</si>
  <si>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</si>
  <si>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</si>
  <si>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</si>
  <si>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</si>
  <si>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</si>
  <si>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</si>
  <si>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</si>
  <si>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</si>
  <si>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</si>
  <si>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</si>
  <si>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</si>
  <si>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</si>
  <si>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</si>
  <si>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</si>
  <si>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</si>
  <si>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</si>
  <si>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</si>
  <si>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</si>
  <si>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</si>
  <si>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</si>
  <si>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</si>
  <si>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</si>
  <si>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</si>
  <si>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</si>
  <si>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</si>
  <si>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</si>
  <si>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</si>
  <si>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</si>
  <si>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</si>
  <si>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</si>
  <si>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</si>
  <si>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</si>
  <si>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</si>
  <si>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</si>
  <si>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</si>
  <si>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</si>
  <si>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</si>
  <si>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</si>
  <si>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</si>
  <si>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</si>
  <si>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</si>
  <si>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</si>
  <si>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</si>
  <si>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</si>
  <si>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</si>
  <si>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</si>
  <si>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</si>
  <si>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</si>
  <si>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</si>
  <si>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</si>
  <si>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</si>
  <si>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</si>
  <si>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</si>
  <si>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</si>
  <si>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</si>
  <si>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</si>
  <si>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</si>
  <si>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</si>
  <si>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</si>
  <si>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</si>
  <si>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</si>
  <si>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</si>
  <si>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</si>
  <si>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</si>
  <si>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</si>
  <si>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</si>
  <si>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</si>
  <si>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</si>
  <si>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</si>
  <si>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</si>
  <si>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</si>
  <si>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</si>
  <si>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</si>
  <si>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</si>
  <si>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</si>
  <si>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</si>
  <si>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</si>
  <si>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</si>
  <si>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</si>
  <si>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</si>
  <si>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</si>
  <si>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</si>
  <si>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</si>
  <si>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</si>
  <si>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</si>
  <si>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</si>
  <si>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</si>
  <si>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</si>
  <si>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</si>
  <si>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</si>
  <si>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</si>
  <si>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</si>
  <si>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</si>
  <si>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</si>
  <si>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</si>
  <si>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</si>
  <si>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</si>
  <si>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</si>
  <si>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</si>
  <si>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</si>
  <si>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</si>
  <si>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</si>
  <si>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</si>
  <si>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</si>
  <si>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</si>
  <si>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</si>
  <si>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</si>
  <si>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</si>
  <si>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</si>
  <si>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</si>
  <si>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</si>
  <si>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</si>
  <si>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</si>
  <si>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</si>
  <si>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</si>
  <si>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</si>
  <si>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</si>
  <si>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</si>
  <si>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</si>
  <si>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</si>
  <si>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</si>
  <si>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</si>
  <si>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</si>
  <si>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</si>
  <si>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</si>
  <si>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</si>
  <si>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</si>
  <si>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</si>
  <si>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</si>
  <si>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</si>
  <si>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</si>
  <si>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</si>
  <si>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</si>
  <si>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</si>
  <si>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</si>
  <si>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</si>
  <si>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</si>
  <si>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</si>
  <si>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</si>
  <si>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</si>
  <si>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</si>
  <si>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</si>
  <si>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</si>
  <si>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</si>
  <si>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</si>
  <si>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</si>
  <si>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</si>
  <si>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</si>
  <si>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</si>
  <si>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</si>
  <si>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</si>
  <si>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</si>
  <si>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</si>
  <si>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</si>
  <si>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</si>
  <si>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</si>
  <si>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</si>
  <si>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</si>
  <si>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</si>
  <si>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</si>
  <si>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</si>
  <si>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</si>
  <si>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</si>
  <si>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</si>
  <si>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</si>
  <si>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</si>
  <si>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</si>
  <si>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</si>
  <si>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</si>
  <si>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</si>
  <si>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</si>
  <si>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</si>
  <si>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</si>
  <si>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</si>
  <si>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</si>
  <si>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</si>
  <si>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</si>
  <si>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</si>
  <si>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</si>
  <si>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</si>
  <si>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</si>
  <si>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</si>
  <si>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</si>
  <si>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</si>
  <si>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</si>
  <si>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</si>
  <si>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</si>
  <si>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</si>
  <si>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</si>
  <si>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</si>
  <si>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</si>
  <si>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</si>
  <si>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</si>
  <si>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</si>
  <si>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</si>
  <si>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</si>
  <si>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</si>
  <si>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</si>
  <si>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</si>
  <si>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</si>
  <si>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</si>
  <si>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</si>
  <si>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</si>
  <si>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</si>
  <si>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</si>
  <si>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</si>
  <si>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</si>
  <si>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</si>
  <si>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</si>
  <si>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</si>
  <si>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</si>
  <si>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</si>
  <si>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</si>
  <si>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</si>
  <si>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</si>
  <si>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</si>
  <si>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</si>
  <si>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</si>
  <si>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</si>
  <si>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</si>
  <si>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</si>
  <si>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</si>
  <si>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</si>
  <si>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</si>
  <si>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</si>
  <si>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</si>
  <si>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</si>
  <si>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</si>
  <si>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</si>
  <si>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</si>
  <si>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</si>
  <si>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</si>
  <si>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</si>
  <si>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</si>
  <si>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</si>
  <si>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</si>
  <si>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</si>
  <si>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</si>
  <si>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</si>
  <si>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</si>
  <si>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</si>
  <si>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</si>
  <si>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</si>
  <si>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</si>
  <si>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</si>
  <si>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</si>
  <si>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</si>
  <si>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</si>
  <si>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</si>
  <si>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</si>
  <si>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</si>
  <si>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</si>
  <si>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</si>
  <si>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</si>
  <si>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</si>
  <si>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</si>
  <si>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</si>
  <si>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</si>
  <si>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</si>
  <si>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</si>
  <si>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</si>
  <si>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</si>
  <si>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</si>
  <si>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</si>
  <si>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</si>
  <si>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</si>
  <si>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</si>
  <si>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</si>
  <si>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</si>
  <si>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</si>
  <si>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</si>
  <si>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</si>
  <si>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</si>
  <si>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</si>
  <si>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</si>
  <si>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</si>
  <si>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</si>
  <si>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</si>
  <si>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</si>
  <si>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</si>
  <si>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</si>
  <si>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</si>
  <si>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</si>
  <si>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</si>
  <si>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</si>
  <si>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</si>
  <si>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</si>
  <si>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</si>
  <si>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</si>
  <si>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</si>
  <si>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</si>
  <si>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</si>
  <si>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</si>
  <si>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</si>
  <si>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</si>
  <si>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</si>
  <si>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</si>
  <si>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</si>
  <si>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</si>
  <si>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</si>
  <si>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</si>
  <si>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</si>
  <si>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</si>
  <si>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</si>
  <si>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</si>
  <si>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</si>
  <si>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</si>
  <si>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</si>
  <si>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</si>
  <si>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</si>
  <si>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</si>
  <si>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</si>
  <si>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</si>
  <si>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</si>
  <si>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</si>
  <si>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</si>
  <si>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</si>
  <si>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</si>
  <si>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</si>
  <si>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</si>
  <si>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</si>
  <si>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</si>
  <si>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</si>
  <si>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</si>
  <si>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</si>
  <si>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</si>
  <si>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</si>
  <si>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</si>
  <si>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</si>
  <si>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</si>
  <si>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</si>
  <si>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</si>
  <si>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</si>
  <si>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</si>
  <si>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</si>
  <si>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</si>
  <si>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</si>
  <si>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</si>
  <si>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</si>
  <si>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</si>
  <si>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</si>
  <si>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</si>
  <si>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</si>
  <si>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</si>
  <si>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</si>
  <si>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</si>
  <si>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</si>
  <si>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</si>
  <si>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</si>
  <si>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</si>
  <si>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</si>
  <si>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</si>
  <si>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</si>
  <si>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</si>
  <si>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</si>
  <si>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</si>
  <si>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</si>
  <si>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</si>
  <si>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</si>
  <si>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</si>
  <si>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</si>
  <si>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</si>
  <si>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</si>
  <si>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</si>
  <si>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</si>
  <si>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</si>
  <si>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</si>
  <si>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</si>
  <si>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</si>
  <si>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</si>
  <si>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</si>
  <si>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</si>
  <si>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</si>
  <si>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</si>
  <si>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</si>
  <si>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</si>
  <si>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</si>
  <si>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</si>
  <si>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</si>
  <si>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</si>
  <si>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</si>
  <si>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</si>
  <si>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</si>
  <si>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</si>
  <si>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</si>
  <si>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</si>
  <si>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</si>
  <si>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</si>
  <si>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</si>
  <si>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</si>
  <si>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</si>
  <si>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</si>
  <si>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</si>
  <si>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</si>
  <si>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</si>
  <si>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</si>
  <si>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</si>
  <si>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</si>
  <si>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</si>
  <si>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</si>
  <si>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</si>
  <si>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</si>
  <si>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</si>
  <si>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</si>
  <si>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</si>
  <si>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</si>
  <si>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</si>
  <si>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</si>
  <si>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</si>
  <si>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</si>
  <si>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</si>
  <si>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</si>
  <si>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</si>
  <si>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</si>
  <si>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</si>
  <si>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</si>
  <si>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</si>
  <si>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</si>
  <si>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</si>
  <si>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</si>
  <si>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</si>
  <si>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</si>
  <si>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</si>
  <si>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</si>
  <si>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</si>
  <si>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</si>
  <si>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</si>
  <si>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</si>
  <si>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</si>
  <si>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</si>
  <si>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</si>
  <si>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</si>
  <si>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</si>
  <si>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</si>
  <si>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</si>
  <si>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</si>
  <si>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</si>
  <si>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</si>
  <si>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</si>
  <si>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</si>
  <si>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</si>
  <si>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</si>
  <si>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</si>
  <si>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</si>
  <si>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</si>
  <si>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</si>
  <si>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</si>
  <si>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</si>
  <si>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</si>
  <si>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</si>
  <si>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</si>
  <si>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</si>
  <si>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</si>
  <si>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</si>
  <si>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</si>
  <si>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</si>
  <si>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</si>
  <si>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</si>
  <si>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</si>
  <si>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</si>
  <si>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</si>
  <si>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</si>
  <si>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</si>
  <si>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</si>
  <si>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</si>
  <si>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</si>
  <si>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</si>
  <si>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</si>
  <si>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</si>
  <si>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</si>
  <si>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</si>
  <si>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</si>
  <si>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</si>
  <si>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</si>
  <si>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</si>
  <si>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</si>
  <si>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</si>
  <si>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</si>
  <si>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</si>
  <si>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</si>
  <si>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</si>
  <si>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</si>
  <si>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</si>
  <si>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</si>
  <si>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</si>
  <si>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</si>
  <si>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</si>
  <si>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</si>
  <si>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</si>
  <si>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</si>
  <si>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</si>
  <si>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</si>
  <si>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</si>
  <si>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</si>
  <si>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</si>
  <si>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</si>
  <si>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</si>
  <si>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</si>
  <si>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</si>
  <si>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</si>
  <si>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</si>
  <si>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</si>
  <si>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</si>
  <si>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</si>
  <si>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</si>
  <si>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</si>
  <si>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</si>
  <si>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</si>
  <si>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</si>
  <si>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</si>
  <si>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</si>
  <si>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</si>
  <si>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</si>
  <si>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</si>
  <si>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</si>
  <si>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</si>
  <si>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</si>
  <si>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</si>
  <si>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</si>
  <si>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</si>
  <si>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</si>
  <si>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</si>
  <si>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</si>
  <si>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</si>
  <si>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</si>
  <si>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</si>
  <si>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</si>
  <si>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</si>
  <si>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</si>
  <si>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</si>
  <si>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</si>
  <si>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</si>
  <si>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</si>
  <si>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</si>
  <si>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</si>
  <si>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</si>
  <si>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</si>
  <si>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</si>
  <si>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</si>
  <si>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</si>
  <si>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</si>
  <si>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</si>
  <si>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</si>
  <si>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</si>
  <si>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</si>
  <si>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</si>
  <si>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</si>
  <si>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</si>
  <si>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</si>
  <si>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</si>
  <si>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</si>
  <si>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</si>
  <si>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</si>
  <si>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</si>
  <si>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</si>
  <si>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</si>
  <si>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</si>
  <si>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</si>
  <si>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</si>
  <si>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</si>
  <si>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</si>
  <si>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</si>
  <si>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</si>
  <si>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</si>
  <si>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</si>
  <si>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</si>
  <si>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</si>
  <si>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</si>
  <si>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</si>
  <si>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</si>
  <si>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</si>
  <si>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</si>
  <si>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</si>
  <si>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</si>
  <si>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</si>
  <si>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</si>
  <si>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</si>
  <si>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</si>
  <si>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</si>
  <si>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</si>
  <si>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</si>
  <si>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</si>
  <si>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</si>
  <si>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</si>
  <si>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</si>
  <si>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</si>
  <si>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</si>
  <si>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</si>
  <si>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</si>
  <si>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</si>
  <si>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</si>
  <si>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</si>
  <si>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</si>
  <si>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</si>
  <si>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</si>
  <si>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</si>
  <si>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</si>
  <si>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</si>
  <si>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</si>
  <si>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</si>
  <si>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</si>
  <si>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</si>
  <si>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</si>
  <si>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</si>
  <si>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</si>
  <si>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</si>
  <si>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</si>
  <si>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</si>
  <si>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</si>
  <si>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</si>
  <si>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</si>
  <si>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</si>
  <si>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</si>
  <si>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</si>
  <si>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</si>
  <si>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</si>
  <si>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</si>
  <si>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</si>
  <si>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</si>
  <si>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</si>
  <si>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</si>
  <si>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</si>
  <si>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</si>
  <si>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</si>
  <si>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</si>
  <si>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</si>
  <si>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</si>
  <si>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</si>
  <si>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</si>
  <si>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</si>
  <si>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</si>
  <si>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</si>
  <si>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</si>
  <si>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</si>
  <si>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</si>
  <si>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</si>
  <si>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</si>
  <si>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</si>
  <si>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</si>
  <si>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</si>
  <si>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</si>
  <si>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</si>
  <si>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</si>
  <si>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</si>
  <si>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</si>
  <si>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</si>
  <si>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</si>
  <si>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</si>
  <si>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</si>
  <si>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</si>
  <si>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</si>
  <si>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</si>
  <si>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</si>
  <si>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</si>
  <si>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</si>
  <si>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</si>
  <si>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</si>
  <si>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</si>
  <si>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</si>
  <si>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</si>
  <si>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</si>
  <si>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</si>
  <si>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</si>
  <si>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</si>
  <si>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</si>
  <si>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</si>
  <si>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</si>
  <si>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</si>
  <si>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</si>
  <si>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</si>
  <si>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</si>
  <si>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</si>
  <si>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</si>
  <si>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</si>
  <si>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</si>
  <si>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</si>
  <si>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</si>
  <si>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</si>
  <si>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</si>
  <si>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</si>
  <si>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</si>
  <si>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</si>
  <si>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</si>
  <si>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</si>
  <si>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</si>
  <si>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</si>
  <si>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</si>
  <si>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</si>
  <si>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</si>
  <si>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</si>
  <si>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</si>
  <si>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</si>
  <si>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</si>
  <si>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</si>
  <si>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</si>
  <si>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</si>
  <si>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</si>
  <si>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</si>
  <si>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</si>
  <si>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</si>
  <si>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</si>
  <si>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</si>
  <si>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</si>
  <si>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</si>
  <si>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</si>
  <si>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</si>
  <si>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</si>
  <si>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</si>
  <si>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</si>
  <si>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</si>
  <si>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</si>
  <si>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</si>
  <si>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</si>
  <si>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</si>
  <si>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</si>
  <si>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</si>
  <si>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</si>
  <si>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</si>
  <si>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</si>
  <si>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</si>
  <si>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</si>
  <si>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</si>
  <si>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</si>
  <si>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</si>
  <si>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</si>
  <si>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</si>
  <si>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</si>
  <si>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</si>
  <si>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</si>
  <si>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</si>
  <si>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</si>
  <si>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</si>
  <si>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</si>
  <si>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</si>
  <si>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</si>
  <si>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</si>
  <si>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</si>
  <si>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</si>
  <si>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</si>
  <si>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</si>
  <si>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</si>
  <si>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</si>
  <si>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</si>
  <si>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</si>
  <si>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</si>
  <si>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</si>
  <si>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</si>
  <si>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</si>
  <si>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</si>
  <si>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</si>
  <si>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</si>
  <si>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</si>
  <si>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</si>
  <si>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</si>
  <si>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</si>
  <si>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</si>
  <si>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</si>
  <si>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</si>
  <si>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</si>
  <si>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</si>
  <si>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</si>
  <si>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</si>
  <si>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</si>
  <si>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</si>
  <si>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</si>
  <si>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</si>
  <si>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</si>
  <si>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</si>
  <si>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</si>
  <si>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</si>
  <si>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</si>
  <si>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</si>
  <si>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</si>
  <si>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</si>
  <si>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</si>
  <si>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</si>
  <si>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</si>
  <si>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</si>
  <si>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</si>
  <si>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</si>
  <si>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</si>
  <si>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</si>
  <si>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</si>
  <si>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</si>
  <si>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</si>
  <si>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</si>
  <si>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</si>
  <si>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</si>
  <si>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</si>
  <si>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</si>
  <si>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</si>
  <si>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</si>
  <si>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</si>
  <si>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</si>
  <si>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</si>
  <si>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</si>
  <si>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</si>
  <si>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</si>
  <si>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</si>
  <si>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</si>
  <si>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</si>
  <si>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</si>
  <si>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</si>
  <si>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</si>
  <si>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</si>
  <si>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</si>
  <si>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</si>
  <si>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</si>
  <si>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</si>
  <si>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</si>
  <si>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</si>
  <si>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</si>
  <si>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</si>
  <si>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</si>
  <si>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</si>
  <si>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</si>
  <si>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</si>
  <si>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</si>
  <si>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</si>
  <si>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</si>
  <si>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</si>
  <si>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</si>
  <si>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</si>
  <si>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</si>
  <si>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</si>
  <si>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</si>
  <si>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</si>
  <si>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</si>
  <si>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</si>
  <si>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</si>
  <si>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</si>
  <si>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</si>
  <si>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</si>
  <si>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</si>
  <si>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</si>
  <si>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</si>
  <si>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</si>
  <si>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</si>
  <si>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</si>
  <si>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</si>
  <si>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</si>
  <si>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</si>
  <si>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</si>
  <si>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</si>
  <si>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</si>
  <si>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</si>
  <si>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</si>
  <si>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</si>
  <si>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</si>
  <si>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</si>
  <si>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</si>
  <si>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</si>
  <si>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</si>
  <si>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</si>
  <si>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</si>
  <si>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</si>
  <si>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</si>
  <si>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</si>
  <si>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</si>
  <si>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</si>
  <si>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</si>
  <si>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</si>
  <si>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</si>
  <si>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</si>
  <si>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</si>
  <si>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</si>
  <si>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</si>
  <si>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</si>
  <si>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</si>
  <si>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</si>
  <si>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</si>
  <si>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</si>
  <si>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</si>
  <si>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</si>
  <si>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</si>
  <si>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</si>
  <si>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</si>
  <si>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</si>
  <si>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</si>
  <si>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</si>
  <si>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</si>
  <si>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</si>
  <si>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</si>
  <si>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</si>
  <si>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</si>
  <si>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</si>
  <si>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</si>
  <si>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</si>
  <si>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</si>
  <si>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</si>
  <si>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</si>
  <si>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</si>
  <si>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[OBS372]Respecto a la OBS348, Se le debe cambiar el nombre al Gateway 2 a infinitivo en el diagrama también._x000D_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</si>
  <si>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</si>
  <si>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</si>
  <si>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</si>
  <si>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</si>
  <si>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</si>
  <si>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</si>
  <si>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</si>
  <si>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</si>
  <si>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</si>
  <si>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</si>
  <si>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</si>
  <si>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</si>
  <si>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</si>
  <si>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</si>
  <si>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</si>
  <si>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</si>
  <si>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</si>
  <si>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</si>
  <si>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</si>
  <si>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</si>
  <si>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</si>
  <si>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</si>
  <si>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</si>
  <si>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</si>
  <si>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</si>
  <si>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</si>
  <si>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</si>
  <si>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</si>
  <si>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</si>
  <si>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</si>
  <si>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</si>
  <si>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</si>
  <si>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</si>
  <si>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</si>
  <si>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</si>
  <si>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</si>
  <si>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</si>
  <si>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</si>
  <si>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</si>
  <si>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</si>
  <si>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</si>
  <si>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</si>
  <si>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</si>
  <si>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</si>
  <si>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</si>
  <si>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</si>
  <si>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</si>
  <si>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</si>
  <si>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</si>
  <si>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</si>
  <si>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</si>
  <si>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</si>
  <si>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</si>
  <si>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</si>
  <si>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</si>
  <si>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</si>
  <si>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</si>
  <si>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</si>
  <si>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</si>
  <si>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</si>
  <si>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</si>
  <si>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</si>
  <si>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</si>
  <si>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</si>
  <si>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</si>
  <si>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</si>
  <si>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</si>
  <si>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</si>
  <si>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</si>
  <si>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</si>
  <si>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</si>
  <si>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</si>
  <si>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</si>
  <si>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</si>
  <si>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</si>
  <si>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</si>
  <si>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</si>
  <si>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</si>
  <si>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</si>
  <si>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</si>
  <si>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</si>
  <si>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</si>
  <si>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</si>
  <si>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</si>
  <si>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</si>
  <si>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</si>
  <si>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</si>
  <si>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</si>
  <si>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</si>
  <si>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</si>
  <si>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</si>
  <si>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</si>
  <si>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</si>
  <si>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</si>
  <si>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</si>
  <si>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</si>
  <si>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</si>
  <si>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</si>
  <si>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</si>
  <si>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</si>
  <si>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</si>
  <si>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</si>
  <si>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</si>
  <si>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</si>
  <si>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</si>
  <si>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</si>
  <si>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</si>
  <si>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</si>
  <si>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</si>
  <si>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</si>
  <si>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</si>
  <si>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</si>
  <si>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</si>
  <si>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</si>
  <si>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</si>
  <si>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</si>
  <si>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</si>
  <si>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</si>
  <si>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</si>
  <si>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</si>
  <si>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</si>
  <si>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</si>
  <si>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</si>
  <si>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</si>
  <si>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</si>
  <si>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</si>
  <si>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</si>
  <si>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</si>
  <si>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</si>
  <si>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</si>
  <si>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</si>
  <si>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</si>
  <si>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</si>
  <si>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</si>
  <si>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</si>
  <si>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</si>
  <si>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</si>
  <si>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</si>
  <si>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</si>
  <si>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</si>
  <si>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</si>
  <si>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</si>
  <si>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</si>
  <si>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</si>
  <si>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</si>
  <si>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</si>
  <si>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</si>
  <si>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</si>
  <si>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</si>
  <si>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</si>
  <si>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</si>
  <si>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</si>
  <si>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</si>
  <si>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</si>
  <si>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</si>
  <si>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</si>
  <si>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</si>
  <si>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</si>
  <si>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</si>
  <si>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"Invitación a Capacitación" de la actividad X7 no concuerda con el flujo de datos.</t>
  </si>
  <si>
    <t>Se eliminó la entrada correspondiente.</t>
  </si>
  <si>
    <t>Hay un error  gramatical en la descripción de la actividad X12 con "encuentran".</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</si>
  <si>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</si>
  <si>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</si>
  <si>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</si>
  <si>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</si>
  <si>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</si>
  <si>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</si>
  <si>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</si>
  <si>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</si>
  <si>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</si>
  <si>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</si>
  <si>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</si>
  <si>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</si>
  <si>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</si>
  <si>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</si>
  <si>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</si>
  <si>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</si>
  <si>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</si>
  <si>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</si>
  <si>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</si>
  <si>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</si>
  <si>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</si>
  <si>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Error corregido.</t>
  </si>
  <si>
    <t>Redundancia eliminada.</t>
  </si>
  <si>
    <t>Conector entre PY4 y A1 agreado.</t>
  </si>
  <si>
    <t>Link N agregado entre actividades D3 y X25</t>
  </si>
  <si>
    <t>El dato de entrada "Necesidad de pagar comprobantes de proveedores" de la actividad A15 no concuerda con el flujo.</t>
  </si>
  <si>
    <t>La actividad A7 sigue fuera del flujo principal, si bien es cierto hay un conector desde A5, no hay dato que los relacione, por otro lado no hay conector de salida que lo mantenga en el flujo.</t>
  </si>
  <si>
    <t>Salidas y entradas coordinadas con actividades X41 y X42.</t>
  </si>
  <si>
    <t>OBS446</t>
  </si>
  <si>
    <t xml:space="preserve">El conector que va de PE2 hacia PE1 no es el correcto. Debe ser de </t>
  </si>
  <si>
    <t>OBS447</t>
  </si>
  <si>
    <t>En los datos de entrada de la actividad PE1 falta un gruión para separar los dos últimos datos.</t>
  </si>
  <si>
    <t>OBS448</t>
  </si>
  <si>
    <t>La actividad A5 y A7 no tienen datos que lo relacionen.</t>
  </si>
  <si>
    <t>OBS449</t>
  </si>
  <si>
    <t>OBS450</t>
  </si>
  <si>
    <t>No se ha presentado un documento de la RAM, el archivo carece de definición, propósito y alcance.</t>
  </si>
  <si>
    <t>El archivo carece de leyenda</t>
  </si>
  <si>
    <t xml:space="preserve">[OBS446]El conector que va de PE2 hacia PE1 no es el correcto. Debe ser de _x000D_
[OBS447]En los datos de entrada de la actividad PE1 falta un gruión para separar los dos últimos datos._x000D_
[OBS448]La actividad A5 y A7 no tienen datos que lo relacionen._x000D_
</t>
  </si>
  <si>
    <t xml:space="preserve">[OBS449]No se ha presentado un documento de la RAM, el archivo carece de definición, propósito y alcance._x000D_
[OBS450]El archivo carece de leyenda_x000D_
</t>
  </si>
  <si>
    <t>Se agregó el guión.</t>
  </si>
  <si>
    <t>Se cambió el conector a uno de secuencia.</t>
  </si>
  <si>
    <t>Se agregó una entrada a la actividad A7 que la relacione con A5.</t>
  </si>
  <si>
    <t>Documento generado</t>
  </si>
  <si>
    <t>OBS451</t>
  </si>
  <si>
    <t>OBS452</t>
  </si>
  <si>
    <t>OBS453</t>
  </si>
  <si>
    <t>OBS454</t>
  </si>
  <si>
    <t>OBS455</t>
  </si>
  <si>
    <t>OBS456</t>
  </si>
  <si>
    <t>OBS457</t>
  </si>
  <si>
    <t>OBS458</t>
  </si>
  <si>
    <t>OBS459</t>
  </si>
  <si>
    <t>Previo al fin debería haber un gateway que reciba todos los conectores, a fin de que al fin llegue solo 1.</t>
  </si>
  <si>
    <t>En la actividad 3 no se aprecia la interacción con el postulante en el diagrama.</t>
  </si>
  <si>
    <t>Qué sucede si no hay CV's que cumplan con lo requerido para la actividad 2? No hay un flujo alterno.</t>
  </si>
  <si>
    <t>La actividad de inicio no debe tener datos de entrada.</t>
  </si>
  <si>
    <t>A modo de recomendación, luego de la actividad 8, no se debería mandar el perfil a administración como con la actividad 3? De tal modo que solo exista un fin.</t>
  </si>
  <si>
    <t>La actividad 4 no debería ser un gateway.</t>
  </si>
  <si>
    <t>La actividad 3 y 7 no deberían tener algún rechazo? Es decir, que sucede si se revisa y no es correcto, no se devuelve para la correción?</t>
  </si>
  <si>
    <t xml:space="preserve">[OBS451]Previo al fin debería haber un gateway que reciba todos los conectores, a fin de que al fin llegue solo 1._x000D_
</t>
  </si>
  <si>
    <t xml:space="preserve">[OBS452]El diagrama es ANSI y no BPMN_x000D_
</t>
  </si>
  <si>
    <t xml:space="preserve">[OBS453]En la actividad 3 no se aprecia la interacción con el postulante en el diagrama._x000D_
</t>
  </si>
  <si>
    <t xml:space="preserve">[OBS454]Qué sucede si no hay CV's que cumplan con lo requerido para la actividad 2? No hay un flujo alterno._x000D_
</t>
  </si>
  <si>
    <t xml:space="preserve">[OBS455]La actividad de inicio no debe tener datos de entrada._x000D_
</t>
  </si>
  <si>
    <t xml:space="preserve">[OBS456]A modo de recomendación, luego de la actividad 8, no se debería mandar el perfil a administración como con la actividad 3? De tal modo que solo exista un fin._x000D_
</t>
  </si>
  <si>
    <t xml:space="preserve">[OBS457]La actividad 4 no debería ser un gateway._x000D_
[OBS458]La actividad 3 y 7 no deberían tener algún rechazo? Es decir, que sucede si se revisa y no es correcto, no se devuelve para la correción?_x000D_
</t>
  </si>
  <si>
    <t>OBS460</t>
  </si>
  <si>
    <t>OBS461</t>
  </si>
  <si>
    <t>OBS462</t>
  </si>
  <si>
    <t>OBS463</t>
  </si>
  <si>
    <t xml:space="preserve">[OBS459]Previo al fin debería haber un gateway que reciba todos los conectores, a fin de que al fin llegue solo 1._x000D_
</t>
  </si>
  <si>
    <t xml:space="preserve">[OBS460]La actividad de inicio no debe tener datos de entrada._x000D_
</t>
  </si>
  <si>
    <t xml:space="preserve">[OBS461]Previo al fin debería haber un gateway que reciba todos los conectores, a fin de que al fin llegue solo 1._x000D_
</t>
  </si>
  <si>
    <t xml:space="preserve">[OBS462]Previo al fin debería haber un gateway que reciba todos los conectores, a fin de que al fin llegue solo 1._x000D_
</t>
  </si>
  <si>
    <t xml:space="preserve">[OBS463]Previo al fin debería haber un gateway que reciba todos los conectores, a fin de que al fin llegue solo 1._x000D_
</t>
  </si>
  <si>
    <t>Se agregó el gateway final.</t>
  </si>
  <si>
    <t>x</t>
  </si>
  <si>
    <t>La interacción se menciona dentro de la descripción de la actividad.</t>
  </si>
  <si>
    <t>Los CV's provienen de 3 fuentes diferentes. Es muy difícil que no se obtenga como mínimo 1 CV.</t>
  </si>
  <si>
    <t>Entrada agregada como salida de la actividad.</t>
  </si>
  <si>
    <t>Proceso modificado.</t>
  </si>
  <si>
    <t>Actividad modificada.</t>
  </si>
  <si>
    <t>Los informes recibidos no pueden rechazarse debido a que es información de cómo se han manejado los Programas Rurales, los directores son los que poseen la información más detallada de los mismos.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</si>
</sst>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51"/>
          <c:y val="0.20151813899974841"/>
          <c:w val="0.501424941351343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0.67567567567567566</c:v>
                </c:pt>
                <c:pt idx="1">
                  <c:v>0.32432432432432434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HistoricoAvance!$C$4:$C$20</c:f>
              <c:numCache>
                <c:formatCode>0</c:formatCode>
                <c:ptCount val="17"/>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pt idx="14">
                  <c:v>35</c:v>
                </c:pt>
                <c:pt idx="15">
                  <c:v>37</c:v>
                </c:pt>
                <c:pt idx="16">
                  <c:v>25</c:v>
                </c:pt>
              </c:numCache>
            </c:numRef>
          </c:val>
          <c:smooth val="0"/>
        </c:ser>
        <c:ser>
          <c:idx val="1"/>
          <c:order val="1"/>
          <c:tx>
            <c:strRef>
              <c:f>HistoricoAvance!$D$3</c:f>
              <c:strCache>
                <c:ptCount val="1"/>
                <c:pt idx="0">
                  <c:v>Fallos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HistoricoAvance!$D$4:$D$20</c:f>
              <c:numCache>
                <c:formatCode>0</c:formatCode>
                <c:ptCount val="17"/>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pt idx="14">
                  <c:v>2</c:v>
                </c:pt>
                <c:pt idx="15">
                  <c:v>0</c:v>
                </c:pt>
                <c:pt idx="16">
                  <c:v>12</c:v>
                </c:pt>
              </c:numCache>
            </c:numRef>
          </c:val>
          <c:smooth val="0"/>
        </c:ser>
        <c:ser>
          <c:idx val="2"/>
          <c:order val="2"/>
          <c:tx>
            <c:strRef>
              <c:f>HistoricoAvance!$E$3</c:f>
              <c:strCache>
                <c:ptCount val="1"/>
                <c:pt idx="0">
                  <c:v>Bloqueado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HistoricoAvance!$E$4:$E$20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HistoricoAvance!$F$3</c:f>
              <c:strCache>
                <c:ptCount val="1"/>
                <c:pt idx="0">
                  <c:v>Pendiente</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HistoricoAvance!$F$4:$F$20</c:f>
              <c:numCache>
                <c:formatCode>0</c:formatCode>
                <c:ptCount val="17"/>
                <c:pt idx="0">
                  <c:v>0</c:v>
                </c:pt>
                <c:pt idx="1">
                  <c:v>0</c:v>
                </c:pt>
                <c:pt idx="2">
                  <c:v>0</c:v>
                </c:pt>
                <c:pt idx="3">
                  <c:v>0</c:v>
                </c:pt>
                <c:pt idx="4">
                  <c:v>0</c:v>
                </c:pt>
                <c:pt idx="5">
                  <c:v>0</c:v>
                </c:pt>
                <c:pt idx="6">
                  <c:v>0</c:v>
                </c:pt>
                <c:pt idx="7">
                  <c:v>0</c:v>
                </c:pt>
                <c:pt idx="8">
                  <c:v>0</c:v>
                </c:pt>
                <c:pt idx="9">
                  <c:v>1</c:v>
                </c:pt>
                <c:pt idx="10">
                  <c:v>1</c:v>
                </c:pt>
                <c:pt idx="11">
                  <c:v>0</c:v>
                </c:pt>
                <c:pt idx="12">
                  <c:v>0</c:v>
                </c:pt>
                <c:pt idx="13">
                  <c:v>0</c:v>
                </c:pt>
                <c:pt idx="14">
                  <c:v>0</c:v>
                </c:pt>
                <c:pt idx="15">
                  <c:v>0</c:v>
                </c:pt>
                <c:pt idx="16">
                  <c:v>0</c:v>
                </c:pt>
              </c:numCache>
            </c:numRef>
          </c:val>
          <c:smooth val="0"/>
        </c:ser>
        <c:ser>
          <c:idx val="4"/>
          <c:order val="4"/>
          <c:tx>
            <c:strRef>
              <c:f>HistoricoAvance!$G$3</c:f>
              <c:strCache>
                <c:ptCount val="1"/>
                <c:pt idx="0">
                  <c:v>No Aplica</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HistoricoAvance!$G$4:$G$20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5"/>
          <c:order val="5"/>
          <c:tx>
            <c:strRef>
              <c:f>HistoricoAvance!$H$3</c:f>
              <c:strCache>
                <c:ptCount val="1"/>
                <c:pt idx="0">
                  <c:v>En Proceso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HistoricoAvance!$H$4:$H$20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HistoricoAvance!$I$3</c:f>
              <c:strCache>
                <c:ptCount val="1"/>
                <c:pt idx="0">
                  <c:v>Reejecuciones</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HistoricoAvance!$I$4:$I$20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HistoricoAvance!$J$4:$J$20</c:f>
              <c:numCache>
                <c:formatCode>General</c:formatCode>
                <c:ptCount val="17"/>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pt idx="14">
                  <c:v>37</c:v>
                </c:pt>
                <c:pt idx="15">
                  <c:v>37</c:v>
                </c:pt>
                <c:pt idx="16">
                  <c:v>37</c:v>
                </c:pt>
              </c:numCache>
            </c:numRef>
          </c:val>
          <c:smooth val="0"/>
        </c:ser>
        <c:dLbls>
          <c:showLegendKey val="0"/>
          <c:showVal val="0"/>
          <c:showCatName val="0"/>
          <c:showSerName val="0"/>
          <c:showPercent val="0"/>
          <c:showBubbleSize val="0"/>
        </c:dLbls>
        <c:marker val="1"/>
        <c:smooth val="0"/>
        <c:axId val="138051968"/>
        <c:axId val="138053504"/>
      </c:lineChart>
      <c:dateAx>
        <c:axId val="138051968"/>
        <c:scaling>
          <c:orientation val="minMax"/>
        </c:scaling>
        <c:delete val="0"/>
        <c:axPos val="b"/>
        <c:numFmt formatCode="dd/mm/yyyy" sourceLinked="1"/>
        <c:majorTickMark val="out"/>
        <c:minorTickMark val="none"/>
        <c:tickLblPos val="nextTo"/>
        <c:txPr>
          <a:bodyPr/>
          <a:lstStyle/>
          <a:p>
            <a:pPr>
              <a:defRPr lang="es-ES"/>
            </a:pPr>
            <a:endParaRPr lang="es-PE"/>
          </a:p>
        </c:txPr>
        <c:crossAx val="138053504"/>
        <c:crosses val="autoZero"/>
        <c:auto val="1"/>
        <c:lblOffset val="100"/>
        <c:baseTimeUnit val="days"/>
      </c:dateAx>
      <c:valAx>
        <c:axId val="13805350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805196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HistoricoAvance!$M$4:$M$20</c:f>
              <c:numCache>
                <c:formatCode>0</c:formatCode>
                <c:ptCount val="17"/>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pt idx="14">
                  <c:v>5</c:v>
                </c:pt>
                <c:pt idx="15">
                  <c:v>0</c:v>
                </c:pt>
                <c:pt idx="16">
                  <c:v>13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HistoricoAvance!$N$4:$N$20</c:f>
              <c:numCache>
                <c:formatCode>0</c:formatCode>
                <c:ptCount val="17"/>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pt idx="14">
                  <c:v>445</c:v>
                </c:pt>
                <c:pt idx="15">
                  <c:v>450</c:v>
                </c:pt>
                <c:pt idx="16">
                  <c:v>450</c:v>
                </c:pt>
              </c:numCache>
            </c:numRef>
          </c:val>
          <c:smooth val="0"/>
        </c:ser>
        <c:ser>
          <c:idx val="2"/>
          <c:order val="2"/>
          <c:tx>
            <c:strRef>
              <c:f>HistoricoAvance!$O$3</c:f>
              <c:strCache>
                <c:ptCount val="1"/>
                <c:pt idx="0">
                  <c:v>Totales</c:v>
                </c:pt>
              </c:strCache>
            </c:strRef>
          </c:tx>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HistoricoAvance!$O$4:$O$20</c:f>
              <c:numCache>
                <c:formatCode>General</c:formatCode>
                <c:ptCount val="17"/>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pt idx="14">
                  <c:v>450</c:v>
                </c:pt>
                <c:pt idx="15">
                  <c:v>450</c:v>
                </c:pt>
                <c:pt idx="16">
                  <c:v>463</c:v>
                </c:pt>
              </c:numCache>
            </c:numRef>
          </c:val>
          <c:smooth val="0"/>
        </c:ser>
        <c:dLbls>
          <c:showLegendKey val="0"/>
          <c:showVal val="0"/>
          <c:showCatName val="0"/>
          <c:showSerName val="0"/>
          <c:showPercent val="0"/>
          <c:showBubbleSize val="0"/>
        </c:dLbls>
        <c:marker val="1"/>
        <c:smooth val="0"/>
        <c:axId val="140516352"/>
        <c:axId val="140522240"/>
      </c:lineChart>
      <c:dateAx>
        <c:axId val="140516352"/>
        <c:scaling>
          <c:orientation val="minMax"/>
        </c:scaling>
        <c:delete val="0"/>
        <c:axPos val="b"/>
        <c:numFmt formatCode="dd/mm/yyyy" sourceLinked="1"/>
        <c:majorTickMark val="out"/>
        <c:minorTickMark val="none"/>
        <c:tickLblPos val="nextTo"/>
        <c:txPr>
          <a:bodyPr/>
          <a:lstStyle/>
          <a:p>
            <a:pPr>
              <a:defRPr lang="es-ES"/>
            </a:pPr>
            <a:endParaRPr lang="es-PE"/>
          </a:p>
        </c:txPr>
        <c:crossAx val="140522240"/>
        <c:crosses val="autoZero"/>
        <c:auto val="1"/>
        <c:lblOffset val="100"/>
        <c:baseTimeUnit val="days"/>
      </c:dateAx>
      <c:valAx>
        <c:axId val="14052224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051635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dinámica1</c:name>
    <c:fmtId val="0"/>
  </c:pivotSource>
  <c:chart>
    <c:title>
      <c:tx>
        <c:rich>
          <a:bodyPr/>
          <a:lstStyle/>
          <a:p>
            <a:pPr>
              <a:defRPr lang="es-ES"/>
            </a:pPr>
            <a:r>
              <a:rPr lang="en-US"/>
              <a:t>Distribución</a:t>
            </a:r>
            <a:r>
              <a:rPr lang="en-US" baseline="0"/>
              <a:t> por Severidad</a:t>
            </a:r>
            <a:endParaRPr lang="en-US"/>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0548736"/>
        <c:axId val="140562816"/>
      </c:barChart>
      <c:catAx>
        <c:axId val="140548736"/>
        <c:scaling>
          <c:orientation val="minMax"/>
        </c:scaling>
        <c:delete val="0"/>
        <c:axPos val="b"/>
        <c:majorTickMark val="out"/>
        <c:minorTickMark val="none"/>
        <c:tickLblPos val="nextTo"/>
        <c:txPr>
          <a:bodyPr/>
          <a:lstStyle/>
          <a:p>
            <a:pPr>
              <a:defRPr lang="es-ES"/>
            </a:pPr>
            <a:endParaRPr lang="es-PE"/>
          </a:p>
        </c:txPr>
        <c:crossAx val="140562816"/>
        <c:crosses val="autoZero"/>
        <c:auto val="1"/>
        <c:lblAlgn val="ctr"/>
        <c:lblOffset val="100"/>
        <c:noMultiLvlLbl val="0"/>
      </c:catAx>
      <c:valAx>
        <c:axId val="1405628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548736"/>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dinámica2</c:name>
    <c:fmtId val="0"/>
  </c:pivotSource>
  <c:chart>
    <c:title>
      <c:tx>
        <c:rich>
          <a:bodyPr/>
          <a:lstStyle/>
          <a:p>
            <a:pPr>
              <a:defRPr lang="es-ES"/>
            </a:pPr>
            <a:r>
              <a:rPr lang="en-U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0444800"/>
        <c:axId val="140446336"/>
      </c:barChart>
      <c:catAx>
        <c:axId val="140444800"/>
        <c:scaling>
          <c:orientation val="minMax"/>
        </c:scaling>
        <c:delete val="0"/>
        <c:axPos val="b"/>
        <c:majorTickMark val="out"/>
        <c:minorTickMark val="none"/>
        <c:tickLblPos val="nextTo"/>
        <c:txPr>
          <a:bodyPr/>
          <a:lstStyle/>
          <a:p>
            <a:pPr>
              <a:defRPr lang="es-ES"/>
            </a:pPr>
            <a:endParaRPr lang="es-PE"/>
          </a:p>
        </c:txPr>
        <c:crossAx val="140446336"/>
        <c:crosses val="autoZero"/>
        <c:auto val="1"/>
        <c:lblAlgn val="ctr"/>
        <c:lblOffset val="100"/>
        <c:noMultiLvlLbl val="0"/>
      </c:catAx>
      <c:valAx>
        <c:axId val="1404463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444800"/>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dinámica3</c:name>
    <c:fmtId val="0"/>
  </c:pivotSource>
  <c:chart>
    <c:title>
      <c:layout/>
      <c:overlay val="0"/>
      <c:txPr>
        <a:bodyPr/>
        <a:lstStyle/>
        <a:p>
          <a:pPr>
            <a:defRPr lang="es-ES"/>
          </a:pPr>
          <a:endParaRPr lang="es-PE"/>
        </a:p>
      </c:txPr>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491776"/>
        <c:axId val="140493568"/>
      </c:barChart>
      <c:catAx>
        <c:axId val="140491776"/>
        <c:scaling>
          <c:orientation val="minMax"/>
        </c:scaling>
        <c:delete val="0"/>
        <c:axPos val="b"/>
        <c:majorTickMark val="out"/>
        <c:minorTickMark val="none"/>
        <c:tickLblPos val="nextTo"/>
        <c:txPr>
          <a:bodyPr/>
          <a:lstStyle/>
          <a:p>
            <a:pPr>
              <a:defRPr lang="es-ES"/>
            </a:pPr>
            <a:endParaRPr lang="es-PE"/>
          </a:p>
        </c:txPr>
        <c:crossAx val="140493568"/>
        <c:crosses val="autoZero"/>
        <c:auto val="1"/>
        <c:lblAlgn val="ctr"/>
        <c:lblOffset val="100"/>
        <c:noMultiLvlLbl val="0"/>
      </c:catAx>
      <c:valAx>
        <c:axId val="14049356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491776"/>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955840"/>
        <c:axId val="141957376"/>
      </c:barChart>
      <c:catAx>
        <c:axId val="141955840"/>
        <c:scaling>
          <c:orientation val="minMax"/>
        </c:scaling>
        <c:delete val="0"/>
        <c:axPos val="b"/>
        <c:majorTickMark val="out"/>
        <c:minorTickMark val="none"/>
        <c:tickLblPos val="nextTo"/>
        <c:txPr>
          <a:bodyPr/>
          <a:lstStyle/>
          <a:p>
            <a:pPr>
              <a:defRPr lang="es-ES"/>
            </a:pPr>
            <a:endParaRPr lang="es-PE"/>
          </a:p>
        </c:txPr>
        <c:crossAx val="141957376"/>
        <c:crosses val="autoZero"/>
        <c:auto val="1"/>
        <c:lblAlgn val="ctr"/>
        <c:lblOffset val="100"/>
        <c:noMultiLvlLbl val="0"/>
      </c:catAx>
      <c:valAx>
        <c:axId val="1419573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955840"/>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992704"/>
        <c:axId val="141994240"/>
      </c:barChart>
      <c:catAx>
        <c:axId val="141992704"/>
        <c:scaling>
          <c:orientation val="minMax"/>
        </c:scaling>
        <c:delete val="0"/>
        <c:axPos val="b"/>
        <c:majorTickMark val="out"/>
        <c:minorTickMark val="none"/>
        <c:tickLblPos val="nextTo"/>
        <c:txPr>
          <a:bodyPr/>
          <a:lstStyle/>
          <a:p>
            <a:pPr>
              <a:defRPr lang="es-ES"/>
            </a:pPr>
            <a:endParaRPr lang="es-PE"/>
          </a:p>
        </c:txPr>
        <c:crossAx val="141994240"/>
        <c:crosses val="autoZero"/>
        <c:auto val="1"/>
        <c:lblAlgn val="ctr"/>
        <c:lblOffset val="100"/>
        <c:noMultiLvlLbl val="0"/>
      </c:catAx>
      <c:valAx>
        <c:axId val="1419942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992704"/>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2482432"/>
        <c:axId val="142488320"/>
      </c:barChart>
      <c:catAx>
        <c:axId val="142482432"/>
        <c:scaling>
          <c:orientation val="minMax"/>
        </c:scaling>
        <c:delete val="0"/>
        <c:axPos val="b"/>
        <c:majorTickMark val="out"/>
        <c:minorTickMark val="none"/>
        <c:tickLblPos val="nextTo"/>
        <c:txPr>
          <a:bodyPr/>
          <a:lstStyle/>
          <a:p>
            <a:pPr>
              <a:defRPr lang="es-ES"/>
            </a:pPr>
            <a:endParaRPr lang="es-PE"/>
          </a:p>
        </c:txPr>
        <c:crossAx val="142488320"/>
        <c:crosses val="autoZero"/>
        <c:auto val="1"/>
        <c:lblAlgn val="ctr"/>
        <c:lblOffset val="100"/>
        <c:noMultiLvlLbl val="0"/>
      </c:catAx>
      <c:valAx>
        <c:axId val="1424883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2482432"/>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65" totalsRowShown="0" headerRowDxfId="47" dataDxfId="45" headerRowBorderDxfId="46" tableBorderDxfId="44">
  <autoFilter ref="A2:L465">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20"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20"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0.67567567567567566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12</v>
      </c>
      <c r="D13" s="74"/>
      <c r="E13" s="5">
        <f>COUNTIF(CasoPrueba[[#All],[Estado Testing]],$P$28)</f>
        <v>25</v>
      </c>
      <c r="F13" s="5">
        <f>COUNTIF(CasoPrueba[[#All],[Estado Testing]],$P$29)</f>
        <v>12</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0.67567567567567566</v>
      </c>
      <c r="F14" s="15">
        <f t="shared" si="0"/>
        <v>0.32432432432432434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25</v>
      </c>
      <c r="D18" s="45">
        <f>C18/$C$10</f>
        <v>0.67567567567567566</v>
      </c>
      <c r="E18" s="46">
        <f>COUNTIFS(CasoPrueba[[#All],[Estado Testing]],$P$29,CasoPrueba[[#All],[Prioridad]],$P$17)</f>
        <v>12</v>
      </c>
      <c r="F18" s="47">
        <f>E18/$C$10</f>
        <v>0.32432432432432434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12</v>
      </c>
      <c r="N18" s="53">
        <f>M18/$C$10</f>
        <v>0.32432432432432434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25</v>
      </c>
      <c r="D21" s="63">
        <f t="shared" ref="D21:N21" si="2">SUM(D18:D20)</f>
        <v>0.67567567567567566</v>
      </c>
      <c r="E21" s="62">
        <f t="shared" si="2"/>
        <v>12</v>
      </c>
      <c r="F21" s="63">
        <f t="shared" si="2"/>
        <v>0.32432432432432434</v>
      </c>
      <c r="G21" s="62">
        <f t="shared" si="2"/>
        <v>0</v>
      </c>
      <c r="H21" s="63">
        <f t="shared" si="2"/>
        <v>0</v>
      </c>
      <c r="I21" s="62">
        <f t="shared" si="2"/>
        <v>0</v>
      </c>
      <c r="J21" s="63">
        <f t="shared" si="2"/>
        <v>0</v>
      </c>
      <c r="K21" s="62">
        <f>SUM(K18:K20)</f>
        <v>0</v>
      </c>
      <c r="L21" s="63">
        <f>SUM(L18:L20)</f>
        <v>0</v>
      </c>
      <c r="M21" s="62">
        <f t="shared" si="2"/>
        <v>12</v>
      </c>
      <c r="N21" s="63">
        <f t="shared" si="2"/>
        <v>0.32432432432432434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v>
      </c>
      <c r="D30" s="124">
        <f>C30/$C$10</f>
        <v>5.4054054054054057E-2</v>
      </c>
      <c r="E30" s="125">
        <f>COUNTIFS(Observaciones[[#All],[Estado]],Resumen!$P$24,Observaciones[[#All],[Severidad]],Resumen!$P$11)</f>
        <v>94</v>
      </c>
      <c r="F30" s="124">
        <f>E30/$C$10</f>
        <v>2.5405405405405403</v>
      </c>
      <c r="G30" s="119"/>
      <c r="H30" s="122" t="s">
        <v>33</v>
      </c>
      <c r="I30" s="126">
        <f>COUNTIFS(Observaciones[[#All],[Severidad]],Resumen!$P$11,Observaciones[[#All],[Prioridad]],Resumen!$P$17)</f>
        <v>96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0.1891891891891892</v>
      </c>
      <c r="E31" s="125">
        <f>COUNTIFS(Observaciones[[#All],[Estado]],Resumen!$P$24,Observaciones[[#All],[Severidad]],Resumen!$P$12)</f>
        <v>149</v>
      </c>
      <c r="F31" s="124">
        <f>E31/$C$10</f>
        <v>4.0270270270270272</v>
      </c>
      <c r="G31" s="119"/>
      <c r="H31" s="122" t="s">
        <v>35</v>
      </c>
      <c r="I31" s="126">
        <f>COUNTIFS(Observaciones[[#All],[Severidad]],Resumen!$P$12,Observaciones[[#All],[Prioridad]],Resumen!$P$17)</f>
        <v>156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4</v>
      </c>
      <c r="D32" s="124">
        <f>C32/$C$10</f>
        <v>0.10810810810810811</v>
      </c>
      <c r="E32" s="125">
        <f>COUNTIFS(Observaciones[[#All],[Estado]],Resumen!$P$24,Observaciones[[#All],[Severidad]],Resumen!$P$13)</f>
        <v>97</v>
      </c>
      <c r="F32" s="124">
        <f>E32/$C$10</f>
        <v>2.6216216216216215</v>
      </c>
      <c r="G32" s="119"/>
      <c r="H32" s="122" t="s">
        <v>37</v>
      </c>
      <c r="I32" s="126">
        <f>COUNTIFS(Observaciones[[#All],[Severidad]],Resumen!$P$13,Observaciones[[#All],[Prioridad]],Resumen!$P$17)</f>
        <v>101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110</v>
      </c>
      <c r="F33" s="124">
        <f>E33/$C$10</f>
        <v>2.9729729729729728</v>
      </c>
      <c r="G33" s="119"/>
      <c r="H33" s="122" t="s">
        <v>39</v>
      </c>
      <c r="I33" s="126">
        <f>COUNTIFS(Observaciones[[#All],[Severidad]],Resumen!$P$14,Observaciones[[#All],[Prioridad]],Resumen!$P$17)</f>
        <v>110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13</v>
      </c>
      <c r="D34" s="129">
        <f>SUM(D30:D33)</f>
        <v>0.35135135135135137</v>
      </c>
      <c r="E34" s="128">
        <f>SUM(E30:E33)</f>
        <v>450</v>
      </c>
      <c r="F34" s="129">
        <f>SUM(F30:F33)</f>
        <v>12.162162162162161</v>
      </c>
      <c r="G34" s="119"/>
      <c r="H34" s="122" t="s">
        <v>72</v>
      </c>
      <c r="I34" s="130">
        <f>SUM(I30:I33)</f>
        <v>463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zoomScale="80" zoomScaleNormal="80"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6.8030303030303028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38" zoomScale="91" zoomScaleNormal="91" workbookViewId="0">
      <selection activeCell="D28" sqref="D28"/>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29</v>
      </c>
      <c r="J5" s="90" t="s">
        <v>47</v>
      </c>
      <c r="L5" s="93">
        <f>General!$A$10</f>
        <v>0</v>
      </c>
      <c r="M5" s="93">
        <v>40637</v>
      </c>
      <c r="N5" s="90">
        <v>1</v>
      </c>
      <c r="P5" s="92" t="s">
        <v>1356</v>
      </c>
      <c r="R5" s="102"/>
    </row>
    <row r="6" spans="1:18" ht="22.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29</v>
      </c>
      <c r="J6" s="90" t="s">
        <v>47</v>
      </c>
      <c r="K6" s="90"/>
      <c r="L6" s="93">
        <f>General!$A$10</f>
        <v>0</v>
      </c>
      <c r="M6" s="93"/>
      <c r="N6" s="90"/>
      <c r="O6" s="90"/>
      <c r="P6" s="92" t="s">
        <v>1357</v>
      </c>
      <c r="Q6" s="90"/>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30</v>
      </c>
      <c r="J7" s="90" t="s">
        <v>47</v>
      </c>
      <c r="K7" s="90"/>
      <c r="L7" s="93">
        <f>General!$A$10</f>
        <v>0</v>
      </c>
      <c r="M7" s="93"/>
      <c r="N7" s="90"/>
      <c r="O7" s="90"/>
      <c r="P7" s="92" t="s">
        <v>1358</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1133</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30</v>
      </c>
      <c r="J9" s="90" t="s">
        <v>47</v>
      </c>
      <c r="K9" s="90"/>
      <c r="L9" s="93">
        <f>General!$A$10</f>
        <v>0</v>
      </c>
      <c r="M9" s="93"/>
      <c r="N9" s="90"/>
      <c r="O9" s="90"/>
      <c r="P9" s="92" t="s">
        <v>1359</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1085</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1086</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1087</v>
      </c>
      <c r="Q12" s="90"/>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1360</v>
      </c>
      <c r="Q13" s="90"/>
    </row>
    <row r="14" spans="1:18" ht="4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30</v>
      </c>
      <c r="J14" s="90" t="s">
        <v>47</v>
      </c>
      <c r="K14" s="90"/>
      <c r="L14" s="93">
        <f>General!$A$10</f>
        <v>0</v>
      </c>
      <c r="M14" s="93"/>
      <c r="N14" s="90"/>
      <c r="O14" s="90"/>
      <c r="P14" s="92" t="s">
        <v>1361</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1088</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1089</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1090</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1091</v>
      </c>
      <c r="Q18" s="90"/>
    </row>
    <row r="19" spans="1:17" ht="4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1362</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29</v>
      </c>
      <c r="J22" s="90" t="s">
        <v>47</v>
      </c>
      <c r="K22" s="90"/>
      <c r="L22" s="93">
        <f>General!$A$10</f>
        <v>0</v>
      </c>
      <c r="M22" s="93"/>
      <c r="N22" s="90"/>
      <c r="O22" s="90"/>
      <c r="P22" s="92" t="s">
        <v>1367</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1061</v>
      </c>
      <c r="Q23" s="90"/>
    </row>
    <row r="24" spans="1:17" ht="30">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1368</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883</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884</v>
      </c>
      <c r="Q26" s="90" t="str">
        <f>CONCATENATE(General!$B$7," ",General!$B$6)</f>
        <v>Nicolay García José Ramos Ramírez</v>
      </c>
    </row>
    <row r="27" spans="1:17" ht="33.7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29</v>
      </c>
      <c r="J27" s="90" t="s">
        <v>47</v>
      </c>
      <c r="K27" s="90"/>
      <c r="L27" s="93">
        <f>General!$A$10</f>
        <v>0</v>
      </c>
      <c r="M27" s="93"/>
      <c r="N27" s="90"/>
      <c r="O27" s="90"/>
      <c r="P27" s="92" t="s">
        <v>1369</v>
      </c>
      <c r="Q27" s="90"/>
    </row>
    <row r="28" spans="1:17" ht="33.7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1370</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885</v>
      </c>
      <c r="Q29" s="90" t="str">
        <f>CONCATENATE(General!$B$7," ",General!$B$6)</f>
        <v>Nicolay García José Ramos Ramírez</v>
      </c>
    </row>
    <row r="30" spans="1:17" ht="33.75">
      <c r="A30" s="90" t="s">
        <v>159</v>
      </c>
      <c r="B30" s="168" t="s">
        <v>886</v>
      </c>
      <c r="C30" s="90" t="s">
        <v>170</v>
      </c>
      <c r="D30" s="31" t="s">
        <v>893</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1036</v>
      </c>
      <c r="Q30" s="90"/>
    </row>
    <row r="31" spans="1:17" ht="30">
      <c r="A31" s="90" t="s">
        <v>159</v>
      </c>
      <c r="B31" s="168" t="s">
        <v>887</v>
      </c>
      <c r="C31" s="90" t="s">
        <v>170</v>
      </c>
      <c r="D31" s="31" t="s">
        <v>894</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1037</v>
      </c>
      <c r="Q31" s="90"/>
    </row>
    <row r="32" spans="1:17" ht="56.25">
      <c r="A32" s="90" t="s">
        <v>159</v>
      </c>
      <c r="B32" s="168" t="s">
        <v>888</v>
      </c>
      <c r="C32" s="90" t="s">
        <v>170</v>
      </c>
      <c r="D32" s="31" t="s">
        <v>895</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1062</v>
      </c>
      <c r="Q32" s="90"/>
    </row>
    <row r="33" spans="1:17" ht="168.75">
      <c r="A33" s="90" t="s">
        <v>159</v>
      </c>
      <c r="B33" s="168" t="s">
        <v>889</v>
      </c>
      <c r="C33" s="90" t="s">
        <v>170</v>
      </c>
      <c r="D33" s="31" t="s">
        <v>896</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951</v>
      </c>
      <c r="Q33" s="90" t="str">
        <f>CONCATENATE(General!$B$7," ",General!$B$6)</f>
        <v>Nicolay García José Ramos Ramírez</v>
      </c>
    </row>
    <row r="34" spans="1:17" ht="33.75">
      <c r="A34" s="90" t="s">
        <v>159</v>
      </c>
      <c r="B34" s="168" t="s">
        <v>890</v>
      </c>
      <c r="C34" s="90" t="s">
        <v>170</v>
      </c>
      <c r="D34" s="31" t="s">
        <v>897</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1038</v>
      </c>
      <c r="Q34" s="90"/>
    </row>
    <row r="35" spans="1:17" ht="180">
      <c r="A35" s="90" t="s">
        <v>159</v>
      </c>
      <c r="B35" s="168" t="s">
        <v>891</v>
      </c>
      <c r="C35" s="90" t="s">
        <v>170</v>
      </c>
      <c r="D35" s="31" t="s">
        <v>898</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952</v>
      </c>
      <c r="Q35" s="90" t="str">
        <f>CONCATENATE(General!$B$7," ",General!$B$6)</f>
        <v>Nicolay García José Ramos Ramírez</v>
      </c>
    </row>
    <row r="36" spans="1:17" ht="168.75">
      <c r="A36" s="90" t="s">
        <v>159</v>
      </c>
      <c r="B36" s="168" t="s">
        <v>892</v>
      </c>
      <c r="C36" s="90" t="s">
        <v>170</v>
      </c>
      <c r="D36" s="31" t="s">
        <v>899</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953</v>
      </c>
      <c r="Q36" s="90" t="str">
        <f>CONCATENATE(General!$B$7," ",General!$B$6)</f>
        <v>Nicolay García José Ramos Ramírez</v>
      </c>
    </row>
    <row r="37" spans="1:17" ht="202.5">
      <c r="A37" s="90" t="s">
        <v>159</v>
      </c>
      <c r="B37" s="168" t="s">
        <v>903</v>
      </c>
      <c r="C37" s="90" t="s">
        <v>170</v>
      </c>
      <c r="D37" s="169" t="s">
        <v>900</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1021</v>
      </c>
      <c r="Q37" s="90" t="str">
        <f>CONCATENATE(General!$B$7," ",General!$B$6)</f>
        <v>Nicolay García José Ramos Ramírez</v>
      </c>
    </row>
    <row r="38" spans="1:17" ht="202.5">
      <c r="A38" s="90" t="s">
        <v>159</v>
      </c>
      <c r="B38" s="168" t="s">
        <v>904</v>
      </c>
      <c r="C38" s="90" t="s">
        <v>170</v>
      </c>
      <c r="D38" s="169" t="s">
        <v>901</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1022</v>
      </c>
      <c r="Q38" s="90" t="str">
        <f>CONCATENATE(General!$B$7," ",General!$B$6)</f>
        <v>Nicolay García José Ramos Ramírez</v>
      </c>
    </row>
    <row r="39" spans="1:17" ht="33.75">
      <c r="A39" s="90" t="s">
        <v>159</v>
      </c>
      <c r="B39" s="168" t="s">
        <v>905</v>
      </c>
      <c r="C39" s="90" t="s">
        <v>170</v>
      </c>
      <c r="D39" s="169" t="s">
        <v>902</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29</v>
      </c>
      <c r="J39" s="90" t="s">
        <v>47</v>
      </c>
      <c r="K39" s="168"/>
      <c r="L39" s="172">
        <f>General!$A$10</f>
        <v>0</v>
      </c>
      <c r="M39" s="172"/>
      <c r="N39" s="168"/>
      <c r="O39" s="168"/>
      <c r="P39" s="171" t="s">
        <v>1371</v>
      </c>
      <c r="Q39" s="90" t="str">
        <f>CONCATENATE(General!$B$7," ",General!$B$6)</f>
        <v>Nicolay García José Ramos Ramírez</v>
      </c>
    </row>
    <row r="40" spans="1:17" ht="56.25">
      <c r="A40" s="168" t="s">
        <v>159</v>
      </c>
      <c r="B40" s="168" t="s">
        <v>1182</v>
      </c>
      <c r="C40" s="90" t="s">
        <v>170</v>
      </c>
      <c r="D40" s="169" t="s">
        <v>1092</v>
      </c>
      <c r="E40" s="90" t="s">
        <v>160</v>
      </c>
      <c r="F40" s="91" t="str">
        <f>IF(CasoPrueba[[#This Row],[Estado Testing]]=Resumen!$P$28,"OK",IF(CasoPrueba[[#This Row],[Estado Testing]]=Resumen!$P$29,"NO OK",IF((CasoPrueba[[#This Row],[Estado Testing]]=Resumen!$P$30)+(CasoPrueba[[#This Row],[Estado Testing]]=Resumen!$P$31),"OBSERVADO","")))</f>
        <v>OK</v>
      </c>
      <c r="G40" s="92" t="s">
        <v>19</v>
      </c>
      <c r="H40" s="90" t="s">
        <v>28</v>
      </c>
      <c r="I40" s="92"/>
      <c r="J40" s="90"/>
      <c r="K40" s="168"/>
      <c r="L40" s="172">
        <f>General!$A$10</f>
        <v>0</v>
      </c>
      <c r="M40" s="172"/>
      <c r="N40" s="168"/>
      <c r="O40" s="168"/>
      <c r="P40" s="171" t="s">
        <v>1334</v>
      </c>
      <c r="Q40" s="90"/>
    </row>
    <row r="41" spans="1:17" ht="45">
      <c r="A41" s="168" t="s">
        <v>159</v>
      </c>
      <c r="B41" s="168" t="s">
        <v>1186</v>
      </c>
      <c r="C41" s="90" t="s">
        <v>170</v>
      </c>
      <c r="D41" s="31" t="s">
        <v>1187</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c r="J41" s="90"/>
      <c r="K41" s="168"/>
      <c r="L41" s="172">
        <f>General!$A$10</f>
        <v>0</v>
      </c>
      <c r="M41" s="172"/>
      <c r="N41" s="168"/>
      <c r="O41" s="168"/>
      <c r="P41" s="171" t="s">
        <v>1335</v>
      </c>
      <c r="Q41" s="90"/>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65"/>
  <sheetViews>
    <sheetView tabSelected="1" zoomScale="85" zoomScaleNormal="85" workbookViewId="0">
      <selection activeCell="J454" sqref="J454"/>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954</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955</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954</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956</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954</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985</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985</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963</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964</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962</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957</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958</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959</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960</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961</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985</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985</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985</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886</v>
      </c>
      <c r="C239" s="34" t="str">
        <f>VLOOKUP(Observaciones[Caso de Prueba],CasoPrueba[[#All],[Código CP]:[Prioridad]],7,TRUE)</f>
        <v>Alta</v>
      </c>
      <c r="D239" s="34" t="s">
        <v>162</v>
      </c>
      <c r="E239" s="34" t="s">
        <v>49</v>
      </c>
      <c r="F239" s="73">
        <v>40838</v>
      </c>
      <c r="G239" s="73">
        <v>40843</v>
      </c>
      <c r="H239" s="94" t="s">
        <v>132</v>
      </c>
      <c r="I239" s="34" t="s">
        <v>906</v>
      </c>
      <c r="J239" s="34" t="s">
        <v>965</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886</v>
      </c>
      <c r="C240" s="34" t="str">
        <f>VLOOKUP(Observaciones[Caso de Prueba],CasoPrueba[[#All],[Código CP]:[Prioridad]],7,TRUE)</f>
        <v>Alta</v>
      </c>
      <c r="D240" s="34" t="s">
        <v>162</v>
      </c>
      <c r="E240" s="34" t="s">
        <v>49</v>
      </c>
      <c r="F240" s="73">
        <v>40838</v>
      </c>
      <c r="G240" s="73">
        <v>40843</v>
      </c>
      <c r="H240" s="94" t="s">
        <v>132</v>
      </c>
      <c r="I240" s="34" t="s">
        <v>907</v>
      </c>
      <c r="J240" s="34" t="s">
        <v>966</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886</v>
      </c>
      <c r="C241" s="34" t="str">
        <f>VLOOKUP(Observaciones[Caso de Prueba],CasoPrueba[[#All],[Código CP]:[Prioridad]],7,TRUE)</f>
        <v>Alta</v>
      </c>
      <c r="D241" s="34" t="s">
        <v>162</v>
      </c>
      <c r="E241" s="34" t="s">
        <v>49</v>
      </c>
      <c r="F241" s="73">
        <v>40838</v>
      </c>
      <c r="G241" s="73">
        <v>40843</v>
      </c>
      <c r="H241" s="94" t="s">
        <v>132</v>
      </c>
      <c r="I241" s="34" t="s">
        <v>908</v>
      </c>
      <c r="J241" s="34" t="s">
        <v>967</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886</v>
      </c>
      <c r="C242" s="34" t="str">
        <f>VLOOKUP(Observaciones[Caso de Prueba],CasoPrueba[[#All],[Código CP]:[Prioridad]],7,TRUE)</f>
        <v>Alta</v>
      </c>
      <c r="D242" s="34" t="s">
        <v>162</v>
      </c>
      <c r="E242" s="34" t="s">
        <v>49</v>
      </c>
      <c r="F242" s="73">
        <v>40838</v>
      </c>
      <c r="G242" s="73">
        <v>40843</v>
      </c>
      <c r="H242" s="94" t="s">
        <v>132</v>
      </c>
      <c r="I242" s="34" t="s">
        <v>916</v>
      </c>
      <c r="J242" s="34" t="s">
        <v>968</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886</v>
      </c>
      <c r="C243" s="34" t="str">
        <f>VLOOKUP(Observaciones[Caso de Prueba],CasoPrueba[[#All],[Código CP]:[Prioridad]],7,TRUE)</f>
        <v>Alta</v>
      </c>
      <c r="D243" s="34" t="s">
        <v>28</v>
      </c>
      <c r="E243" s="34" t="s">
        <v>49</v>
      </c>
      <c r="F243" s="73">
        <v>40838</v>
      </c>
      <c r="G243" s="73">
        <v>40843</v>
      </c>
      <c r="H243" s="94" t="s">
        <v>132</v>
      </c>
      <c r="I243" s="34" t="s">
        <v>597</v>
      </c>
      <c r="J243" s="34" t="s">
        <v>969</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886</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886</v>
      </c>
      <c r="C245" s="34" t="str">
        <f>VLOOKUP(Observaciones[Caso de Prueba],CasoPrueba[[#All],[Código CP]:[Prioridad]],7,TRUE)</f>
        <v>Alta</v>
      </c>
      <c r="D245" s="34" t="s">
        <v>162</v>
      </c>
      <c r="E245" s="34" t="s">
        <v>49</v>
      </c>
      <c r="F245" s="73">
        <v>40838</v>
      </c>
      <c r="G245" s="73">
        <v>40843</v>
      </c>
      <c r="H245" s="94" t="s">
        <v>132</v>
      </c>
      <c r="I245" s="34" t="s">
        <v>909</v>
      </c>
      <c r="J245" s="34" t="s">
        <v>970</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886</v>
      </c>
      <c r="C246" s="34" t="str">
        <f>VLOOKUP(Observaciones[Caso de Prueba],CasoPrueba[[#All],[Código CP]:[Prioridad]],7,TRUE)</f>
        <v>Alta</v>
      </c>
      <c r="D246" s="34" t="s">
        <v>29</v>
      </c>
      <c r="E246" s="34" t="s">
        <v>49</v>
      </c>
      <c r="F246" s="73">
        <v>40838</v>
      </c>
      <c r="G246" s="73">
        <v>40843</v>
      </c>
      <c r="H246" s="94" t="s">
        <v>132</v>
      </c>
      <c r="I246" s="34" t="s">
        <v>910</v>
      </c>
      <c r="J246" s="34" t="s">
        <v>971</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886</v>
      </c>
      <c r="C247" s="34" t="str">
        <f>VLOOKUP(Observaciones[Caso de Prueba],CasoPrueba[[#All],[Código CP]:[Prioridad]],7,TRUE)</f>
        <v>Alta</v>
      </c>
      <c r="D247" s="34" t="s">
        <v>162</v>
      </c>
      <c r="E247" s="34" t="s">
        <v>49</v>
      </c>
      <c r="F247" s="73">
        <v>40838</v>
      </c>
      <c r="G247" s="73">
        <v>40843</v>
      </c>
      <c r="H247" s="94" t="s">
        <v>132</v>
      </c>
      <c r="I247" s="34" t="s">
        <v>911</v>
      </c>
      <c r="J247" s="34" t="s">
        <v>967</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886</v>
      </c>
      <c r="C248" s="34" t="str">
        <f>VLOOKUP(Observaciones[Caso de Prueba],CasoPrueba[[#All],[Código CP]:[Prioridad]],7,TRUE)</f>
        <v>Alta</v>
      </c>
      <c r="D248" s="34" t="s">
        <v>29</v>
      </c>
      <c r="E248" s="34" t="s">
        <v>49</v>
      </c>
      <c r="F248" s="73">
        <v>40838</v>
      </c>
      <c r="G248" s="73">
        <v>40843</v>
      </c>
      <c r="H248" s="94" t="s">
        <v>132</v>
      </c>
      <c r="I248" s="34" t="s">
        <v>912</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886</v>
      </c>
      <c r="C249" s="34" t="str">
        <f>VLOOKUP(Observaciones[Caso de Prueba],CasoPrueba[[#All],[Código CP]:[Prioridad]],7,TRUE)</f>
        <v>Alta</v>
      </c>
      <c r="D249" s="34" t="s">
        <v>29</v>
      </c>
      <c r="E249" s="34" t="s">
        <v>49</v>
      </c>
      <c r="F249" s="73">
        <v>40838</v>
      </c>
      <c r="G249" s="73">
        <v>40843</v>
      </c>
      <c r="H249" s="94" t="s">
        <v>132</v>
      </c>
      <c r="I249" s="34" t="s">
        <v>1034</v>
      </c>
      <c r="J249" s="34" t="s">
        <v>972</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886</v>
      </c>
      <c r="C250" s="34" t="str">
        <f>VLOOKUP(Observaciones[Caso de Prueba],CasoPrueba[[#All],[Código CP]:[Prioridad]],7,TRUE)</f>
        <v>Alta</v>
      </c>
      <c r="D250" s="34" t="s">
        <v>162</v>
      </c>
      <c r="E250" s="34" t="s">
        <v>49</v>
      </c>
      <c r="F250" s="73">
        <v>40838</v>
      </c>
      <c r="G250" s="73">
        <v>40843</v>
      </c>
      <c r="H250" s="94" t="s">
        <v>132</v>
      </c>
      <c r="I250" s="34" t="s">
        <v>913</v>
      </c>
      <c r="J250" s="34" t="s">
        <v>967</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886</v>
      </c>
      <c r="C251" s="34" t="str">
        <f>VLOOKUP(Observaciones[Caso de Prueba],CasoPrueba[[#All],[Código CP]:[Prioridad]],7,TRUE)</f>
        <v>Alta</v>
      </c>
      <c r="D251" s="34" t="s">
        <v>162</v>
      </c>
      <c r="E251" s="34" t="s">
        <v>49</v>
      </c>
      <c r="F251" s="73">
        <v>40838</v>
      </c>
      <c r="G251" s="73">
        <v>40843</v>
      </c>
      <c r="H251" s="94" t="s">
        <v>132</v>
      </c>
      <c r="I251" s="34" t="s">
        <v>914</v>
      </c>
      <c r="J251" s="34" t="s">
        <v>967</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886</v>
      </c>
      <c r="C252" s="34" t="str">
        <f>VLOOKUP(Observaciones[Caso de Prueba],CasoPrueba[[#All],[Código CP]:[Prioridad]],7,TRUE)</f>
        <v>Alta</v>
      </c>
      <c r="D252" s="34" t="s">
        <v>29</v>
      </c>
      <c r="E252" s="34" t="s">
        <v>49</v>
      </c>
      <c r="F252" s="73">
        <v>40838</v>
      </c>
      <c r="G252" s="73">
        <v>40843</v>
      </c>
      <c r="H252" s="94" t="s">
        <v>132</v>
      </c>
      <c r="I252" s="34" t="s">
        <v>915</v>
      </c>
      <c r="J252" s="34" t="s">
        <v>973</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887</v>
      </c>
      <c r="C253" s="34" t="str">
        <f>VLOOKUP(Observaciones[Caso de Prueba],CasoPrueba[[#All],[Código CP]:[Prioridad]],7,TRUE)</f>
        <v>Alta</v>
      </c>
      <c r="D253" s="34" t="s">
        <v>28</v>
      </c>
      <c r="E253" s="34" t="s">
        <v>49</v>
      </c>
      <c r="F253" s="73">
        <v>40838</v>
      </c>
      <c r="G253" s="73">
        <v>40843</v>
      </c>
      <c r="H253" s="94" t="s">
        <v>132</v>
      </c>
      <c r="I253" s="34" t="s">
        <v>597</v>
      </c>
      <c r="J253" s="34" t="s">
        <v>974</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887</v>
      </c>
      <c r="C254" s="34" t="str">
        <f>VLOOKUP(Observaciones[Caso de Prueba],CasoPrueba[[#All],[Código CP]:[Prioridad]],7,TRUE)</f>
        <v>Alta</v>
      </c>
      <c r="D254" s="34" t="s">
        <v>162</v>
      </c>
      <c r="E254" s="34" t="s">
        <v>49</v>
      </c>
      <c r="F254" s="73">
        <v>40838</v>
      </c>
      <c r="G254" s="73">
        <v>40843</v>
      </c>
      <c r="H254" s="94" t="s">
        <v>132</v>
      </c>
      <c r="I254" s="34" t="s">
        <v>917</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887</v>
      </c>
      <c r="C255" s="34" t="str">
        <f>VLOOKUP(Observaciones[Caso de Prueba],CasoPrueba[[#All],[Código CP]:[Prioridad]],7,TRUE)</f>
        <v>Alta</v>
      </c>
      <c r="D255" s="34" t="s">
        <v>162</v>
      </c>
      <c r="E255" s="34" t="s">
        <v>49</v>
      </c>
      <c r="F255" s="73">
        <v>40838</v>
      </c>
      <c r="G255" s="73">
        <v>40843</v>
      </c>
      <c r="H255" s="94" t="s">
        <v>132</v>
      </c>
      <c r="I255" s="34" t="s">
        <v>918</v>
      </c>
      <c r="J255" s="34" t="s">
        <v>975</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887</v>
      </c>
      <c r="C256" s="34" t="str">
        <f>VLOOKUP(Observaciones[Caso de Prueba],CasoPrueba[[#All],[Código CP]:[Prioridad]],7,TRUE)</f>
        <v>Alta</v>
      </c>
      <c r="D256" s="34" t="s">
        <v>29</v>
      </c>
      <c r="E256" s="34" t="s">
        <v>49</v>
      </c>
      <c r="F256" s="73">
        <v>40838</v>
      </c>
      <c r="G256" s="73">
        <v>40843</v>
      </c>
      <c r="H256" s="94" t="s">
        <v>132</v>
      </c>
      <c r="I256" s="34" t="s">
        <v>599</v>
      </c>
      <c r="J256" s="34" t="s">
        <v>980</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887</v>
      </c>
      <c r="C257" s="34" t="str">
        <f>VLOOKUP(Observaciones[Caso de Prueba],CasoPrueba[[#All],[Código CP]:[Prioridad]],7,TRUE)</f>
        <v>Alta</v>
      </c>
      <c r="D257" s="34" t="s">
        <v>28</v>
      </c>
      <c r="E257" s="34" t="s">
        <v>49</v>
      </c>
      <c r="F257" s="73">
        <v>40838</v>
      </c>
      <c r="G257" s="73">
        <v>40843</v>
      </c>
      <c r="H257" s="94" t="s">
        <v>132</v>
      </c>
      <c r="I257" s="34" t="s">
        <v>871</v>
      </c>
      <c r="J257" s="34" t="s">
        <v>976</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887</v>
      </c>
      <c r="C258" s="34" t="str">
        <f>VLOOKUP(Observaciones[Caso de Prueba],CasoPrueba[[#All],[Código CP]:[Prioridad]],7,TRUE)</f>
        <v>Alta</v>
      </c>
      <c r="D258" s="34" t="s">
        <v>28</v>
      </c>
      <c r="E258" s="34" t="s">
        <v>49</v>
      </c>
      <c r="F258" s="73">
        <v>40838</v>
      </c>
      <c r="G258" s="73">
        <v>40843</v>
      </c>
      <c r="H258" s="94" t="s">
        <v>132</v>
      </c>
      <c r="I258" s="34" t="s">
        <v>919</v>
      </c>
      <c r="J258" s="34" t="s">
        <v>981</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887</v>
      </c>
      <c r="C259" s="34" t="str">
        <f>VLOOKUP(Observaciones[Caso de Prueba],CasoPrueba[[#All],[Código CP]:[Prioridad]],7,TRUE)</f>
        <v>Alta</v>
      </c>
      <c r="D259" s="34" t="s">
        <v>29</v>
      </c>
      <c r="E259" s="34" t="s">
        <v>49</v>
      </c>
      <c r="F259" s="73">
        <v>40838</v>
      </c>
      <c r="G259" s="73">
        <v>40843</v>
      </c>
      <c r="H259" s="94" t="s">
        <v>132</v>
      </c>
      <c r="I259" s="34" t="s">
        <v>920</v>
      </c>
      <c r="J259" s="34" t="s">
        <v>977</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887</v>
      </c>
      <c r="C260" s="34" t="str">
        <f>VLOOKUP(Observaciones[Caso de Prueba],CasoPrueba[[#All],[Código CP]:[Prioridad]],7,TRUE)</f>
        <v>Alta</v>
      </c>
      <c r="D260" s="34" t="s">
        <v>29</v>
      </c>
      <c r="E260" s="34" t="s">
        <v>49</v>
      </c>
      <c r="F260" s="73">
        <v>40838</v>
      </c>
      <c r="G260" s="73">
        <v>40843</v>
      </c>
      <c r="H260" s="94" t="s">
        <v>132</v>
      </c>
      <c r="I260" s="34" t="s">
        <v>921</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887</v>
      </c>
      <c r="C261" s="34" t="str">
        <f>VLOOKUP(Observaciones[Caso de Prueba],CasoPrueba[[#All],[Código CP]:[Prioridad]],7,TRUE)</f>
        <v>Alta</v>
      </c>
      <c r="D261" s="34" t="s">
        <v>162</v>
      </c>
      <c r="E261" s="34" t="s">
        <v>49</v>
      </c>
      <c r="F261" s="73">
        <v>40838</v>
      </c>
      <c r="G261" s="73">
        <v>40843</v>
      </c>
      <c r="H261" s="94" t="s">
        <v>132</v>
      </c>
      <c r="I261" s="34" t="s">
        <v>922</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887</v>
      </c>
      <c r="C262" s="34" t="str">
        <f>VLOOKUP(Observaciones[Caso de Prueba],CasoPrueba[[#All],[Código CP]:[Prioridad]],7,TRUE)</f>
        <v>Alta</v>
      </c>
      <c r="D262" s="34" t="s">
        <v>29</v>
      </c>
      <c r="E262" s="34" t="s">
        <v>49</v>
      </c>
      <c r="F262" s="73">
        <v>40838</v>
      </c>
      <c r="G262" s="73">
        <v>40843</v>
      </c>
      <c r="H262" s="94" t="s">
        <v>132</v>
      </c>
      <c r="I262" s="34" t="s">
        <v>924</v>
      </c>
      <c r="J262" s="34" t="s">
        <v>978</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887</v>
      </c>
      <c r="C263" s="34" t="str">
        <f>VLOOKUP(Observaciones[Caso de Prueba],CasoPrueba[[#All],[Código CP]:[Prioridad]],7,TRUE)</f>
        <v>Alta</v>
      </c>
      <c r="D263" s="34" t="s">
        <v>29</v>
      </c>
      <c r="E263" s="34" t="s">
        <v>49</v>
      </c>
      <c r="F263" s="73">
        <v>40838</v>
      </c>
      <c r="G263" s="73">
        <v>40843</v>
      </c>
      <c r="H263" s="94" t="s">
        <v>132</v>
      </c>
      <c r="I263" s="34" t="s">
        <v>923</v>
      </c>
      <c r="J263" s="34" t="s">
        <v>979</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888</v>
      </c>
      <c r="C264" s="34" t="str">
        <f>VLOOKUP(Observaciones[Caso de Prueba],CasoPrueba[[#All],[Código CP]:[Prioridad]],7,TRUE)</f>
        <v>Alta</v>
      </c>
      <c r="D264" s="34" t="s">
        <v>162</v>
      </c>
      <c r="E264" s="34" t="s">
        <v>49</v>
      </c>
      <c r="F264" s="73">
        <v>40838</v>
      </c>
      <c r="G264" s="73">
        <v>40843</v>
      </c>
      <c r="H264" s="94" t="s">
        <v>132</v>
      </c>
      <c r="I264" s="34" t="s">
        <v>925</v>
      </c>
      <c r="J264" s="34" t="s">
        <v>986</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888</v>
      </c>
      <c r="C265" s="34" t="str">
        <f>VLOOKUP(Observaciones[Caso de Prueba],CasoPrueba[[#All],[Código CP]:[Prioridad]],7,TRUE)</f>
        <v>Alta</v>
      </c>
      <c r="D265" s="34" t="s">
        <v>162</v>
      </c>
      <c r="E265" s="34" t="s">
        <v>49</v>
      </c>
      <c r="F265" s="73">
        <v>40838</v>
      </c>
      <c r="G265" s="73">
        <v>40843</v>
      </c>
      <c r="H265" s="94" t="s">
        <v>132</v>
      </c>
      <c r="I265" s="34" t="s">
        <v>930</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888</v>
      </c>
      <c r="C266" s="34" t="str">
        <f>VLOOKUP(Observaciones[Caso de Prueba],CasoPrueba[[#All],[Código CP]:[Prioridad]],7,TRUE)</f>
        <v>Alta</v>
      </c>
      <c r="D266" s="34" t="s">
        <v>30</v>
      </c>
      <c r="E266" s="34" t="s">
        <v>49</v>
      </c>
      <c r="F266" s="73">
        <v>40838</v>
      </c>
      <c r="G266" s="73">
        <v>40843</v>
      </c>
      <c r="H266" s="94" t="s">
        <v>132</v>
      </c>
      <c r="I266" s="34" t="s">
        <v>931</v>
      </c>
      <c r="J266" s="34" t="s">
        <v>989</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888</v>
      </c>
      <c r="C267" s="34" t="str">
        <f>VLOOKUP(Observaciones[Caso de Prueba],CasoPrueba[[#All],[Código CP]:[Prioridad]],7,TRUE)</f>
        <v>Alta</v>
      </c>
      <c r="D267" s="34" t="s">
        <v>162</v>
      </c>
      <c r="E267" s="34" t="s">
        <v>49</v>
      </c>
      <c r="F267" s="73">
        <v>40838</v>
      </c>
      <c r="G267" s="73">
        <v>40843</v>
      </c>
      <c r="H267" s="94" t="s">
        <v>132</v>
      </c>
      <c r="I267" s="34" t="s">
        <v>926</v>
      </c>
      <c r="J267" s="34" t="s">
        <v>987</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888</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888</v>
      </c>
      <c r="C269" s="34" t="str">
        <f>VLOOKUP(Observaciones[Caso de Prueba],CasoPrueba[[#All],[Código CP]:[Prioridad]],7,TRUE)</f>
        <v>Alta</v>
      </c>
      <c r="D269" s="34" t="s">
        <v>28</v>
      </c>
      <c r="E269" s="34" t="s">
        <v>49</v>
      </c>
      <c r="F269" s="73">
        <v>40838</v>
      </c>
      <c r="G269" s="73">
        <v>40843</v>
      </c>
      <c r="H269" s="94" t="s">
        <v>132</v>
      </c>
      <c r="I269" s="34" t="s">
        <v>871</v>
      </c>
      <c r="J269" s="34" t="s">
        <v>985</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888</v>
      </c>
      <c r="C270" s="34" t="str">
        <f>VLOOKUP(Observaciones[Caso de Prueba],CasoPrueba[[#All],[Código CP]:[Prioridad]],7,TRUE)</f>
        <v>Alta</v>
      </c>
      <c r="D270" s="34" t="s">
        <v>28</v>
      </c>
      <c r="E270" s="34" t="s">
        <v>49</v>
      </c>
      <c r="F270" s="73">
        <v>40838</v>
      </c>
      <c r="G270" s="73">
        <v>40843</v>
      </c>
      <c r="H270" s="94" t="s">
        <v>132</v>
      </c>
      <c r="I270" s="34" t="s">
        <v>927</v>
      </c>
      <c r="J270" s="34" t="s">
        <v>994</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888</v>
      </c>
      <c r="C271" s="34" t="str">
        <f>VLOOKUP(Observaciones[Caso de Prueba],CasoPrueba[[#All],[Código CP]:[Prioridad]],7,TRUE)</f>
        <v>Alta</v>
      </c>
      <c r="D271" s="34" t="s">
        <v>29</v>
      </c>
      <c r="E271" s="34" t="s">
        <v>49</v>
      </c>
      <c r="F271" s="73">
        <v>40838</v>
      </c>
      <c r="G271" s="73">
        <v>40843</v>
      </c>
      <c r="H271" s="94" t="s">
        <v>132</v>
      </c>
      <c r="I271" s="34" t="s">
        <v>928</v>
      </c>
      <c r="J271" s="34" t="s">
        <v>991</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888</v>
      </c>
      <c r="C272" s="34" t="str">
        <f>VLOOKUP(Observaciones[Caso de Prueba],CasoPrueba[[#All],[Código CP]:[Prioridad]],7,TRUE)</f>
        <v>Alta</v>
      </c>
      <c r="D272" s="34" t="s">
        <v>29</v>
      </c>
      <c r="E272" s="34" t="s">
        <v>49</v>
      </c>
      <c r="F272" s="73">
        <v>40838</v>
      </c>
      <c r="G272" s="73">
        <v>40843</v>
      </c>
      <c r="H272" s="94" t="s">
        <v>132</v>
      </c>
      <c r="I272" s="34" t="s">
        <v>929</v>
      </c>
      <c r="J272" s="34" t="s">
        <v>992</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888</v>
      </c>
      <c r="C273" s="34" t="str">
        <f>VLOOKUP(Observaciones[Caso de Prueba],CasoPrueba[[#All],[Código CP]:[Prioridad]],7,TRUE)</f>
        <v>Alta</v>
      </c>
      <c r="D273" s="34" t="s">
        <v>30</v>
      </c>
      <c r="E273" s="34" t="s">
        <v>49</v>
      </c>
      <c r="F273" s="73">
        <v>40838</v>
      </c>
      <c r="G273" s="73">
        <v>40843</v>
      </c>
      <c r="H273" s="94" t="s">
        <v>132</v>
      </c>
      <c r="I273" s="34" t="s">
        <v>932</v>
      </c>
      <c r="J273" s="34" t="s">
        <v>990</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888</v>
      </c>
      <c r="C274" s="34" t="str">
        <f>VLOOKUP(Observaciones[Caso de Prueba],CasoPrueba[[#All],[Código CP]:[Prioridad]],7,TRUE)</f>
        <v>Alta</v>
      </c>
      <c r="D274" s="34" t="s">
        <v>29</v>
      </c>
      <c r="E274" s="34" t="s">
        <v>49</v>
      </c>
      <c r="F274" s="73">
        <v>40838</v>
      </c>
      <c r="G274" s="73">
        <v>40843</v>
      </c>
      <c r="H274" s="94" t="s">
        <v>132</v>
      </c>
      <c r="I274" s="34" t="s">
        <v>933</v>
      </c>
      <c r="J274" s="34" t="s">
        <v>993</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888</v>
      </c>
      <c r="C275" s="34" t="str">
        <f>VLOOKUP(Observaciones[Caso de Prueba],CasoPrueba[[#All],[Código CP]:[Prioridad]],7,TRUE)</f>
        <v>Alta</v>
      </c>
      <c r="D275" s="34" t="s">
        <v>30</v>
      </c>
      <c r="E275" s="34" t="s">
        <v>49</v>
      </c>
      <c r="F275" s="73">
        <v>40838</v>
      </c>
      <c r="G275" s="73">
        <v>40843</v>
      </c>
      <c r="H275" s="94" t="s">
        <v>132</v>
      </c>
      <c r="I275" s="34" t="s">
        <v>934</v>
      </c>
      <c r="J275" s="34" t="s">
        <v>990</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888</v>
      </c>
      <c r="C276" s="34" t="str">
        <f>VLOOKUP(Observaciones[Caso de Prueba],CasoPrueba[[#All],[Código CP]:[Prioridad]],7,TRUE)</f>
        <v>Alta</v>
      </c>
      <c r="D276" s="34" t="s">
        <v>162</v>
      </c>
      <c r="E276" s="34" t="s">
        <v>49</v>
      </c>
      <c r="F276" s="73">
        <v>40838</v>
      </c>
      <c r="G276" s="73">
        <v>40843</v>
      </c>
      <c r="H276" s="94" t="s">
        <v>132</v>
      </c>
      <c r="I276" s="34" t="s">
        <v>935</v>
      </c>
      <c r="J276" s="34" t="s">
        <v>988</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889</v>
      </c>
      <c r="C277" s="34" t="str">
        <f>VLOOKUP(Observaciones[Caso de Prueba],CasoPrueba[[#All],[Código CP]:[Prioridad]],7,TRUE)</f>
        <v>Alta</v>
      </c>
      <c r="D277" s="34" t="s">
        <v>28</v>
      </c>
      <c r="E277" s="34" t="s">
        <v>49</v>
      </c>
      <c r="F277" s="73">
        <v>40838</v>
      </c>
      <c r="G277" s="73">
        <v>40843</v>
      </c>
      <c r="H277" s="94" t="s">
        <v>132</v>
      </c>
      <c r="I277" s="34" t="s">
        <v>597</v>
      </c>
      <c r="J277" s="34" t="s">
        <v>985</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889</v>
      </c>
      <c r="C278" s="34" t="str">
        <f>VLOOKUP(Observaciones[Caso de Prueba],CasoPrueba[[#All],[Código CP]:[Prioridad]],7,TRUE)</f>
        <v>Alta</v>
      </c>
      <c r="D278" s="34" t="s">
        <v>162</v>
      </c>
      <c r="E278" s="34" t="s">
        <v>49</v>
      </c>
      <c r="F278" s="73">
        <v>40838</v>
      </c>
      <c r="G278" s="73">
        <v>40843</v>
      </c>
      <c r="H278" s="94" t="s">
        <v>132</v>
      </c>
      <c r="I278" s="34" t="s">
        <v>925</v>
      </c>
      <c r="J278" s="34" t="s">
        <v>986</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889</v>
      </c>
      <c r="C279" s="34" t="str">
        <f>VLOOKUP(Observaciones[Caso de Prueba],CasoPrueba[[#All],[Código CP]:[Prioridad]],7,TRUE)</f>
        <v>Alta</v>
      </c>
      <c r="D279" s="34" t="s">
        <v>29</v>
      </c>
      <c r="E279" s="34" t="s">
        <v>49</v>
      </c>
      <c r="F279" s="73">
        <v>40838</v>
      </c>
      <c r="G279" s="73">
        <v>40843</v>
      </c>
      <c r="H279" s="94" t="s">
        <v>132</v>
      </c>
      <c r="I279" s="34" t="s">
        <v>599</v>
      </c>
      <c r="J279" s="34" t="s">
        <v>995</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889</v>
      </c>
      <c r="C280" s="34" t="str">
        <f>VLOOKUP(Observaciones[Caso de Prueba],CasoPrueba[[#All],[Código CP]:[Prioridad]],7,TRUE)</f>
        <v>Alta</v>
      </c>
      <c r="D280" s="34" t="s">
        <v>28</v>
      </c>
      <c r="E280" s="34" t="s">
        <v>49</v>
      </c>
      <c r="F280" s="73">
        <v>40838</v>
      </c>
      <c r="G280" s="73">
        <v>40843</v>
      </c>
      <c r="H280" s="94" t="s">
        <v>132</v>
      </c>
      <c r="I280" s="34" t="s">
        <v>871</v>
      </c>
      <c r="J280" s="34" t="s">
        <v>997</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889</v>
      </c>
      <c r="C281" s="34" t="str">
        <f>VLOOKUP(Observaciones[Caso de Prueba],CasoPrueba[[#All],[Código CP]:[Prioridad]],7,TRUE)</f>
        <v>Alta</v>
      </c>
      <c r="D281" s="34" t="s">
        <v>162</v>
      </c>
      <c r="E281" s="34" t="s">
        <v>49</v>
      </c>
      <c r="F281" s="73">
        <v>40840</v>
      </c>
      <c r="G281" s="73">
        <v>40843</v>
      </c>
      <c r="H281" s="94" t="s">
        <v>132</v>
      </c>
      <c r="I281" s="34" t="s">
        <v>936</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889</v>
      </c>
      <c r="C282" s="34" t="str">
        <f>VLOOKUP(Observaciones[Caso de Prueba],CasoPrueba[[#All],[Código CP]:[Prioridad]],7,TRUE)</f>
        <v>Alta</v>
      </c>
      <c r="D282" s="34" t="s">
        <v>29</v>
      </c>
      <c r="E282" s="34" t="s">
        <v>49</v>
      </c>
      <c r="F282" s="73">
        <v>40840</v>
      </c>
      <c r="G282" s="73">
        <v>40843</v>
      </c>
      <c r="H282" s="94" t="s">
        <v>132</v>
      </c>
      <c r="I282" s="34" t="s">
        <v>937</v>
      </c>
      <c r="J282" s="34" t="s">
        <v>996</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890</v>
      </c>
      <c r="C283" s="34" t="str">
        <f>VLOOKUP(Observaciones[Caso de Prueba],CasoPrueba[[#All],[Código CP]:[Prioridad]],7,TRUE)</f>
        <v>Alta</v>
      </c>
      <c r="D283" s="34" t="s">
        <v>28</v>
      </c>
      <c r="E283" s="34" t="s">
        <v>49</v>
      </c>
      <c r="F283" s="73">
        <v>40840</v>
      </c>
      <c r="G283" s="73">
        <v>40843</v>
      </c>
      <c r="H283" s="94" t="s">
        <v>132</v>
      </c>
      <c r="I283" s="34" t="s">
        <v>597</v>
      </c>
      <c r="J283" s="34" t="s">
        <v>1001</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890</v>
      </c>
      <c r="C284" s="34" t="str">
        <f>VLOOKUP(Observaciones[Caso de Prueba],CasoPrueba[[#All],[Código CP]:[Prioridad]],7,TRUE)</f>
        <v>Alta</v>
      </c>
      <c r="D284" s="34" t="s">
        <v>162</v>
      </c>
      <c r="E284" s="34" t="s">
        <v>49</v>
      </c>
      <c r="F284" s="73">
        <v>40840</v>
      </c>
      <c r="G284" s="73">
        <v>40843</v>
      </c>
      <c r="H284" s="94" t="s">
        <v>132</v>
      </c>
      <c r="I284" s="34" t="s">
        <v>925</v>
      </c>
      <c r="J284" s="34" t="s">
        <v>986</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890</v>
      </c>
      <c r="C285" s="34" t="str">
        <f>VLOOKUP(Observaciones[Caso de Prueba],CasoPrueba[[#All],[Código CP]:[Prioridad]],7,TRUE)</f>
        <v>Alta</v>
      </c>
      <c r="D285" s="34" t="s">
        <v>29</v>
      </c>
      <c r="E285" s="34" t="s">
        <v>49</v>
      </c>
      <c r="F285" s="73">
        <v>40840</v>
      </c>
      <c r="G285" s="73">
        <v>40843</v>
      </c>
      <c r="H285" s="94" t="s">
        <v>132</v>
      </c>
      <c r="I285" s="34" t="s">
        <v>599</v>
      </c>
      <c r="J285" s="34" t="s">
        <v>995</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890</v>
      </c>
      <c r="C286" s="34" t="str">
        <f>VLOOKUP(Observaciones[Caso de Prueba],CasoPrueba[[#All],[Código CP]:[Prioridad]],7,TRUE)</f>
        <v>Alta</v>
      </c>
      <c r="D286" s="34" t="s">
        <v>28</v>
      </c>
      <c r="E286" s="34" t="s">
        <v>49</v>
      </c>
      <c r="F286" s="73">
        <v>40840</v>
      </c>
      <c r="G286" s="73">
        <v>40843</v>
      </c>
      <c r="H286" s="94" t="s">
        <v>132</v>
      </c>
      <c r="I286" s="34" t="s">
        <v>871</v>
      </c>
      <c r="J286" s="34" t="s">
        <v>1000</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890</v>
      </c>
      <c r="C287" s="34" t="str">
        <f>VLOOKUP(Observaciones[Caso de Prueba],CasoPrueba[[#All],[Código CP]:[Prioridad]],7,TRUE)</f>
        <v>Alta</v>
      </c>
      <c r="D287" s="34" t="s">
        <v>162</v>
      </c>
      <c r="E287" s="34" t="s">
        <v>49</v>
      </c>
      <c r="F287" s="73">
        <v>40840</v>
      </c>
      <c r="G287" s="73">
        <v>40843</v>
      </c>
      <c r="H287" s="94" t="s">
        <v>132</v>
      </c>
      <c r="I287" s="34" t="s">
        <v>938</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890</v>
      </c>
      <c r="C288" s="34" t="str">
        <f>VLOOKUP(Observaciones[Caso de Prueba],CasoPrueba[[#All],[Código CP]:[Prioridad]],7,TRUE)</f>
        <v>Alta</v>
      </c>
      <c r="D288" s="34" t="s">
        <v>162</v>
      </c>
      <c r="E288" s="34" t="s">
        <v>49</v>
      </c>
      <c r="F288" s="73">
        <v>40840</v>
      </c>
      <c r="G288" s="73">
        <v>40843</v>
      </c>
      <c r="H288" s="94" t="s">
        <v>132</v>
      </c>
      <c r="I288" s="34" t="s">
        <v>939</v>
      </c>
      <c r="J288" s="34" t="s">
        <v>981</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890</v>
      </c>
      <c r="C289" s="34" t="str">
        <f>VLOOKUP(Observaciones[Caso de Prueba],CasoPrueba[[#All],[Código CP]:[Prioridad]],7,TRUE)</f>
        <v>Alta</v>
      </c>
      <c r="D289" s="34" t="s">
        <v>162</v>
      </c>
      <c r="E289" s="34" t="s">
        <v>49</v>
      </c>
      <c r="F289" s="73">
        <v>40840</v>
      </c>
      <c r="G289" s="73">
        <v>40843</v>
      </c>
      <c r="H289" s="94" t="s">
        <v>132</v>
      </c>
      <c r="I289" s="34" t="s">
        <v>940</v>
      </c>
      <c r="J289" s="34" t="s">
        <v>998</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890</v>
      </c>
      <c r="C290" s="34" t="str">
        <f>VLOOKUP(Observaciones[Caso de Prueba],CasoPrueba[[#All],[Código CP]:[Prioridad]],7,TRUE)</f>
        <v>Alta</v>
      </c>
      <c r="D290" s="34" t="s">
        <v>29</v>
      </c>
      <c r="E290" s="34" t="s">
        <v>49</v>
      </c>
      <c r="F290" s="73">
        <v>40840</v>
      </c>
      <c r="G290" s="73">
        <v>40843</v>
      </c>
      <c r="H290" s="94" t="s">
        <v>132</v>
      </c>
      <c r="I290" s="34" t="s">
        <v>941</v>
      </c>
      <c r="J290" s="34" t="s">
        <v>999</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891</v>
      </c>
      <c r="C291" s="34" t="str">
        <f>VLOOKUP(Observaciones[Caso de Prueba],CasoPrueba[[#All],[Código CP]:[Prioridad]],7,TRUE)</f>
        <v>Alta</v>
      </c>
      <c r="D291" s="34" t="s">
        <v>162</v>
      </c>
      <c r="E291" s="34" t="s">
        <v>49</v>
      </c>
      <c r="F291" s="73">
        <v>40840</v>
      </c>
      <c r="G291" s="73">
        <v>40843</v>
      </c>
      <c r="H291" s="94" t="s">
        <v>132</v>
      </c>
      <c r="I291" s="34" t="s">
        <v>942</v>
      </c>
      <c r="J291" s="34" t="s">
        <v>975</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891</v>
      </c>
      <c r="C292" s="34" t="str">
        <f>VLOOKUP(Observaciones[Caso de Prueba],CasoPrueba[[#All],[Código CP]:[Prioridad]],7,TRUE)</f>
        <v>Alta</v>
      </c>
      <c r="D292" s="34" t="s">
        <v>162</v>
      </c>
      <c r="E292" s="34" t="s">
        <v>49</v>
      </c>
      <c r="F292" s="73">
        <v>40840</v>
      </c>
      <c r="G292" s="73">
        <v>40843</v>
      </c>
      <c r="H292" s="94" t="s">
        <v>132</v>
      </c>
      <c r="I292" s="34" t="s">
        <v>943</v>
      </c>
      <c r="J292" s="34" t="s">
        <v>975</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891</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891</v>
      </c>
      <c r="C294" s="34" t="str">
        <f>VLOOKUP(Observaciones[Caso de Prueba],CasoPrueba[[#All],[Código CP]:[Prioridad]],7,TRUE)</f>
        <v>Alta</v>
      </c>
      <c r="D294" s="34" t="s">
        <v>28</v>
      </c>
      <c r="E294" s="34" t="s">
        <v>49</v>
      </c>
      <c r="F294" s="73">
        <v>40840</v>
      </c>
      <c r="G294" s="73">
        <v>40843</v>
      </c>
      <c r="H294" s="94" t="s">
        <v>132</v>
      </c>
      <c r="I294" s="34" t="s">
        <v>871</v>
      </c>
      <c r="J294" s="34" t="s">
        <v>976</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891</v>
      </c>
      <c r="C295" s="34" t="str">
        <f>VLOOKUP(Observaciones[Caso de Prueba],CasoPrueba[[#All],[Código CP]:[Prioridad]],7,TRUE)</f>
        <v>Alta</v>
      </c>
      <c r="D295" s="34" t="s">
        <v>30</v>
      </c>
      <c r="E295" s="34" t="s">
        <v>49</v>
      </c>
      <c r="F295" s="73">
        <v>40840</v>
      </c>
      <c r="G295" s="73">
        <v>40843</v>
      </c>
      <c r="H295" s="94" t="s">
        <v>132</v>
      </c>
      <c r="I295" s="34" t="s">
        <v>944</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891</v>
      </c>
      <c r="C296" s="34" t="str">
        <f>VLOOKUP(Observaciones[Caso de Prueba],CasoPrueba[[#All],[Código CP]:[Prioridad]],7,TRUE)</f>
        <v>Alta</v>
      </c>
      <c r="D296" s="34" t="s">
        <v>28</v>
      </c>
      <c r="E296" s="34" t="s">
        <v>49</v>
      </c>
      <c r="F296" s="73">
        <v>40840</v>
      </c>
      <c r="G296" s="73">
        <v>40843</v>
      </c>
      <c r="H296" s="94" t="s">
        <v>132</v>
      </c>
      <c r="I296" s="34" t="s">
        <v>945</v>
      </c>
      <c r="J296" s="34" t="s">
        <v>982</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891</v>
      </c>
      <c r="C297" s="34" t="str">
        <f>VLOOKUP(Observaciones[Caso de Prueba],CasoPrueba[[#All],[Código CP]:[Prioridad]],7,TRUE)</f>
        <v>Alta</v>
      </c>
      <c r="D297" s="34" t="s">
        <v>162</v>
      </c>
      <c r="E297" s="34" t="s">
        <v>49</v>
      </c>
      <c r="F297" s="73">
        <v>40840</v>
      </c>
      <c r="G297" s="73">
        <v>40843</v>
      </c>
      <c r="H297" s="94" t="s">
        <v>132</v>
      </c>
      <c r="I297" s="34" t="s">
        <v>946</v>
      </c>
      <c r="J297" s="34" t="s">
        <v>967</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891</v>
      </c>
      <c r="C298" s="34" t="str">
        <f>VLOOKUP(Observaciones[Caso de Prueba],CasoPrueba[[#All],[Código CP]:[Prioridad]],7,TRUE)</f>
        <v>Alta</v>
      </c>
      <c r="D298" s="34" t="s">
        <v>162</v>
      </c>
      <c r="E298" s="34" t="s">
        <v>49</v>
      </c>
      <c r="F298" s="73">
        <v>40840</v>
      </c>
      <c r="G298" s="73">
        <v>40843</v>
      </c>
      <c r="H298" s="94" t="s">
        <v>132</v>
      </c>
      <c r="I298" s="34" t="s">
        <v>947</v>
      </c>
      <c r="J298" s="34" t="s">
        <v>967</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892</v>
      </c>
      <c r="C299" s="34" t="str">
        <f>VLOOKUP(Observaciones[Caso de Prueba],CasoPrueba[[#All],[Código CP]:[Prioridad]],7,TRUE)</f>
        <v>Alta</v>
      </c>
      <c r="D299" s="34" t="s">
        <v>28</v>
      </c>
      <c r="E299" s="34" t="s">
        <v>49</v>
      </c>
      <c r="F299" s="73">
        <v>40838</v>
      </c>
      <c r="G299" s="73">
        <v>40843</v>
      </c>
      <c r="H299" s="94" t="s">
        <v>132</v>
      </c>
      <c r="I299" s="34" t="s">
        <v>597</v>
      </c>
      <c r="J299" s="34" t="s">
        <v>983</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892</v>
      </c>
      <c r="C300" s="34" t="str">
        <f>VLOOKUP(Observaciones[Caso de Prueba],CasoPrueba[[#All],[Código CP]:[Prioridad]],7,TRUE)</f>
        <v>Alta</v>
      </c>
      <c r="D300" s="34" t="s">
        <v>30</v>
      </c>
      <c r="E300" s="34" t="s">
        <v>49</v>
      </c>
      <c r="F300" s="73">
        <v>40838</v>
      </c>
      <c r="G300" s="73">
        <v>40843</v>
      </c>
      <c r="H300" s="94" t="s">
        <v>132</v>
      </c>
      <c r="I300" s="34" t="s">
        <v>948</v>
      </c>
      <c r="J300" s="34" t="s">
        <v>968</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892</v>
      </c>
      <c r="C301" s="34" t="str">
        <f>VLOOKUP(Observaciones[Caso de Prueba],CasoPrueba[[#All],[Código CP]:[Prioridad]],7,TRUE)</f>
        <v>Alta</v>
      </c>
      <c r="D301" s="34" t="s">
        <v>29</v>
      </c>
      <c r="E301" s="34" t="s">
        <v>49</v>
      </c>
      <c r="F301" s="73">
        <v>40840</v>
      </c>
      <c r="G301" s="73">
        <v>40843</v>
      </c>
      <c r="H301" s="94" t="s">
        <v>132</v>
      </c>
      <c r="I301" s="34" t="s">
        <v>599</v>
      </c>
      <c r="J301" s="34" t="s">
        <v>980</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892</v>
      </c>
      <c r="C302" s="34" t="str">
        <f>VLOOKUP(Observaciones[Caso de Prueba],CasoPrueba[[#All],[Código CP]:[Prioridad]],7,TRUE)</f>
        <v>Alta</v>
      </c>
      <c r="D302" s="34" t="s">
        <v>28</v>
      </c>
      <c r="E302" s="34" t="s">
        <v>49</v>
      </c>
      <c r="F302" s="73">
        <v>40840</v>
      </c>
      <c r="G302" s="73">
        <v>40843</v>
      </c>
      <c r="H302" s="94" t="s">
        <v>132</v>
      </c>
      <c r="I302" s="34" t="s">
        <v>871</v>
      </c>
      <c r="J302" s="34" t="s">
        <v>976</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892</v>
      </c>
      <c r="C303" s="34" t="str">
        <f>VLOOKUP(Observaciones[Caso de Prueba],CasoPrueba[[#All],[Código CP]:[Prioridad]],7,TRUE)</f>
        <v>Alta</v>
      </c>
      <c r="D303" s="34" t="s">
        <v>30</v>
      </c>
      <c r="E303" s="34" t="s">
        <v>49</v>
      </c>
      <c r="F303" s="73">
        <v>40840</v>
      </c>
      <c r="G303" s="73">
        <v>40843</v>
      </c>
      <c r="H303" s="94" t="s">
        <v>132</v>
      </c>
      <c r="I303" s="34" t="s">
        <v>949</v>
      </c>
      <c r="J303" s="34" t="s">
        <v>984</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892</v>
      </c>
      <c r="C304" s="34" t="str">
        <f>VLOOKUP(Observaciones[Caso de Prueba],CasoPrueba[[#All],[Código CP]:[Prioridad]],7,TRUE)</f>
        <v>Alta</v>
      </c>
      <c r="D304" s="34" t="s">
        <v>162</v>
      </c>
      <c r="E304" s="34" t="s">
        <v>49</v>
      </c>
      <c r="F304" s="73">
        <v>40840</v>
      </c>
      <c r="G304" s="73">
        <v>40843</v>
      </c>
      <c r="H304" s="94" t="s">
        <v>132</v>
      </c>
      <c r="I304" s="34" t="s">
        <v>950</v>
      </c>
      <c r="J304" s="34" t="s">
        <v>967</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903</v>
      </c>
      <c r="C305" s="164" t="str">
        <f>VLOOKUP(Observaciones[Caso de Prueba],CasoPrueba[[#All],[Código CP]:[Prioridad]],7,TRUE)</f>
        <v>Alta</v>
      </c>
      <c r="D305" s="164" t="s">
        <v>162</v>
      </c>
      <c r="E305" s="34" t="s">
        <v>49</v>
      </c>
      <c r="F305" s="165">
        <v>40845</v>
      </c>
      <c r="G305" s="165">
        <v>40847</v>
      </c>
      <c r="H305" s="94" t="s">
        <v>132</v>
      </c>
      <c r="I305" s="164" t="s">
        <v>1002</v>
      </c>
      <c r="J305" s="164" t="s">
        <v>1039</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903</v>
      </c>
      <c r="C306" s="164" t="str">
        <f>VLOOKUP(Observaciones[Caso de Prueba],CasoPrueba[[#All],[Código CP]:[Prioridad]],7,TRUE)</f>
        <v>Alta</v>
      </c>
      <c r="D306" s="34" t="s">
        <v>28</v>
      </c>
      <c r="E306" s="34" t="s">
        <v>49</v>
      </c>
      <c r="F306" s="165">
        <v>40845</v>
      </c>
      <c r="G306" s="165">
        <v>40847</v>
      </c>
      <c r="H306" s="94" t="s">
        <v>132</v>
      </c>
      <c r="I306" s="34" t="s">
        <v>871</v>
      </c>
      <c r="J306" s="164" t="s">
        <v>985</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903</v>
      </c>
      <c r="C307" s="164" t="str">
        <f>VLOOKUP(Observaciones[Caso de Prueba],CasoPrueba[[#All],[Código CP]:[Prioridad]],7,TRUE)</f>
        <v>Alta</v>
      </c>
      <c r="D307" s="164" t="s">
        <v>29</v>
      </c>
      <c r="E307" s="34" t="s">
        <v>49</v>
      </c>
      <c r="F307" s="165">
        <v>40845</v>
      </c>
      <c r="G307" s="165">
        <v>40847</v>
      </c>
      <c r="H307" s="94" t="s">
        <v>132</v>
      </c>
      <c r="I307" s="164" t="s">
        <v>1003</v>
      </c>
      <c r="J307" s="164" t="s">
        <v>1040</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903</v>
      </c>
      <c r="C308" s="164" t="str">
        <f>VLOOKUP(Observaciones[Caso de Prueba],CasoPrueba[[#All],[Código CP]:[Prioridad]],7,TRUE)</f>
        <v>Alta</v>
      </c>
      <c r="D308" s="164" t="s">
        <v>162</v>
      </c>
      <c r="E308" s="34" t="s">
        <v>49</v>
      </c>
      <c r="F308" s="165">
        <v>40845</v>
      </c>
      <c r="G308" s="165">
        <v>40847</v>
      </c>
      <c r="H308" s="94" t="s">
        <v>132</v>
      </c>
      <c r="I308" s="164" t="s">
        <v>1004</v>
      </c>
      <c r="J308" s="164" t="s">
        <v>1041</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903</v>
      </c>
      <c r="C309" s="164" t="str">
        <f>VLOOKUP(Observaciones[Caso de Prueba],CasoPrueba[[#All],[Código CP]:[Prioridad]],7,TRUE)</f>
        <v>Alta</v>
      </c>
      <c r="D309" s="164" t="s">
        <v>30</v>
      </c>
      <c r="E309" s="34" t="s">
        <v>49</v>
      </c>
      <c r="F309" s="165">
        <v>40845</v>
      </c>
      <c r="G309" s="165">
        <v>40847</v>
      </c>
      <c r="H309" s="94" t="s">
        <v>132</v>
      </c>
      <c r="I309" s="164" t="s">
        <v>1005</v>
      </c>
      <c r="J309" s="164" t="s">
        <v>1042</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903</v>
      </c>
      <c r="C310" s="164" t="str">
        <f>VLOOKUP(Observaciones[Caso de Prueba],CasoPrueba[[#All],[Código CP]:[Prioridad]],7,TRUE)</f>
        <v>Alta</v>
      </c>
      <c r="D310" s="164" t="s">
        <v>162</v>
      </c>
      <c r="E310" s="34" t="s">
        <v>49</v>
      </c>
      <c r="F310" s="165">
        <v>40845</v>
      </c>
      <c r="G310" s="165">
        <v>40847</v>
      </c>
      <c r="H310" s="94" t="s">
        <v>132</v>
      </c>
      <c r="I310" s="164" t="s">
        <v>1006</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903</v>
      </c>
      <c r="C311" s="164" t="str">
        <f>VLOOKUP(Observaciones[Caso de Prueba],CasoPrueba[[#All],[Código CP]:[Prioridad]],7,TRUE)</f>
        <v>Alta</v>
      </c>
      <c r="D311" s="164" t="s">
        <v>29</v>
      </c>
      <c r="E311" s="34" t="s">
        <v>49</v>
      </c>
      <c r="F311" s="165">
        <v>40845</v>
      </c>
      <c r="G311" s="165">
        <v>40847</v>
      </c>
      <c r="H311" s="94" t="s">
        <v>132</v>
      </c>
      <c r="I311" s="164" t="s">
        <v>1007</v>
      </c>
      <c r="J311" s="164" t="s">
        <v>1043</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903</v>
      </c>
      <c r="C312" s="164" t="str">
        <f>VLOOKUP(Observaciones[Caso de Prueba],CasoPrueba[[#All],[Código CP]:[Prioridad]],7,TRUE)</f>
        <v>Alta</v>
      </c>
      <c r="D312" s="164" t="s">
        <v>162</v>
      </c>
      <c r="E312" s="34" t="s">
        <v>49</v>
      </c>
      <c r="F312" s="165">
        <v>40845</v>
      </c>
      <c r="G312" s="165">
        <v>40847</v>
      </c>
      <c r="H312" s="94" t="s">
        <v>132</v>
      </c>
      <c r="I312" s="164" t="s">
        <v>1008</v>
      </c>
      <c r="J312" s="164" t="s">
        <v>1044</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903</v>
      </c>
      <c r="C313" s="164" t="str">
        <f>VLOOKUP(Observaciones[Caso de Prueba],CasoPrueba[[#All],[Código CP]:[Prioridad]],7,TRUE)</f>
        <v>Alta</v>
      </c>
      <c r="D313" s="164" t="s">
        <v>162</v>
      </c>
      <c r="E313" s="34" t="s">
        <v>49</v>
      </c>
      <c r="F313" s="165">
        <v>40845</v>
      </c>
      <c r="G313" s="165">
        <v>40847</v>
      </c>
      <c r="H313" s="94" t="s">
        <v>132</v>
      </c>
      <c r="I313" s="164" t="s">
        <v>1009</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903</v>
      </c>
      <c r="C314" s="34" t="str">
        <f>VLOOKUP(Observaciones[Caso de Prueba],CasoPrueba[[#All],[Código CP]:[Prioridad]],7,TRUE)</f>
        <v>Alta</v>
      </c>
      <c r="D314" s="34" t="s">
        <v>30</v>
      </c>
      <c r="E314" s="34" t="s">
        <v>49</v>
      </c>
      <c r="F314" s="165">
        <v>40845</v>
      </c>
      <c r="G314" s="165">
        <v>40847</v>
      </c>
      <c r="H314" s="94" t="s">
        <v>132</v>
      </c>
      <c r="I314" s="34" t="s">
        <v>1010</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904</v>
      </c>
      <c r="C315" s="34" t="str">
        <f>VLOOKUP(Observaciones[Caso de Prueba],CasoPrueba[[#All],[Código CP]:[Prioridad]],7,TRUE)</f>
        <v>Alta</v>
      </c>
      <c r="D315" s="34" t="s">
        <v>28</v>
      </c>
      <c r="E315" s="34" t="s">
        <v>49</v>
      </c>
      <c r="F315" s="165">
        <v>40845</v>
      </c>
      <c r="G315" s="165">
        <v>40847</v>
      </c>
      <c r="H315" s="94" t="s">
        <v>132</v>
      </c>
      <c r="I315" s="34" t="s">
        <v>597</v>
      </c>
      <c r="J315" s="34" t="s">
        <v>1045</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904</v>
      </c>
      <c r="C316" s="34" t="str">
        <f>VLOOKUP(Observaciones[Caso de Prueba],CasoPrueba[[#All],[Código CP]:[Prioridad]],7,TRUE)</f>
        <v>Alta</v>
      </c>
      <c r="D316" s="164" t="s">
        <v>162</v>
      </c>
      <c r="E316" s="34" t="s">
        <v>49</v>
      </c>
      <c r="F316" s="165">
        <v>40845</v>
      </c>
      <c r="G316" s="165">
        <v>40847</v>
      </c>
      <c r="H316" s="94" t="s">
        <v>132</v>
      </c>
      <c r="I316" s="34" t="s">
        <v>1011</v>
      </c>
      <c r="J316" s="34" t="s">
        <v>1046</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904</v>
      </c>
      <c r="C317" s="34" t="str">
        <f>VLOOKUP(Observaciones[Caso de Prueba],CasoPrueba[[#All],[Código CP]:[Prioridad]],7,TRUE)</f>
        <v>Alta</v>
      </c>
      <c r="D317" s="34" t="s">
        <v>28</v>
      </c>
      <c r="E317" s="34" t="s">
        <v>49</v>
      </c>
      <c r="F317" s="165">
        <v>40845</v>
      </c>
      <c r="G317" s="165">
        <v>40847</v>
      </c>
      <c r="H317" s="94" t="s">
        <v>132</v>
      </c>
      <c r="I317" s="34" t="s">
        <v>1014</v>
      </c>
      <c r="J317" s="34" t="s">
        <v>1047</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904</v>
      </c>
      <c r="C318" s="34" t="str">
        <f>VLOOKUP(Observaciones[Caso de Prueba],CasoPrueba[[#All],[Código CP]:[Prioridad]],7,TRUE)</f>
        <v>Alta</v>
      </c>
      <c r="D318" s="34" t="s">
        <v>29</v>
      </c>
      <c r="E318" s="34" t="s">
        <v>49</v>
      </c>
      <c r="F318" s="165">
        <v>40845</v>
      </c>
      <c r="G318" s="165">
        <v>40847</v>
      </c>
      <c r="H318" s="94" t="s">
        <v>132</v>
      </c>
      <c r="I318" s="34" t="s">
        <v>1018</v>
      </c>
      <c r="J318" s="34" t="s">
        <v>980</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904</v>
      </c>
      <c r="C319" s="34" t="str">
        <f>VLOOKUP(Observaciones[Caso de Prueba],CasoPrueba[[#All],[Código CP]:[Prioridad]],7,TRUE)</f>
        <v>Alta</v>
      </c>
      <c r="D319" s="34" t="s">
        <v>28</v>
      </c>
      <c r="E319" s="34" t="s">
        <v>49</v>
      </c>
      <c r="F319" s="165">
        <v>40845</v>
      </c>
      <c r="G319" s="165">
        <v>40847</v>
      </c>
      <c r="H319" s="94" t="s">
        <v>132</v>
      </c>
      <c r="I319" s="34" t="s">
        <v>1012</v>
      </c>
      <c r="J319" s="34" t="s">
        <v>1048</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904</v>
      </c>
      <c r="C320" s="34" t="str">
        <f>VLOOKUP(Observaciones[Caso de Prueba],CasoPrueba[[#All],[Código CP]:[Prioridad]],7,TRUE)</f>
        <v>Alta</v>
      </c>
      <c r="D320" s="34" t="s">
        <v>30</v>
      </c>
      <c r="E320" s="34" t="s">
        <v>49</v>
      </c>
      <c r="F320" s="165">
        <v>40845</v>
      </c>
      <c r="G320" s="165">
        <v>40847</v>
      </c>
      <c r="H320" s="94" t="s">
        <v>132</v>
      </c>
      <c r="I320" s="34" t="s">
        <v>1013</v>
      </c>
      <c r="J320" s="34" t="s">
        <v>1049</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904</v>
      </c>
      <c r="C321" s="34" t="str">
        <f>VLOOKUP(Observaciones[Caso de Prueba],CasoPrueba[[#All],[Código CP]:[Prioridad]],7,TRUE)</f>
        <v>Alta</v>
      </c>
      <c r="D321" s="34" t="s">
        <v>162</v>
      </c>
      <c r="E321" s="34" t="s">
        <v>49</v>
      </c>
      <c r="F321" s="165">
        <v>40845</v>
      </c>
      <c r="G321" s="165">
        <v>40847</v>
      </c>
      <c r="H321" s="94" t="s">
        <v>132</v>
      </c>
      <c r="I321" s="34" t="s">
        <v>1056</v>
      </c>
      <c r="J321" s="34" t="s">
        <v>1050</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904</v>
      </c>
      <c r="C322" s="34" t="str">
        <f>VLOOKUP(Observaciones[Caso de Prueba],CasoPrueba[[#All],[Código CP]:[Prioridad]],7,TRUE)</f>
        <v>Alta</v>
      </c>
      <c r="D322" s="34" t="s">
        <v>29</v>
      </c>
      <c r="E322" s="34" t="s">
        <v>49</v>
      </c>
      <c r="F322" s="165">
        <v>40845</v>
      </c>
      <c r="G322" s="165">
        <v>40847</v>
      </c>
      <c r="H322" s="94" t="s">
        <v>132</v>
      </c>
      <c r="I322" s="34" t="s">
        <v>1015</v>
      </c>
      <c r="J322" s="34" t="s">
        <v>1051</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904</v>
      </c>
      <c r="C323" s="34" t="str">
        <f>VLOOKUP(Observaciones[Caso de Prueba],CasoPrueba[[#All],[Código CP]:[Prioridad]],7,TRUE)</f>
        <v>Alta</v>
      </c>
      <c r="D323" s="34" t="s">
        <v>162</v>
      </c>
      <c r="E323" s="34" t="s">
        <v>49</v>
      </c>
      <c r="F323" s="165">
        <v>40845</v>
      </c>
      <c r="G323" s="165">
        <v>40847</v>
      </c>
      <c r="H323" s="94" t="s">
        <v>132</v>
      </c>
      <c r="I323" s="34" t="s">
        <v>1016</v>
      </c>
      <c r="J323" s="34" t="s">
        <v>1052</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905</v>
      </c>
      <c r="C324" s="34" t="str">
        <f>VLOOKUP(Observaciones[Caso de Prueba],CasoPrueba[[#All],[Código CP]:[Prioridad]],7,TRUE)</f>
        <v>Alta</v>
      </c>
      <c r="D324" s="34" t="s">
        <v>28</v>
      </c>
      <c r="E324" s="34" t="s">
        <v>49</v>
      </c>
      <c r="F324" s="165">
        <v>40845</v>
      </c>
      <c r="G324" s="165">
        <v>40847</v>
      </c>
      <c r="H324" s="94" t="s">
        <v>132</v>
      </c>
      <c r="I324" s="34" t="s">
        <v>597</v>
      </c>
      <c r="J324" s="34" t="s">
        <v>1053</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905</v>
      </c>
      <c r="C325" s="34" t="str">
        <f>VLOOKUP(Observaciones[Caso de Prueba],CasoPrueba[[#All],[Código CP]:[Prioridad]],7,TRUE)</f>
        <v>Alta</v>
      </c>
      <c r="D325" s="164" t="s">
        <v>162</v>
      </c>
      <c r="E325" s="34" t="s">
        <v>49</v>
      </c>
      <c r="F325" s="165">
        <v>40845</v>
      </c>
      <c r="G325" s="165">
        <v>40847</v>
      </c>
      <c r="H325" s="94" t="s">
        <v>132</v>
      </c>
      <c r="I325" s="34" t="s">
        <v>1011</v>
      </c>
      <c r="J325" s="34" t="s">
        <v>1046</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905</v>
      </c>
      <c r="C326" s="34" t="str">
        <f>VLOOKUP(Observaciones[Caso de Prueba],CasoPrueba[[#All],[Código CP]:[Prioridad]],7,TRUE)</f>
        <v>Alta</v>
      </c>
      <c r="D326" s="34" t="s">
        <v>28</v>
      </c>
      <c r="E326" s="34" t="s">
        <v>49</v>
      </c>
      <c r="F326" s="165">
        <v>40845</v>
      </c>
      <c r="G326" s="165">
        <v>40847</v>
      </c>
      <c r="H326" s="94" t="s">
        <v>132</v>
      </c>
      <c r="I326" s="34" t="s">
        <v>1017</v>
      </c>
      <c r="J326" s="34" t="s">
        <v>976</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905</v>
      </c>
      <c r="C327" s="34" t="str">
        <f>VLOOKUP(Observaciones[Caso de Prueba],CasoPrueba[[#All],[Código CP]:[Prioridad]],7,TRUE)</f>
        <v>Alta</v>
      </c>
      <c r="D327" s="34" t="s">
        <v>162</v>
      </c>
      <c r="E327" s="34" t="s">
        <v>49</v>
      </c>
      <c r="F327" s="165">
        <v>40845</v>
      </c>
      <c r="G327" s="165">
        <v>40847</v>
      </c>
      <c r="H327" s="94" t="s">
        <v>132</v>
      </c>
      <c r="I327" s="34" t="s">
        <v>1019</v>
      </c>
      <c r="J327" s="34" t="s">
        <v>1054</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905</v>
      </c>
      <c r="C328" s="34" t="str">
        <f>VLOOKUP(Observaciones[Caso de Prueba],CasoPrueba[[#All],[Código CP]:[Prioridad]],7,TRUE)</f>
        <v>Alta</v>
      </c>
      <c r="D328" s="34" t="s">
        <v>29</v>
      </c>
      <c r="E328" s="34" t="s">
        <v>49</v>
      </c>
      <c r="F328" s="165">
        <v>40845</v>
      </c>
      <c r="G328" s="165">
        <v>40847</v>
      </c>
      <c r="H328" s="94" t="s">
        <v>132</v>
      </c>
      <c r="I328" s="34" t="s">
        <v>1020</v>
      </c>
      <c r="J328" s="34" t="s">
        <v>1055</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1013</v>
      </c>
      <c r="J329" s="34" t="s">
        <v>1029</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1023</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1024</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1025</v>
      </c>
      <c r="J332" s="34" t="s">
        <v>1030</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1026</v>
      </c>
      <c r="J333" s="34" t="s">
        <v>1031</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1027</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1028</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886</v>
      </c>
      <c r="C336" s="34" t="str">
        <f>VLOOKUP(Observaciones[Caso de Prueba],CasoPrueba[[#All],[Código CP]:[Prioridad]],7,TRUE)</f>
        <v>Alta</v>
      </c>
      <c r="D336" s="34" t="s">
        <v>162</v>
      </c>
      <c r="E336" s="34" t="s">
        <v>49</v>
      </c>
      <c r="F336" s="73">
        <v>40848</v>
      </c>
      <c r="G336" s="73">
        <v>40850</v>
      </c>
      <c r="H336" s="94" t="s">
        <v>132</v>
      </c>
      <c r="I336" s="34" t="s">
        <v>1032</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886</v>
      </c>
      <c r="C337" s="34" t="str">
        <f>VLOOKUP(Observaciones[Caso de Prueba],CasoPrueba[[#All],[Código CP]:[Prioridad]],7,TRUE)</f>
        <v>Alta</v>
      </c>
      <c r="D337" s="34" t="s">
        <v>30</v>
      </c>
      <c r="E337" s="34" t="s">
        <v>49</v>
      </c>
      <c r="F337" s="73">
        <v>40848</v>
      </c>
      <c r="G337" s="73">
        <v>40850</v>
      </c>
      <c r="H337" s="94" t="s">
        <v>132</v>
      </c>
      <c r="I337" s="34" t="s">
        <v>1033</v>
      </c>
      <c r="J337" s="34" t="s">
        <v>1093</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887</v>
      </c>
      <c r="C338" s="34" t="str">
        <f>VLOOKUP(Observaciones[Caso de Prueba],CasoPrueba[[#All],[Código CP]:[Prioridad]],7,TRUE)</f>
        <v>Alta</v>
      </c>
      <c r="D338" s="34" t="s">
        <v>30</v>
      </c>
      <c r="E338" s="34" t="s">
        <v>49</v>
      </c>
      <c r="F338" s="73">
        <v>40848</v>
      </c>
      <c r="G338" s="73">
        <v>40850</v>
      </c>
      <c r="H338" s="94" t="s">
        <v>132</v>
      </c>
      <c r="I338" s="34" t="s">
        <v>1013</v>
      </c>
      <c r="J338" s="34" t="s">
        <v>1094</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888</v>
      </c>
      <c r="C339" s="34" t="str">
        <f>VLOOKUP(Observaciones[Caso de Prueba],CasoPrueba[[#All],[Código CP]:[Prioridad]],7,TRUE)</f>
        <v>Alta</v>
      </c>
      <c r="D339" s="34" t="s">
        <v>30</v>
      </c>
      <c r="E339" s="34" t="s">
        <v>49</v>
      </c>
      <c r="F339" s="73">
        <v>40848</v>
      </c>
      <c r="G339" s="73">
        <v>40850</v>
      </c>
      <c r="H339" s="94" t="s">
        <v>132</v>
      </c>
      <c r="I339" s="34" t="s">
        <v>1060</v>
      </c>
      <c r="J339" s="34" t="s">
        <v>1095</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890</v>
      </c>
      <c r="C340" s="34" t="str">
        <f>VLOOKUP(Observaciones[Caso de Prueba],CasoPrueba[[#All],[Código CP]:[Prioridad]],7,TRUE)</f>
        <v>Alta</v>
      </c>
      <c r="D340" s="34" t="s">
        <v>162</v>
      </c>
      <c r="E340" s="34" t="s">
        <v>49</v>
      </c>
      <c r="F340" s="73">
        <v>40848</v>
      </c>
      <c r="G340" s="73">
        <v>40850</v>
      </c>
      <c r="H340" s="94" t="s">
        <v>132</v>
      </c>
      <c r="I340" s="34" t="s">
        <v>1035</v>
      </c>
      <c r="J340" s="34" t="s">
        <v>1096</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1057</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1058</v>
      </c>
      <c r="J342" s="34" t="s">
        <v>1041</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1059</v>
      </c>
      <c r="J343" s="34" t="s">
        <v>1097</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976</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1098</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954</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1063</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1099</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1100</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1064</v>
      </c>
      <c r="J350" s="34" t="s">
        <v>954</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1101</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1102</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1080</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1076</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1103</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1104</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1105</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1106</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1000</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1000</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1077</v>
      </c>
      <c r="J361" s="34" t="s">
        <v>1000</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1065</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1000</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1066</v>
      </c>
      <c r="B363" s="34" t="s">
        <v>174</v>
      </c>
      <c r="C363" s="34" t="str">
        <f>VLOOKUP(Observaciones[Caso de Prueba],CasoPrueba[[#All],[Código CP]:[Prioridad]],7,TRUE)</f>
        <v>Alta</v>
      </c>
      <c r="D363" s="34" t="s">
        <v>28</v>
      </c>
      <c r="E363" s="34" t="s">
        <v>49</v>
      </c>
      <c r="F363" s="73">
        <v>40848</v>
      </c>
      <c r="G363" s="73">
        <v>40850</v>
      </c>
      <c r="H363" s="94" t="s">
        <v>132</v>
      </c>
      <c r="I363" s="34" t="s">
        <v>1078</v>
      </c>
      <c r="J363" s="34" t="s">
        <v>1107</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1067</v>
      </c>
      <c r="B364" s="34" t="s">
        <v>174</v>
      </c>
      <c r="C364" s="34" t="str">
        <f>VLOOKUP(Observaciones[Caso de Prueba],CasoPrueba[[#All],[Código CP]:[Prioridad]],7,TRUE)</f>
        <v>Alta</v>
      </c>
      <c r="D364" s="34" t="s">
        <v>28</v>
      </c>
      <c r="E364" s="34" t="s">
        <v>49</v>
      </c>
      <c r="F364" s="73">
        <v>40848</v>
      </c>
      <c r="G364" s="73">
        <v>40850</v>
      </c>
      <c r="H364" s="94" t="s">
        <v>132</v>
      </c>
      <c r="I364" s="34" t="s">
        <v>1079</v>
      </c>
      <c r="J364" s="34" t="s">
        <v>1108</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1068</v>
      </c>
      <c r="B365" s="34" t="s">
        <v>175</v>
      </c>
      <c r="C365" s="34" t="str">
        <f>VLOOKUP(Observaciones[Caso de Prueba],CasoPrueba[[#All],[Código CP]:[Prioridad]],7,TRUE)</f>
        <v>Alta</v>
      </c>
      <c r="D365" s="34" t="s">
        <v>28</v>
      </c>
      <c r="E365" s="34" t="s">
        <v>49</v>
      </c>
      <c r="F365" s="73">
        <v>40848</v>
      </c>
      <c r="G365" s="73">
        <v>40850</v>
      </c>
      <c r="H365" s="94" t="s">
        <v>132</v>
      </c>
      <c r="I365" s="34" t="s">
        <v>597</v>
      </c>
      <c r="J365" s="34" t="s">
        <v>1109</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1069</v>
      </c>
      <c r="B366" s="34" t="s">
        <v>175</v>
      </c>
      <c r="C366" s="34" t="str">
        <f>VLOOKUP(Observaciones[Caso de Prueba],CasoPrueba[[#All],[Código CP]:[Prioridad]],7,TRUE)</f>
        <v>Alta</v>
      </c>
      <c r="D366" s="34" t="s">
        <v>28</v>
      </c>
      <c r="E366" s="34" t="s">
        <v>49</v>
      </c>
      <c r="F366" s="73">
        <v>40848</v>
      </c>
      <c r="G366" s="73">
        <v>40850</v>
      </c>
      <c r="H366" s="94" t="s">
        <v>132</v>
      </c>
      <c r="I366" s="34" t="s">
        <v>1081</v>
      </c>
      <c r="J366" s="34" t="s">
        <v>1110</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1070</v>
      </c>
      <c r="B367" s="34" t="s">
        <v>175</v>
      </c>
      <c r="C367" s="34" t="str">
        <f>VLOOKUP(Observaciones[Caso de Prueba],CasoPrueba[[#All],[Código CP]:[Prioridad]],7,TRUE)</f>
        <v>Alta</v>
      </c>
      <c r="D367" s="34" t="s">
        <v>28</v>
      </c>
      <c r="E367" s="34" t="s">
        <v>49</v>
      </c>
      <c r="F367" s="73">
        <v>40848</v>
      </c>
      <c r="G367" s="73">
        <v>40850</v>
      </c>
      <c r="H367" s="94" t="s">
        <v>132</v>
      </c>
      <c r="I367" s="34" t="s">
        <v>1082</v>
      </c>
      <c r="J367" s="34" t="s">
        <v>1108</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1071</v>
      </c>
      <c r="B368" s="34" t="s">
        <v>175</v>
      </c>
      <c r="C368" s="34" t="str">
        <f>VLOOKUP(Observaciones[Caso de Prueba],CasoPrueba[[#All],[Código CP]:[Prioridad]],7,TRUE)</f>
        <v>Alta</v>
      </c>
      <c r="D368" s="34" t="s">
        <v>28</v>
      </c>
      <c r="E368" s="34" t="s">
        <v>49</v>
      </c>
      <c r="F368" s="73">
        <v>40848</v>
      </c>
      <c r="G368" s="73">
        <v>40850</v>
      </c>
      <c r="H368" s="94" t="s">
        <v>132</v>
      </c>
      <c r="I368" s="34" t="s">
        <v>1083</v>
      </c>
      <c r="J368" s="34" t="s">
        <v>1111</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1072</v>
      </c>
      <c r="B369" s="34" t="s">
        <v>176</v>
      </c>
      <c r="C369" s="34" t="str">
        <f>VLOOKUP(Observaciones[Caso de Prueba],CasoPrueba[[#All],[Código CP]:[Prioridad]],7,TRUE)</f>
        <v>Alta</v>
      </c>
      <c r="D369" s="34" t="s">
        <v>28</v>
      </c>
      <c r="E369" s="34" t="s">
        <v>49</v>
      </c>
      <c r="F369" s="73">
        <v>40848</v>
      </c>
      <c r="G369" s="73">
        <v>40850</v>
      </c>
      <c r="H369" s="94" t="s">
        <v>132</v>
      </c>
      <c r="I369" s="34" t="s">
        <v>597</v>
      </c>
      <c r="J369" s="34" t="s">
        <v>1109</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1073</v>
      </c>
      <c r="B370" s="34" t="s">
        <v>176</v>
      </c>
      <c r="C370" s="34" t="str">
        <f>VLOOKUP(Observaciones[Caso de Prueba],CasoPrueba[[#All],[Código CP]:[Prioridad]],7,TRUE)</f>
        <v>Alta</v>
      </c>
      <c r="D370" s="34" t="s">
        <v>28</v>
      </c>
      <c r="E370" s="34" t="s">
        <v>49</v>
      </c>
      <c r="F370" s="73">
        <v>40848</v>
      </c>
      <c r="G370" s="73">
        <v>40850</v>
      </c>
      <c r="H370" s="94" t="s">
        <v>132</v>
      </c>
      <c r="I370" s="34" t="s">
        <v>1081</v>
      </c>
      <c r="J370" s="34" t="s">
        <v>1110</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1074</v>
      </c>
      <c r="B371" s="34" t="s">
        <v>176</v>
      </c>
      <c r="C371" s="34" t="str">
        <f>VLOOKUP(Observaciones[Caso de Prueba],CasoPrueba[[#All],[Código CP]:[Prioridad]],7,TRUE)</f>
        <v>Alta</v>
      </c>
      <c r="D371" s="34" t="s">
        <v>28</v>
      </c>
      <c r="E371" s="34" t="s">
        <v>49</v>
      </c>
      <c r="F371" s="73">
        <v>40848</v>
      </c>
      <c r="G371" s="73">
        <v>40850</v>
      </c>
      <c r="H371" s="94" t="s">
        <v>132</v>
      </c>
      <c r="I371" s="34" t="s">
        <v>1084</v>
      </c>
      <c r="J371" s="34" t="s">
        <v>1112</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1075</v>
      </c>
      <c r="B372" s="34" t="s">
        <v>88</v>
      </c>
      <c r="C372" s="34" t="str">
        <f>VLOOKUP(Observaciones[Caso de Prueba],CasoPrueba[[#All],[Código CP]:[Prioridad]],7,TRUE)</f>
        <v>Alta</v>
      </c>
      <c r="D372" s="34" t="s">
        <v>28</v>
      </c>
      <c r="E372" s="34" t="s">
        <v>49</v>
      </c>
      <c r="F372" s="73">
        <v>40852</v>
      </c>
      <c r="G372" s="73">
        <v>40852</v>
      </c>
      <c r="H372" s="94" t="s">
        <v>132</v>
      </c>
      <c r="I372" s="34" t="s">
        <v>1118</v>
      </c>
      <c r="J372" s="34" t="s">
        <v>1134</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1113</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1135</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1114</v>
      </c>
      <c r="B374" s="34" t="s">
        <v>153</v>
      </c>
      <c r="C374" s="34" t="str">
        <f>VLOOKUP(Observaciones[Caso de Prueba],CasoPrueba[[#All],[Código CP]:[Prioridad]],7,TRUE)</f>
        <v>Alta</v>
      </c>
      <c r="D374" s="34" t="s">
        <v>30</v>
      </c>
      <c r="E374" s="34" t="s">
        <v>49</v>
      </c>
      <c r="F374" s="73">
        <v>40852</v>
      </c>
      <c r="G374" s="73">
        <v>40852</v>
      </c>
      <c r="H374" s="94" t="s">
        <v>132</v>
      </c>
      <c r="I374" s="34" t="s">
        <v>1117</v>
      </c>
      <c r="J374" s="34" t="s">
        <v>1136</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1115</v>
      </c>
      <c r="B375" s="34" t="s">
        <v>175</v>
      </c>
      <c r="C375" s="34" t="str">
        <f>VLOOKUP(Observaciones[Caso de Prueba],CasoPrueba[[#All],[Código CP]:[Prioridad]],7,TRUE)</f>
        <v>Alta</v>
      </c>
      <c r="D375" s="34" t="s">
        <v>30</v>
      </c>
      <c r="E375" s="34" t="s">
        <v>49</v>
      </c>
      <c r="F375" s="73">
        <v>40852</v>
      </c>
      <c r="G375" s="73">
        <v>40852</v>
      </c>
      <c r="H375" s="94" t="s">
        <v>132</v>
      </c>
      <c r="I375" s="34" t="s">
        <v>1119</v>
      </c>
      <c r="J375" s="34" t="s">
        <v>1137</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1116</v>
      </c>
      <c r="B376" s="34" t="s">
        <v>175</v>
      </c>
      <c r="C376" s="34" t="str">
        <f>VLOOKUP(Observaciones[Caso de Prueba],CasoPrueba[[#All],[Código CP]:[Prioridad]],7,TRUE)</f>
        <v>Alta</v>
      </c>
      <c r="D376" s="34" t="s">
        <v>30</v>
      </c>
      <c r="E376" s="34" t="s">
        <v>49</v>
      </c>
      <c r="F376" s="73">
        <v>40852</v>
      </c>
      <c r="G376" s="73">
        <v>40852</v>
      </c>
      <c r="H376" s="94" t="s">
        <v>132</v>
      </c>
      <c r="I376" s="34" t="s">
        <v>1120</v>
      </c>
      <c r="J376" s="34" t="s">
        <v>1138</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1121</v>
      </c>
      <c r="B377" s="34" t="s">
        <v>175</v>
      </c>
      <c r="C377" s="34" t="str">
        <f>VLOOKUP(Observaciones[Caso de Prueba],CasoPrueba[[#All],[Código CP]:[Prioridad]],7,TRUE)</f>
        <v>Alta</v>
      </c>
      <c r="D377" s="34" t="s">
        <v>30</v>
      </c>
      <c r="E377" s="34" t="s">
        <v>49</v>
      </c>
      <c r="F377" s="73">
        <v>40852</v>
      </c>
      <c r="G377" s="73">
        <v>40852</v>
      </c>
      <c r="H377" s="94" t="s">
        <v>132</v>
      </c>
      <c r="I377" s="164" t="s">
        <v>1127</v>
      </c>
      <c r="J377" s="34" t="s">
        <v>1139</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1122</v>
      </c>
      <c r="B378" s="34" t="s">
        <v>176</v>
      </c>
      <c r="C378" s="34" t="str">
        <f>VLOOKUP(Observaciones[Caso de Prueba],CasoPrueba[[#All],[Código CP]:[Prioridad]],7,TRUE)</f>
        <v>Alta</v>
      </c>
      <c r="D378" s="34" t="s">
        <v>162</v>
      </c>
      <c r="E378" s="34" t="s">
        <v>49</v>
      </c>
      <c r="F378" s="73">
        <v>40852</v>
      </c>
      <c r="G378" s="73">
        <v>40852</v>
      </c>
      <c r="H378" s="94" t="s">
        <v>132</v>
      </c>
      <c r="I378" s="34" t="s">
        <v>1128</v>
      </c>
      <c r="J378" s="34" t="s">
        <v>1140</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1123</v>
      </c>
      <c r="B379" s="34" t="s">
        <v>176</v>
      </c>
      <c r="C379" s="34" t="str">
        <f>VLOOKUP(Observaciones[Caso de Prueba],CasoPrueba[[#All],[Código CP]:[Prioridad]],7,TRUE)</f>
        <v>Alta</v>
      </c>
      <c r="D379" s="34" t="s">
        <v>162</v>
      </c>
      <c r="E379" s="34" t="s">
        <v>49</v>
      </c>
      <c r="F379" s="73">
        <v>40852</v>
      </c>
      <c r="G379" s="73">
        <v>40852</v>
      </c>
      <c r="H379" s="94" t="s">
        <v>132</v>
      </c>
      <c r="I379" s="34" t="s">
        <v>1129</v>
      </c>
      <c r="J379" s="34" t="s">
        <v>1141</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1124</v>
      </c>
      <c r="B380" s="34" t="s">
        <v>176</v>
      </c>
      <c r="C380" s="34" t="str">
        <f>VLOOKUP(Observaciones[Caso de Prueba],CasoPrueba[[#All],[Código CP]:[Prioridad]],7,TRUE)</f>
        <v>Alta</v>
      </c>
      <c r="D380" s="34" t="s">
        <v>30</v>
      </c>
      <c r="E380" s="34" t="s">
        <v>49</v>
      </c>
      <c r="F380" s="73">
        <v>40852</v>
      </c>
      <c r="G380" s="73">
        <v>40852</v>
      </c>
      <c r="H380" s="94" t="s">
        <v>132</v>
      </c>
      <c r="I380" s="34" t="s">
        <v>1130</v>
      </c>
      <c r="J380" s="34" t="s">
        <v>1142</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1125</v>
      </c>
      <c r="B381" s="34" t="s">
        <v>176</v>
      </c>
      <c r="C381" s="34" t="str">
        <f>VLOOKUP(Observaciones[Caso de Prueba],CasoPrueba[[#All],[Código CP]:[Prioridad]],7,TRUE)</f>
        <v>Alta</v>
      </c>
      <c r="D381" s="34" t="s">
        <v>30</v>
      </c>
      <c r="E381" s="34" t="s">
        <v>49</v>
      </c>
      <c r="F381" s="73">
        <v>40852</v>
      </c>
      <c r="G381" s="73">
        <v>40852</v>
      </c>
      <c r="H381" s="94" t="s">
        <v>132</v>
      </c>
      <c r="I381" s="34" t="s">
        <v>1131</v>
      </c>
      <c r="J381" s="34" t="s">
        <v>1143</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1126</v>
      </c>
      <c r="B382" s="34" t="s">
        <v>176</v>
      </c>
      <c r="C382" s="34" t="str">
        <f>VLOOKUP(Observaciones[Caso de Prueba],CasoPrueba[[#All],[Código CP]:[Prioridad]],7,TRUE)</f>
        <v>Alta</v>
      </c>
      <c r="D382" s="34" t="s">
        <v>30</v>
      </c>
      <c r="E382" s="34" t="s">
        <v>49</v>
      </c>
      <c r="F382" s="73">
        <v>40852</v>
      </c>
      <c r="G382" s="73">
        <v>40852</v>
      </c>
      <c r="H382" s="94" t="s">
        <v>132</v>
      </c>
      <c r="I382" s="34" t="s">
        <v>1132</v>
      </c>
      <c r="J382" s="34" t="s">
        <v>1144</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hidden="1">
      <c r="A383" s="166" t="s">
        <v>1145</v>
      </c>
      <c r="B383" s="34" t="s">
        <v>1182</v>
      </c>
      <c r="C383" s="34" t="str">
        <f>VLOOKUP(Observaciones[Caso de Prueba],CasoPrueba[[#All],[Código CP]:[Prioridad]],7,TRUE)</f>
        <v>Alta</v>
      </c>
      <c r="D383" s="34" t="s">
        <v>28</v>
      </c>
      <c r="E383" s="34" t="s">
        <v>49</v>
      </c>
      <c r="F383" s="73">
        <v>40852</v>
      </c>
      <c r="G383" s="73">
        <v>40853</v>
      </c>
      <c r="H383" s="94" t="s">
        <v>132</v>
      </c>
      <c r="I383" s="34" t="s">
        <v>1180</v>
      </c>
      <c r="J383" s="34" t="s">
        <v>1305</v>
      </c>
      <c r="K383" s="34">
        <f>IF((Observaciones[[#This Row],[Fecha Levantamiento]]-Observaciones[[#This Row],[Fecha Detección]])&gt;=0,Observaciones[[#This Row],[Fecha Levantamiento]]-Observaciones[[#This Row],[Fecha Detección]]+1,0)</f>
        <v>2</v>
      </c>
      <c r="L383" s="34" t="str">
        <f>LOOKUP(Observaciones[[#This Row],[Caso de Prueba]],CasoPrueba[Código CP],CasoPrueba[Código de REQ])</f>
        <v>INSPECCIÓN</v>
      </c>
    </row>
    <row r="384" spans="1:12" ht="45" hidden="1">
      <c r="A384" s="166" t="s">
        <v>1146</v>
      </c>
      <c r="B384" s="34" t="s">
        <v>1182</v>
      </c>
      <c r="C384" s="34" t="str">
        <f>VLOOKUP(Observaciones[Caso de Prueba],CasoPrueba[[#All],[Código CP]:[Prioridad]],7,TRUE)</f>
        <v>Alta</v>
      </c>
      <c r="D384" s="34" t="s">
        <v>162</v>
      </c>
      <c r="E384" s="34" t="s">
        <v>49</v>
      </c>
      <c r="F384" s="73">
        <v>40852</v>
      </c>
      <c r="G384" s="73">
        <v>40853</v>
      </c>
      <c r="H384" s="94" t="s">
        <v>132</v>
      </c>
      <c r="I384" s="34" t="s">
        <v>1181</v>
      </c>
      <c r="J384" s="34" t="s">
        <v>1258</v>
      </c>
      <c r="K384" s="34">
        <f>IF((Observaciones[[#This Row],[Fecha Levantamiento]]-Observaciones[[#This Row],[Fecha Detección]])&gt;=0,Observaciones[[#This Row],[Fecha Levantamiento]]-Observaciones[[#This Row],[Fecha Detección]]+1,0)</f>
        <v>2</v>
      </c>
      <c r="L384" s="34" t="str">
        <f>LOOKUP(Observaciones[[#This Row],[Caso de Prueba]],CasoPrueba[Código CP],CasoPrueba[Código de REQ])</f>
        <v>INSPECCIÓN</v>
      </c>
    </row>
    <row r="385" spans="1:12" ht="60" hidden="1">
      <c r="A385" s="166" t="s">
        <v>1147</v>
      </c>
      <c r="B385" s="34" t="s">
        <v>1182</v>
      </c>
      <c r="C385" s="34" t="str">
        <f>VLOOKUP(Observaciones[Caso de Prueba],CasoPrueba[[#All],[Código CP]:[Prioridad]],7,TRUE)</f>
        <v>Alta</v>
      </c>
      <c r="D385" s="34" t="s">
        <v>28</v>
      </c>
      <c r="E385" s="34" t="s">
        <v>49</v>
      </c>
      <c r="F385" s="73">
        <v>40852</v>
      </c>
      <c r="G385" s="73">
        <v>40853</v>
      </c>
      <c r="H385" s="94" t="s">
        <v>132</v>
      </c>
      <c r="I385" s="34" t="s">
        <v>1183</v>
      </c>
      <c r="J385" s="34" t="s">
        <v>1259</v>
      </c>
      <c r="K385" s="34">
        <f>IF((Observaciones[[#This Row],[Fecha Levantamiento]]-Observaciones[[#This Row],[Fecha Detección]])&gt;=0,Observaciones[[#This Row],[Fecha Levantamiento]]-Observaciones[[#This Row],[Fecha Detección]]+1,0)</f>
        <v>2</v>
      </c>
      <c r="L385" s="34" t="str">
        <f>LOOKUP(Observaciones[[#This Row],[Caso de Prueba]],CasoPrueba[Código CP],CasoPrueba[Código de REQ])</f>
        <v>INSPECCIÓN</v>
      </c>
    </row>
    <row r="386" spans="1:12" ht="60" hidden="1">
      <c r="A386" s="166" t="s">
        <v>1148</v>
      </c>
      <c r="B386" s="34" t="s">
        <v>1182</v>
      </c>
      <c r="C386" s="34" t="str">
        <f>VLOOKUP(Observaciones[Caso de Prueba],CasoPrueba[[#All],[Código CP]:[Prioridad]],7,TRUE)</f>
        <v>Alta</v>
      </c>
      <c r="D386" s="34" t="s">
        <v>28</v>
      </c>
      <c r="E386" s="34" t="s">
        <v>49</v>
      </c>
      <c r="F386" s="73">
        <v>40852</v>
      </c>
      <c r="G386" s="73">
        <v>40853</v>
      </c>
      <c r="H386" s="94" t="s">
        <v>132</v>
      </c>
      <c r="I386" s="34" t="s">
        <v>1184</v>
      </c>
      <c r="J386" s="34" t="s">
        <v>1260</v>
      </c>
      <c r="K386" s="34">
        <f>IF((Observaciones[[#This Row],[Fecha Levantamiento]]-Observaciones[[#This Row],[Fecha Detección]])&gt;=0,Observaciones[[#This Row],[Fecha Levantamiento]]-Observaciones[[#This Row],[Fecha Detección]]+1,0)</f>
        <v>2</v>
      </c>
      <c r="L386" s="34" t="str">
        <f>LOOKUP(Observaciones[[#This Row],[Caso de Prueba]],CasoPrueba[Código CP],CasoPrueba[Código de REQ])</f>
        <v>INSPECCIÓN</v>
      </c>
    </row>
    <row r="387" spans="1:12" ht="120" hidden="1">
      <c r="A387" s="166" t="s">
        <v>1149</v>
      </c>
      <c r="B387" s="34" t="s">
        <v>1182</v>
      </c>
      <c r="C387" s="34" t="str">
        <f>VLOOKUP(Observaciones[Caso de Prueba],CasoPrueba[[#All],[Código CP]:[Prioridad]],7,TRUE)</f>
        <v>Alta</v>
      </c>
      <c r="D387" s="34" t="s">
        <v>28</v>
      </c>
      <c r="E387" s="34" t="s">
        <v>49</v>
      </c>
      <c r="F387" s="73">
        <v>40852</v>
      </c>
      <c r="G387" s="73">
        <v>40853</v>
      </c>
      <c r="H387" s="94" t="s">
        <v>132</v>
      </c>
      <c r="I387" s="34" t="s">
        <v>1185</v>
      </c>
      <c r="J387" s="34" t="s">
        <v>858</v>
      </c>
      <c r="K387" s="34">
        <f>IF((Observaciones[[#This Row],[Fecha Levantamiento]]-Observaciones[[#This Row],[Fecha Detección]])&gt;=0,Observaciones[[#This Row],[Fecha Levantamiento]]-Observaciones[[#This Row],[Fecha Detección]]+1,0)</f>
        <v>2</v>
      </c>
      <c r="L387" s="34" t="str">
        <f>LOOKUP(Observaciones[[#This Row],[Caso de Prueba]],CasoPrueba[Código CP],CasoPrueba[Código de REQ])</f>
        <v>INSPECCIÓN</v>
      </c>
    </row>
    <row r="388" spans="1:12" ht="30" hidden="1">
      <c r="A388" s="166" t="s">
        <v>1150</v>
      </c>
      <c r="B388" s="34" t="s">
        <v>1182</v>
      </c>
      <c r="C388" s="34" t="str">
        <f>VLOOKUP(Observaciones[Caso de Prueba],CasoPrueba[[#All],[Código CP]:[Prioridad]],7,TRUE)</f>
        <v>Alta</v>
      </c>
      <c r="D388" s="34" t="s">
        <v>162</v>
      </c>
      <c r="E388" s="34" t="s">
        <v>49</v>
      </c>
      <c r="F388" s="73">
        <v>40852</v>
      </c>
      <c r="G388" s="73">
        <v>40853</v>
      </c>
      <c r="H388" s="94" t="s">
        <v>132</v>
      </c>
      <c r="I388" s="34" t="s">
        <v>1188</v>
      </c>
      <c r="J388" s="34" t="s">
        <v>234</v>
      </c>
      <c r="K388" s="34">
        <f>IF((Observaciones[[#This Row],[Fecha Levantamiento]]-Observaciones[[#This Row],[Fecha Detección]])&gt;=0,Observaciones[[#This Row],[Fecha Levantamiento]]-Observaciones[[#This Row],[Fecha Detección]]+1,0)</f>
        <v>2</v>
      </c>
      <c r="L388" s="34" t="str">
        <f>LOOKUP(Observaciones[[#This Row],[Caso de Prueba]],CasoPrueba[Código CP],CasoPrueba[Código de REQ])</f>
        <v>INSPECCIÓN</v>
      </c>
    </row>
    <row r="389" spans="1:12" ht="60" hidden="1">
      <c r="A389" s="166" t="s">
        <v>1151</v>
      </c>
      <c r="B389" s="34" t="s">
        <v>1182</v>
      </c>
      <c r="C389" s="34" t="str">
        <f>VLOOKUP(Observaciones[Caso de Prueba],CasoPrueba[[#All],[Código CP]:[Prioridad]],7,TRUE)</f>
        <v>Alta</v>
      </c>
      <c r="D389" s="34" t="s">
        <v>30</v>
      </c>
      <c r="E389" s="34" t="s">
        <v>49</v>
      </c>
      <c r="F389" s="73">
        <v>40852</v>
      </c>
      <c r="G389" s="73">
        <v>40853</v>
      </c>
      <c r="H389" s="94" t="s">
        <v>132</v>
      </c>
      <c r="I389" s="34" t="s">
        <v>1189</v>
      </c>
      <c r="J389" s="34" t="s">
        <v>1261</v>
      </c>
      <c r="K389" s="34">
        <f>IF((Observaciones[[#This Row],[Fecha Levantamiento]]-Observaciones[[#This Row],[Fecha Detección]])&gt;=0,Observaciones[[#This Row],[Fecha Levantamiento]]-Observaciones[[#This Row],[Fecha Detección]]+1,0)</f>
        <v>2</v>
      </c>
      <c r="L389" s="34" t="str">
        <f>LOOKUP(Observaciones[[#This Row],[Caso de Prueba]],CasoPrueba[Código CP],CasoPrueba[Código de REQ])</f>
        <v>INSPECCIÓN</v>
      </c>
    </row>
    <row r="390" spans="1:12" ht="30" hidden="1">
      <c r="A390" s="166" t="s">
        <v>1152</v>
      </c>
      <c r="B390" s="34" t="s">
        <v>1182</v>
      </c>
      <c r="C390" s="34" t="str">
        <f>VLOOKUP(Observaciones[Caso de Prueba],CasoPrueba[[#All],[Código CP]:[Prioridad]],7,TRUE)</f>
        <v>Alta</v>
      </c>
      <c r="D390" s="34" t="s">
        <v>162</v>
      </c>
      <c r="E390" s="34" t="s">
        <v>49</v>
      </c>
      <c r="F390" s="73">
        <v>40852</v>
      </c>
      <c r="G390" s="73">
        <v>40853</v>
      </c>
      <c r="H390" s="94" t="s">
        <v>132</v>
      </c>
      <c r="I390" s="34" t="s">
        <v>1190</v>
      </c>
      <c r="J390" s="34" t="s">
        <v>234</v>
      </c>
      <c r="K390" s="34">
        <f>IF((Observaciones[[#This Row],[Fecha Levantamiento]]-Observaciones[[#This Row],[Fecha Detección]])&gt;=0,Observaciones[[#This Row],[Fecha Levantamiento]]-Observaciones[[#This Row],[Fecha Detección]]+1,0)</f>
        <v>2</v>
      </c>
      <c r="L390" s="34" t="str">
        <f>LOOKUP(Observaciones[[#This Row],[Caso de Prueba]],CasoPrueba[Código CP],CasoPrueba[Código de REQ])</f>
        <v>INSPECCIÓN</v>
      </c>
    </row>
    <row r="391" spans="1:12" ht="30" hidden="1">
      <c r="A391" s="166" t="s">
        <v>1153</v>
      </c>
      <c r="B391" s="34" t="s">
        <v>1182</v>
      </c>
      <c r="C391" s="34" t="str">
        <f>VLOOKUP(Observaciones[Caso de Prueba],CasoPrueba[[#All],[Código CP]:[Prioridad]],7,TRUE)</f>
        <v>Alta</v>
      </c>
      <c r="D391" s="34" t="s">
        <v>162</v>
      </c>
      <c r="E391" s="34" t="s">
        <v>49</v>
      </c>
      <c r="F391" s="73">
        <v>40852</v>
      </c>
      <c r="G391" s="73">
        <v>40853</v>
      </c>
      <c r="H391" s="94" t="s">
        <v>132</v>
      </c>
      <c r="I391" s="34" t="s">
        <v>1191</v>
      </c>
      <c r="J391" s="34" t="s">
        <v>234</v>
      </c>
      <c r="K391" s="34">
        <f>IF((Observaciones[[#This Row],[Fecha Levantamiento]]-Observaciones[[#This Row],[Fecha Detección]])&gt;=0,Observaciones[[#This Row],[Fecha Levantamiento]]-Observaciones[[#This Row],[Fecha Detección]]+1,0)</f>
        <v>2</v>
      </c>
      <c r="L391" s="34" t="str">
        <f>LOOKUP(Observaciones[[#This Row],[Caso de Prueba]],CasoPrueba[Código CP],CasoPrueba[Código de REQ])</f>
        <v>INSPECCIÓN</v>
      </c>
    </row>
    <row r="392" spans="1:12" ht="45" hidden="1">
      <c r="A392" s="166" t="s">
        <v>1154</v>
      </c>
      <c r="B392" s="34" t="s">
        <v>1182</v>
      </c>
      <c r="C392" s="34" t="str">
        <f>VLOOKUP(Observaciones[Caso de Prueba],CasoPrueba[[#All],[Código CP]:[Prioridad]],7,TRUE)</f>
        <v>Alta</v>
      </c>
      <c r="D392" s="34" t="s">
        <v>29</v>
      </c>
      <c r="E392" s="34" t="s">
        <v>49</v>
      </c>
      <c r="F392" s="73">
        <v>40852</v>
      </c>
      <c r="G392" s="73">
        <v>40853</v>
      </c>
      <c r="H392" s="94" t="s">
        <v>132</v>
      </c>
      <c r="I392" s="34" t="s">
        <v>1192</v>
      </c>
      <c r="J392" s="34" t="s">
        <v>1305</v>
      </c>
      <c r="K392" s="34">
        <f>IF((Observaciones[[#This Row],[Fecha Levantamiento]]-Observaciones[[#This Row],[Fecha Detección]])&gt;=0,Observaciones[[#This Row],[Fecha Levantamiento]]-Observaciones[[#This Row],[Fecha Detección]]+1,0)</f>
        <v>2</v>
      </c>
      <c r="L392" s="34" t="str">
        <f>LOOKUP(Observaciones[[#This Row],[Caso de Prueba]],CasoPrueba[Código CP],CasoPrueba[Código de REQ])</f>
        <v>INSPECCIÓN</v>
      </c>
    </row>
    <row r="393" spans="1:12" ht="60" hidden="1">
      <c r="A393" s="166" t="s">
        <v>1155</v>
      </c>
      <c r="B393" s="34" t="s">
        <v>1182</v>
      </c>
      <c r="C393" s="34" t="str">
        <f>VLOOKUP(Observaciones[Caso de Prueba],CasoPrueba[[#All],[Código CP]:[Prioridad]],7,TRUE)</f>
        <v>Alta</v>
      </c>
      <c r="D393" s="34" t="s">
        <v>29</v>
      </c>
      <c r="E393" s="34" t="s">
        <v>49</v>
      </c>
      <c r="F393" s="73">
        <v>40852</v>
      </c>
      <c r="G393" s="73">
        <v>40853</v>
      </c>
      <c r="H393" s="94" t="s">
        <v>132</v>
      </c>
      <c r="I393" s="34" t="s">
        <v>1193</v>
      </c>
      <c r="J393" s="34" t="s">
        <v>1262</v>
      </c>
      <c r="K393" s="34">
        <f>IF((Observaciones[[#This Row],[Fecha Levantamiento]]-Observaciones[[#This Row],[Fecha Detección]])&gt;=0,Observaciones[[#This Row],[Fecha Levantamiento]]-Observaciones[[#This Row],[Fecha Detección]]+1,0)</f>
        <v>2</v>
      </c>
      <c r="L393" s="34" t="str">
        <f>LOOKUP(Observaciones[[#This Row],[Caso de Prueba]],CasoPrueba[Código CP],CasoPrueba[Código de REQ])</f>
        <v>INSPECCIÓN</v>
      </c>
    </row>
    <row r="394" spans="1:12" ht="45" hidden="1">
      <c r="A394" s="166" t="s">
        <v>1156</v>
      </c>
      <c r="B394" s="34" t="s">
        <v>1182</v>
      </c>
      <c r="C394" s="34" t="str">
        <f>VLOOKUP(Observaciones[Caso de Prueba],CasoPrueba[[#All],[Código CP]:[Prioridad]],7,TRUE)</f>
        <v>Alta</v>
      </c>
      <c r="D394" s="34" t="s">
        <v>29</v>
      </c>
      <c r="E394" s="34" t="s">
        <v>49</v>
      </c>
      <c r="F394" s="73">
        <v>40852</v>
      </c>
      <c r="G394" s="73">
        <v>40853</v>
      </c>
      <c r="H394" s="94" t="s">
        <v>132</v>
      </c>
      <c r="I394" s="34" t="s">
        <v>1194</v>
      </c>
      <c r="J394" s="34" t="s">
        <v>1263</v>
      </c>
      <c r="K394" s="34">
        <f>IF((Observaciones[[#This Row],[Fecha Levantamiento]]-Observaciones[[#This Row],[Fecha Detección]])&gt;=0,Observaciones[[#This Row],[Fecha Levantamiento]]-Observaciones[[#This Row],[Fecha Detección]]+1,0)</f>
        <v>2</v>
      </c>
      <c r="L394" s="34" t="str">
        <f>LOOKUP(Observaciones[[#This Row],[Caso de Prueba]],CasoPrueba[Código CP],CasoPrueba[Código de REQ])</f>
        <v>INSPECCIÓN</v>
      </c>
    </row>
    <row r="395" spans="1:12" ht="60" hidden="1">
      <c r="A395" s="166" t="s">
        <v>1157</v>
      </c>
      <c r="B395" s="34" t="s">
        <v>1182</v>
      </c>
      <c r="C395" s="34" t="str">
        <f>VLOOKUP(Observaciones[Caso de Prueba],CasoPrueba[[#All],[Código CP]:[Prioridad]],7,TRUE)</f>
        <v>Alta</v>
      </c>
      <c r="D395" s="34" t="s">
        <v>29</v>
      </c>
      <c r="E395" s="34" t="s">
        <v>49</v>
      </c>
      <c r="F395" s="73">
        <v>40852</v>
      </c>
      <c r="G395" s="73">
        <v>40853</v>
      </c>
      <c r="H395" s="94" t="s">
        <v>132</v>
      </c>
      <c r="I395" s="34" t="s">
        <v>1195</v>
      </c>
      <c r="J395" s="34" t="s">
        <v>1264</v>
      </c>
      <c r="K395" s="34">
        <f>IF((Observaciones[[#This Row],[Fecha Levantamiento]]-Observaciones[[#This Row],[Fecha Detección]])&gt;=0,Observaciones[[#This Row],[Fecha Levantamiento]]-Observaciones[[#This Row],[Fecha Detección]]+1,0)</f>
        <v>2</v>
      </c>
      <c r="L395" s="34" t="str">
        <f>LOOKUP(Observaciones[[#This Row],[Caso de Prueba]],CasoPrueba[Código CP],CasoPrueba[Código de REQ])</f>
        <v>INSPECCIÓN</v>
      </c>
    </row>
    <row r="396" spans="1:12" ht="60" hidden="1">
      <c r="A396" s="166" t="s">
        <v>1158</v>
      </c>
      <c r="B396" s="34" t="s">
        <v>1182</v>
      </c>
      <c r="C396" s="34" t="str">
        <f>VLOOKUP(Observaciones[Caso de Prueba],CasoPrueba[[#All],[Código CP]:[Prioridad]],7,TRUE)</f>
        <v>Alta</v>
      </c>
      <c r="D396" s="34" t="s">
        <v>29</v>
      </c>
      <c r="E396" s="34" t="s">
        <v>49</v>
      </c>
      <c r="F396" s="73">
        <v>40852</v>
      </c>
      <c r="G396" s="73">
        <v>40853</v>
      </c>
      <c r="H396" s="94" t="s">
        <v>132</v>
      </c>
      <c r="I396" s="34" t="s">
        <v>1196</v>
      </c>
      <c r="J396" s="34" t="s">
        <v>1265</v>
      </c>
      <c r="K396" s="34">
        <f>IF((Observaciones[[#This Row],[Fecha Levantamiento]]-Observaciones[[#This Row],[Fecha Detección]])&gt;=0,Observaciones[[#This Row],[Fecha Levantamiento]]-Observaciones[[#This Row],[Fecha Detección]]+1,0)</f>
        <v>2</v>
      </c>
      <c r="L396" s="34" t="str">
        <f>LOOKUP(Observaciones[[#This Row],[Caso de Prueba]],CasoPrueba[Código CP],CasoPrueba[Código de REQ])</f>
        <v>INSPECCIÓN</v>
      </c>
    </row>
    <row r="397" spans="1:12" ht="45" hidden="1">
      <c r="A397" s="166" t="s">
        <v>1159</v>
      </c>
      <c r="B397" s="34" t="s">
        <v>1182</v>
      </c>
      <c r="C397" s="34" t="str">
        <f>VLOOKUP(Observaciones[Caso de Prueba],CasoPrueba[[#All],[Código CP]:[Prioridad]],7,TRUE)</f>
        <v>Alta</v>
      </c>
      <c r="D397" s="34" t="s">
        <v>29</v>
      </c>
      <c r="E397" s="34" t="s">
        <v>49</v>
      </c>
      <c r="F397" s="73">
        <v>40852</v>
      </c>
      <c r="G397" s="73">
        <v>40853</v>
      </c>
      <c r="H397" s="94" t="s">
        <v>132</v>
      </c>
      <c r="I397" s="34" t="s">
        <v>1197</v>
      </c>
      <c r="J397" s="34" t="s">
        <v>1265</v>
      </c>
      <c r="K397" s="34">
        <f>IF((Observaciones[[#This Row],[Fecha Levantamiento]]-Observaciones[[#This Row],[Fecha Detección]])&gt;=0,Observaciones[[#This Row],[Fecha Levantamiento]]-Observaciones[[#This Row],[Fecha Detección]]+1,0)</f>
        <v>2</v>
      </c>
      <c r="L397" s="34" t="str">
        <f>LOOKUP(Observaciones[[#This Row],[Caso de Prueba]],CasoPrueba[Código CP],CasoPrueba[Código de REQ])</f>
        <v>INSPECCIÓN</v>
      </c>
    </row>
    <row r="398" spans="1:12" ht="45" hidden="1">
      <c r="A398" s="166" t="s">
        <v>1160</v>
      </c>
      <c r="B398" s="34" t="s">
        <v>1182</v>
      </c>
      <c r="C398" s="34" t="str">
        <f>VLOOKUP(Observaciones[Caso de Prueba],CasoPrueba[[#All],[Código CP]:[Prioridad]],7,TRUE)</f>
        <v>Alta</v>
      </c>
      <c r="D398" s="34" t="s">
        <v>29</v>
      </c>
      <c r="E398" s="34" t="s">
        <v>49</v>
      </c>
      <c r="F398" s="73">
        <v>40852</v>
      </c>
      <c r="G398" s="73">
        <v>40853</v>
      </c>
      <c r="H398" s="94" t="s">
        <v>132</v>
      </c>
      <c r="I398" s="34" t="s">
        <v>1198</v>
      </c>
      <c r="J398" s="34" t="s">
        <v>1262</v>
      </c>
      <c r="K398" s="34">
        <f>IF((Observaciones[[#This Row],[Fecha Levantamiento]]-Observaciones[[#This Row],[Fecha Detección]])&gt;=0,Observaciones[[#This Row],[Fecha Levantamiento]]-Observaciones[[#This Row],[Fecha Detección]]+1,0)</f>
        <v>2</v>
      </c>
      <c r="L398" s="34" t="str">
        <f>LOOKUP(Observaciones[[#This Row],[Caso de Prueba]],CasoPrueba[Código CP],CasoPrueba[Código de REQ])</f>
        <v>INSPECCIÓN</v>
      </c>
    </row>
    <row r="399" spans="1:12" ht="60" hidden="1">
      <c r="A399" s="166" t="s">
        <v>1161</v>
      </c>
      <c r="B399" s="34" t="s">
        <v>1182</v>
      </c>
      <c r="C399" s="34" t="str">
        <f>VLOOKUP(Observaciones[Caso de Prueba],CasoPrueba[[#All],[Código CP]:[Prioridad]],7,TRUE)</f>
        <v>Alta</v>
      </c>
      <c r="D399" s="34" t="s">
        <v>29</v>
      </c>
      <c r="E399" s="34" t="s">
        <v>49</v>
      </c>
      <c r="F399" s="73">
        <v>40852</v>
      </c>
      <c r="G399" s="73">
        <v>40853</v>
      </c>
      <c r="H399" s="94" t="s">
        <v>132</v>
      </c>
      <c r="I399" s="34" t="s">
        <v>1199</v>
      </c>
      <c r="J399" s="34" t="s">
        <v>1266</v>
      </c>
      <c r="K399" s="34">
        <f>IF((Observaciones[[#This Row],[Fecha Levantamiento]]-Observaciones[[#This Row],[Fecha Detección]])&gt;=0,Observaciones[[#This Row],[Fecha Levantamiento]]-Observaciones[[#This Row],[Fecha Detección]]+1,0)</f>
        <v>2</v>
      </c>
      <c r="L399" s="34" t="str">
        <f>LOOKUP(Observaciones[[#This Row],[Caso de Prueba]],CasoPrueba[Código CP],CasoPrueba[Código de REQ])</f>
        <v>INSPECCIÓN</v>
      </c>
    </row>
    <row r="400" spans="1:12" ht="45" hidden="1">
      <c r="A400" s="164" t="s">
        <v>1162</v>
      </c>
      <c r="B400" s="34" t="s">
        <v>1182</v>
      </c>
      <c r="C400" s="34" t="str">
        <f>VLOOKUP(Observaciones[Caso de Prueba],CasoPrueba[[#All],[Código CP]:[Prioridad]],7,TRUE)</f>
        <v>Alta</v>
      </c>
      <c r="D400" s="34" t="s">
        <v>30</v>
      </c>
      <c r="E400" s="34" t="s">
        <v>49</v>
      </c>
      <c r="F400" s="73">
        <v>40852</v>
      </c>
      <c r="G400" s="73">
        <v>40853</v>
      </c>
      <c r="H400" s="94" t="s">
        <v>132</v>
      </c>
      <c r="I400" s="34" t="s">
        <v>1289</v>
      </c>
      <c r="J400" s="34" t="s">
        <v>1267</v>
      </c>
      <c r="K400" s="34">
        <f>IF((Observaciones[[#This Row],[Fecha Levantamiento]]-Observaciones[[#This Row],[Fecha Detección]])&gt;=0,Observaciones[[#This Row],[Fecha Levantamiento]]-Observaciones[[#This Row],[Fecha Detección]]+1,0)</f>
        <v>2</v>
      </c>
      <c r="L400" s="34" t="str">
        <f>LOOKUP(Observaciones[[#This Row],[Caso de Prueba]],CasoPrueba[Código CP],CasoPrueba[Código de REQ])</f>
        <v>INSPECCIÓN</v>
      </c>
    </row>
    <row r="401" spans="1:12" ht="45" hidden="1">
      <c r="A401" s="166" t="s">
        <v>1163</v>
      </c>
      <c r="B401" s="34" t="s">
        <v>1182</v>
      </c>
      <c r="C401" s="34" t="str">
        <f>VLOOKUP(Observaciones[Caso de Prueba],CasoPrueba[[#All],[Código CP]:[Prioridad]],7,TRUE)</f>
        <v>Alta</v>
      </c>
      <c r="D401" s="34" t="s">
        <v>30</v>
      </c>
      <c r="E401" s="34" t="s">
        <v>49</v>
      </c>
      <c r="F401" s="73">
        <v>40852</v>
      </c>
      <c r="G401" s="73">
        <v>40853</v>
      </c>
      <c r="H401" s="94" t="s">
        <v>132</v>
      </c>
      <c r="I401" s="34" t="s">
        <v>1200</v>
      </c>
      <c r="J401" s="34" t="s">
        <v>1268</v>
      </c>
      <c r="K401" s="34">
        <f>IF((Observaciones[[#This Row],[Fecha Levantamiento]]-Observaciones[[#This Row],[Fecha Detección]])&gt;=0,Observaciones[[#This Row],[Fecha Levantamiento]]-Observaciones[[#This Row],[Fecha Detección]]+1,0)</f>
        <v>2</v>
      </c>
      <c r="L401" s="34" t="str">
        <f>LOOKUP(Observaciones[[#This Row],[Caso de Prueba]],CasoPrueba[Código CP],CasoPrueba[Código de REQ])</f>
        <v>INSPECCIÓN</v>
      </c>
    </row>
    <row r="402" spans="1:12" ht="30" hidden="1">
      <c r="A402" s="166" t="s">
        <v>1164</v>
      </c>
      <c r="B402" s="34" t="s">
        <v>1182</v>
      </c>
      <c r="C402" s="34" t="str">
        <f>VLOOKUP(Observaciones[Caso de Prueba],CasoPrueba[[#All],[Código CP]:[Prioridad]],7,TRUE)</f>
        <v>Alta</v>
      </c>
      <c r="D402" s="34" t="s">
        <v>29</v>
      </c>
      <c r="E402" s="34" t="s">
        <v>49</v>
      </c>
      <c r="F402" s="73">
        <v>40852</v>
      </c>
      <c r="G402" s="73">
        <v>40853</v>
      </c>
      <c r="H402" s="94" t="s">
        <v>132</v>
      </c>
      <c r="I402" s="34" t="s">
        <v>1201</v>
      </c>
      <c r="J402" s="34" t="s">
        <v>982</v>
      </c>
      <c r="K402" s="34">
        <f>IF((Observaciones[[#This Row],[Fecha Levantamiento]]-Observaciones[[#This Row],[Fecha Detección]])&gt;=0,Observaciones[[#This Row],[Fecha Levantamiento]]-Observaciones[[#This Row],[Fecha Detección]]+1,0)</f>
        <v>2</v>
      </c>
      <c r="L402" s="34" t="str">
        <f>LOOKUP(Observaciones[[#This Row],[Caso de Prueba]],CasoPrueba[Código CP],CasoPrueba[Código de REQ])</f>
        <v>INSPECCIÓN</v>
      </c>
    </row>
    <row r="403" spans="1:12" ht="45" hidden="1">
      <c r="A403" s="166" t="s">
        <v>1165</v>
      </c>
      <c r="B403" s="34" t="s">
        <v>1182</v>
      </c>
      <c r="C403" s="34" t="str">
        <f>VLOOKUP(Observaciones[Caso de Prueba],CasoPrueba[[#All],[Código CP]:[Prioridad]],7,TRUE)</f>
        <v>Alta</v>
      </c>
      <c r="D403" s="34" t="s">
        <v>29</v>
      </c>
      <c r="E403" s="34" t="s">
        <v>49</v>
      </c>
      <c r="F403" s="73">
        <v>40852</v>
      </c>
      <c r="G403" s="73">
        <v>40853</v>
      </c>
      <c r="H403" s="94" t="s">
        <v>132</v>
      </c>
      <c r="I403" s="34" t="s">
        <v>1202</v>
      </c>
      <c r="J403" s="34" t="s">
        <v>1262</v>
      </c>
      <c r="K403" s="34">
        <f>IF((Observaciones[[#This Row],[Fecha Levantamiento]]-Observaciones[[#This Row],[Fecha Detección]])&gt;=0,Observaciones[[#This Row],[Fecha Levantamiento]]-Observaciones[[#This Row],[Fecha Detección]]+1,0)</f>
        <v>2</v>
      </c>
      <c r="L403" s="34" t="str">
        <f>LOOKUP(Observaciones[[#This Row],[Caso de Prueba]],CasoPrueba[Código CP],CasoPrueba[Código de REQ])</f>
        <v>INSPECCIÓN</v>
      </c>
    </row>
    <row r="404" spans="1:12" ht="30" hidden="1">
      <c r="A404" s="166" t="s">
        <v>1166</v>
      </c>
      <c r="B404" s="34" t="s">
        <v>1182</v>
      </c>
      <c r="C404" s="34" t="str">
        <f>VLOOKUP(Observaciones[Caso de Prueba],CasoPrueba[[#All],[Código CP]:[Prioridad]],7,TRUE)</f>
        <v>Alta</v>
      </c>
      <c r="D404" s="34" t="s">
        <v>29</v>
      </c>
      <c r="E404" s="34" t="s">
        <v>49</v>
      </c>
      <c r="F404" s="73">
        <v>40852</v>
      </c>
      <c r="G404" s="73">
        <v>40853</v>
      </c>
      <c r="H404" s="94" t="s">
        <v>132</v>
      </c>
      <c r="I404" s="34" t="s">
        <v>1203</v>
      </c>
      <c r="J404" s="34" t="s">
        <v>1269</v>
      </c>
      <c r="K404" s="34">
        <f>IF((Observaciones[[#This Row],[Fecha Levantamiento]]-Observaciones[[#This Row],[Fecha Detección]])&gt;=0,Observaciones[[#This Row],[Fecha Levantamiento]]-Observaciones[[#This Row],[Fecha Detección]]+1,0)</f>
        <v>2</v>
      </c>
      <c r="L404" s="34" t="str">
        <f>LOOKUP(Observaciones[[#This Row],[Caso de Prueba]],CasoPrueba[Código CP],CasoPrueba[Código de REQ])</f>
        <v>INSPECCIÓN</v>
      </c>
    </row>
    <row r="405" spans="1:12" ht="30" hidden="1">
      <c r="A405" s="166" t="s">
        <v>1167</v>
      </c>
      <c r="B405" s="34" t="s">
        <v>1182</v>
      </c>
      <c r="C405" s="34" t="str">
        <f>VLOOKUP(Observaciones[Caso de Prueba],CasoPrueba[[#All],[Código CP]:[Prioridad]],7,TRUE)</f>
        <v>Alta</v>
      </c>
      <c r="D405" s="34" t="s">
        <v>29</v>
      </c>
      <c r="E405" s="34" t="s">
        <v>49</v>
      </c>
      <c r="F405" s="73">
        <v>40852</v>
      </c>
      <c r="G405" s="73">
        <v>40853</v>
      </c>
      <c r="H405" s="94" t="s">
        <v>132</v>
      </c>
      <c r="I405" s="34" t="s">
        <v>1204</v>
      </c>
      <c r="J405" s="34" t="s">
        <v>1270</v>
      </c>
      <c r="K405" s="34">
        <f>IF((Observaciones[[#This Row],[Fecha Levantamiento]]-Observaciones[[#This Row],[Fecha Detección]])&gt;=0,Observaciones[[#This Row],[Fecha Levantamiento]]-Observaciones[[#This Row],[Fecha Detección]]+1,0)</f>
        <v>2</v>
      </c>
      <c r="L405" s="34" t="str">
        <f>LOOKUP(Observaciones[[#This Row],[Caso de Prueba]],CasoPrueba[Código CP],CasoPrueba[Código de REQ])</f>
        <v>INSPECCIÓN</v>
      </c>
    </row>
    <row r="406" spans="1:12" ht="30" hidden="1">
      <c r="A406" s="166" t="s">
        <v>1168</v>
      </c>
      <c r="B406" s="34" t="s">
        <v>1182</v>
      </c>
      <c r="C406" s="34" t="str">
        <f>VLOOKUP(Observaciones[Caso de Prueba],CasoPrueba[[#All],[Código CP]:[Prioridad]],7,TRUE)</f>
        <v>Alta</v>
      </c>
      <c r="D406" s="34" t="s">
        <v>29</v>
      </c>
      <c r="E406" s="34" t="s">
        <v>49</v>
      </c>
      <c r="F406" s="73">
        <v>40852</v>
      </c>
      <c r="G406" s="73">
        <v>40853</v>
      </c>
      <c r="H406" s="94" t="s">
        <v>132</v>
      </c>
      <c r="I406" s="34" t="s">
        <v>1205</v>
      </c>
      <c r="J406" s="34" t="s">
        <v>1271</v>
      </c>
      <c r="K406" s="34">
        <f>IF((Observaciones[[#This Row],[Fecha Levantamiento]]-Observaciones[[#This Row],[Fecha Detección]])&gt;=0,Observaciones[[#This Row],[Fecha Levantamiento]]-Observaciones[[#This Row],[Fecha Detección]]+1,0)</f>
        <v>2</v>
      </c>
      <c r="L406" s="34" t="str">
        <f>LOOKUP(Observaciones[[#This Row],[Caso de Prueba]],CasoPrueba[Código CP],CasoPrueba[Código de REQ])</f>
        <v>INSPECCIÓN</v>
      </c>
    </row>
    <row r="407" spans="1:12" ht="45" hidden="1">
      <c r="A407" s="166" t="s">
        <v>1169</v>
      </c>
      <c r="B407" s="34" t="s">
        <v>1182</v>
      </c>
      <c r="C407" s="34" t="str">
        <f>VLOOKUP(Observaciones[Caso de Prueba],CasoPrueba[[#All],[Código CP]:[Prioridad]],7,TRUE)</f>
        <v>Alta</v>
      </c>
      <c r="D407" s="34" t="s">
        <v>29</v>
      </c>
      <c r="E407" s="34" t="s">
        <v>49</v>
      </c>
      <c r="F407" s="73">
        <v>40852</v>
      </c>
      <c r="G407" s="73">
        <v>40853</v>
      </c>
      <c r="H407" s="94" t="s">
        <v>132</v>
      </c>
      <c r="I407" s="34" t="s">
        <v>1206</v>
      </c>
      <c r="J407" s="34" t="s">
        <v>1272</v>
      </c>
      <c r="K407" s="34">
        <f>IF((Observaciones[[#This Row],[Fecha Levantamiento]]-Observaciones[[#This Row],[Fecha Detección]])&gt;=0,Observaciones[[#This Row],[Fecha Levantamiento]]-Observaciones[[#This Row],[Fecha Detección]]+1,0)</f>
        <v>2</v>
      </c>
      <c r="L407" s="34" t="str">
        <f>LOOKUP(Observaciones[[#This Row],[Caso de Prueba]],CasoPrueba[Código CP],CasoPrueba[Código de REQ])</f>
        <v>INSPECCIÓN</v>
      </c>
    </row>
    <row r="408" spans="1:12" ht="30" hidden="1">
      <c r="A408" s="166" t="s">
        <v>1170</v>
      </c>
      <c r="B408" s="34" t="s">
        <v>1182</v>
      </c>
      <c r="C408" s="34" t="str">
        <f>VLOOKUP(Observaciones[Caso de Prueba],CasoPrueba[[#All],[Código CP]:[Prioridad]],7,TRUE)</f>
        <v>Alta</v>
      </c>
      <c r="D408" s="34" t="s">
        <v>29</v>
      </c>
      <c r="E408" s="34" t="s">
        <v>49</v>
      </c>
      <c r="F408" s="73">
        <v>40852</v>
      </c>
      <c r="G408" s="73">
        <v>40853</v>
      </c>
      <c r="H408" s="94" t="s">
        <v>132</v>
      </c>
      <c r="I408" s="34" t="s">
        <v>1207</v>
      </c>
      <c r="J408" s="34" t="s">
        <v>1273</v>
      </c>
      <c r="K408" s="34">
        <f>IF((Observaciones[[#This Row],[Fecha Levantamiento]]-Observaciones[[#This Row],[Fecha Detección]])&gt;=0,Observaciones[[#This Row],[Fecha Levantamiento]]-Observaciones[[#This Row],[Fecha Detección]]+1,0)</f>
        <v>2</v>
      </c>
      <c r="L408" s="34" t="str">
        <f>LOOKUP(Observaciones[[#This Row],[Caso de Prueba]],CasoPrueba[Código CP],CasoPrueba[Código de REQ])</f>
        <v>INSPECCIÓN</v>
      </c>
    </row>
    <row r="409" spans="1:12" ht="30" hidden="1">
      <c r="A409" s="166" t="s">
        <v>1171</v>
      </c>
      <c r="B409" s="34" t="s">
        <v>1182</v>
      </c>
      <c r="C409" s="34" t="str">
        <f>VLOOKUP(Observaciones[Caso de Prueba],CasoPrueba[[#All],[Código CP]:[Prioridad]],7,TRUE)</f>
        <v>Alta</v>
      </c>
      <c r="D409" s="34" t="s">
        <v>29</v>
      </c>
      <c r="E409" s="34" t="s">
        <v>49</v>
      </c>
      <c r="F409" s="73">
        <v>40852</v>
      </c>
      <c r="G409" s="73">
        <v>40853</v>
      </c>
      <c r="H409" s="94" t="s">
        <v>132</v>
      </c>
      <c r="I409" s="34" t="s">
        <v>1208</v>
      </c>
      <c r="J409" s="34" t="s">
        <v>1261</v>
      </c>
      <c r="K409" s="34">
        <f>IF((Observaciones[[#This Row],[Fecha Levantamiento]]-Observaciones[[#This Row],[Fecha Detección]])&gt;=0,Observaciones[[#This Row],[Fecha Levantamiento]]-Observaciones[[#This Row],[Fecha Detección]]+1,0)</f>
        <v>2</v>
      </c>
      <c r="L409" s="34" t="str">
        <f>LOOKUP(Observaciones[[#This Row],[Caso de Prueba]],CasoPrueba[Código CP],CasoPrueba[Código de REQ])</f>
        <v>INSPECCIÓN</v>
      </c>
    </row>
    <row r="410" spans="1:12" ht="30" hidden="1">
      <c r="A410" s="166" t="s">
        <v>1172</v>
      </c>
      <c r="B410" s="34" t="s">
        <v>1182</v>
      </c>
      <c r="C410" s="34" t="str">
        <f>VLOOKUP(Observaciones[Caso de Prueba],CasoPrueba[[#All],[Código CP]:[Prioridad]],7,TRUE)</f>
        <v>Alta</v>
      </c>
      <c r="D410" s="34" t="s">
        <v>29</v>
      </c>
      <c r="E410" s="34" t="s">
        <v>49</v>
      </c>
      <c r="F410" s="73">
        <v>40852</v>
      </c>
      <c r="G410" s="73">
        <v>40853</v>
      </c>
      <c r="H410" s="94" t="s">
        <v>132</v>
      </c>
      <c r="I410" s="34" t="s">
        <v>1209</v>
      </c>
      <c r="J410" s="34" t="s">
        <v>1261</v>
      </c>
      <c r="K410" s="34">
        <f>IF((Observaciones[[#This Row],[Fecha Levantamiento]]-Observaciones[[#This Row],[Fecha Detección]])&gt;=0,Observaciones[[#This Row],[Fecha Levantamiento]]-Observaciones[[#This Row],[Fecha Detección]]+1,0)</f>
        <v>2</v>
      </c>
      <c r="L410" s="34" t="str">
        <f>LOOKUP(Observaciones[[#This Row],[Caso de Prueba]],CasoPrueba[Código CP],CasoPrueba[Código de REQ])</f>
        <v>INSPECCIÓN</v>
      </c>
    </row>
    <row r="411" spans="1:12" ht="30" hidden="1">
      <c r="A411" s="166" t="s">
        <v>1173</v>
      </c>
      <c r="B411" s="34" t="s">
        <v>1182</v>
      </c>
      <c r="C411" s="34" t="str">
        <f>VLOOKUP(Observaciones[Caso de Prueba],CasoPrueba[[#All],[Código CP]:[Prioridad]],7,TRUE)</f>
        <v>Alta</v>
      </c>
      <c r="D411" s="34" t="s">
        <v>29</v>
      </c>
      <c r="E411" s="34" t="s">
        <v>49</v>
      </c>
      <c r="F411" s="73">
        <v>40852</v>
      </c>
      <c r="G411" s="73">
        <v>40853</v>
      </c>
      <c r="H411" s="94" t="s">
        <v>132</v>
      </c>
      <c r="I411" s="34" t="s">
        <v>1210</v>
      </c>
      <c r="J411" s="34" t="s">
        <v>1274</v>
      </c>
      <c r="K411" s="34">
        <f>IF((Observaciones[[#This Row],[Fecha Levantamiento]]-Observaciones[[#This Row],[Fecha Detección]])&gt;=0,Observaciones[[#This Row],[Fecha Levantamiento]]-Observaciones[[#This Row],[Fecha Detección]]+1,0)</f>
        <v>2</v>
      </c>
      <c r="L411" s="34" t="str">
        <f>LOOKUP(Observaciones[[#This Row],[Caso de Prueba]],CasoPrueba[Código CP],CasoPrueba[Código de REQ])</f>
        <v>INSPECCIÓN</v>
      </c>
    </row>
    <row r="412" spans="1:12" ht="45" hidden="1">
      <c r="A412" s="166" t="s">
        <v>1174</v>
      </c>
      <c r="B412" s="34" t="s">
        <v>1182</v>
      </c>
      <c r="C412" s="34" t="str">
        <f>VLOOKUP(Observaciones[Caso de Prueba],CasoPrueba[[#All],[Código CP]:[Prioridad]],7,TRUE)</f>
        <v>Alta</v>
      </c>
      <c r="D412" s="34" t="s">
        <v>29</v>
      </c>
      <c r="E412" s="34" t="s">
        <v>49</v>
      </c>
      <c r="F412" s="73">
        <v>40852</v>
      </c>
      <c r="G412" s="73">
        <v>40853</v>
      </c>
      <c r="H412" s="94" t="s">
        <v>132</v>
      </c>
      <c r="I412" s="34" t="s">
        <v>1211</v>
      </c>
      <c r="J412" s="34" t="s">
        <v>1275</v>
      </c>
      <c r="K412" s="34">
        <f>IF((Observaciones[[#This Row],[Fecha Levantamiento]]-Observaciones[[#This Row],[Fecha Detección]])&gt;=0,Observaciones[[#This Row],[Fecha Levantamiento]]-Observaciones[[#This Row],[Fecha Detección]]+1,0)</f>
        <v>2</v>
      </c>
      <c r="L412" s="34" t="str">
        <f>LOOKUP(Observaciones[[#This Row],[Caso de Prueba]],CasoPrueba[Código CP],CasoPrueba[Código de REQ])</f>
        <v>INSPECCIÓN</v>
      </c>
    </row>
    <row r="413" spans="1:12" ht="30" hidden="1">
      <c r="A413" s="166" t="s">
        <v>1175</v>
      </c>
      <c r="B413" s="34" t="s">
        <v>1182</v>
      </c>
      <c r="C413" s="34" t="str">
        <f>VLOOKUP(Observaciones[Caso de Prueba],CasoPrueba[[#All],[Código CP]:[Prioridad]],7,TRUE)</f>
        <v>Alta</v>
      </c>
      <c r="D413" s="34" t="s">
        <v>162</v>
      </c>
      <c r="E413" s="34" t="s">
        <v>49</v>
      </c>
      <c r="F413" s="73">
        <v>40852</v>
      </c>
      <c r="G413" s="73">
        <v>40853</v>
      </c>
      <c r="H413" s="94" t="s">
        <v>132</v>
      </c>
      <c r="I413" s="34" t="s">
        <v>1212</v>
      </c>
      <c r="J413" s="34" t="s">
        <v>234</v>
      </c>
      <c r="K413" s="34">
        <f>IF((Observaciones[[#This Row],[Fecha Levantamiento]]-Observaciones[[#This Row],[Fecha Detección]])&gt;=0,Observaciones[[#This Row],[Fecha Levantamiento]]-Observaciones[[#This Row],[Fecha Detección]]+1,0)</f>
        <v>2</v>
      </c>
      <c r="L413" s="34" t="str">
        <f>LOOKUP(Observaciones[[#This Row],[Caso de Prueba]],CasoPrueba[Código CP],CasoPrueba[Código de REQ])</f>
        <v>INSPECCIÓN</v>
      </c>
    </row>
    <row r="414" spans="1:12" ht="45" hidden="1">
      <c r="A414" s="166" t="s">
        <v>1176</v>
      </c>
      <c r="B414" s="34" t="s">
        <v>1182</v>
      </c>
      <c r="C414" s="34" t="str">
        <f>VLOOKUP(Observaciones[Caso de Prueba],CasoPrueba[[#All],[Código CP]:[Prioridad]],7,TRUE)</f>
        <v>Alta</v>
      </c>
      <c r="D414" s="34" t="s">
        <v>30</v>
      </c>
      <c r="E414" s="34" t="s">
        <v>49</v>
      </c>
      <c r="F414" s="73">
        <v>40852</v>
      </c>
      <c r="G414" s="73">
        <v>40853</v>
      </c>
      <c r="H414" s="94" t="s">
        <v>132</v>
      </c>
      <c r="I414" s="34" t="s">
        <v>1213</v>
      </c>
      <c r="J414" s="34" t="s">
        <v>1268</v>
      </c>
      <c r="K414" s="34">
        <f>IF((Observaciones[[#This Row],[Fecha Levantamiento]]-Observaciones[[#This Row],[Fecha Detección]])&gt;=0,Observaciones[[#This Row],[Fecha Levantamiento]]-Observaciones[[#This Row],[Fecha Detección]]+1,0)</f>
        <v>2</v>
      </c>
      <c r="L414" s="34" t="str">
        <f>LOOKUP(Observaciones[[#This Row],[Caso de Prueba]],CasoPrueba[Código CP],CasoPrueba[Código de REQ])</f>
        <v>INSPECCIÓN</v>
      </c>
    </row>
    <row r="415" spans="1:12" ht="30" hidden="1">
      <c r="A415" s="166" t="s">
        <v>1177</v>
      </c>
      <c r="B415" s="34" t="s">
        <v>1182</v>
      </c>
      <c r="C415" s="34" t="str">
        <f>VLOOKUP(Observaciones[Caso de Prueba],CasoPrueba[[#All],[Código CP]:[Prioridad]],7,TRUE)</f>
        <v>Alta</v>
      </c>
      <c r="D415" s="34" t="s">
        <v>29</v>
      </c>
      <c r="E415" s="34" t="s">
        <v>49</v>
      </c>
      <c r="F415" s="73">
        <v>40852</v>
      </c>
      <c r="G415" s="73">
        <v>40853</v>
      </c>
      <c r="H415" s="94" t="s">
        <v>132</v>
      </c>
      <c r="I415" s="34" t="s">
        <v>1214</v>
      </c>
      <c r="J415" s="34" t="s">
        <v>1276</v>
      </c>
      <c r="K415" s="34">
        <f>IF((Observaciones[[#This Row],[Fecha Levantamiento]]-Observaciones[[#This Row],[Fecha Detección]])&gt;=0,Observaciones[[#This Row],[Fecha Levantamiento]]-Observaciones[[#This Row],[Fecha Detección]]+1,0)</f>
        <v>2</v>
      </c>
      <c r="L415" s="34" t="str">
        <f>LOOKUP(Observaciones[[#This Row],[Caso de Prueba]],CasoPrueba[Código CP],CasoPrueba[Código de REQ])</f>
        <v>INSPECCIÓN</v>
      </c>
    </row>
    <row r="416" spans="1:12" ht="30" hidden="1">
      <c r="A416" s="166" t="s">
        <v>1178</v>
      </c>
      <c r="B416" s="34" t="s">
        <v>1182</v>
      </c>
      <c r="C416" s="34" t="str">
        <f>VLOOKUP(Observaciones[Caso de Prueba],CasoPrueba[[#All],[Código CP]:[Prioridad]],7,TRUE)</f>
        <v>Alta</v>
      </c>
      <c r="D416" s="34" t="s">
        <v>29</v>
      </c>
      <c r="E416" s="34" t="s">
        <v>49</v>
      </c>
      <c r="F416" s="73">
        <v>40852</v>
      </c>
      <c r="G416" s="73">
        <v>40853</v>
      </c>
      <c r="H416" s="94" t="s">
        <v>132</v>
      </c>
      <c r="I416" s="34" t="s">
        <v>1215</v>
      </c>
      <c r="J416" s="34" t="s">
        <v>1277</v>
      </c>
      <c r="K416" s="34">
        <f>IF((Observaciones[[#This Row],[Fecha Levantamiento]]-Observaciones[[#This Row],[Fecha Detección]])&gt;=0,Observaciones[[#This Row],[Fecha Levantamiento]]-Observaciones[[#This Row],[Fecha Detección]]+1,0)</f>
        <v>2</v>
      </c>
      <c r="L416" s="34" t="str">
        <f>LOOKUP(Observaciones[[#This Row],[Caso de Prueba]],CasoPrueba[Código CP],CasoPrueba[Código de REQ])</f>
        <v>INSPECCIÓN</v>
      </c>
    </row>
    <row r="417" spans="1:12" ht="45" hidden="1">
      <c r="A417" s="166" t="s">
        <v>1179</v>
      </c>
      <c r="B417" s="34" t="s">
        <v>1182</v>
      </c>
      <c r="C417" s="34" t="str">
        <f>VLOOKUP(Observaciones[Caso de Prueba],CasoPrueba[[#All],[Código CP]:[Prioridad]],7,TRUE)</f>
        <v>Alta</v>
      </c>
      <c r="D417" s="34" t="s">
        <v>29</v>
      </c>
      <c r="E417" s="34" t="s">
        <v>49</v>
      </c>
      <c r="F417" s="73">
        <v>40852</v>
      </c>
      <c r="G417" s="73">
        <v>40853</v>
      </c>
      <c r="H417" s="94" t="s">
        <v>132</v>
      </c>
      <c r="I417" s="34" t="s">
        <v>1216</v>
      </c>
      <c r="J417" s="34" t="s">
        <v>1278</v>
      </c>
      <c r="K417" s="34">
        <f>IF((Observaciones[[#This Row],[Fecha Levantamiento]]-Observaciones[[#This Row],[Fecha Detección]])&gt;=0,Observaciones[[#This Row],[Fecha Levantamiento]]-Observaciones[[#This Row],[Fecha Detección]]+1,0)</f>
        <v>2</v>
      </c>
      <c r="L417" s="34" t="str">
        <f>LOOKUP(Observaciones[[#This Row],[Caso de Prueba]],CasoPrueba[Código CP],CasoPrueba[Código de REQ])</f>
        <v>INSPECCIÓN</v>
      </c>
    </row>
    <row r="418" spans="1:12" ht="45" hidden="1">
      <c r="A418" s="166" t="s">
        <v>1218</v>
      </c>
      <c r="B418" s="34" t="s">
        <v>1182</v>
      </c>
      <c r="C418" s="164" t="str">
        <f>VLOOKUP(Observaciones[Caso de Prueba],CasoPrueba[[#All],[Código CP]:[Prioridad]],7,TRUE)</f>
        <v>Alta</v>
      </c>
      <c r="D418" s="34" t="s">
        <v>29</v>
      </c>
      <c r="E418" s="34" t="s">
        <v>49</v>
      </c>
      <c r="F418" s="73">
        <v>40852</v>
      </c>
      <c r="G418" s="73">
        <v>40853</v>
      </c>
      <c r="H418" s="94" t="s">
        <v>132</v>
      </c>
      <c r="I418" s="164" t="s">
        <v>1217</v>
      </c>
      <c r="J418" s="34" t="s">
        <v>1279</v>
      </c>
      <c r="K418" s="164">
        <f>IF((Observaciones[[#This Row],[Fecha Levantamiento]]-Observaciones[[#This Row],[Fecha Detección]])&gt;=0,Observaciones[[#This Row],[Fecha Levantamiento]]-Observaciones[[#This Row],[Fecha Detección]]+1,0)</f>
        <v>2</v>
      </c>
      <c r="L418" s="164" t="str">
        <f>LOOKUP(Observaciones[[#This Row],[Caso de Prueba]],CasoPrueba[Código CP],CasoPrueba[Código de REQ])</f>
        <v>INSPECCIÓN</v>
      </c>
    </row>
    <row r="419" spans="1:12" ht="60" hidden="1">
      <c r="A419" s="166" t="s">
        <v>1219</v>
      </c>
      <c r="B419" s="34" t="s">
        <v>1182</v>
      </c>
      <c r="C419" s="34" t="str">
        <f>VLOOKUP(Observaciones[Caso de Prueba],CasoPrueba[[#All],[Código CP]:[Prioridad]],7,TRUE)</f>
        <v>Alta</v>
      </c>
      <c r="D419" s="34" t="s">
        <v>29</v>
      </c>
      <c r="E419" s="34" t="s">
        <v>49</v>
      </c>
      <c r="F419" s="73">
        <v>40852</v>
      </c>
      <c r="G419" s="73">
        <v>40853</v>
      </c>
      <c r="H419" s="94" t="s">
        <v>132</v>
      </c>
      <c r="I419" s="34" t="s">
        <v>1248</v>
      </c>
      <c r="J419" s="34" t="s">
        <v>1280</v>
      </c>
      <c r="K419" s="34">
        <f>IF((Observaciones[[#This Row],[Fecha Levantamiento]]-Observaciones[[#This Row],[Fecha Detección]])&gt;=0,Observaciones[[#This Row],[Fecha Levantamiento]]-Observaciones[[#This Row],[Fecha Detección]]+1,0)</f>
        <v>2</v>
      </c>
      <c r="L419" s="34" t="str">
        <f>LOOKUP(Observaciones[[#This Row],[Caso de Prueba]],CasoPrueba[Código CP],CasoPrueba[Código de REQ])</f>
        <v>INSPECCIÓN</v>
      </c>
    </row>
    <row r="420" spans="1:12" ht="30" hidden="1">
      <c r="A420" s="166" t="s">
        <v>1220</v>
      </c>
      <c r="B420" s="34" t="s">
        <v>1182</v>
      </c>
      <c r="C420" s="34" t="str">
        <f>VLOOKUP(Observaciones[Caso de Prueba],CasoPrueba[[#All],[Código CP]:[Prioridad]],7,TRUE)</f>
        <v>Alta</v>
      </c>
      <c r="D420" s="34" t="s">
        <v>29</v>
      </c>
      <c r="E420" s="34" t="s">
        <v>49</v>
      </c>
      <c r="F420" s="73">
        <v>40852</v>
      </c>
      <c r="G420" s="73">
        <v>40853</v>
      </c>
      <c r="H420" s="94" t="s">
        <v>132</v>
      </c>
      <c r="I420" s="34" t="s">
        <v>1249</v>
      </c>
      <c r="J420" s="34" t="s">
        <v>1281</v>
      </c>
      <c r="K420" s="34">
        <f>IF((Observaciones[[#This Row],[Fecha Levantamiento]]-Observaciones[[#This Row],[Fecha Detección]])&gt;=0,Observaciones[[#This Row],[Fecha Levantamiento]]-Observaciones[[#This Row],[Fecha Detección]]+1,0)</f>
        <v>2</v>
      </c>
      <c r="L420" s="34" t="str">
        <f>LOOKUP(Observaciones[[#This Row],[Caso de Prueba]],CasoPrueba[Código CP],CasoPrueba[Código de REQ])</f>
        <v>INSPECCIÓN</v>
      </c>
    </row>
    <row r="421" spans="1:12" ht="30" hidden="1">
      <c r="A421" s="166" t="s">
        <v>1221</v>
      </c>
      <c r="B421" s="34" t="s">
        <v>1182</v>
      </c>
      <c r="C421" s="34" t="str">
        <f>VLOOKUP(Observaciones[Caso de Prueba],CasoPrueba[[#All],[Código CP]:[Prioridad]],7,TRUE)</f>
        <v>Alta</v>
      </c>
      <c r="D421" s="34" t="s">
        <v>162</v>
      </c>
      <c r="E421" s="34" t="s">
        <v>49</v>
      </c>
      <c r="F421" s="73">
        <v>40852</v>
      </c>
      <c r="G421" s="73">
        <v>40853</v>
      </c>
      <c r="H421" s="94" t="s">
        <v>132</v>
      </c>
      <c r="I421" s="34" t="s">
        <v>1250</v>
      </c>
      <c r="J421" s="34" t="s">
        <v>1282</v>
      </c>
      <c r="K421" s="34">
        <f>IF((Observaciones[[#This Row],[Fecha Levantamiento]]-Observaciones[[#This Row],[Fecha Detección]])&gt;=0,Observaciones[[#This Row],[Fecha Levantamiento]]-Observaciones[[#This Row],[Fecha Detección]]+1,0)</f>
        <v>2</v>
      </c>
      <c r="L421" s="34" t="str">
        <f>LOOKUP(Observaciones[[#This Row],[Caso de Prueba]],CasoPrueba[Código CP],CasoPrueba[Código de REQ])</f>
        <v>INSPECCIÓN</v>
      </c>
    </row>
    <row r="422" spans="1:12" ht="30" hidden="1">
      <c r="A422" s="166" t="s">
        <v>1222</v>
      </c>
      <c r="B422" s="34" t="s">
        <v>1182</v>
      </c>
      <c r="C422" s="34" t="str">
        <f>VLOOKUP(Observaciones[Caso de Prueba],CasoPrueba[[#All],[Código CP]:[Prioridad]],7,TRUE)</f>
        <v>Alta</v>
      </c>
      <c r="D422" s="34" t="s">
        <v>30</v>
      </c>
      <c r="E422" s="34" t="s">
        <v>49</v>
      </c>
      <c r="F422" s="73">
        <v>40852</v>
      </c>
      <c r="G422" s="73">
        <v>40853</v>
      </c>
      <c r="H422" s="94" t="s">
        <v>132</v>
      </c>
      <c r="I422" s="34" t="s">
        <v>1251</v>
      </c>
      <c r="J422" s="34" t="s">
        <v>857</v>
      </c>
      <c r="K422" s="34">
        <f>IF((Observaciones[[#This Row],[Fecha Levantamiento]]-Observaciones[[#This Row],[Fecha Detección]])&gt;=0,Observaciones[[#This Row],[Fecha Levantamiento]]-Observaciones[[#This Row],[Fecha Detección]]+1,0)</f>
        <v>2</v>
      </c>
      <c r="L422" s="34" t="str">
        <f>LOOKUP(Observaciones[[#This Row],[Caso de Prueba]],CasoPrueba[Código CP],CasoPrueba[Código de REQ])</f>
        <v>INSPECCIÓN</v>
      </c>
    </row>
    <row r="423" spans="1:12" ht="45" hidden="1">
      <c r="A423" s="166" t="s">
        <v>1223</v>
      </c>
      <c r="B423" s="34" t="s">
        <v>1182</v>
      </c>
      <c r="C423" s="34" t="str">
        <f>VLOOKUP(Observaciones[Caso de Prueba],CasoPrueba[[#All],[Código CP]:[Prioridad]],7,TRUE)</f>
        <v>Alta</v>
      </c>
      <c r="D423" s="34" t="s">
        <v>162</v>
      </c>
      <c r="E423" s="34" t="s">
        <v>49</v>
      </c>
      <c r="F423" s="73">
        <v>40852</v>
      </c>
      <c r="G423" s="73">
        <v>40853</v>
      </c>
      <c r="H423" s="94" t="s">
        <v>132</v>
      </c>
      <c r="I423" s="34" t="s">
        <v>1252</v>
      </c>
      <c r="J423" s="34" t="s">
        <v>196</v>
      </c>
      <c r="K423" s="34">
        <f>IF((Observaciones[[#This Row],[Fecha Levantamiento]]-Observaciones[[#This Row],[Fecha Detección]])&gt;=0,Observaciones[[#This Row],[Fecha Levantamiento]]-Observaciones[[#This Row],[Fecha Detección]]+1,0)</f>
        <v>2</v>
      </c>
      <c r="L423" s="34" t="str">
        <f>LOOKUP(Observaciones[[#This Row],[Caso de Prueba]],CasoPrueba[Código CP],CasoPrueba[Código de REQ])</f>
        <v>INSPECCIÓN</v>
      </c>
    </row>
    <row r="424" spans="1:12" ht="60" hidden="1">
      <c r="A424" s="166" t="s">
        <v>1224</v>
      </c>
      <c r="B424" s="34" t="s">
        <v>1182</v>
      </c>
      <c r="C424" s="34" t="str">
        <f>VLOOKUP(Observaciones[Caso de Prueba],CasoPrueba[[#All],[Código CP]:[Prioridad]],7,TRUE)</f>
        <v>Alta</v>
      </c>
      <c r="D424" s="34" t="s">
        <v>162</v>
      </c>
      <c r="E424" s="34" t="s">
        <v>49</v>
      </c>
      <c r="F424" s="73">
        <v>40852</v>
      </c>
      <c r="G424" s="73">
        <v>40853</v>
      </c>
      <c r="H424" s="94" t="s">
        <v>132</v>
      </c>
      <c r="I424" s="34" t="s">
        <v>1253</v>
      </c>
      <c r="J424" s="34" t="s">
        <v>196</v>
      </c>
      <c r="K424" s="34">
        <f>IF((Observaciones[[#This Row],[Fecha Levantamiento]]-Observaciones[[#This Row],[Fecha Detección]])&gt;=0,Observaciones[[#This Row],[Fecha Levantamiento]]-Observaciones[[#This Row],[Fecha Detección]]+1,0)</f>
        <v>2</v>
      </c>
      <c r="L424" s="34" t="str">
        <f>LOOKUP(Observaciones[[#This Row],[Caso de Prueba]],CasoPrueba[Código CP],CasoPrueba[Código de REQ])</f>
        <v>INSPECCIÓN</v>
      </c>
    </row>
    <row r="425" spans="1:12" ht="30" hidden="1">
      <c r="A425" s="166" t="s">
        <v>1225</v>
      </c>
      <c r="B425" s="34" t="s">
        <v>1182</v>
      </c>
      <c r="C425" s="34" t="str">
        <f>VLOOKUP(Observaciones[Caso de Prueba],CasoPrueba[[#All],[Código CP]:[Prioridad]],7,TRUE)</f>
        <v>Alta</v>
      </c>
      <c r="D425" s="34" t="s">
        <v>162</v>
      </c>
      <c r="E425" s="34" t="s">
        <v>49</v>
      </c>
      <c r="F425" s="73">
        <v>40852</v>
      </c>
      <c r="G425" s="73">
        <v>40853</v>
      </c>
      <c r="H425" s="94" t="s">
        <v>132</v>
      </c>
      <c r="I425" s="34" t="s">
        <v>1254</v>
      </c>
      <c r="J425" s="34" t="s">
        <v>1283</v>
      </c>
      <c r="K425" s="34">
        <f>IF((Observaciones[[#This Row],[Fecha Levantamiento]]-Observaciones[[#This Row],[Fecha Detección]])&gt;=0,Observaciones[[#This Row],[Fecha Levantamiento]]-Observaciones[[#This Row],[Fecha Detección]]+1,0)</f>
        <v>2</v>
      </c>
      <c r="L425" s="34" t="str">
        <f>LOOKUP(Observaciones[[#This Row],[Caso de Prueba]],CasoPrueba[Código CP],CasoPrueba[Código de REQ])</f>
        <v>INSPECCIÓN</v>
      </c>
    </row>
    <row r="426" spans="1:12" ht="45" hidden="1">
      <c r="A426" s="166" t="s">
        <v>1226</v>
      </c>
      <c r="B426" s="34" t="s">
        <v>1182</v>
      </c>
      <c r="C426" s="34" t="str">
        <f>VLOOKUP(Observaciones[Caso de Prueba],CasoPrueba[[#All],[Código CP]:[Prioridad]],7,TRUE)</f>
        <v>Alta</v>
      </c>
      <c r="D426" s="34" t="s">
        <v>30</v>
      </c>
      <c r="E426" s="34" t="s">
        <v>49</v>
      </c>
      <c r="F426" s="73">
        <v>40852</v>
      </c>
      <c r="G426" s="73">
        <v>40853</v>
      </c>
      <c r="H426" s="94" t="s">
        <v>132</v>
      </c>
      <c r="I426" s="34" t="s">
        <v>1255</v>
      </c>
      <c r="J426" s="34" t="s">
        <v>1284</v>
      </c>
      <c r="K426" s="34">
        <f>IF((Observaciones[[#This Row],[Fecha Levantamiento]]-Observaciones[[#This Row],[Fecha Detección]])&gt;=0,Observaciones[[#This Row],[Fecha Levantamiento]]-Observaciones[[#This Row],[Fecha Detección]]+1,0)</f>
        <v>2</v>
      </c>
      <c r="L426" s="34" t="str">
        <f>LOOKUP(Observaciones[[#This Row],[Caso de Prueba]],CasoPrueba[Código CP],CasoPrueba[Código de REQ])</f>
        <v>INSPECCIÓN</v>
      </c>
    </row>
    <row r="427" spans="1:12" ht="45" hidden="1">
      <c r="A427" s="166" t="s">
        <v>1227</v>
      </c>
      <c r="B427" s="34" t="s">
        <v>1182</v>
      </c>
      <c r="C427" s="34" t="str">
        <f>VLOOKUP(Observaciones[Caso de Prueba],CasoPrueba[[#All],[Código CP]:[Prioridad]],7,TRUE)</f>
        <v>Alta</v>
      </c>
      <c r="D427" s="34" t="s">
        <v>30</v>
      </c>
      <c r="E427" s="34" t="s">
        <v>49</v>
      </c>
      <c r="F427" s="73">
        <v>40852</v>
      </c>
      <c r="G427" s="73">
        <v>40853</v>
      </c>
      <c r="H427" s="94" t="s">
        <v>132</v>
      </c>
      <c r="I427" s="34" t="s">
        <v>1293</v>
      </c>
      <c r="J427" s="34" t="s">
        <v>1294</v>
      </c>
      <c r="K427" s="34">
        <f>IF((Observaciones[[#This Row],[Fecha Levantamiento]]-Observaciones[[#This Row],[Fecha Detección]])&gt;=0,Observaciones[[#This Row],[Fecha Levantamiento]]-Observaciones[[#This Row],[Fecha Detección]]+1,0)</f>
        <v>2</v>
      </c>
      <c r="L427" s="34" t="str">
        <f>LOOKUP(Observaciones[[#This Row],[Caso de Prueba]],CasoPrueba[Código CP],CasoPrueba[Código de REQ])</f>
        <v>INSPECCIÓN</v>
      </c>
    </row>
    <row r="428" spans="1:12" ht="30" hidden="1">
      <c r="A428" s="166" t="s">
        <v>1228</v>
      </c>
      <c r="B428" s="34" t="s">
        <v>1182</v>
      </c>
      <c r="C428" s="34" t="str">
        <f>VLOOKUP(Observaciones[Caso de Prueba],CasoPrueba[[#All],[Código CP]:[Prioridad]],7,TRUE)</f>
        <v>Alta</v>
      </c>
      <c r="D428" s="34" t="s">
        <v>162</v>
      </c>
      <c r="E428" s="34" t="s">
        <v>49</v>
      </c>
      <c r="F428" s="73">
        <v>40852</v>
      </c>
      <c r="G428" s="73">
        <v>40853</v>
      </c>
      <c r="H428" s="94" t="s">
        <v>132</v>
      </c>
      <c r="I428" s="34" t="s">
        <v>1295</v>
      </c>
      <c r="J428" s="34" t="s">
        <v>1285</v>
      </c>
      <c r="K428" s="34">
        <f>IF((Observaciones[[#This Row],[Fecha Levantamiento]]-Observaciones[[#This Row],[Fecha Detección]])&gt;=0,Observaciones[[#This Row],[Fecha Levantamiento]]-Observaciones[[#This Row],[Fecha Detección]]+1,0)</f>
        <v>2</v>
      </c>
      <c r="L428" s="34" t="str">
        <f>LOOKUP(Observaciones[[#This Row],[Caso de Prueba]],CasoPrueba[Código CP],CasoPrueba[Código de REQ])</f>
        <v>INSPECCIÓN</v>
      </c>
    </row>
    <row r="429" spans="1:12" ht="45" hidden="1">
      <c r="A429" s="166" t="s">
        <v>1229</v>
      </c>
      <c r="B429" s="34" t="s">
        <v>1182</v>
      </c>
      <c r="C429" s="34" t="str">
        <f>VLOOKUP(Observaciones[Caso de Prueba],CasoPrueba[[#All],[Código CP]:[Prioridad]],7,TRUE)</f>
        <v>Alta</v>
      </c>
      <c r="D429" s="34" t="s">
        <v>28</v>
      </c>
      <c r="E429" s="34" t="s">
        <v>49</v>
      </c>
      <c r="F429" s="73">
        <v>40852</v>
      </c>
      <c r="G429" s="73">
        <v>40853</v>
      </c>
      <c r="H429" s="94" t="s">
        <v>132</v>
      </c>
      <c r="I429" s="34" t="s">
        <v>1256</v>
      </c>
      <c r="J429" s="34" t="s">
        <v>857</v>
      </c>
      <c r="K429" s="34">
        <f>IF((Observaciones[[#This Row],[Fecha Levantamiento]]-Observaciones[[#This Row],[Fecha Detección]])&gt;=0,Observaciones[[#This Row],[Fecha Levantamiento]]-Observaciones[[#This Row],[Fecha Detección]]+1,0)</f>
        <v>2</v>
      </c>
      <c r="L429" s="34" t="str">
        <f>LOOKUP(Observaciones[[#This Row],[Caso de Prueba]],CasoPrueba[Código CP],CasoPrueba[Código de REQ])</f>
        <v>INSPECCIÓN</v>
      </c>
    </row>
    <row r="430" spans="1:12" ht="45" hidden="1">
      <c r="A430" s="166" t="s">
        <v>1230</v>
      </c>
      <c r="B430" s="34" t="s">
        <v>1182</v>
      </c>
      <c r="C430" s="34" t="str">
        <f>VLOOKUP(Observaciones[Caso de Prueba],CasoPrueba[[#All],[Código CP]:[Prioridad]],7,TRUE)</f>
        <v>Alta</v>
      </c>
      <c r="D430" s="34" t="s">
        <v>162</v>
      </c>
      <c r="E430" s="34" t="s">
        <v>49</v>
      </c>
      <c r="F430" s="73">
        <v>40852</v>
      </c>
      <c r="G430" s="73">
        <v>40853</v>
      </c>
      <c r="H430" s="94" t="s">
        <v>132</v>
      </c>
      <c r="I430" s="34" t="s">
        <v>1257</v>
      </c>
      <c r="J430" s="34" t="s">
        <v>196</v>
      </c>
      <c r="K430" s="34">
        <f>IF((Observaciones[[#This Row],[Fecha Levantamiento]]-Observaciones[[#This Row],[Fecha Detección]])&gt;=0,Observaciones[[#This Row],[Fecha Levantamiento]]-Observaciones[[#This Row],[Fecha Detección]]+1,0)</f>
        <v>2</v>
      </c>
      <c r="L430" s="34" t="str">
        <f>LOOKUP(Observaciones[[#This Row],[Caso de Prueba]],CasoPrueba[Código CP],CasoPrueba[Código de REQ])</f>
        <v>INSPECCIÓN</v>
      </c>
    </row>
    <row r="431" spans="1:12" ht="45" hidden="1">
      <c r="A431" s="166" t="s">
        <v>1231</v>
      </c>
      <c r="B431" s="34" t="s">
        <v>1182</v>
      </c>
      <c r="C431" s="34" t="str">
        <f>VLOOKUP(Observaciones[Caso de Prueba],CasoPrueba[[#All],[Código CP]:[Prioridad]],7,TRUE)</f>
        <v>Alta</v>
      </c>
      <c r="D431" s="34" t="s">
        <v>30</v>
      </c>
      <c r="E431" s="34" t="s">
        <v>49</v>
      </c>
      <c r="F431" s="73">
        <v>40853</v>
      </c>
      <c r="G431" s="73">
        <v>40855</v>
      </c>
      <c r="H431" s="94" t="s">
        <v>132</v>
      </c>
      <c r="I431" s="34" t="s">
        <v>1288</v>
      </c>
      <c r="J431" s="34" t="s">
        <v>1306</v>
      </c>
      <c r="K431" s="34">
        <f>IF((Observaciones[[#This Row],[Fecha Levantamiento]]-Observaciones[[#This Row],[Fecha Detección]])&gt;=0,Observaciones[[#This Row],[Fecha Levantamiento]]-Observaciones[[#This Row],[Fecha Detección]]+1,0)</f>
        <v>3</v>
      </c>
      <c r="L431" s="34" t="str">
        <f>LOOKUP(Observaciones[[#This Row],[Caso de Prueba]],CasoPrueba[Código CP],CasoPrueba[Código de REQ])</f>
        <v>INSPECCIÓN</v>
      </c>
    </row>
    <row r="432" spans="1:12" ht="30" hidden="1">
      <c r="A432" s="166" t="s">
        <v>1232</v>
      </c>
      <c r="B432" s="34" t="s">
        <v>1182</v>
      </c>
      <c r="C432" s="34" t="str">
        <f>VLOOKUP(Observaciones[Caso de Prueba],CasoPrueba[[#All],[Código CP]:[Prioridad]],7,TRUE)</f>
        <v>Alta</v>
      </c>
      <c r="D432" s="34" t="s">
        <v>29</v>
      </c>
      <c r="E432" s="34" t="s">
        <v>49</v>
      </c>
      <c r="F432" s="73">
        <v>40853</v>
      </c>
      <c r="G432" s="73">
        <v>40855</v>
      </c>
      <c r="H432" s="94" t="s">
        <v>132</v>
      </c>
      <c r="I432" s="34" t="s">
        <v>1286</v>
      </c>
      <c r="J432" s="34" t="s">
        <v>1308</v>
      </c>
      <c r="K432" s="34">
        <f>IF((Observaciones[[#This Row],[Fecha Levantamiento]]-Observaciones[[#This Row],[Fecha Detección]])&gt;=0,Observaciones[[#This Row],[Fecha Levantamiento]]-Observaciones[[#This Row],[Fecha Detección]]+1,0)</f>
        <v>3</v>
      </c>
      <c r="L432" s="34" t="str">
        <f>LOOKUP(Observaciones[[#This Row],[Caso de Prueba]],CasoPrueba[Código CP],CasoPrueba[Código de REQ])</f>
        <v>INSPECCIÓN</v>
      </c>
    </row>
    <row r="433" spans="1:12" ht="30" hidden="1">
      <c r="A433" s="166" t="s">
        <v>1233</v>
      </c>
      <c r="B433" s="34" t="s">
        <v>1182</v>
      </c>
      <c r="C433" s="34" t="str">
        <f>VLOOKUP(Observaciones[Caso de Prueba],CasoPrueba[[#All],[Código CP]:[Prioridad]],7,TRUE)</f>
        <v>Alta</v>
      </c>
      <c r="D433" s="34" t="s">
        <v>162</v>
      </c>
      <c r="E433" s="34" t="s">
        <v>49</v>
      </c>
      <c r="F433" s="73">
        <v>40853</v>
      </c>
      <c r="G433" s="73">
        <v>40855</v>
      </c>
      <c r="H433" s="94" t="s">
        <v>132</v>
      </c>
      <c r="I433" s="34" t="s">
        <v>1287</v>
      </c>
      <c r="J433" s="34" t="s">
        <v>1309</v>
      </c>
      <c r="K433" s="34">
        <f>IF((Observaciones[[#This Row],[Fecha Levantamiento]]-Observaciones[[#This Row],[Fecha Detección]])&gt;=0,Observaciones[[#This Row],[Fecha Levantamiento]]-Observaciones[[#This Row],[Fecha Detección]]+1,0)</f>
        <v>3</v>
      </c>
      <c r="L433" s="34" t="str">
        <f>LOOKUP(Observaciones[[#This Row],[Caso de Prueba]],CasoPrueba[Código CP],CasoPrueba[Código de REQ])</f>
        <v>INSPECCIÓN</v>
      </c>
    </row>
    <row r="434" spans="1:12" hidden="1">
      <c r="A434" s="166" t="s">
        <v>1234</v>
      </c>
      <c r="B434" s="34" t="s">
        <v>1182</v>
      </c>
      <c r="C434" s="34" t="str">
        <f>VLOOKUP(Observaciones[Caso de Prueba],CasoPrueba[[#All],[Código CP]:[Prioridad]],7,TRUE)</f>
        <v>Alta</v>
      </c>
      <c r="D434" s="34" t="s">
        <v>30</v>
      </c>
      <c r="E434" s="34" t="s">
        <v>49</v>
      </c>
      <c r="F434" s="73">
        <v>40853</v>
      </c>
      <c r="G434" s="73">
        <v>40855</v>
      </c>
      <c r="H434" s="94" t="s">
        <v>132</v>
      </c>
      <c r="I434" s="34" t="s">
        <v>1290</v>
      </c>
      <c r="J434" s="34" t="s">
        <v>1319</v>
      </c>
      <c r="K434" s="34">
        <f>IF((Observaciones[[#This Row],[Fecha Levantamiento]]-Observaciones[[#This Row],[Fecha Detección]])&gt;=0,Observaciones[[#This Row],[Fecha Levantamiento]]-Observaciones[[#This Row],[Fecha Detección]]+1,0)</f>
        <v>3</v>
      </c>
      <c r="L434" s="34" t="str">
        <f>LOOKUP(Observaciones[[#This Row],[Caso de Prueba]],CasoPrueba[Código CP],CasoPrueba[Código de REQ])</f>
        <v>INSPECCIÓN</v>
      </c>
    </row>
    <row r="435" spans="1:12" ht="60" hidden="1">
      <c r="A435" s="166" t="s">
        <v>1235</v>
      </c>
      <c r="B435" s="34" t="s">
        <v>1182</v>
      </c>
      <c r="C435" s="34" t="str">
        <f>VLOOKUP(Observaciones[Caso de Prueba],CasoPrueba[[#All],[Código CP]:[Prioridad]],7,TRUE)</f>
        <v>Alta</v>
      </c>
      <c r="D435" s="34" t="s">
        <v>30</v>
      </c>
      <c r="E435" s="34" t="s">
        <v>49</v>
      </c>
      <c r="F435" s="73">
        <v>40853</v>
      </c>
      <c r="G435" s="73">
        <v>40855</v>
      </c>
      <c r="H435" s="94" t="s">
        <v>132</v>
      </c>
      <c r="I435" s="34" t="s">
        <v>1291</v>
      </c>
      <c r="J435" s="34" t="s">
        <v>1311</v>
      </c>
      <c r="K435" s="34">
        <f>IF((Observaciones[[#This Row],[Fecha Levantamiento]]-Observaciones[[#This Row],[Fecha Detección]])&gt;=0,Observaciones[[#This Row],[Fecha Levantamiento]]-Observaciones[[#This Row],[Fecha Detección]]+1,0)</f>
        <v>3</v>
      </c>
      <c r="L435" s="34" t="str">
        <f>LOOKUP(Observaciones[[#This Row],[Caso de Prueba]],CasoPrueba[Código CP],CasoPrueba[Código de REQ])</f>
        <v>INSPECCIÓN</v>
      </c>
    </row>
    <row r="436" spans="1:12" ht="75" hidden="1">
      <c r="A436" s="166" t="s">
        <v>1236</v>
      </c>
      <c r="B436" s="34" t="s">
        <v>1182</v>
      </c>
      <c r="C436" s="34" t="str">
        <f>VLOOKUP(Observaciones[Caso de Prueba],CasoPrueba[[#All],[Código CP]:[Prioridad]],7,TRUE)</f>
        <v>Alta</v>
      </c>
      <c r="D436" s="34" t="s">
        <v>30</v>
      </c>
      <c r="E436" s="34" t="s">
        <v>49</v>
      </c>
      <c r="F436" s="73">
        <v>40853</v>
      </c>
      <c r="G436" s="73">
        <v>40855</v>
      </c>
      <c r="H436" s="94" t="s">
        <v>132</v>
      </c>
      <c r="I436" s="34" t="s">
        <v>1292</v>
      </c>
      <c r="J436" s="34" t="s">
        <v>1310</v>
      </c>
      <c r="K436" s="34">
        <f>IF((Observaciones[[#This Row],[Fecha Levantamiento]]-Observaciones[[#This Row],[Fecha Detección]])&gt;=0,Observaciones[[#This Row],[Fecha Levantamiento]]-Observaciones[[#This Row],[Fecha Detección]]+1,0)</f>
        <v>3</v>
      </c>
      <c r="L436" s="34" t="str">
        <f>LOOKUP(Observaciones[[#This Row],[Caso de Prueba]],CasoPrueba[Código CP],CasoPrueba[Código de REQ])</f>
        <v>INSPECCIÓN</v>
      </c>
    </row>
    <row r="437" spans="1:12" ht="45" hidden="1">
      <c r="A437" s="166" t="s">
        <v>1237</v>
      </c>
      <c r="B437" s="34" t="s">
        <v>1182</v>
      </c>
      <c r="C437" s="34" t="str">
        <f>VLOOKUP(Observaciones[Caso de Prueba],CasoPrueba[[#All],[Código CP]:[Prioridad]],7,TRUE)</f>
        <v>Alta</v>
      </c>
      <c r="D437" s="34" t="s">
        <v>30</v>
      </c>
      <c r="E437" s="34" t="s">
        <v>49</v>
      </c>
      <c r="F437" s="73">
        <v>40853</v>
      </c>
      <c r="G437" s="73">
        <v>40855</v>
      </c>
      <c r="H437" s="94" t="s">
        <v>132</v>
      </c>
      <c r="I437" s="34" t="s">
        <v>1321</v>
      </c>
      <c r="J437" s="34" t="s">
        <v>1313</v>
      </c>
      <c r="K437" s="34">
        <f>IF((Observaciones[[#This Row],[Fecha Levantamiento]]-Observaciones[[#This Row],[Fecha Detección]])&gt;=0,Observaciones[[#This Row],[Fecha Levantamiento]]-Observaciones[[#This Row],[Fecha Detección]]+1,0)</f>
        <v>3</v>
      </c>
      <c r="L437" s="34" t="str">
        <f>LOOKUP(Observaciones[[#This Row],[Caso de Prueba]],CasoPrueba[Código CP],CasoPrueba[Código de REQ])</f>
        <v>INSPECCIÓN</v>
      </c>
    </row>
    <row r="438" spans="1:12" ht="75" hidden="1">
      <c r="A438" s="166" t="s">
        <v>1238</v>
      </c>
      <c r="B438" s="34" t="s">
        <v>1182</v>
      </c>
      <c r="C438" s="34" t="str">
        <f>VLOOKUP(Observaciones[Caso de Prueba],CasoPrueba[[#All],[Código CP]:[Prioridad]],7,TRUE)</f>
        <v>Alta</v>
      </c>
      <c r="D438" s="34" t="s">
        <v>28</v>
      </c>
      <c r="E438" s="34" t="s">
        <v>49</v>
      </c>
      <c r="F438" s="73">
        <v>40853</v>
      </c>
      <c r="G438" s="73">
        <v>40855</v>
      </c>
      <c r="H438" s="94" t="s">
        <v>132</v>
      </c>
      <c r="I438" s="34" t="s">
        <v>1322</v>
      </c>
      <c r="J438" s="34" t="s">
        <v>1314</v>
      </c>
      <c r="K438" s="34">
        <f>IF((Observaciones[[#This Row],[Fecha Levantamiento]]-Observaciones[[#This Row],[Fecha Detección]])&gt;=0,Observaciones[[#This Row],[Fecha Levantamiento]]-Observaciones[[#This Row],[Fecha Detección]]+1,0)</f>
        <v>3</v>
      </c>
      <c r="L438" s="34" t="str">
        <f>LOOKUP(Observaciones[[#This Row],[Caso de Prueba]],CasoPrueba[Código CP],CasoPrueba[Código de REQ])</f>
        <v>INSPECCIÓN</v>
      </c>
    </row>
    <row r="439" spans="1:12" ht="60" hidden="1">
      <c r="A439" s="166" t="s">
        <v>1239</v>
      </c>
      <c r="B439" s="34" t="s">
        <v>1182</v>
      </c>
      <c r="C439" s="34" t="str">
        <f>VLOOKUP(Observaciones[Caso de Prueba],CasoPrueba[[#All],[Código CP]:[Prioridad]],7,TRUE)</f>
        <v>Alta</v>
      </c>
      <c r="D439" s="34" t="s">
        <v>28</v>
      </c>
      <c r="E439" s="34" t="s">
        <v>49</v>
      </c>
      <c r="F439" s="73">
        <v>40853</v>
      </c>
      <c r="G439" s="73">
        <v>40855</v>
      </c>
      <c r="H439" s="94" t="s">
        <v>132</v>
      </c>
      <c r="I439" s="34" t="s">
        <v>1296</v>
      </c>
      <c r="J439" s="34" t="s">
        <v>1312</v>
      </c>
      <c r="K439" s="34">
        <f>IF((Observaciones[[#This Row],[Fecha Levantamiento]]-Observaciones[[#This Row],[Fecha Detección]])&gt;=0,Observaciones[[#This Row],[Fecha Levantamiento]]-Observaciones[[#This Row],[Fecha Detección]]+1,0)</f>
        <v>3</v>
      </c>
      <c r="L439" s="34" t="str">
        <f>LOOKUP(Observaciones[[#This Row],[Caso de Prueba]],CasoPrueba[Código CP],CasoPrueba[Código de REQ])</f>
        <v>INSPECCIÓN</v>
      </c>
    </row>
    <row r="440" spans="1:12" ht="30" hidden="1">
      <c r="A440" s="166" t="s">
        <v>1240</v>
      </c>
      <c r="B440" s="34" t="s">
        <v>1182</v>
      </c>
      <c r="C440" s="34" t="str">
        <f>VLOOKUP(Observaciones[Caso de Prueba],CasoPrueba[[#All],[Código CP]:[Prioridad]],7,TRUE)</f>
        <v>Alta</v>
      </c>
      <c r="D440" s="34" t="s">
        <v>29</v>
      </c>
      <c r="E440" s="34" t="s">
        <v>49</v>
      </c>
      <c r="F440" s="73">
        <v>40853</v>
      </c>
      <c r="G440" s="73">
        <v>40855</v>
      </c>
      <c r="H440" s="94" t="s">
        <v>132</v>
      </c>
      <c r="I440" s="34" t="s">
        <v>1297</v>
      </c>
      <c r="J440" s="34" t="s">
        <v>1320</v>
      </c>
      <c r="K440" s="34">
        <f>IF((Observaciones[[#This Row],[Fecha Levantamiento]]-Observaciones[[#This Row],[Fecha Detección]])&gt;=0,Observaciones[[#This Row],[Fecha Levantamiento]]-Observaciones[[#This Row],[Fecha Detección]]+1,0)</f>
        <v>3</v>
      </c>
      <c r="L440" s="34" t="str">
        <f>LOOKUP(Observaciones[[#This Row],[Caso de Prueba]],CasoPrueba[Código CP],CasoPrueba[Código de REQ])</f>
        <v>INSPECCIÓN</v>
      </c>
    </row>
    <row r="441" spans="1:12" ht="60" hidden="1">
      <c r="A441" s="166" t="s">
        <v>1241</v>
      </c>
      <c r="B441" s="34" t="s">
        <v>1182</v>
      </c>
      <c r="C441" s="34" t="str">
        <f>VLOOKUP(Observaciones[Caso de Prueba],CasoPrueba[[#All],[Código CP]:[Prioridad]],7,TRUE)</f>
        <v>Alta</v>
      </c>
      <c r="D441" s="34" t="s">
        <v>29</v>
      </c>
      <c r="E441" s="34" t="s">
        <v>49</v>
      </c>
      <c r="F441" s="73">
        <v>40853</v>
      </c>
      <c r="G441" s="73">
        <v>40855</v>
      </c>
      <c r="H441" s="94" t="s">
        <v>132</v>
      </c>
      <c r="I441" s="34" t="s">
        <v>1298</v>
      </c>
      <c r="J441" s="34" t="s">
        <v>1315</v>
      </c>
      <c r="K441" s="34">
        <f>IF((Observaciones[[#This Row],[Fecha Levantamiento]]-Observaciones[[#This Row],[Fecha Detección]])&gt;=0,Observaciones[[#This Row],[Fecha Levantamiento]]-Observaciones[[#This Row],[Fecha Detección]]+1,0)</f>
        <v>3</v>
      </c>
      <c r="L441" s="34" t="str">
        <f>LOOKUP(Observaciones[[#This Row],[Caso de Prueba]],CasoPrueba[Código CP],CasoPrueba[Código de REQ])</f>
        <v>INSPECCIÓN</v>
      </c>
    </row>
    <row r="442" spans="1:12" ht="120" hidden="1">
      <c r="A442" s="166" t="s">
        <v>1242</v>
      </c>
      <c r="B442" s="34" t="s">
        <v>1182</v>
      </c>
      <c r="C442" s="34" t="str">
        <f>VLOOKUP(Observaciones[Caso de Prueba],CasoPrueba[[#All],[Código CP]:[Prioridad]],7,TRUE)</f>
        <v>Alta</v>
      </c>
      <c r="D442" s="34" t="s">
        <v>28</v>
      </c>
      <c r="E442" s="34" t="s">
        <v>49</v>
      </c>
      <c r="F442" s="73">
        <v>40853</v>
      </c>
      <c r="G442" s="73">
        <v>40855</v>
      </c>
      <c r="H442" s="94" t="s">
        <v>132</v>
      </c>
      <c r="I442" s="34" t="s">
        <v>1299</v>
      </c>
      <c r="J442" s="34" t="s">
        <v>1316</v>
      </c>
      <c r="K442" s="34">
        <f>IF((Observaciones[[#This Row],[Fecha Levantamiento]]-Observaciones[[#This Row],[Fecha Detección]])&gt;=0,Observaciones[[#This Row],[Fecha Levantamiento]]-Observaciones[[#This Row],[Fecha Detección]]+1,0)</f>
        <v>3</v>
      </c>
      <c r="L442" s="34" t="str">
        <f>LOOKUP(Observaciones[[#This Row],[Caso de Prueba]],CasoPrueba[Código CP],CasoPrueba[Código de REQ])</f>
        <v>INSPECCIÓN</v>
      </c>
    </row>
    <row r="443" spans="1:12" ht="60" hidden="1">
      <c r="A443" s="166" t="s">
        <v>1243</v>
      </c>
      <c r="B443" s="34" t="s">
        <v>1182</v>
      </c>
      <c r="C443" s="34" t="str">
        <f>VLOOKUP(Observaciones[Caso de Prueba],CasoPrueba[[#All],[Código CP]:[Prioridad]],7,TRUE)</f>
        <v>Alta</v>
      </c>
      <c r="D443" s="34" t="s">
        <v>28</v>
      </c>
      <c r="E443" s="34" t="s">
        <v>49</v>
      </c>
      <c r="F443" s="73">
        <v>40853</v>
      </c>
      <c r="G443" s="73">
        <v>40855</v>
      </c>
      <c r="H443" s="94" t="s">
        <v>132</v>
      </c>
      <c r="I443" s="34" t="s">
        <v>1300</v>
      </c>
      <c r="J443" s="34" t="s">
        <v>1323</v>
      </c>
      <c r="K443" s="34">
        <f>IF((Observaciones[[#This Row],[Fecha Levantamiento]]-Observaciones[[#This Row],[Fecha Detección]])&gt;=0,Observaciones[[#This Row],[Fecha Levantamiento]]-Observaciones[[#This Row],[Fecha Detección]]+1,0)</f>
        <v>3</v>
      </c>
      <c r="L443" s="34" t="str">
        <f>LOOKUP(Observaciones[[#This Row],[Caso de Prueba]],CasoPrueba[Código CP],CasoPrueba[Código de REQ])</f>
        <v>INSPECCIÓN</v>
      </c>
    </row>
    <row r="444" spans="1:12" ht="30" hidden="1">
      <c r="A444" s="166" t="s">
        <v>1244</v>
      </c>
      <c r="B444" s="34" t="s">
        <v>1182</v>
      </c>
      <c r="C444" s="34" t="str">
        <f>VLOOKUP(Observaciones[Caso de Prueba],CasoPrueba[[#All],[Código CP]:[Prioridad]],7,TRUE)</f>
        <v>Alta</v>
      </c>
      <c r="D444" s="34" t="s">
        <v>162</v>
      </c>
      <c r="E444" s="34" t="s">
        <v>49</v>
      </c>
      <c r="F444" s="73">
        <v>40853</v>
      </c>
      <c r="G444" s="73">
        <v>40855</v>
      </c>
      <c r="H444" s="94" t="s">
        <v>132</v>
      </c>
      <c r="I444" s="34" t="s">
        <v>1301</v>
      </c>
      <c r="J444" s="34" t="s">
        <v>1317</v>
      </c>
      <c r="K444" s="34">
        <f>IF((Observaciones[[#This Row],[Fecha Levantamiento]]-Observaciones[[#This Row],[Fecha Detección]])&gt;=0,Observaciones[[#This Row],[Fecha Levantamiento]]-Observaciones[[#This Row],[Fecha Detección]]+1,0)</f>
        <v>3</v>
      </c>
      <c r="L444" s="34" t="str">
        <f>LOOKUP(Observaciones[[#This Row],[Caso de Prueba]],CasoPrueba[Código CP],CasoPrueba[Código de REQ])</f>
        <v>INSPECCIÓN</v>
      </c>
    </row>
    <row r="445" spans="1:12" ht="45" hidden="1">
      <c r="A445" s="166" t="s">
        <v>1245</v>
      </c>
      <c r="B445" s="34" t="s">
        <v>1182</v>
      </c>
      <c r="C445" s="34" t="str">
        <f>VLOOKUP(Observaciones[Caso de Prueba],CasoPrueba[[#All],[Código CP]:[Prioridad]],7,TRUE)</f>
        <v>Alta</v>
      </c>
      <c r="D445" s="34" t="s">
        <v>162</v>
      </c>
      <c r="E445" s="34" t="s">
        <v>49</v>
      </c>
      <c r="F445" s="73">
        <v>40853</v>
      </c>
      <c r="G445" s="73">
        <v>40855</v>
      </c>
      <c r="H445" s="94" t="s">
        <v>132</v>
      </c>
      <c r="I445" s="34" t="s">
        <v>1302</v>
      </c>
      <c r="J445" s="34" t="s">
        <v>1317</v>
      </c>
      <c r="K445" s="34">
        <f>IF((Observaciones[[#This Row],[Fecha Levantamiento]]-Observaciones[[#This Row],[Fecha Detección]])&gt;=0,Observaciones[[#This Row],[Fecha Levantamiento]]-Observaciones[[#This Row],[Fecha Detección]]+1,0)</f>
        <v>3</v>
      </c>
      <c r="L445" s="34" t="str">
        <f>LOOKUP(Observaciones[[#This Row],[Caso de Prueba]],CasoPrueba[Código CP],CasoPrueba[Código de REQ])</f>
        <v>INSPECCIÓN</v>
      </c>
    </row>
    <row r="446" spans="1:12" ht="45" hidden="1">
      <c r="A446" s="166" t="s">
        <v>1246</v>
      </c>
      <c r="B446" s="34" t="s">
        <v>1182</v>
      </c>
      <c r="C446" s="34" t="str">
        <f>VLOOKUP(Observaciones[Caso de Prueba],CasoPrueba[[#All],[Código CP]:[Prioridad]],7,TRUE)</f>
        <v>Alta</v>
      </c>
      <c r="D446" s="34" t="s">
        <v>28</v>
      </c>
      <c r="E446" s="34" t="s">
        <v>49</v>
      </c>
      <c r="F446" s="73">
        <v>40853</v>
      </c>
      <c r="G446" s="73">
        <v>40855</v>
      </c>
      <c r="H446" s="94" t="s">
        <v>132</v>
      </c>
      <c r="I446" s="34" t="s">
        <v>1303</v>
      </c>
      <c r="J446" s="34" t="s">
        <v>1307</v>
      </c>
      <c r="K446" s="34">
        <f>IF((Observaciones[[#This Row],[Fecha Levantamiento]]-Observaciones[[#This Row],[Fecha Detección]])&gt;=0,Observaciones[[#This Row],[Fecha Levantamiento]]-Observaciones[[#This Row],[Fecha Detección]]+1,0)</f>
        <v>3</v>
      </c>
      <c r="L446" s="34" t="str">
        <f>LOOKUP(Observaciones[[#This Row],[Caso de Prueba]],CasoPrueba[Código CP],CasoPrueba[Código de REQ])</f>
        <v>INSPECCIÓN</v>
      </c>
    </row>
    <row r="447" spans="1:12" ht="30" hidden="1">
      <c r="A447" s="166" t="s">
        <v>1247</v>
      </c>
      <c r="B447" s="34" t="s">
        <v>1182</v>
      </c>
      <c r="C447" s="34" t="str">
        <f>VLOOKUP(Observaciones[Caso de Prueba],CasoPrueba[[#All],[Código CP]:[Prioridad]],7,TRUE)</f>
        <v>Alta</v>
      </c>
      <c r="D447" s="34" t="s">
        <v>29</v>
      </c>
      <c r="E447" s="34" t="s">
        <v>49</v>
      </c>
      <c r="F447" s="73">
        <v>40853</v>
      </c>
      <c r="G447" s="73">
        <v>40855</v>
      </c>
      <c r="H447" s="94" t="s">
        <v>132</v>
      </c>
      <c r="I447" s="34" t="s">
        <v>1304</v>
      </c>
      <c r="J447" s="34" t="s">
        <v>1318</v>
      </c>
      <c r="K447" s="34">
        <f>IF((Observaciones[[#This Row],[Fecha Levantamiento]]-Observaciones[[#This Row],[Fecha Detección]])&gt;=0,Observaciones[[#This Row],[Fecha Levantamiento]]-Observaciones[[#This Row],[Fecha Detección]]+1,0)</f>
        <v>3</v>
      </c>
      <c r="L447" s="34" t="str">
        <f>LOOKUP(Observaciones[[#This Row],[Caso de Prueba]],CasoPrueba[Código CP],CasoPrueba[Código de REQ])</f>
        <v>INSPECCIÓN</v>
      </c>
    </row>
    <row r="448" spans="1:12" ht="30" hidden="1">
      <c r="A448" s="164" t="s">
        <v>1324</v>
      </c>
      <c r="B448" s="34" t="s">
        <v>1182</v>
      </c>
      <c r="C448" s="164" t="str">
        <f>VLOOKUP(Observaciones[Caso de Prueba],CasoPrueba[[#All],[Código CP]:[Prioridad]],7,TRUE)</f>
        <v>Alta</v>
      </c>
      <c r="D448" s="34" t="s">
        <v>29</v>
      </c>
      <c r="E448" s="34" t="s">
        <v>49</v>
      </c>
      <c r="F448" s="73">
        <v>40856</v>
      </c>
      <c r="G448" s="73">
        <v>40826</v>
      </c>
      <c r="H448" s="94" t="s">
        <v>132</v>
      </c>
      <c r="I448" s="34" t="s">
        <v>1325</v>
      </c>
      <c r="J448" s="164" t="s">
        <v>1337</v>
      </c>
      <c r="K448" s="164">
        <f>IF((Observaciones[[#This Row],[Fecha Levantamiento]]-Observaciones[[#This Row],[Fecha Detección]])&gt;=0,Observaciones[[#This Row],[Fecha Levantamiento]]-Observaciones[[#This Row],[Fecha Detección]]+1,0)</f>
        <v>0</v>
      </c>
      <c r="L448" s="164" t="str">
        <f>LOOKUP(Observaciones[[#This Row],[Caso de Prueba]],CasoPrueba[Código CP],CasoPrueba[Código de REQ])</f>
        <v>INSPECCIÓN</v>
      </c>
    </row>
    <row r="449" spans="1:12" ht="45" hidden="1">
      <c r="A449" s="164" t="s">
        <v>1326</v>
      </c>
      <c r="B449" s="34" t="s">
        <v>1182</v>
      </c>
      <c r="C449" s="164" t="str">
        <f>VLOOKUP(Observaciones[Caso de Prueba],CasoPrueba[[#All],[Código CP]:[Prioridad]],7,TRUE)</f>
        <v>Alta</v>
      </c>
      <c r="D449" s="164" t="s">
        <v>162</v>
      </c>
      <c r="E449" s="34" t="s">
        <v>49</v>
      </c>
      <c r="F449" s="73">
        <v>40856</v>
      </c>
      <c r="G449" s="73">
        <v>40826</v>
      </c>
      <c r="H449" s="94" t="s">
        <v>132</v>
      </c>
      <c r="I449" s="164" t="s">
        <v>1327</v>
      </c>
      <c r="J449" s="164" t="s">
        <v>1336</v>
      </c>
      <c r="K449" s="164">
        <f>IF((Observaciones[[#This Row],[Fecha Levantamiento]]-Observaciones[[#This Row],[Fecha Detección]])&gt;=0,Observaciones[[#This Row],[Fecha Levantamiento]]-Observaciones[[#This Row],[Fecha Detección]]+1,0)</f>
        <v>0</v>
      </c>
      <c r="L449" s="164" t="str">
        <f>LOOKUP(Observaciones[[#This Row],[Caso de Prueba]],CasoPrueba[Código CP],CasoPrueba[Código de REQ])</f>
        <v>INSPECCIÓN</v>
      </c>
    </row>
    <row r="450" spans="1:12" ht="30" hidden="1">
      <c r="A450" s="164" t="s">
        <v>1328</v>
      </c>
      <c r="B450" s="34" t="s">
        <v>1182</v>
      </c>
      <c r="C450" s="164" t="str">
        <f>VLOOKUP(Observaciones[Caso de Prueba],CasoPrueba[[#All],[Código CP]:[Prioridad]],7,TRUE)</f>
        <v>Alta</v>
      </c>
      <c r="D450" s="164" t="s">
        <v>30</v>
      </c>
      <c r="E450" s="34" t="s">
        <v>49</v>
      </c>
      <c r="F450" s="73">
        <v>40856</v>
      </c>
      <c r="G450" s="73">
        <v>40826</v>
      </c>
      <c r="H450" s="94" t="s">
        <v>132</v>
      </c>
      <c r="I450" s="164" t="s">
        <v>1329</v>
      </c>
      <c r="J450" s="164" t="s">
        <v>1338</v>
      </c>
      <c r="K450" s="164">
        <f>IF((Observaciones[[#This Row],[Fecha Levantamiento]]-Observaciones[[#This Row],[Fecha Detección]])&gt;=0,Observaciones[[#This Row],[Fecha Levantamiento]]-Observaciones[[#This Row],[Fecha Detección]]+1,0)</f>
        <v>0</v>
      </c>
      <c r="L450" s="164" t="str">
        <f>LOOKUP(Observaciones[[#This Row],[Caso de Prueba]],CasoPrueba[Código CP],CasoPrueba[Código de REQ])</f>
        <v>INSPECCIÓN</v>
      </c>
    </row>
    <row r="451" spans="1:12" ht="45" hidden="1">
      <c r="A451" s="166" t="s">
        <v>1330</v>
      </c>
      <c r="B451" s="34" t="s">
        <v>1186</v>
      </c>
      <c r="C451" s="34" t="str">
        <f>VLOOKUP(Observaciones[Caso de Prueba],CasoPrueba[[#All],[Código CP]:[Prioridad]],7,TRUE)</f>
        <v>Alta</v>
      </c>
      <c r="D451" s="34" t="s">
        <v>29</v>
      </c>
      <c r="E451" s="34" t="s">
        <v>49</v>
      </c>
      <c r="F451" s="73">
        <v>40856</v>
      </c>
      <c r="G451" s="73">
        <v>40827</v>
      </c>
      <c r="H451" s="94" t="s">
        <v>132</v>
      </c>
      <c r="I451" s="34" t="s">
        <v>1332</v>
      </c>
      <c r="J451" s="34" t="s">
        <v>1339</v>
      </c>
      <c r="K451" s="34">
        <f>IF((Observaciones[[#This Row],[Fecha Levantamiento]]-Observaciones[[#This Row],[Fecha Detección]])&gt;=0,Observaciones[[#This Row],[Fecha Levantamiento]]-Observaciones[[#This Row],[Fecha Detección]]+1,0)</f>
        <v>0</v>
      </c>
      <c r="L451" s="34" t="str">
        <f>LOOKUP(Observaciones[[#This Row],[Caso de Prueba]],CasoPrueba[Código CP],CasoPrueba[Código de REQ])</f>
        <v>INSPECCIÓN</v>
      </c>
    </row>
    <row r="452" spans="1:12" hidden="1">
      <c r="A452" s="164" t="s">
        <v>1331</v>
      </c>
      <c r="B452" s="34" t="s">
        <v>1186</v>
      </c>
      <c r="C452" s="34" t="str">
        <f>VLOOKUP(Observaciones[Caso de Prueba],CasoPrueba[[#All],[Código CP]:[Prioridad]],7,TRUE)</f>
        <v>Alta</v>
      </c>
      <c r="D452" s="34" t="s">
        <v>29</v>
      </c>
      <c r="E452" s="34" t="s">
        <v>49</v>
      </c>
      <c r="F452" s="73">
        <v>40856</v>
      </c>
      <c r="G452" s="73">
        <v>40827</v>
      </c>
      <c r="H452" s="94" t="s">
        <v>132</v>
      </c>
      <c r="I452" s="34" t="s">
        <v>1333</v>
      </c>
      <c r="J452" s="34" t="s">
        <v>987</v>
      </c>
      <c r="K452" s="34">
        <f>IF((Observaciones[[#This Row],[Fecha Levantamiento]]-Observaciones[[#This Row],[Fecha Detección]])&gt;=0,Observaciones[[#This Row],[Fecha Levantamiento]]-Observaciones[[#This Row],[Fecha Detección]]+1,0)</f>
        <v>0</v>
      </c>
      <c r="L452" s="34" t="str">
        <f>LOOKUP(Observaciones[[#This Row],[Caso de Prueba]],CasoPrueba[Código CP],CasoPrueba[Código de REQ])</f>
        <v>INSPECCIÓN</v>
      </c>
    </row>
    <row r="453" spans="1:12" ht="45">
      <c r="A453" s="166" t="s">
        <v>1340</v>
      </c>
      <c r="B453" s="34" t="s">
        <v>88</v>
      </c>
      <c r="C453" s="34" t="str">
        <f>VLOOKUP(Observaciones[Caso de Prueba],CasoPrueba[[#All],[Código CP]:[Prioridad]],7,TRUE)</f>
        <v>Alta</v>
      </c>
      <c r="D453" s="34" t="s">
        <v>29</v>
      </c>
      <c r="E453" s="34" t="s">
        <v>47</v>
      </c>
      <c r="F453" s="73">
        <v>40860</v>
      </c>
      <c r="H453" s="94" t="s">
        <v>132</v>
      </c>
      <c r="I453" s="34" t="s">
        <v>1349</v>
      </c>
      <c r="J453" s="34" t="s">
        <v>1372</v>
      </c>
      <c r="K453" s="34">
        <f>IF((Observaciones[[#This Row],[Fecha Levantamiento]]-Observaciones[[#This Row],[Fecha Detección]])&gt;=0,Observaciones[[#This Row],[Fecha Levantamiento]]-Observaciones[[#This Row],[Fecha Detección]]+1,0)</f>
        <v>0</v>
      </c>
      <c r="L453" s="34" t="str">
        <f>LOOKUP(Observaciones[[#This Row],[Caso de Prueba]],CasoPrueba[Código CP],CasoPrueba[Código de REQ])</f>
        <v>INSPECCIÓN</v>
      </c>
    </row>
    <row r="454" spans="1:12">
      <c r="A454" s="166" t="s">
        <v>1341</v>
      </c>
      <c r="B454" s="34" t="s">
        <v>151</v>
      </c>
      <c r="C454" s="34" t="str">
        <f>VLOOKUP(Observaciones[Caso de Prueba],CasoPrueba[[#All],[Código CP]:[Prioridad]],7,TRUE)</f>
        <v>Alta</v>
      </c>
      <c r="D454" s="34" t="s">
        <v>29</v>
      </c>
      <c r="E454" s="34" t="s">
        <v>47</v>
      </c>
      <c r="F454" s="73">
        <v>40860</v>
      </c>
      <c r="H454" s="94" t="s">
        <v>132</v>
      </c>
      <c r="I454" s="34" t="s">
        <v>250</v>
      </c>
      <c r="J454" s="34" t="s">
        <v>1373</v>
      </c>
      <c r="K454" s="34">
        <f>IF((Observaciones[[#This Row],[Fecha Levantamiento]]-Observaciones[[#This Row],[Fecha Detección]])&gt;=0,Observaciones[[#This Row],[Fecha Levantamiento]]-Observaciones[[#This Row],[Fecha Detección]]+1,0)</f>
        <v>0</v>
      </c>
      <c r="L454" s="34" t="str">
        <f>LOOKUP(Observaciones[[#This Row],[Caso de Prueba]],CasoPrueba[Código CP],CasoPrueba[Código de REQ])</f>
        <v>INSPECCIÓN</v>
      </c>
    </row>
    <row r="455" spans="1:12" ht="45" customHeight="1">
      <c r="A455" s="166" t="s">
        <v>1342</v>
      </c>
      <c r="B455" s="34" t="s">
        <v>152</v>
      </c>
      <c r="C455" s="34" t="str">
        <f>VLOOKUP(Observaciones[Caso de Prueba],CasoPrueba[[#All],[Código CP]:[Prioridad]],7,TRUE)</f>
        <v>Alta</v>
      </c>
      <c r="D455" s="34" t="s">
        <v>30</v>
      </c>
      <c r="E455" s="34" t="s">
        <v>47</v>
      </c>
      <c r="F455" s="73">
        <v>40860</v>
      </c>
      <c r="H455" s="94" t="s">
        <v>132</v>
      </c>
      <c r="I455" s="34" t="s">
        <v>1350</v>
      </c>
      <c r="J455" s="34" t="s">
        <v>1374</v>
      </c>
      <c r="K455" s="34">
        <f>IF((Observaciones[[#This Row],[Fecha Levantamiento]]-Observaciones[[#This Row],[Fecha Detección]])&gt;=0,Observaciones[[#This Row],[Fecha Levantamiento]]-Observaciones[[#This Row],[Fecha Detección]]+1,0)</f>
        <v>0</v>
      </c>
      <c r="L455" s="34" t="str">
        <f>LOOKUP(Observaciones[[#This Row],[Caso de Prueba]],CasoPrueba[Código CP],CasoPrueba[Código de REQ])</f>
        <v>INSPECCIÓN</v>
      </c>
    </row>
    <row r="456" spans="1:12" ht="45">
      <c r="A456" s="166" t="s">
        <v>1343</v>
      </c>
      <c r="B456" s="34" t="s">
        <v>154</v>
      </c>
      <c r="C456" s="34" t="str">
        <f>VLOOKUP(Observaciones[Caso de Prueba],CasoPrueba[[#All],[Código CP]:[Prioridad]],7,TRUE)</f>
        <v>Alta</v>
      </c>
      <c r="D456" s="34" t="s">
        <v>30</v>
      </c>
      <c r="E456" s="34" t="s">
        <v>47</v>
      </c>
      <c r="F456" s="73">
        <v>40860</v>
      </c>
      <c r="H456" s="94" t="s">
        <v>132</v>
      </c>
      <c r="I456" s="34" t="s">
        <v>1351</v>
      </c>
      <c r="J456" s="34" t="s">
        <v>1375</v>
      </c>
      <c r="K456" s="34">
        <f>IF((Observaciones[[#This Row],[Fecha Levantamiento]]-Observaciones[[#This Row],[Fecha Detección]])&gt;=0,Observaciones[[#This Row],[Fecha Levantamiento]]-Observaciones[[#This Row],[Fecha Detección]]+1,0)</f>
        <v>0</v>
      </c>
      <c r="L456" s="34" t="str">
        <f>LOOKUP(Observaciones[[#This Row],[Caso de Prueba]],CasoPrueba[Código CP],CasoPrueba[Código de REQ])</f>
        <v>INSPECCIÓN</v>
      </c>
    </row>
    <row r="457" spans="1:12" ht="30">
      <c r="A457" s="166" t="s">
        <v>1344</v>
      </c>
      <c r="B457" s="34" t="s">
        <v>158</v>
      </c>
      <c r="C457" s="34" t="str">
        <f>VLOOKUP(Observaciones[Caso de Prueba],CasoPrueba[[#All],[Código CP]:[Prioridad]],7,TRUE)</f>
        <v>Alta</v>
      </c>
      <c r="D457" s="34" t="s">
        <v>28</v>
      </c>
      <c r="E457" s="34" t="s">
        <v>47</v>
      </c>
      <c r="F457" s="73">
        <v>40860</v>
      </c>
      <c r="H457" s="94" t="s">
        <v>132</v>
      </c>
      <c r="I457" s="34" t="s">
        <v>1352</v>
      </c>
      <c r="J457" s="34" t="s">
        <v>1376</v>
      </c>
      <c r="K457" s="34">
        <f>IF((Observaciones[[#This Row],[Fecha Levantamiento]]-Observaciones[[#This Row],[Fecha Detección]])&gt;=0,Observaciones[[#This Row],[Fecha Levantamiento]]-Observaciones[[#This Row],[Fecha Detección]]+1,0)</f>
        <v>0</v>
      </c>
      <c r="L457" s="34" t="str">
        <f>LOOKUP(Observaciones[[#This Row],[Caso de Prueba]],CasoPrueba[Código CP],CasoPrueba[Código de REQ])</f>
        <v>INSPECCIÓN</v>
      </c>
    </row>
    <row r="458" spans="1:12" ht="60">
      <c r="A458" s="164" t="s">
        <v>1345</v>
      </c>
      <c r="B458" s="34" t="s">
        <v>171</v>
      </c>
      <c r="C458" s="34" t="str">
        <f>VLOOKUP(Observaciones[Caso de Prueba],CasoPrueba[[#All],[Código CP]:[Prioridad]],7,TRUE)</f>
        <v>Alta</v>
      </c>
      <c r="D458" s="34" t="s">
        <v>30</v>
      </c>
      <c r="E458" s="34" t="s">
        <v>47</v>
      </c>
      <c r="F458" s="73">
        <v>40860</v>
      </c>
      <c r="H458" s="94" t="s">
        <v>132</v>
      </c>
      <c r="I458" s="34" t="s">
        <v>1353</v>
      </c>
      <c r="J458" s="34" t="s">
        <v>1377</v>
      </c>
      <c r="K458" s="34">
        <f>IF((Observaciones[[#This Row],[Fecha Levantamiento]]-Observaciones[[#This Row],[Fecha Detección]])&gt;=0,Observaciones[[#This Row],[Fecha Levantamiento]]-Observaciones[[#This Row],[Fecha Detección]]+1,0)</f>
        <v>0</v>
      </c>
      <c r="L458" s="34" t="str">
        <f>LOOKUP(Observaciones[[#This Row],[Caso de Prueba]],CasoPrueba[Código CP],CasoPrueba[Código de REQ])</f>
        <v>INSPECCIÓN</v>
      </c>
    </row>
    <row r="459" spans="1:12">
      <c r="A459" s="164" t="s">
        <v>1346</v>
      </c>
      <c r="B459" s="34" t="s">
        <v>176</v>
      </c>
      <c r="C459" s="34" t="str">
        <f>VLOOKUP(Observaciones[Caso de Prueba],CasoPrueba[[#All],[Código CP]:[Prioridad]],7,TRUE)</f>
        <v>Alta</v>
      </c>
      <c r="D459" s="34" t="s">
        <v>29</v>
      </c>
      <c r="E459" s="34" t="s">
        <v>47</v>
      </c>
      <c r="F459" s="73">
        <v>40860</v>
      </c>
      <c r="H459" s="94" t="s">
        <v>132</v>
      </c>
      <c r="I459" s="34" t="s">
        <v>1354</v>
      </c>
      <c r="J459" s="34" t="s">
        <v>1378</v>
      </c>
      <c r="K459" s="34">
        <f>IF((Observaciones[[#This Row],[Fecha Levantamiento]]-Observaciones[[#This Row],[Fecha Detección]])&gt;=0,Observaciones[[#This Row],[Fecha Levantamiento]]-Observaciones[[#This Row],[Fecha Detección]]+1,0)</f>
        <v>0</v>
      </c>
      <c r="L459" s="34" t="str">
        <f>LOOKUP(Observaciones[[#This Row],[Caso de Prueba]],CasoPrueba[Código CP],CasoPrueba[Código de REQ])</f>
        <v>INSPECCIÓN</v>
      </c>
    </row>
    <row r="460" spans="1:12" ht="90">
      <c r="A460" s="164" t="s">
        <v>1347</v>
      </c>
      <c r="B460" s="34" t="s">
        <v>176</v>
      </c>
      <c r="C460" s="34" t="str">
        <f>VLOOKUP(Observaciones[Caso de Prueba],CasoPrueba[[#All],[Código CP]:[Prioridad]],7,TRUE)</f>
        <v>Alta</v>
      </c>
      <c r="D460" s="34" t="s">
        <v>30</v>
      </c>
      <c r="E460" s="34" t="s">
        <v>47</v>
      </c>
      <c r="F460" s="73">
        <v>40860</v>
      </c>
      <c r="H460" s="94" t="s">
        <v>132</v>
      </c>
      <c r="I460" s="34" t="s">
        <v>1355</v>
      </c>
      <c r="J460" s="34" t="s">
        <v>1379</v>
      </c>
      <c r="K460" s="34">
        <f>IF((Observaciones[[#This Row],[Fecha Levantamiento]]-Observaciones[[#This Row],[Fecha Detección]])&gt;=0,Observaciones[[#This Row],[Fecha Levantamiento]]-Observaciones[[#This Row],[Fecha Detección]]+1,0)</f>
        <v>0</v>
      </c>
      <c r="L460" s="34" t="str">
        <f>LOOKUP(Observaciones[[#This Row],[Caso de Prueba]],CasoPrueba[Código CP],CasoPrueba[Código de REQ])</f>
        <v>INSPECCIÓN</v>
      </c>
    </row>
    <row r="461" spans="1:12" ht="45">
      <c r="A461" s="164" t="s">
        <v>1348</v>
      </c>
      <c r="B461" s="34" t="s">
        <v>489</v>
      </c>
      <c r="C461" s="34" t="str">
        <f>VLOOKUP(Observaciones[Caso de Prueba],CasoPrueba[[#All],[Código CP]:[Prioridad]],7,TRUE)</f>
        <v>Alta</v>
      </c>
      <c r="D461" s="34" t="s">
        <v>29</v>
      </c>
      <c r="E461" s="34" t="s">
        <v>47</v>
      </c>
      <c r="F461" s="73">
        <v>40860</v>
      </c>
      <c r="H461" s="94" t="s">
        <v>132</v>
      </c>
      <c r="I461" s="34" t="s">
        <v>1349</v>
      </c>
      <c r="J461" s="34" t="s">
        <v>1373</v>
      </c>
      <c r="K461" s="34">
        <f>IF((Observaciones[[#This Row],[Fecha Levantamiento]]-Observaciones[[#This Row],[Fecha Detección]])&gt;=0,Observaciones[[#This Row],[Fecha Levantamiento]]-Observaciones[[#This Row],[Fecha Detección]]+1,0)</f>
        <v>0</v>
      </c>
      <c r="L461" s="34" t="str">
        <f>LOOKUP(Observaciones[[#This Row],[Caso de Prueba]],CasoPrueba[Código CP],CasoPrueba[Código de REQ])</f>
        <v>INSPECCIÓN</v>
      </c>
    </row>
    <row r="462" spans="1:12" ht="30">
      <c r="A462" s="164" t="s">
        <v>1363</v>
      </c>
      <c r="B462" s="34" t="s">
        <v>616</v>
      </c>
      <c r="C462" s="34" t="str">
        <f>VLOOKUP(Observaciones[Caso de Prueba],CasoPrueba[[#All],[Código CP]:[Prioridad]],7,TRUE)</f>
        <v>Alta</v>
      </c>
      <c r="D462" s="34" t="s">
        <v>28</v>
      </c>
      <c r="E462" s="34" t="s">
        <v>47</v>
      </c>
      <c r="F462" s="73">
        <v>40860</v>
      </c>
      <c r="H462" s="94" t="s">
        <v>132</v>
      </c>
      <c r="I462" s="34" t="s">
        <v>1352</v>
      </c>
      <c r="J462" s="34" t="s">
        <v>1376</v>
      </c>
      <c r="K462" s="34">
        <f>IF((Observaciones[[#This Row],[Fecha Levantamiento]]-Observaciones[[#This Row],[Fecha Detección]])&gt;=0,Observaciones[[#This Row],[Fecha Levantamiento]]-Observaciones[[#This Row],[Fecha Detección]]+1,0)</f>
        <v>0</v>
      </c>
      <c r="L462" s="34" t="str">
        <f>LOOKUP(Observaciones[[#This Row],[Caso de Prueba]],CasoPrueba[Código CP],CasoPrueba[Código de REQ])</f>
        <v>INSPECCIÓN</v>
      </c>
    </row>
    <row r="463" spans="1:12" ht="45">
      <c r="A463" s="164" t="s">
        <v>1364</v>
      </c>
      <c r="B463" s="34" t="s">
        <v>619</v>
      </c>
      <c r="C463" s="34" t="str">
        <f>VLOOKUP(Observaciones[Caso de Prueba],CasoPrueba[[#All],[Código CP]:[Prioridad]],7,TRUE)</f>
        <v>Alta</v>
      </c>
      <c r="D463" s="34" t="s">
        <v>29</v>
      </c>
      <c r="E463" s="34" t="s">
        <v>47</v>
      </c>
      <c r="F463" s="73">
        <v>40860</v>
      </c>
      <c r="H463" s="94" t="s">
        <v>132</v>
      </c>
      <c r="I463" s="34" t="s">
        <v>1349</v>
      </c>
      <c r="J463" s="34" t="s">
        <v>1372</v>
      </c>
      <c r="K463" s="34">
        <f>IF((Observaciones[[#This Row],[Fecha Levantamiento]]-Observaciones[[#This Row],[Fecha Detección]])&gt;=0,Observaciones[[#This Row],[Fecha Levantamiento]]-Observaciones[[#This Row],[Fecha Detección]]+1,0)</f>
        <v>0</v>
      </c>
      <c r="L463" s="34" t="str">
        <f>LOOKUP(Observaciones[[#This Row],[Caso de Prueba]],CasoPrueba[Código CP],CasoPrueba[Código de REQ])</f>
        <v>INSPECCIÓN</v>
      </c>
    </row>
    <row r="464" spans="1:12" ht="45">
      <c r="A464" s="164" t="s">
        <v>1365</v>
      </c>
      <c r="B464" s="34" t="s">
        <v>653</v>
      </c>
      <c r="C464" s="34" t="str">
        <f>VLOOKUP(Observaciones[Caso de Prueba],CasoPrueba[[#All],[Código CP]:[Prioridad]],7,TRUE)</f>
        <v>Alta</v>
      </c>
      <c r="D464" s="34" t="s">
        <v>29</v>
      </c>
      <c r="E464" s="34" t="s">
        <v>47</v>
      </c>
      <c r="F464" s="73">
        <v>40860</v>
      </c>
      <c r="H464" s="94" t="s">
        <v>132</v>
      </c>
      <c r="I464" s="34" t="s">
        <v>1349</v>
      </c>
      <c r="J464" s="34" t="s">
        <v>1372</v>
      </c>
      <c r="K464" s="34">
        <f>IF((Observaciones[[#This Row],[Fecha Levantamiento]]-Observaciones[[#This Row],[Fecha Detección]])&gt;=0,Observaciones[[#This Row],[Fecha Levantamiento]]-Observaciones[[#This Row],[Fecha Detección]]+1,0)</f>
        <v>0</v>
      </c>
      <c r="L464" s="34" t="str">
        <f>LOOKUP(Observaciones[[#This Row],[Caso de Prueba]],CasoPrueba[Código CP],CasoPrueba[Código de REQ])</f>
        <v>INSPECCIÓN</v>
      </c>
    </row>
    <row r="465" spans="1:12" ht="45">
      <c r="A465" s="166" t="s">
        <v>1366</v>
      </c>
      <c r="B465" s="34" t="s">
        <v>905</v>
      </c>
      <c r="C465" s="34" t="str">
        <f>VLOOKUP(Observaciones[Caso de Prueba],CasoPrueba[[#All],[Código CP]:[Prioridad]],7,TRUE)</f>
        <v>Alta</v>
      </c>
      <c r="D465" s="34" t="s">
        <v>29</v>
      </c>
      <c r="E465" s="34" t="s">
        <v>47</v>
      </c>
      <c r="F465" s="73">
        <v>40860</v>
      </c>
      <c r="H465" s="94" t="s">
        <v>132</v>
      </c>
      <c r="I465" s="34" t="s">
        <v>1349</v>
      </c>
      <c r="J465" s="34" t="s">
        <v>1372</v>
      </c>
      <c r="K465" s="34">
        <f>IF((Observaciones[[#This Row],[Fecha Levantamiento]]-Observaciones[[#This Row],[Fecha Detección]])&gt;=0,Observaciones[[#This Row],[Fecha Levantamiento]]-Observaciones[[#This Row],[Fecha Detección]]+1,0)</f>
        <v>0</v>
      </c>
      <c r="L465" s="34" t="str">
        <f>LOOKUP(Observaciones[[#This Row],[Caso de Prueba]],CasoPrueba[Código CP],CasoPrueba[Código de REQ])</f>
        <v>INSPECCIÓN</v>
      </c>
    </row>
  </sheetData>
  <mergeCells count="1">
    <mergeCell ref="A1:K1"/>
  </mergeCells>
  <dataValidations disablePrompts="1" count="1">
    <dataValidation type="list" allowBlank="1" showInputMessage="1" showErrorMessage="1" sqref="H3:H465">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20"/>
  <sheetViews>
    <sheetView zoomScale="85" zoomScaleNormal="85" workbookViewId="0">
      <selection activeCell="O22" sqref="O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row r="18" spans="2:15">
      <c r="B18" s="69">
        <v>40856</v>
      </c>
      <c r="C18" s="40">
        <v>35</v>
      </c>
      <c r="D18" s="40">
        <v>2</v>
      </c>
      <c r="E18" s="40">
        <v>0</v>
      </c>
      <c r="F18" s="40">
        <v>0</v>
      </c>
      <c r="G18" s="40">
        <v>0</v>
      </c>
      <c r="H18" s="40">
        <v>0</v>
      </c>
      <c r="I18" s="40">
        <v>0</v>
      </c>
      <c r="J18" s="42">
        <f>SUM(HistóricoEjecuciones[[#This Row],[Aciertos]:[En Proceso]])</f>
        <v>37</v>
      </c>
      <c r="L18" s="69">
        <v>40856</v>
      </c>
      <c r="M18" s="40">
        <v>5</v>
      </c>
      <c r="N18" s="40">
        <v>445</v>
      </c>
      <c r="O18" s="70">
        <f>SUM(HistoricoIncidencias[[#This Row],[Abiertas]:[Cerradas]])</f>
        <v>450</v>
      </c>
    </row>
    <row r="19" spans="2:15">
      <c r="B19" s="69">
        <v>40858</v>
      </c>
      <c r="C19" s="40">
        <v>37</v>
      </c>
      <c r="D19" s="40">
        <v>0</v>
      </c>
      <c r="E19" s="40">
        <v>0</v>
      </c>
      <c r="F19" s="40">
        <v>0</v>
      </c>
      <c r="G19" s="40">
        <v>0</v>
      </c>
      <c r="H19" s="40">
        <v>0</v>
      </c>
      <c r="I19" s="40">
        <v>0</v>
      </c>
      <c r="J19" s="42">
        <f>SUM(HistóricoEjecuciones[[#This Row],[Aciertos]:[En Proceso]])</f>
        <v>37</v>
      </c>
      <c r="L19" s="69">
        <v>40858</v>
      </c>
      <c r="M19" s="40">
        <v>0</v>
      </c>
      <c r="N19" s="40">
        <v>450</v>
      </c>
      <c r="O19" s="70">
        <f>SUM(HistoricoIncidencias[[#This Row],[Abiertas]:[Cerradas]])</f>
        <v>450</v>
      </c>
    </row>
    <row r="20" spans="2:15">
      <c r="B20" s="69">
        <v>40860</v>
      </c>
      <c r="C20" s="40">
        <v>25</v>
      </c>
      <c r="D20" s="40">
        <v>12</v>
      </c>
      <c r="E20" s="40">
        <v>0</v>
      </c>
      <c r="F20" s="40">
        <v>0</v>
      </c>
      <c r="G20" s="40">
        <v>0</v>
      </c>
      <c r="H20" s="40">
        <v>0</v>
      </c>
      <c r="I20" s="40">
        <v>0</v>
      </c>
      <c r="J20" s="42">
        <f>SUM(HistóricoEjecuciones[[#This Row],[Aciertos]:[En Proceso]])</f>
        <v>37</v>
      </c>
      <c r="L20" s="69">
        <v>40860</v>
      </c>
      <c r="M20" s="40">
        <v>13</v>
      </c>
      <c r="N20" s="40">
        <v>450</v>
      </c>
      <c r="O20" s="70">
        <f>SUM(HistoricoIncidencias[[#This Row],[Abiertas]:[Cerradas]])</f>
        <v>463</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2011-11-14T02:45:44Z</dcterms:modified>
</cp:coreProperties>
</file>