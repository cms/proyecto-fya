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7950" tabRatio="783" firstSheet="1"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 r:id="rId9"/>
  </externalReferences>
  <calcPr calcId="145621"/>
  <pivotCaches>
    <pivotCache cacheId="0" r:id="rId10"/>
    <pivotCache cacheId="1" r:id="rId11"/>
    <pivotCache cacheId="2" r:id="rId12"/>
    <pivotCache cacheId="3" r:id="rId13"/>
    <pivotCache cacheId="4" r:id="rId14"/>
    <pivotCache cacheId="5" r:id="rId15"/>
  </pivotCaches>
</workbook>
</file>

<file path=xl/calcChain.xml><?xml version="1.0" encoding="utf-8"?>
<calcChain xmlns="http://schemas.openxmlformats.org/spreadsheetml/2006/main">
  <c r="J4" i="6" l="1"/>
  <c r="J5" i="6"/>
  <c r="J6" i="6"/>
  <c r="J7" i="6"/>
  <c r="J8" i="6"/>
  <c r="J9" i="6"/>
  <c r="J10" i="6"/>
  <c r="J11" i="6"/>
  <c r="J12" i="6"/>
  <c r="J13" i="6"/>
  <c r="Q40" i="3"/>
  <c r="Q39" i="3"/>
  <c r="Q38" i="3"/>
  <c r="Q37" i="3"/>
  <c r="Q36" i="3"/>
  <c r="Q35" i="3"/>
  <c r="Q34" i="3"/>
  <c r="Q33" i="3"/>
  <c r="Q32" i="3"/>
  <c r="Q31" i="3"/>
  <c r="Q30" i="3"/>
  <c r="Q29" i="3"/>
  <c r="Q28" i="3"/>
  <c r="Q27" i="3"/>
  <c r="Q26" i="3"/>
  <c r="Q25" i="3"/>
  <c r="Q24" i="3"/>
  <c r="Q23" i="3"/>
  <c r="Q22" i="3"/>
  <c r="Q21" i="3"/>
  <c r="Q20" i="3"/>
  <c r="Q19" i="3"/>
  <c r="Q18" i="3"/>
  <c r="Q17" i="3"/>
  <c r="Q16" i="3"/>
  <c r="Q15" i="3"/>
  <c r="Q14" i="3"/>
  <c r="Q13" i="3"/>
  <c r="Q12" i="3"/>
  <c r="Q11" i="3"/>
  <c r="Q10" i="3"/>
  <c r="Q9" i="3"/>
  <c r="Q8" i="3"/>
  <c r="Q7" i="3"/>
  <c r="Q6" i="3"/>
  <c r="L40" i="3"/>
  <c r="F40" i="3"/>
  <c r="O13" i="6"/>
  <c r="C371" i="4"/>
  <c r="C370" i="4"/>
  <c r="C368" i="4"/>
  <c r="C367" i="4"/>
  <c r="C366" i="4"/>
  <c r="C369" i="4"/>
  <c r="C365" i="4"/>
  <c r="C364" i="4"/>
  <c r="C363" i="4"/>
  <c r="C354" i="4"/>
  <c r="C353" i="4"/>
  <c r="C372" i="4"/>
  <c r="K364" i="4"/>
  <c r="K365" i="4"/>
  <c r="K366" i="4"/>
  <c r="K367" i="4"/>
  <c r="K368" i="4"/>
  <c r="K369" i="4"/>
  <c r="K370" i="4"/>
  <c r="K371" i="4"/>
  <c r="K372" i="4"/>
  <c r="L364" i="4"/>
  <c r="L365" i="4"/>
  <c r="L366" i="4"/>
  <c r="L367" i="4"/>
  <c r="L368" i="4"/>
  <c r="L369" i="4"/>
  <c r="L370" i="4"/>
  <c r="L371" i="4"/>
  <c r="L372" i="4"/>
  <c r="K363" i="4"/>
  <c r="L363" i="4"/>
  <c r="K362" i="4"/>
  <c r="L362" i="4"/>
  <c r="C349" i="4"/>
  <c r="C348" i="4"/>
  <c r="C347" i="4"/>
  <c r="C341" i="4"/>
  <c r="C339" i="4" l="1"/>
  <c r="O12" i="6" l="1"/>
  <c r="C318" i="4"/>
  <c r="C324" i="4"/>
  <c r="C325" i="4"/>
  <c r="C326" i="4"/>
  <c r="C327" i="4"/>
  <c r="C328" i="4"/>
  <c r="C329" i="4"/>
  <c r="C330" i="4"/>
  <c r="C331" i="4"/>
  <c r="C332" i="4"/>
  <c r="C333" i="4"/>
  <c r="C334" i="4"/>
  <c r="C335" i="4"/>
  <c r="C336" i="4"/>
  <c r="C337" i="4"/>
  <c r="C338" i="4"/>
  <c r="C340" i="4"/>
  <c r="C342" i="4"/>
  <c r="C343" i="4"/>
  <c r="C344" i="4"/>
  <c r="C345" i="4"/>
  <c r="C346" i="4"/>
  <c r="C350" i="4"/>
  <c r="C351" i="4"/>
  <c r="C352" i="4"/>
  <c r="C355" i="4"/>
  <c r="C356" i="4"/>
  <c r="C357" i="4"/>
  <c r="C358" i="4"/>
  <c r="C359" i="4"/>
  <c r="C360" i="4"/>
  <c r="C361" i="4"/>
  <c r="C36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C314" i="4" l="1"/>
  <c r="C315" i="4"/>
  <c r="C316" i="4"/>
  <c r="C317" i="4"/>
  <c r="C319" i="4"/>
  <c r="C320" i="4"/>
  <c r="C321" i="4"/>
  <c r="C322" i="4"/>
  <c r="C323" i="4"/>
  <c r="K314" i="4"/>
  <c r="K315" i="4"/>
  <c r="K316" i="4"/>
  <c r="K317" i="4"/>
  <c r="K318" i="4"/>
  <c r="K319" i="4"/>
  <c r="K320" i="4"/>
  <c r="K321" i="4"/>
  <c r="K322" i="4"/>
  <c r="L314" i="4"/>
  <c r="L315" i="4"/>
  <c r="L316" i="4"/>
  <c r="L317" i="4"/>
  <c r="L318" i="4"/>
  <c r="L319" i="4"/>
  <c r="L320" i="4"/>
  <c r="L321" i="4"/>
  <c r="L322" i="4"/>
  <c r="C313" i="4"/>
  <c r="K313" i="4"/>
  <c r="L313" i="4"/>
  <c r="C312" i="4"/>
  <c r="K312" i="4"/>
  <c r="L312" i="4"/>
  <c r="C311" i="4"/>
  <c r="K311" i="4"/>
  <c r="L311" i="4"/>
  <c r="C310" i="4"/>
  <c r="K310" i="4"/>
  <c r="L310" i="4"/>
  <c r="C309" i="4"/>
  <c r="K309" i="4"/>
  <c r="L309" i="4"/>
  <c r="C308" i="4"/>
  <c r="K308" i="4"/>
  <c r="L308" i="4"/>
  <c r="C307" i="4"/>
  <c r="K307" i="4"/>
  <c r="L307" i="4"/>
  <c r="C306" i="4"/>
  <c r="K306" i="4"/>
  <c r="L306" i="4"/>
  <c r="C305" i="4"/>
  <c r="K305" i="4"/>
  <c r="L305" i="4"/>
  <c r="J226" i="4" l="1"/>
  <c r="J225" i="4"/>
  <c r="O11" i="6" l="1"/>
  <c r="K302" i="4"/>
  <c r="L302" i="4"/>
  <c r="K303" i="4"/>
  <c r="L303" i="4"/>
  <c r="C299" i="4"/>
  <c r="K292" i="4"/>
  <c r="L292" i="4"/>
  <c r="F13" i="2"/>
  <c r="O10" i="6"/>
  <c r="K272" i="4"/>
  <c r="L272" i="4"/>
  <c r="K270" i="4"/>
  <c r="K266" i="4"/>
  <c r="L266" i="4"/>
  <c r="K246" i="4"/>
  <c r="F37" i="3"/>
  <c r="F38" i="3"/>
  <c r="F39" i="3"/>
  <c r="L39" i="3"/>
  <c r="L38" i="3"/>
  <c r="L37" i="3"/>
  <c r="F30" i="3"/>
  <c r="L30" i="3"/>
  <c r="F31" i="3"/>
  <c r="L31" i="3"/>
  <c r="F32" i="3"/>
  <c r="L32" i="3"/>
  <c r="F33" i="3"/>
  <c r="L33" i="3"/>
  <c r="F34" i="3"/>
  <c r="L34" i="3"/>
  <c r="F35" i="3"/>
  <c r="L35" i="3"/>
  <c r="F36" i="3"/>
  <c r="L36" i="3"/>
  <c r="O9" i="6"/>
  <c r="C238" i="4"/>
  <c r="C237" i="4"/>
  <c r="C236" i="4"/>
  <c r="C235" i="4"/>
  <c r="K235" i="4"/>
  <c r="L235" i="4"/>
  <c r="C234" i="4"/>
  <c r="C233" i="4"/>
  <c r="C232" i="4"/>
  <c r="K232" i="4"/>
  <c r="L232" i="4"/>
  <c r="C231" i="4"/>
  <c r="K231" i="4"/>
  <c r="L231" i="4"/>
  <c r="C230" i="4"/>
  <c r="C229" i="4"/>
  <c r="C228" i="4"/>
  <c r="C227" i="4"/>
  <c r="C226" i="4"/>
  <c r="C225" i="4"/>
  <c r="C224" i="4"/>
  <c r="C223" i="4"/>
  <c r="C222" i="4"/>
  <c r="C221" i="4"/>
  <c r="C220" i="4"/>
  <c r="C219" i="4"/>
  <c r="C218" i="4"/>
  <c r="O8" i="6" l="1"/>
  <c r="C216" i="4"/>
  <c r="C217"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300" i="4"/>
  <c r="C301" i="4"/>
  <c r="C302" i="4"/>
  <c r="C303" i="4"/>
  <c r="C304" i="4"/>
  <c r="K216" i="4"/>
  <c r="K217" i="4"/>
  <c r="K218" i="4"/>
  <c r="K219" i="4"/>
  <c r="K220" i="4"/>
  <c r="K221" i="4"/>
  <c r="K222" i="4"/>
  <c r="K223" i="4"/>
  <c r="K224" i="4"/>
  <c r="K225" i="4"/>
  <c r="K226" i="4"/>
  <c r="K227" i="4"/>
  <c r="K228" i="4"/>
  <c r="K229" i="4"/>
  <c r="K230" i="4"/>
  <c r="K233" i="4"/>
  <c r="K234" i="4"/>
  <c r="K236" i="4"/>
  <c r="K237" i="4"/>
  <c r="K238" i="4"/>
  <c r="K239" i="4"/>
  <c r="K240" i="4"/>
  <c r="K241" i="4"/>
  <c r="K242" i="4"/>
  <c r="K243" i="4"/>
  <c r="K244" i="4"/>
  <c r="K245" i="4"/>
  <c r="K247" i="4"/>
  <c r="K248" i="4"/>
  <c r="K249" i="4"/>
  <c r="K250" i="4"/>
  <c r="K251" i="4"/>
  <c r="K252" i="4"/>
  <c r="K253" i="4"/>
  <c r="K254" i="4"/>
  <c r="K255" i="4"/>
  <c r="K256" i="4"/>
  <c r="K257" i="4"/>
  <c r="K258" i="4"/>
  <c r="K259" i="4"/>
  <c r="K260" i="4"/>
  <c r="K261" i="4"/>
  <c r="K262" i="4"/>
  <c r="K263" i="4"/>
  <c r="K264" i="4"/>
  <c r="K265" i="4"/>
  <c r="K267" i="4"/>
  <c r="K268" i="4"/>
  <c r="K269" i="4"/>
  <c r="K271" i="4"/>
  <c r="K273" i="4"/>
  <c r="K274" i="4"/>
  <c r="K275" i="4"/>
  <c r="K276" i="4"/>
  <c r="K277" i="4"/>
  <c r="K278" i="4"/>
  <c r="K279" i="4"/>
  <c r="K280" i="4"/>
  <c r="K281" i="4"/>
  <c r="K282" i="4"/>
  <c r="K283" i="4"/>
  <c r="K284" i="4"/>
  <c r="K285" i="4"/>
  <c r="K286" i="4"/>
  <c r="K287" i="4"/>
  <c r="K288" i="4"/>
  <c r="K289" i="4"/>
  <c r="K290" i="4"/>
  <c r="K291" i="4"/>
  <c r="K293" i="4"/>
  <c r="K294" i="4"/>
  <c r="K295" i="4"/>
  <c r="K296" i="4"/>
  <c r="K297" i="4"/>
  <c r="K298" i="4"/>
  <c r="K299" i="4"/>
  <c r="K300" i="4"/>
  <c r="K301" i="4"/>
  <c r="K304" i="4"/>
  <c r="L216" i="4"/>
  <c r="L217" i="4"/>
  <c r="L218" i="4"/>
  <c r="L219" i="4"/>
  <c r="L220" i="4"/>
  <c r="L221" i="4"/>
  <c r="L222" i="4"/>
  <c r="L223" i="4"/>
  <c r="L224" i="4"/>
  <c r="L225" i="4"/>
  <c r="L226" i="4"/>
  <c r="L227" i="4"/>
  <c r="L228" i="4"/>
  <c r="L229" i="4"/>
  <c r="L230" i="4"/>
  <c r="L233" i="4"/>
  <c r="L234" i="4"/>
  <c r="L236"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7" i="4"/>
  <c r="L268" i="4"/>
  <c r="L269" i="4"/>
  <c r="L270" i="4"/>
  <c r="L271" i="4"/>
  <c r="L273" i="4"/>
  <c r="L274" i="4"/>
  <c r="L275" i="4"/>
  <c r="L276" i="4"/>
  <c r="L277" i="4"/>
  <c r="L278" i="4"/>
  <c r="L279" i="4"/>
  <c r="L280" i="4"/>
  <c r="L281" i="4"/>
  <c r="L282" i="4"/>
  <c r="L283" i="4"/>
  <c r="L284" i="4"/>
  <c r="L285" i="4"/>
  <c r="L286" i="4"/>
  <c r="L287" i="4"/>
  <c r="L288" i="4"/>
  <c r="L289" i="4"/>
  <c r="L290" i="4"/>
  <c r="L291" i="4"/>
  <c r="L293" i="4"/>
  <c r="L294" i="4"/>
  <c r="L295" i="4"/>
  <c r="L296" i="4"/>
  <c r="L297" i="4"/>
  <c r="L298" i="4"/>
  <c r="L299" i="4"/>
  <c r="L300" i="4"/>
  <c r="L301" i="4"/>
  <c r="L304" i="4"/>
  <c r="F28" i="3"/>
  <c r="L28" i="3"/>
  <c r="F29" i="3"/>
  <c r="L29" i="3"/>
  <c r="C194" i="4"/>
  <c r="C195" i="4"/>
  <c r="C192" i="4"/>
  <c r="C188" i="4"/>
  <c r="C189" i="4"/>
  <c r="C177" i="4" l="1"/>
  <c r="C176" i="4"/>
  <c r="F24" i="3"/>
  <c r="L24" i="3"/>
  <c r="F25" i="3"/>
  <c r="L25" i="3"/>
  <c r="F26" i="3"/>
  <c r="L26" i="3"/>
  <c r="F27" i="3"/>
  <c r="L27" i="3"/>
  <c r="F23" i="3"/>
  <c r="L23" i="3"/>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8" i="4"/>
  <c r="C179" i="4"/>
  <c r="C180" i="4"/>
  <c r="C181" i="4"/>
  <c r="C182" i="4"/>
  <c r="C183" i="4"/>
  <c r="C184" i="4"/>
  <c r="C185" i="4"/>
  <c r="C186" i="4"/>
  <c r="C187" i="4"/>
  <c r="C190" i="4"/>
  <c r="C191" i="4"/>
  <c r="C193" i="4"/>
  <c r="C196" i="4"/>
  <c r="C197" i="4"/>
  <c r="C198" i="4"/>
  <c r="C199" i="4"/>
  <c r="C200" i="4"/>
  <c r="C201" i="4"/>
  <c r="C202" i="4"/>
  <c r="C203" i="4"/>
  <c r="C204" i="4"/>
  <c r="C205" i="4"/>
  <c r="C206" i="4"/>
  <c r="C207" i="4"/>
  <c r="C208" i="4"/>
  <c r="C209" i="4"/>
  <c r="C210" i="4"/>
  <c r="C211" i="4"/>
  <c r="C212" i="4"/>
  <c r="C213" i="4"/>
  <c r="C214" i="4"/>
  <c r="C215"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Q5" i="3" l="1"/>
  <c r="F21" i="3"/>
  <c r="F22" i="3"/>
  <c r="L21" i="3"/>
  <c r="L22" i="3"/>
  <c r="F20" i="3"/>
  <c r="L20" i="3"/>
  <c r="O7" i="6"/>
  <c r="C124" i="4"/>
  <c r="C125" i="4"/>
  <c r="C126" i="4"/>
  <c r="C127" i="4"/>
  <c r="C128" i="4"/>
  <c r="K124" i="4"/>
  <c r="K125" i="4"/>
  <c r="K126" i="4"/>
  <c r="K127" i="4"/>
  <c r="K128" i="4"/>
  <c r="L124" i="4"/>
  <c r="L125" i="4"/>
  <c r="L126" i="4"/>
  <c r="L127" i="4"/>
  <c r="L128" i="4"/>
  <c r="C123" i="4"/>
  <c r="K123" i="4"/>
  <c r="L123" i="4"/>
  <c r="O6" i="6"/>
  <c r="O5" i="6"/>
  <c r="O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D4" i="2" l="1"/>
  <c r="F34" i="2"/>
  <c r="D34" i="2"/>
  <c r="L21" i="2"/>
  <c r="G4" i="2"/>
  <c r="J21" i="2"/>
  <c r="F21" i="2"/>
  <c r="N21" i="2"/>
  <c r="H21" i="2"/>
  <c r="D21" i="2"/>
  <c r="L237" i="4"/>
</calcChain>
</file>

<file path=xl/comments1.xml><?xml version="1.0" encoding="utf-8"?>
<comments xmlns="http://schemas.openxmlformats.org/spreadsheetml/2006/main">
  <authors>
    <author>User</author>
  </authors>
  <commentList>
    <comment ref="I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List>
</comments>
</file>

<file path=xl/sharedStrings.xml><?xml version="1.0" encoding="utf-8"?>
<sst xmlns="http://schemas.openxmlformats.org/spreadsheetml/2006/main" count="3139" uniqueCount="1118">
  <si>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</si>
  <si>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</si>
  <si>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</si>
  <si>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</si>
  <si>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</si>
  <si>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</si>
  <si>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</si>
  <si>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</si>
  <si>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</si>
  <si>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</si>
  <si>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</si>
  <si>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</si>
  <si>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</si>
  <si>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</si>
  <si>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</si>
  <si>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</si>
  <si>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</si>
  <si>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</si>
  <si>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</si>
  <si>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</si>
  <si>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</si>
  <si>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</si>
  <si>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</si>
  <si>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</si>
  <si>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</si>
  <si>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</si>
  <si>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</si>
  <si>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</si>
  <si>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</si>
  <si>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</si>
  <si>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</si>
  <si>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</si>
  <si>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</si>
  <si>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</si>
  <si>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</si>
  <si>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</si>
  <si>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</si>
  <si>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</si>
  <si>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</si>
  <si>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</si>
  <si>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</si>
  <si>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</si>
  <si>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</si>
  <si>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</si>
  <si>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</si>
  <si>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</si>
  <si>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</si>
  <si>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</si>
  <si>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</si>
  <si>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</si>
  <si>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</si>
  <si>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</si>
  <si>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</si>
  <si>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</si>
  <si>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</si>
  <si>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</si>
  <si>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</si>
  <si>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</si>
  <si>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</si>
  <si>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</si>
  <si>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</si>
  <si>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</si>
  <si>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</si>
  <si>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</si>
  <si>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</si>
  <si>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</si>
  <si>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</si>
  <si>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</si>
  <si>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</si>
  <si>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</si>
  <si>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</si>
  <si>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</si>
  <si>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</si>
  <si>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</si>
  <si>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</si>
  <si>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</si>
  <si>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</si>
  <si>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</si>
  <si>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</si>
  <si>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</si>
  <si>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</si>
  <si>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</si>
  <si>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</si>
  <si>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</si>
  <si>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</si>
  <si>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</si>
  <si>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</si>
  <si>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</si>
  <si>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</si>
  <si>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</si>
  <si>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</si>
  <si>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</si>
  <si>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</si>
  <si>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</si>
  <si>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</si>
  <si>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</si>
  <si>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</si>
  <si>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</si>
  <si>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</si>
  <si>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</si>
  <si>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</si>
  <si>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</si>
  <si>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</si>
  <si>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</si>
  <si>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</si>
  <si>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</si>
  <si>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</si>
  <si>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</si>
  <si>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</si>
  <si>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</si>
  <si>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</si>
  <si>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</si>
  <si>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</si>
  <si>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</si>
  <si>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</si>
  <si>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</si>
  <si>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</si>
  <si>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</si>
  <si>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</si>
  <si>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</si>
  <si>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</si>
  <si>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</si>
  <si>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</si>
  <si>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</si>
  <si>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</si>
  <si>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</si>
  <si>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</si>
  <si>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</si>
  <si>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</si>
  <si>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</si>
  <si>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</si>
  <si>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</si>
  <si>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</si>
  <si>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</si>
  <si>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</si>
  <si>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</si>
  <si>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</si>
  <si>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</si>
  <si>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</si>
  <si>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</si>
  <si>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</si>
  <si>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</si>
  <si>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</si>
  <si>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</si>
  <si>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</si>
  <si>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</si>
  <si>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</si>
  <si>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</si>
  <si>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</si>
  <si>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</si>
  <si>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</si>
  <si>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</si>
  <si>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</si>
  <si>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</si>
  <si>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</si>
  <si>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</si>
  <si>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</si>
  <si>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</si>
  <si>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</si>
  <si>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</si>
  <si>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</si>
  <si>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</si>
  <si>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</si>
  <si>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</si>
  <si>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</si>
  <si>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</si>
  <si>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</si>
  <si>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</si>
  <si>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</si>
  <si>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</si>
  <si>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</si>
  <si>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</si>
  <si>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</si>
  <si>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</si>
  <si>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</si>
  <si>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</si>
  <si>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</si>
  <si>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</si>
  <si>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</si>
  <si>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</si>
  <si>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</si>
  <si>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</si>
  <si>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</si>
  <si>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</si>
  <si>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</si>
  <si>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</si>
  <si>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</si>
  <si>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</si>
  <si>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</si>
  <si>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</si>
  <si>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</si>
  <si>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</si>
  <si>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</si>
  <si>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</si>
  <si>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</si>
  <si>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</si>
  <si>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</si>
  <si>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</si>
  <si>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</si>
  <si>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</si>
  <si>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</si>
  <si>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</si>
  <si>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</si>
  <si>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</si>
  <si>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</si>
  <si>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</si>
  <si>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</si>
  <si>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</si>
  <si>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</si>
  <si>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</si>
  <si>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</si>
  <si>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</si>
  <si>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</si>
  <si>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</si>
  <si>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</si>
  <si>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</si>
  <si>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</si>
  <si>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</si>
  <si>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</si>
  <si>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</si>
  <si>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</si>
  <si>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</si>
  <si>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</si>
  <si>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</si>
  <si>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</si>
  <si>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</si>
  <si>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</si>
  <si>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</si>
  <si>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</si>
  <si>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</si>
  <si>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</si>
  <si>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</si>
  <si>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</si>
  <si>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</si>
  <si>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</si>
  <si>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</si>
  <si>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</si>
  <si>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</si>
  <si>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</si>
  <si>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</si>
  <si>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</si>
  <si>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</si>
  <si>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</si>
  <si>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</si>
  <si>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</si>
  <si>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</si>
  <si>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</si>
  <si>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</si>
  <si>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</si>
  <si>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</si>
  <si>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</si>
  <si>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</si>
  <si>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</si>
  <si>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</si>
  <si>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</si>
  <si>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</si>
  <si>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</si>
  <si>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</si>
  <si>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</si>
  <si>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</si>
  <si>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</si>
  <si>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</si>
  <si>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</si>
  <si>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</si>
  <si>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</si>
  <si>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</si>
  <si>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</si>
  <si>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</si>
  <si>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</si>
  <si>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</si>
  <si>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</si>
  <si>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</si>
  <si>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</si>
  <si>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</si>
  <si>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</si>
  <si>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</si>
  <si>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</si>
  <si>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</si>
  <si>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</si>
  <si>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</si>
  <si>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</si>
  <si>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</si>
  <si>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</si>
  <si>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</si>
  <si>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</si>
  <si>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</si>
  <si>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</si>
  <si>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</si>
  <si>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</si>
  <si>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</si>
  <si>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</si>
  <si>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</si>
  <si>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</si>
  <si>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</si>
  <si>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</si>
  <si>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</si>
  <si>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</si>
  <si>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</si>
  <si>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</si>
  <si>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</si>
  <si>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</si>
  <si>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</si>
  <si>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</si>
  <si>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</si>
  <si>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</si>
  <si>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</si>
  <si>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</si>
  <si>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</si>
  <si>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</si>
  <si>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</si>
  <si>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</si>
  <si>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</si>
  <si>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</si>
  <si>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</si>
  <si>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</si>
  <si>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</si>
  <si>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</si>
  <si>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</si>
  <si>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</si>
  <si>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</si>
  <si>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</si>
  <si>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</si>
  <si>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</si>
  <si>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</si>
  <si>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</si>
  <si>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</si>
  <si>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</si>
  <si>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</si>
  <si>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</si>
  <si>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</si>
  <si>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</si>
  <si>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</si>
  <si>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</si>
  <si>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</si>
  <si>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</si>
  <si>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</si>
  <si>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</si>
  <si>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</si>
  <si>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</si>
  <si>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</si>
  <si>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</si>
  <si>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</si>
  <si>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</si>
  <si>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</si>
  <si>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</si>
  <si>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</si>
  <si>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</si>
  <si>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</si>
  <si>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</si>
  <si>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</si>
  <si>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</si>
  <si>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</si>
  <si>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</si>
  <si>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</si>
  <si>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</si>
  <si>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</si>
  <si>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</si>
  <si>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</si>
  <si>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</si>
  <si>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</si>
  <si>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</si>
  <si>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</si>
  <si>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</si>
  <si>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</si>
  <si>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</si>
  <si>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</si>
  <si>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</si>
  <si>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</si>
  <si>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</si>
  <si>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</si>
  <si>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</si>
  <si>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</si>
  <si>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</si>
  <si>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</si>
  <si>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</si>
  <si>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</si>
  <si>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</si>
  <si>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</si>
  <si>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</si>
  <si>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</si>
  <si>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</si>
  <si>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</si>
  <si>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</si>
  <si>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</si>
  <si>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</si>
  <si>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</si>
  <si>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</si>
  <si>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</si>
  <si>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</si>
  <si>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</si>
  <si>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</si>
  <si>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</si>
  <si>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</si>
  <si>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</si>
  <si>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</si>
  <si>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</si>
  <si>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</si>
  <si>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</si>
  <si>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</si>
  <si>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</si>
  <si>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</si>
  <si>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</si>
  <si>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</si>
  <si>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</si>
  <si>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</si>
  <si>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</si>
  <si>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</si>
  <si>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</si>
  <si>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</si>
  <si>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</si>
  <si>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</si>
  <si>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</si>
  <si>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</si>
  <si>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</si>
  <si>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</si>
  <si>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</si>
  <si>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</si>
  <si>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</si>
  <si>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</si>
  <si>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</si>
  <si>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</si>
  <si>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</si>
  <si>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</si>
  <si>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</si>
  <si>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</si>
  <si>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</si>
  <si>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</si>
  <si>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</si>
  <si>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</si>
  <si>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</si>
  <si>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</si>
  <si>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</si>
  <si>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</si>
  <si>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</si>
  <si>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</si>
  <si>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</si>
  <si>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</si>
  <si>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</si>
  <si>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</si>
  <si>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</si>
  <si>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</si>
  <si>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</si>
  <si>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</si>
  <si>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</si>
  <si>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</si>
  <si>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</si>
  <si>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</si>
  <si>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</si>
  <si>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</si>
  <si>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</si>
  <si>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</si>
  <si>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</si>
  <si>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</si>
  <si>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</si>
  <si>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</si>
  <si>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</si>
  <si>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</si>
  <si>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</si>
  <si>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</si>
  <si>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</si>
  <si>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</si>
  <si>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</si>
  <si>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</si>
  <si>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</si>
  <si>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</si>
  <si>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</si>
  <si>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</si>
  <si>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</si>
  <si>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</si>
  <si>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</si>
  <si>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</si>
  <si>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</si>
  <si>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</si>
  <si>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</si>
  <si>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</si>
  <si>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</si>
  <si>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</si>
  <si>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</si>
  <si>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</si>
  <si>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</si>
  <si>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</si>
  <si>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</si>
  <si>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</si>
  <si>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</si>
  <si>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</si>
  <si>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</si>
  <si>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</si>
  <si>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</si>
  <si>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</si>
  <si>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</si>
  <si>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</si>
  <si>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</si>
  <si>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</si>
  <si>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</si>
  <si>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</si>
  <si>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</si>
  <si>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</si>
  <si>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</si>
  <si>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</si>
  <si>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</si>
  <si>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</si>
  <si>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</si>
  <si>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</si>
  <si>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</si>
  <si>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</si>
  <si>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</si>
  <si>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</si>
  <si>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</si>
  <si>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</si>
  <si>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</si>
  <si>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</si>
  <si>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</si>
  <si>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</si>
  <si>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</si>
  <si>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</si>
  <si>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</si>
  <si>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</si>
  <si>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</si>
  <si>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</si>
  <si>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</si>
  <si>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</si>
  <si>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</si>
  <si>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</si>
  <si>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</si>
  <si>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</si>
  <si>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</si>
  <si>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</si>
  <si>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</si>
  <si>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</si>
  <si>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</si>
  <si>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</si>
  <si>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</si>
  <si>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</si>
  <si>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</si>
  <si>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</si>
  <si>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</si>
  <si>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</si>
  <si>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</si>
  <si>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</si>
  <si>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</si>
  <si>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</si>
  <si>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</si>
  <si>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</si>
  <si>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</si>
  <si>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</si>
  <si>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</si>
  <si>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</si>
  <si>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</si>
  <si>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</si>
  <si>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</si>
  <si>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</si>
  <si>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</si>
  <si>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</si>
  <si>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</si>
  <si>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</si>
  <si>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</si>
  <si>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</si>
  <si>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</si>
  <si>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</si>
  <si>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</si>
  <si>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</si>
  <si>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</si>
  <si>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</si>
  <si>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</si>
  <si>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</si>
  <si>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</si>
  <si>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</si>
  <si>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</si>
  <si>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</si>
  <si>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</si>
  <si>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</si>
  <si>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</si>
  <si>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</si>
  <si>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</si>
  <si>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</si>
  <si>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</si>
  <si>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</si>
  <si>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</si>
  <si>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</si>
  <si>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</si>
  <si>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</si>
  <si>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</si>
  <si>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</si>
  <si>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</si>
  <si>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</si>
  <si>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</si>
  <si>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</si>
  <si>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</si>
  <si>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</si>
  <si>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</si>
  <si>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</si>
  <si>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</si>
  <si>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</si>
  <si>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</si>
  <si>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</si>
  <si>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</si>
  <si>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</si>
  <si>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</si>
  <si>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</si>
  <si>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</si>
  <si>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</si>
  <si>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</si>
  <si>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</si>
  <si>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</si>
  <si>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</si>
  <si>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</si>
  <si>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</si>
  <si>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</si>
  <si>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</si>
  <si>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</si>
  <si>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</si>
  <si>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</si>
  <si>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</si>
  <si>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</si>
  <si>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</si>
  <si>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</si>
  <si>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</si>
  <si>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</si>
  <si>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</si>
  <si>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</si>
  <si>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</si>
  <si>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</si>
  <si>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</si>
  <si>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</si>
  <si>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</si>
  <si>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</si>
  <si>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</si>
  <si>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</si>
  <si>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</si>
  <si>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</si>
  <si>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</si>
  <si>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</si>
  <si>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</si>
  <si>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</si>
  <si>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</si>
  <si>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</si>
  <si>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</si>
  <si>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</si>
  <si>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</si>
  <si>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</si>
  <si>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</si>
  <si>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</si>
  <si>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</si>
  <si>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</si>
  <si>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</si>
  <si>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</si>
  <si>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La actividad 4, dado que es una actividad colavorativa, una caja negra, debería ser un subproceso.</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</si>
  <si>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</si>
  <si>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</si>
  <si>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</si>
  <si>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</si>
  <si>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</si>
  <si>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</si>
  <si>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</si>
  <si>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</si>
  <si>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MacroProceso - Gestión de Abastecimiento</t>
  </si>
  <si>
    <t>Proceso - Inventariado de Talleres de Educación Técnica</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</si>
  <si>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</si>
  <si>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</si>
  <si>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</si>
  <si>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</si>
  <si>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</si>
  <si>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</si>
  <si>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</si>
  <si>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</si>
  <si>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</si>
  <si>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</si>
  <si>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</si>
  <si>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</si>
  <si>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</si>
  <si>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</si>
  <si>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</si>
  <si>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</si>
  <si>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</si>
  <si>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</si>
  <si>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</si>
  <si>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</si>
  <si>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</si>
  <si>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</si>
  <si>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</si>
  <si>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</si>
  <si>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</si>
  <si>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</si>
  <si>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</si>
  <si>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</si>
  <si>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</si>
  <si>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</si>
  <si>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</si>
  <si>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</si>
  <si>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</si>
  <si>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</si>
  <si>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</si>
  <si>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</si>
  <si>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</si>
  <si>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</si>
  <si>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</si>
  <si>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</si>
  <si>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</si>
  <si>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</si>
  <si>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</si>
  <si>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</si>
  <si>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</si>
  <si>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</si>
  <si>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</si>
  <si>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</si>
  <si>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</si>
  <si>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</si>
  <si>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</si>
  <si>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</si>
  <si>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</si>
  <si>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</si>
  <si>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</si>
  <si>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</si>
  <si>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</si>
  <si>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</si>
  <si>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</si>
  <si>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</si>
  <si>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</si>
  <si>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</si>
  <si>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</si>
  <si>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</si>
  <si>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</si>
  <si>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</si>
  <si>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</si>
  <si>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</si>
  <si>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</si>
  <si>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</si>
  <si>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</si>
  <si>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</si>
  <si>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</si>
  <si>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</si>
  <si>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</si>
  <si>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</si>
  <si>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</si>
  <si>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</si>
  <si>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</si>
  <si>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</si>
  <si>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</si>
  <si>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</si>
  <si>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</si>
  <si>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</si>
  <si>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</si>
  <si>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</si>
  <si>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</si>
  <si>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</si>
  <si>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</si>
  <si>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</si>
  <si>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</si>
  <si>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</si>
  <si>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</si>
  <si>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</si>
  <si>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</si>
  <si>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</si>
  <si>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</si>
  <si>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</si>
  <si>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</si>
  <si>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</si>
  <si>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</si>
  <si>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</si>
  <si>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</si>
  <si>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</si>
  <si>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</si>
  <si>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</si>
  <si>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</si>
  <si>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</si>
  <si>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</si>
  <si>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</si>
  <si>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</si>
  <si>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</si>
  <si>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</si>
  <si>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</si>
  <si>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</si>
  <si>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</si>
  <si>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</si>
  <si>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</si>
  <si>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</si>
  <si>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</si>
  <si>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</si>
  <si>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</si>
  <si>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</si>
  <si>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</si>
  <si>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</si>
  <si>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</si>
  <si>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</si>
  <si>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</si>
  <si>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</si>
  <si>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</si>
  <si>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</si>
  <si>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</si>
  <si>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</si>
  <si>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</si>
  <si>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</si>
  <si>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</si>
  <si>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</si>
  <si>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</si>
  <si>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</si>
  <si>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</si>
  <si>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</si>
  <si>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</si>
  <si>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</si>
  <si>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</si>
  <si>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</si>
  <si>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</si>
  <si>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</si>
  <si>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</si>
  <si>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</si>
  <si>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</si>
  <si>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</si>
  <si>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El dato de salida de la actividad 12 debe ser dato de entrada de la actividad 11.</t>
  </si>
  <si>
    <t>Error de tipeo al describir "una cotización" en la descripción de la actividad 11.</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</si>
  <si>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</si>
  <si>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</si>
  <si>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</si>
  <si>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</si>
  <si>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</si>
  <si>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</si>
  <si>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Se modificaron las secciones indicadas.</t>
  </si>
  <si>
    <t>Se modificó el orden de los procesos.</t>
  </si>
  <si>
    <t>Se modificó el conector.</t>
  </si>
  <si>
    <t>En el Macroproceso no existen actividades.</t>
  </si>
  <si>
    <t>Se modificó el nombre de la actividad en la caracterización.</t>
  </si>
  <si>
    <t>Se agregaron las entradas faltantes.</t>
  </si>
  <si>
    <t>Se modificaron las salidas por la salida "Actividades completas".</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</si>
  <si>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</si>
  <si>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</si>
  <si>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</si>
  <si>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</si>
  <si>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</si>
  <si>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</si>
  <si>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</si>
  <si>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No es necesario que los nombres de los procesos empiecen con infinitivos.</t>
  </si>
  <si>
    <t>Se corrigió la palabra.</t>
  </si>
  <si>
    <t>Se corrigieron los nombres de las actividades del proceso.</t>
  </si>
  <si>
    <t>Se agregaron descripción, responsable y tipo de actividad.</t>
  </si>
  <si>
    <t>Se agregaron la entrada y la salida correspondiente.</t>
  </si>
  <si>
    <t>Se agregó la salida correspondiente en la actividad 4.</t>
  </si>
  <si>
    <t>Se modificó el nombre del lane.</t>
  </si>
  <si>
    <t>Se agregó como entrada de la actividad 5.1</t>
  </si>
  <si>
    <t>Se modificaron las descripciones de las actividades</t>
  </si>
  <si>
    <t>Se modificó el evento.</t>
  </si>
  <si>
    <t>Se cambió la numeración de los procesos.</t>
  </si>
  <si>
    <t>Se corrigieron las entradas y salidas de las actividesde señaladas.</t>
  </si>
  <si>
    <t>No se encuentra la incoherencia al leerlo.</t>
  </si>
  <si>
    <t>Se diagramó una flecha de la actividad 19 a la 6 para que exista un flujo de información.</t>
  </si>
  <si>
    <t>Se colocó la salida de la actividad 19 en el entrada de la actividad 6.</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</si>
  <si>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</si>
  <si>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</si>
  <si>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</si>
  <si>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</si>
  <si>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</si>
  <si>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</si>
  <si>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corrigió el error de tipeo</t>
  </si>
  <si>
    <t>Se modificó el tipo de conector</t>
  </si>
  <si>
    <t>Se agregó la salida de la actividad 4 como entrada de la actividad 2.</t>
  </si>
  <si>
    <t>Se eliminó dicha entrada como parte de las entradas de la actividad 3.</t>
  </si>
  <si>
    <t>Se colocó el fin en el lane "Encargada de Donaciones"</t>
  </si>
  <si>
    <t>La actividad se convirtió en un subproceso.</t>
  </si>
  <si>
    <t>Se modificó el flujo del proceso.</t>
  </si>
  <si>
    <t>Se modificaron los conectores.</t>
  </si>
  <si>
    <t>Se cambió el color a  azul en el alcance.</t>
  </si>
  <si>
    <t>No existen actividades en el Macroproceso.</t>
  </si>
  <si>
    <t>Se corrigió las entradas y salidas de los conectores.</t>
  </si>
  <si>
    <t>Se especificó el tiempo en el Timer señalado.</t>
  </si>
  <si>
    <t>Se agregó en la entrada de la actividad 2 la "Necesidad de Inventario".</t>
  </si>
  <si>
    <t>Se caracterizó el fin del subproceso.</t>
  </si>
  <si>
    <t>Ya se corrigió la entrada y salida de las actividades en cuestión.</t>
  </si>
  <si>
    <t>La actividad ya no tiene salida en la caracterización.</t>
  </si>
  <si>
    <t>Se corrigió la numeración.</t>
  </si>
  <si>
    <t>Se agregó el Informe de Necesidades en las entradas y salidas correspondientes.</t>
  </si>
  <si>
    <t>En la entrada de la actividad 8 se agregó "Listado de necesidades de maquinaria".</t>
  </si>
  <si>
    <t>Todas las actividades (procesos) deben empezar con un verbo en infinitivo (-ar, -er, -ir). En la descripción, la tercera columna, muestra todas las actividades, todo lo que esta en esa columna, a excepción del inicio y el fin tienen que estar en infinitivo.</t>
  </si>
  <si>
    <t>Toda tarea, actividad: proceso, subproceso, gateway, evento tiene que empezar con un verbo infinitivo. (-ar, -er, -ir).</t>
  </si>
  <si>
    <t>Considerar las actividades de compensación que se llaman en la actividad 5 y 8. La actividad de compensación indica el rolling back del flujo. Para este caso, cancelando todo el proceso.</t>
  </si>
  <si>
    <r>
      <t>El dato de salida del inicio "</t>
    </r>
    <r>
      <rPr>
        <sz val="9"/>
        <color theme="1"/>
        <rFont val="Times New Roman"/>
        <family val="1"/>
      </rPr>
      <t>Conjunto de Cartas entregadas" nunca se usa en el flujo.</t>
    </r>
  </si>
  <si>
    <t>"Decisión luego de visita" debería ser dato de salida de la actividad 3</t>
  </si>
  <si>
    <t>"Visita innecesaria" debería ser dato de entrada de la actividad 7</t>
  </si>
  <si>
    <t>"Voucher enviado" no puede ser un dato de entrada de la actividad 8.</t>
  </si>
  <si>
    <t>No hay dato que relacione la actividad 8 y 10.</t>
  </si>
  <si>
    <t xml:space="preserve">No se menciona los eventos timers de las actividades 14 y 20, ni el evento de condición, regla de negocio, de la actividad 16 en la caracterización. Mientras que en la actividad 15 se menciona una regla de negocio que no se ve en el diagrama. </t>
  </si>
  <si>
    <t>La descripción de la actividad 3 no representa una "Evaluación" ni una "Entrega". El fin no tendría sentido.</t>
  </si>
  <si>
    <t>La actividad 13 no debería tener un dato de salida ya que al no tener un conector, se perdería dicho dato. O en todo caso agregar un conector saliente.</t>
  </si>
  <si>
    <t xml:space="preserve">[OBS216]Todas las actividades (procesos) deben empezar con un verbo en infinitivo (-ar, -er, -ir). En la descripción, la tercera columna, muestra todas las actividades, todo lo que esta en esa columna, a excepción del inicio y el fin tienen que estar en infinitivo._x000D_
</t>
  </si>
  <si>
    <t xml:space="preserve">[OBS217]El nombre de un proceso debe comenzar con un verbo en infinitivo, solo los nombres de los Macroprocesos no cumplen con esa regla._x000D_
[OBS218]Toda tarea, actividad: proceso, subproceso, gateway, evento tiene que empezar con un verbo infinitivo. (-ar, -er, -ir)._x000D_
</t>
  </si>
  <si>
    <t xml:space="preserve">[OBS222]Toda tarea, actividad: proceso, subproceso, gateway, evento tiene que empezar con un verbo infinitivo. (-ar, -er, -ir)._x000D_
[OBS223]Considerar las actividades de compensación que se llaman en la actividad 5 y 8. La actividad de compensación indica el rolling back del flujo. Para este caso, cancelando todo el proceso._x000D_
[OBS224]Es una buena práctica caracterizar según el flujo total, no solo del principal. El fin debería ser lo último que se caracteriza al igual que procesos que tienen datos de salida que son datos de entrada de otro proceso se caracterizan primero._x000D_
</t>
  </si>
  <si>
    <t xml:space="preserve">[OBS225]El nombre de un proceso debe comenzar con un verbo en infinitivo, solo los nombres de los Macroprocesos no cumplen con esa regla._x000D_
</t>
  </si>
  <si>
    <t xml:space="preserve">[OBS226]El nombre de un proceso debe comenzar con un verbo en infinitivo, solo los nombres de los Macroprocesos no cumplen con esa regla._x000D_
</t>
  </si>
  <si>
    <t xml:space="preserve">[OBS235]El nombre de un proceso debe comenzar con un verbo en infinitivo, solo los nombres de los Macroprocesos no cumplen con esa regla._x000D_
[OBS236]Toda tarea, actividad: proceso, subproceso, gateway, evento tiene que empezar con un verbo infinitivo. (-ar, -er, -ir)._x000D_
</t>
  </si>
  <si>
    <t>CP026</t>
  </si>
  <si>
    <t>CP027</t>
  </si>
  <si>
    <t>CP028</t>
  </si>
  <si>
    <t>CP029</t>
  </si>
  <si>
    <t>CP030</t>
  </si>
  <si>
    <t>CP031</t>
  </si>
  <si>
    <t>CP032</t>
  </si>
  <si>
    <t>MP - Gestión de Proyectos</t>
  </si>
  <si>
    <t>PROCESO - Ejecución de Proyectos del Departamento de Proyectos</t>
  </si>
  <si>
    <t>MP - Gestión de Aseguramiento de la Calidad Educativa</t>
  </si>
  <si>
    <t>PROCESO Capacitaciones de Educación Técnica</t>
  </si>
  <si>
    <t>PROCESO Capacitaciones del Departamento de Formación</t>
  </si>
  <si>
    <t>MP - Gestión de Orientación Pastoral</t>
  </si>
  <si>
    <t>PROCESO - Ejecución de Talleres de Pastoral y Educación en Valores</t>
  </si>
  <si>
    <t>MP - Contabilidad y Presupuestos</t>
  </si>
  <si>
    <t>PROCESO - Planificación del Presupuesto Institucional Anual</t>
  </si>
  <si>
    <t>PROCESO - Seguimiento Presupuestal</t>
  </si>
  <si>
    <t>CP033</t>
  </si>
  <si>
    <t>CP034</t>
  </si>
  <si>
    <t>CP035</t>
  </si>
  <si>
    <t>Considerar el mismo formato al momento de juntar todos los documentos, normalmente siempre han escrito el título del macroproceso en mayúsculas.</t>
  </si>
  <si>
    <t>Hay un error de tipeo en el propósito y en el alcance al escribir "macro proceso", es junto.</t>
  </si>
  <si>
    <t>Al final del punto 2 del procedimiento, "otros" debería estar en femenino, ya que se está refiriendo a las áreas.</t>
  </si>
  <si>
    <t>Sugiero un estandar, en todos los documentos anteriores la caracterización siempre siempre ha tenido todos los bordes en el cuadro.</t>
  </si>
  <si>
    <t>En la Obs130 se mencionó que los datos de entrada "No faltan actividades" no parecen ser un artefacto y la solución que propusieron fue cambiarla por "Actividades completas". Se podría considerar lo mismo.</t>
  </si>
  <si>
    <t>En la descripción de la actividad 3 hay un error de tipeo al final de la 2da linea con "esperar".</t>
  </si>
  <si>
    <t>No se menciona el dato de salida "Documentación" en la actividad 4.</t>
  </si>
  <si>
    <t>En la descripción de la actividad 6 "referente al proyecto" debería estar entre comas para que se entienda que "lista" se refiere a la información. Si se refiere al proyecto debe ser "listo".</t>
  </si>
  <si>
    <t>En la descripción de la actividad 8 hay un "la" innecesario entre "para" y "llevar".</t>
  </si>
  <si>
    <t>El dato de entrada de la actividad 11 no concuerda con el dato de salida de la actividad 2.</t>
  </si>
  <si>
    <t>Sugerencia de formato, es el primer documento en el que se encuentra leyendas como: "Definición del Macroproceso: "Gestión de Proyectos”, "Diagrama de Proceso del Macroproceso "Gestión de Proyectos” y Caracterización del Macroproceso "Gestión de Proyectos"</t>
  </si>
  <si>
    <t>En el procedimiento, en el punto 2, hay un error ortográfico con la "ó" que está entre donación y concurso, no es necesario que lleve tilde.</t>
  </si>
  <si>
    <t>En el procedimiento, en el punto 5, hay un error de tipeo "Evaluar del Proyecto".</t>
  </si>
  <si>
    <t>Considerar las actividades de compensación que se llaman en la actividad 7 y 17. La actividad de compensación indica el rolling back del flujo. Para este caso, cancelando todo el proceso.</t>
  </si>
  <si>
    <t>No hay un dato que relacione el inicio con la actividad 2</t>
  </si>
  <si>
    <t>En la descripción de la actividad 5 no se menciona cuando se sale del ciclo para poder ir a la siguiente actividad.</t>
  </si>
  <si>
    <t>En la descripción de la actividad 15, debe haber una coma entre "requerida" y  "se".</t>
  </si>
  <si>
    <t>La actividad 21 tiene 5 datos de salida que no estan como entrada en la actividad 2.</t>
  </si>
  <si>
    <t>La actividad 20 tiene 3 datos de salida que no estan como entrada en la actividad 2.</t>
  </si>
  <si>
    <t>Diferente tipo de fuente, en el mismo documento, y respecto a los otros documentos.</t>
  </si>
  <si>
    <t>No se mencionó la leyenda, normalmente lo mencionan en el alcance, que significa los colores de los procesos.</t>
  </si>
  <si>
    <t>"Resultado de Prueba Ministerial" no está como dato de entrada de la actividad 4, el proceso 10 no sería necesario.</t>
  </si>
  <si>
    <t>"Cuestionario de necesidades" no está como dato de salida de la actividad 4.</t>
  </si>
  <si>
    <t>"Formato de monitoreo e Informe" no se detalla como dato de salida de la actividad 5 ni como dato de entrada de la actividad 6.</t>
  </si>
  <si>
    <t>En el primer parrafo y en la descripción de la actividad 8 hay un error de tipeo al escribir "macroproceso" separado.</t>
  </si>
  <si>
    <t>En el propósito, el alcance y la descripción de la actividad 9 se menciona proceso en vez de macroproceso.</t>
  </si>
  <si>
    <t>Existe un conector de más entre la actvidad 5 y 11.</t>
  </si>
  <si>
    <t>La descripción de la actividad 11 está incompleta.</t>
  </si>
  <si>
    <t>Existe un conector de más entre la actvidad 6 y 13.</t>
  </si>
  <si>
    <t>Probablemente en la descripción de la actividad 13 no debería decir "Capacitación de la invitación".</t>
  </si>
  <si>
    <t>El nombre de la actividad 7 es distinto entre el diagrama y la caracterización.</t>
  </si>
  <si>
    <t>El dato de entrada "Temas de capacitación" de la actividad 8 no tiene relación con el flujo.</t>
  </si>
  <si>
    <t>En la descripción de la actividad 4, hay un error ortográfico con "llevará".</t>
  </si>
  <si>
    <t>En la descripción de la actividad 4, sugiero cambiar el "en los docentes" con "con los docentes".</t>
  </si>
  <si>
    <t>Error de formato con el dato de salida de la actividad 6.</t>
  </si>
  <si>
    <t>No hay dato que relacione la actividad 6 y 7.</t>
  </si>
  <si>
    <t>En el propósito hay un error de tipeo al escribir "macroproceso" separado.</t>
  </si>
  <si>
    <t>En el alcance se menciona proceso, cuando es un macroproceso.</t>
  </si>
  <si>
    <t>"No faltan actividades" no es un dato. Actividad 1 y 2.</t>
  </si>
  <si>
    <t>Los datos de entrada y salida de las actividades 8 y 9 no tienen relación con los datos de la actividad 4.</t>
  </si>
  <si>
    <t>En la descripción de la actividad 8, me parece que el "informado" debe cambiar.</t>
  </si>
  <si>
    <t>En la descripción de la actividad 9, no se necesita la segunda coma.</t>
  </si>
  <si>
    <t>Estandarizar los documentos, los títulos, las leyendas como :"Definición del Macroproceso:”, "Diagrama de Proceso" y "Caracterización del proceso"</t>
  </si>
  <si>
    <t>El evento inicio no tiene descripción.</t>
  </si>
  <si>
    <t>En la descripción de la actividad 3 hay un error ortográfico, para este caso la o no lleva tilde.</t>
  </si>
  <si>
    <t xml:space="preserve">[OBS275]El nombre de un proceso debe comenzar con un verbo en infinitivo, solo los nombres de los Macroprocesos no cumplen con esa regla._x000D_
[OBS276]Diferente tipo de fuente, en el mismo documento, y respecto a los otros documentos._x000D_
[OBS277]Es una buena práctica caracterizar según el flujo total, no solo del principal. El fin debería ser lo último que se caracteriza al igual que procesos que tienen datos de salida que son datos de entrada de otro proceso se caracterizan primero._x000D_
[OBS278]Toda tarea, actividad: proceso, subproceso, gateway, evento tiene que empezar con un verbo infinitivo. (-ar, -er, -ir)._x000D_
[OBS279]El nombre de la actividad 7 es distinto entre el diagrama y la caracterización._x000D_
[OBS280]El dato de entrada "Temas de capacitación" de la actividad 8 no tiene relación con el flujo._x000D_
</t>
  </si>
  <si>
    <t xml:space="preserve">[OBS289]En el propósito hay un error de tipeo al escribir "macroproceso" separado._x000D_
[OBS290]En el alcance se menciona proceso, cuando es un macroproceso._x000D_
[OBS291]Es una buena práctica caracterizar según el flujo total, no solo del principal. El fin debería ser lo último que se caracteriza al igual que procesos que tienen datos de salida que son datos de entrada de otro proceso se caracterizan primero._x000D_
[OBS292]Toda tarea, actividad: proceso, subproceso, gateway, evento tiene que empezar con un verbo infinitivo. (-ar, -er, -ir)._x000D_
[OBS293]"No faltan actividades" no es un dato. Actividad 1 y 2._x000D_
[OBS294]Los datos de entrada y salida de las actividades 8 y 9 no tienen relación con los datos de la actividad 4._x000D_
[OBS295]En la descripción de la actividad 8, me parece que el "informado" debe cambiar._x000D_
[OBS296]En la descripción de la actividad 9, no se necesita la segunda coma._x000D_
</t>
  </si>
  <si>
    <t xml:space="preserve">[OBS297]El nombre de un proceso debe comenzar con un verbo en infinitivo, solo los nombres de los Macroprocesos no cumplen con esa regla._x000D_
[OBS298]Estandarizar los documentos, los títulos, las leyendas como :"Definición del Macroproceso:”, "Diagrama de Proceso" y "Caracterización del proceso"_x000D_
[OBS299]Es una buena práctica caracterizar según el flujo total, no solo del principal. El fin debería ser lo último que se caracteriza al igual que procesos que tienen datos de salida que son datos de entrada de otro proceso se caracterizan primero._x000D_
[OBS300]Toda tarea, actividad: proceso, subproceso, gateway, evento tiene que empezar con un verbo infinitivo. (-ar, -er, -ir)._x000D_
[OBS301]El evento inicio no tiene descripción._x000D_
[OBS302]En la descripción de la actividad 3 hay un error ortográfico, para este caso la o no lleva tilde._x000D_
</t>
  </si>
  <si>
    <t>Se modificaron los nombres de las actividades y procesos relacionados.</t>
  </si>
  <si>
    <t>Se modificó el nombre del proceso a "Elaborar Plan Operativo Institucional"</t>
  </si>
  <si>
    <t>Se modificó el nombre del proceso a "Planificar Actividades del Departamento de Proyectos"</t>
  </si>
  <si>
    <t>La salida se agregó como entrada de la actividad 2.</t>
  </si>
  <si>
    <t>Se considerará tanto como entrada y salida, pues proviene del proceso de apoyo "Realizar Visita a Institución" y es necesaria para evaluar la decisión del donante.</t>
  </si>
  <si>
    <t>Se eliminó como entrada de la actividad 8.</t>
  </si>
  <si>
    <t>Se agregó la salida de la actividad 8 como entrada de la actividad 10.</t>
  </si>
  <si>
    <t>Se agregaron las descripciones correspondientes.</t>
  </si>
  <si>
    <t>Se modificó el nombre del proceso a "Recibir Donaciones"</t>
  </si>
  <si>
    <t>Se modificó el nombre del proceso a "Emitir Cartas"</t>
  </si>
  <si>
    <t>Se modificó el nombre del proceso a "Emitir y Declarar Certificados de Donaciones"</t>
  </si>
  <si>
    <t>Se modificó el formato correspondiente.</t>
  </si>
  <si>
    <t>Se arregló el error de tipeo.</t>
  </si>
  <si>
    <t>Se corrigió el error de redacción.</t>
  </si>
  <si>
    <t>Se eliminaron las leyendas, pues éstas son incluidas cuando la definición es integrada a la memoria del Proyecto.</t>
  </si>
  <si>
    <t>Se modificaron los nombres de los procesos pertenecientes a este macroproceso.</t>
  </si>
  <si>
    <t>Se agregaron los marcos correspondientes</t>
  </si>
  <si>
    <t>Se realizó el cambio correspondiente.</t>
  </si>
  <si>
    <t>Se agregó la salida de la Actividad 7 como entrada de la Actividad 4.</t>
  </si>
  <si>
    <t>Se agregó la entrada de la actividad 11 como salida de la actividad 2.</t>
  </si>
  <si>
    <t>Se modificó el nombre del proceso a "Ejecutar Proyectos".</t>
  </si>
  <si>
    <t>Se modificó el error de tipeo.</t>
  </si>
  <si>
    <t>Se modificaron los nombres de los procesos y actividades.</t>
  </si>
  <si>
    <t>Se agregaron las entradas correspondientes.</t>
  </si>
  <si>
    <t>Se modificaron las salidas de la actividad 20.</t>
  </si>
  <si>
    <t>Se modificaron las salidas de la actividad 21.</t>
  </si>
  <si>
    <t>Se modificó el orden de las actividades.</t>
  </si>
  <si>
    <t>Se consideró la recomendación.</t>
  </si>
  <si>
    <t>Se agregaron las salidas y entradas de las actividades mencionadas</t>
  </si>
  <si>
    <t>Se modificaron los nombres de los procesos.</t>
  </si>
  <si>
    <t>Se redactó la descripción del inicio.</t>
  </si>
  <si>
    <t>Se cambiaron los nombres de los procesos.</t>
  </si>
  <si>
    <t>Se estandarizó la fuente.</t>
  </si>
  <si>
    <t>Se agregó la leyenda.</t>
  </si>
  <si>
    <t>Se corrigió la ambigüedad.</t>
  </si>
  <si>
    <t>Se corrigió lo señalado.</t>
  </si>
  <si>
    <t>No existe un conector de más.</t>
  </si>
  <si>
    <t>Se agregó la salida.</t>
  </si>
  <si>
    <t>Se agregó y la entrada respectiva.</t>
  </si>
  <si>
    <t>Se completó la descripción.</t>
  </si>
  <si>
    <t>Se agregó la entrada señalada.</t>
  </si>
  <si>
    <t>Se cambió la numeración de las actividades.</t>
  </si>
  <si>
    <t>Se agregó un conector de la actividad Preparar Capacitación a la actividad Dictar Capacitación.</t>
  </si>
  <si>
    <t>Se cambiaron los nombres de los procesos y la actividades.</t>
  </si>
  <si>
    <t>Se corrigió el formato.</t>
  </si>
  <si>
    <t>Se agregó la entrada "Invitación a Capacitación"  en la activdad "Confirmar Asistencia".</t>
  </si>
  <si>
    <t>Se cambió el nombre a los procesos y actividades.</t>
  </si>
  <si>
    <t>Se cambió de nombre a los procesos.</t>
  </si>
  <si>
    <t>Formato distinto, empezando con enumeración y el título en minúscula.</t>
  </si>
  <si>
    <t>Si existe un dato que se esté comunicando entre la actividad 3 y 4, entonces también debería tener un conector.</t>
  </si>
  <si>
    <t>Hay un gruión e mas en la salida de la actividad 1.</t>
  </si>
  <si>
    <t>El dato "Fecha de inicio de año" de la actividad 1 y 3, es muy abierto, podría entenderse como 1ero de enero, puede ser inicio del año escolar, del año contable, etc.</t>
  </si>
  <si>
    <t>En la descripción de la actividad 3, "divida" está fuera de contexto.</t>
  </si>
  <si>
    <t>Falta el dato de entrada "Presupuesto institucional por rubro contable y financiamiento" en la actividad 4.</t>
  </si>
  <si>
    <t>Falta un guión en las salidas de la actividad 4.</t>
  </si>
  <si>
    <t>No se entiende la última parte de la descripción de la actividad 6, hay errores de grámatica y de tipeo. Desde "Finalmente …"</t>
  </si>
  <si>
    <t>Falta una de las salidas de la actividad 4 en las entradas del fin.</t>
  </si>
  <si>
    <t>Existe diferente tipo de fuente en el documento.</t>
  </si>
  <si>
    <t>Considerar la actividad de compensación que se llama en la actividad 5.4. La actividad de compensación indica el rolling back del flujo. Para este caso, cancela el proceso 5.</t>
  </si>
  <si>
    <t>El inicio no debería tener actividades de entrada.</t>
  </si>
  <si>
    <t>Toda tarea, actividad: proceso, subproceso, gateway, evento tiene que empezar con un verbo infinitivo. (-ar, -er, -ir). Procesos 9 y 10.</t>
  </si>
  <si>
    <t>Los datos de salida "Fuentes de financiamiento asignadas para pago de personal" y "Plan Operativo Anual Actualizado" de la actividad 6 no son entrada de la siguiente actividad.</t>
  </si>
  <si>
    <t>Hay una fila innecesaria al final de la caracterización.</t>
  </si>
  <si>
    <t>Toda tarea, actividad: proceso, subproceso, gateway, evento tiene que empezar con un verbo infinitivo. (-ar, -er, -ir): Proceso 3 y Gateway 6.</t>
  </si>
  <si>
    <t>Es una buena práctica caracterizar según el flujo total, no solo del principal. Los procesos que tienen datos de salida que son datos de entrada de otro proceso se caracterizan primero.</t>
  </si>
  <si>
    <t>Diferencia de formato en el cuadro de caracterización.</t>
  </si>
  <si>
    <t>Las salidas de la actividad 6 no son datos de salida.</t>
  </si>
  <si>
    <t xml:space="preserve">[OBS303]Formato distinto, empezando con enumeración y el título en minúscula._x000D_
[OBS304]Toda tarea, actividad: proceso, subproceso, gateway, evento tiene que empezar con un verbo infinitivo. (-ar, -er, -ir)._x000D_
[OBS305]Si existe un dato que se esté comunicando entre la actividad 3 y 4, entonces también debería tener un conector._x000D_
[OBS306]Hay un gruión e mas en la salida de la actividad 1._x000D_
[OBS307]El dato "Fecha de inicio de año" de la actividad 1 y 3, es muy abierto, podría entenderse como 1ero de enero, puede ser inicio del año escolar, del año contable, etc._x000D_
[OBS308]En la descripción de la actividad 3, "divida" está fuera de contexto._x000D_
[OBS309]Falta el dato de entrada "Presupuesto institucional por rubro contable y financiamiento" en la actividad 4._x000D_
[OBS310]Falta un guión en las salidas de la actividad 4._x000D_
[OBS311]No se entiende la última parte de la descripción de la actividad 6, hay errores de grámatica y de tipeo. Desde "Finalmente …"_x000D_
[OBS312]Falta una de las salidas de la actividad 4 en las entradas del fin._x000D_
</t>
  </si>
  <si>
    <t xml:space="preserve">[OBS313]El nombre de un proceso debe comenzar con un verbo en infinitivo, solo los nombres de los Macroprocesos no cumplen con esa regla._x000D_
[OBS314]Existe diferente tipo de fuente en el documento._x000D_
[OBS315]Toda tarea, actividad: proceso, subproceso, gateway, evento tiene que empezar con un verbo infinitivo. (-ar, -er, -ir). Procesos 9 y 10._x000D_
[OBS316]Es una buena práctica caracterizar según el flujo total, no solo del principal. Los procesos que tienen datos de salida que son datos de entrada de otro proceso se caracterizan primero._x000D_
[OBS317]Considerar la actividad de compensación que se llama en la actividad 5.4. La actividad de compensación indica el rolling back del flujo. Para este caso, cancela el proceso 5._x000D_
[OBS318]El inicio no debería tener actividades de entrada._x000D_
[OBS319]En la descripción de la actividad 2.8 hay un ":" de mas._x000D_
[OBS320]Los datos de salida "Fuentes de financiamiento asignadas para pago de personal" y "Plan Operativo Anual Actualizado" de la actividad 6 no son entrada de la siguiente actividad._x000D_
[OBS321]Hay una fila innecesaria al final de la caracterización._x000D_
</t>
  </si>
  <si>
    <t xml:space="preserve">[OBS322]El nombre de un proceso debe comenzar con un verbo en infinitivo, solo los nombres de los Macroprocesos no cumplen con esa regla._x000D_
[OBS323]Existe diferente tipo de fuente en el documento._x000D_
[OBS324]Toda tarea, actividad: proceso, subproceso, gateway, evento tiene que empezar con un verbo infinitivo. (-ar, -er, -ir): Proceso 3 y Gateway 6._x000D_
[OBS325]Diferencia de formato en el cuadro de caracterización._x000D_
[OBS326]Las salidas de la actividad 6 no son datos de salida._x000D_
</t>
  </si>
  <si>
    <t>El nombre de la actividad 3 tiene un error de tipeo.</t>
  </si>
  <si>
    <t>El conector entre las actividades y el evento enlace, vínculo o link, al estar en el mismo pool deberían ser de flujo de secuencia.</t>
  </si>
  <si>
    <t xml:space="preserve">En la actividad 3, "Decisión luego de visita", solo debería ser dato de entrada, ya que en esa actividad lo que se hace es coordinar la entrevista. </t>
  </si>
  <si>
    <t>Error de formato en la desccripción de la actividad 3.</t>
  </si>
  <si>
    <t xml:space="preserve">No me queda claro la necesidad del Fin 3.1, ya que si se da, finalizaría la actividad 4, asi esta no se haya terminado. Por otro lado, si hay un fin, debería haber un inicio. </t>
  </si>
  <si>
    <t xml:space="preserve">El dato "Informe Financiero" de la actividad 3 y 3.1 no se usa más. </t>
  </si>
  <si>
    <t xml:space="preserve">[OBS327]El inicio no debería tener actividades de entrada._x000D_
[OBS328]El nombre de la actividad 3 tiene un error de tipeo._x000D_
</t>
  </si>
  <si>
    <t>Se modificaron las entradas y salidas de la actividad mencionada.</t>
  </si>
  <si>
    <t>Se agregó la actividad "Acompañar a Donante"</t>
  </si>
  <si>
    <t>Error de formato corregido.</t>
  </si>
  <si>
    <t>Error de tipeo en el diagrama con la actividad 9, "all".</t>
  </si>
  <si>
    <t>En la salida del inicio, faltó modificar "No faltan actividades".</t>
  </si>
  <si>
    <t>Como dato de entrada no se menciona el dato de salida de la actividad 7 "Informe Final", mientras que "Solicitud de realización de auditoría" no concuerda con el flujo.</t>
  </si>
  <si>
    <t>El nombre del evento 9 en el diagrama es distinto al de la caracterización.</t>
  </si>
  <si>
    <t xml:space="preserve">[OBS334]Error de tipeo en el diagrama con la actividad 9, "all"._x000D_
[OBS335]En la salida del inicio, faltó modificar "No faltan actividades"._x000D_
</t>
  </si>
  <si>
    <t xml:space="preserve">[OBS336]El inicio no debería tener actividades de entrada._x000D_
</t>
  </si>
  <si>
    <t xml:space="preserve">[OBS338]El nombre del evento 9 en el diagrama es distinto al de la caracterización._x000D_
</t>
  </si>
  <si>
    <t>Formato uniformizado.</t>
  </si>
  <si>
    <t>Conector añadido.</t>
  </si>
  <si>
    <t>Se eliminó el guión adicional.</t>
  </si>
  <si>
    <t>Se  modificaron dichas entradas.</t>
  </si>
  <si>
    <t>Se agregó como entrada de la actividad 4.</t>
  </si>
  <si>
    <t>Guión añadido.</t>
  </si>
  <si>
    <t>El nombre del proceso se modificó a "Planificar Presupuesto Institucional Anual"</t>
  </si>
  <si>
    <t>Fuente uniformizada.</t>
  </si>
  <si>
    <t>Nombres de procesos y actividades modificados.</t>
  </si>
  <si>
    <t>Se elimina actividad de compensación.</t>
  </si>
  <si>
    <t>Se eliminaron las entradas del inicio.</t>
  </si>
  <si>
    <t>Se elimnó el ":" de más.</t>
  </si>
  <si>
    <t>Se corrigieron las entradas y salidas correspondientes.</t>
  </si>
  <si>
    <t>Se eliminó la fila correspondiente.</t>
  </si>
  <si>
    <t>Se modificó el nombre del proceso a "Realizar Seguimiento Presupuestal"</t>
  </si>
  <si>
    <t>Se unificó el formato de la caracterización</t>
  </si>
  <si>
    <t>Se cambiaron las entradas de la actividad.</t>
  </si>
  <si>
    <t>En la descripción de la actividad 5.8 hay un ":" de mas.</t>
  </si>
  <si>
    <t>Respecto a la observación OBS329, me refería a los conectores de los procesos 15, 19, 20 y 21 con su respectivo link.</t>
  </si>
  <si>
    <t>Existe un guión de mas en la entrada de la actividad 3.</t>
  </si>
  <si>
    <t>La tercera hoja está en blanco, es innecesaria.</t>
  </si>
  <si>
    <t>A lo que me refería en la OBS271, es que entre dos procesos no es necesario poner mas de dos conectores de entrada o salida. En este caso hay dos conectores de la actividad 9 hacia la actividad 4. Son subprocesos, con 1 es suficiente, el resto se explica en la caracterización.</t>
  </si>
  <si>
    <t xml:space="preserve">[OBS339]Respecto a la observación OBS329, me refería a los conectores de los procesos 15, 19, 20 y 21 con su respectivo link._x000D_
</t>
  </si>
  <si>
    <t xml:space="preserve">[OBS340]Existe un guión de mas en la entrada de la actividad 3._x000D_
</t>
  </si>
  <si>
    <t xml:space="preserve">[OBS341]La tercera hoja está en blanco, es innecesaria._x000D_
</t>
  </si>
  <si>
    <t xml:space="preserve">[OBS337]A lo que me refería en la OBS271, es que entre dos procesos no es necesario poner mas de dos conectores de entrada o salida. En este caso hay dos conectores de la actividad 9 hacia la actividad 4. Son subprocesos, con 1 es suficiente, el resto se explica en la caracterización._x000D_
</t>
  </si>
  <si>
    <t xml:space="preserve"> El flujo principal debe estar en el pool principal y no ser dependiente de los colaboradores. Los pools colaboradores son cajas negras. Debe existir un conector entre la actividad 2 y 6 y entre la actividad 10 y 12.</t>
  </si>
  <si>
    <t>Toda tarea, actividad: proceso, subproceso, gateway, evento tiene que empezar con un verbo infinitivo. (-ar, -er, -ir). Gateway 2.</t>
  </si>
  <si>
    <t>OBS360</t>
  </si>
  <si>
    <t>OBS361</t>
  </si>
  <si>
    <t>OBS362</t>
  </si>
  <si>
    <t>OBS363</t>
  </si>
  <si>
    <t>OBS364</t>
  </si>
  <si>
    <t>OBS365</t>
  </si>
  <si>
    <t>OBS366</t>
  </si>
  <si>
    <t>OBS367</t>
  </si>
  <si>
    <t>OBS368</t>
  </si>
  <si>
    <t>OBS369</t>
  </si>
  <si>
    <t>OBS370</t>
  </si>
  <si>
    <t xml:space="preserve"> El flujo principal debe estar en el pool principal y no ser dependiente de los colaboradores. Los pools colaboradores son cajas negras. Debe existir un conector entre las actividades 4, 5 y 6 con la 10.</t>
  </si>
  <si>
    <t>Toda tarea, actividad: proceso, subproceso, gateway, evento tiene que empezar con un verbo infinitivo. (-ar, -er, -ir). Subprocesos 3.3 y 3.13.</t>
  </si>
  <si>
    <t>El inicio y el fin deben estar en el pool principal.</t>
  </si>
  <si>
    <t>Los conectores que interactúan con las actividades 13 y 15 no es el correcto, debe ser de flujo de mensaje.</t>
  </si>
  <si>
    <t>Los conectores que interactúan con las actividades 7, 8, 9 no son los correctos, debe ser un flujo de mensaje.</t>
  </si>
  <si>
    <t>El inicio debe estar en el flujo principal.</t>
  </si>
  <si>
    <t>Los conectores que interactúan con los procesos externos 3, 7, 13 y 14 no son los correctos, deben ser Flujo de mensaje.</t>
  </si>
  <si>
    <t xml:space="preserve"> El flujo principal debe estar en el pool principal y no ser dependiente de los colaboradores. Los pools colaboradores son cajas negras. Debe existir un conector entre las actividades 12 y 15. Tenerlo en cuenta cuando se modifique el principio del proceso también.</t>
  </si>
  <si>
    <t>El conector que interactúan con el proceso externo 3 no es el correcto, debe ser Flujo de mensaje.</t>
  </si>
  <si>
    <t xml:space="preserve">[OBS342]Toda tarea, actividad: proceso, subproceso, gateway, evento tiene que empezar con un verbo infinitivo. (-ar, -er, -ir)._x000D_
</t>
  </si>
  <si>
    <t xml:space="preserve">[OBS343]El nombre de un proceso debe comenzar con un verbo en infinitivo, solo los nombres de los Macroprocesos no cumplen con esa regla._x000D_
</t>
  </si>
  <si>
    <t xml:space="preserve">[OBS344]Toda tarea, actividad: proceso, subproceso, gateway, evento tiene que empezar con un verbo infinitivo. (-ar, -er, -ir)._x000D_
[OBS345] El flujo principal debe estar en el pool principal y no ser dependiente de los colaboradores. Los pools colaboradores son cajas negras. Debe existir un conector entre la actividad 2 y 6 y entre la actividad 10 y 12._x000D_
[OBS346]El Fin debe estar en el pool principal._x000D_
</t>
  </si>
  <si>
    <t xml:space="preserve">[OBS347]El nombre de un proceso debe comenzar con un verbo en infinitivo, solo los nombres de los Macroprocesos no cumplen con esa regla._x000D_
[OBS348]Toda tarea, actividad: proceso, subproceso, gateway, evento tiene que empezar con un verbo infinitivo. (-ar, -er, -ir). Gateway 2._x000D_
</t>
  </si>
  <si>
    <t xml:space="preserve">[OBS349]El nombre de un proceso debe comenzar con un verbo en infinitivo, solo los nombres de los Macroprocesos no cumplen con esa regla._x000D_
</t>
  </si>
  <si>
    <t xml:space="preserve">[OBS350]El nombre de un proceso debe comenzar con un verbo en infinitivo, solo los nombres de los Macroprocesos no cumplen con esa regla._x000D_
[OBS351]Los conectores que interactúan con las actividades 7, 8, 9 no son los correctos, debe ser un flujo de mensaje._x000D_
[OBS352] El flujo principal debe estar en el pool principal y no ser dependiente de los colaboradores. Los pools colaboradores son cajas negras. Debe existir un conector entre las actividades 4, 5 y 6 con la 10._x000D_
</t>
  </si>
  <si>
    <t xml:space="preserve">[OBS353]El nombre de un proceso debe comenzar con un verbo en infinitivo, solo los nombres de los Macroprocesos no cumplen con esa regla._x000D_
</t>
  </si>
  <si>
    <t xml:space="preserve">[OBS354]El nombre de un proceso debe comenzar con un verbo en infinitivo, solo los nombres de los Macroprocesos no cumplen con esa regla._x000D_
</t>
  </si>
  <si>
    <t xml:space="preserve">[OBS355]El nombre de un proceso debe comenzar con un verbo en infinitivo, solo los nombres de los Macroprocesos no cumplen con esa regla._x000D_
</t>
  </si>
  <si>
    <t xml:space="preserve">[OBS356]El nombre de un proceso debe comenzar con un verbo en infinitivo, solo los nombres de los Macroprocesos no cumplen con esa regla._x000D_
</t>
  </si>
  <si>
    <t xml:space="preserve">[OBS357]Toda tarea, actividad: proceso, subproceso, gateway, evento tiene que empezar con un verbo infinitivo. (-ar, -er, -ir)._x000D_
</t>
  </si>
  <si>
    <t xml:space="preserve">[OBS358]El nombre de un proceso debe comenzar con un verbo en infinitivo, solo los nombres de los Macroprocesos no cumplen con esa regla._x000D_
[OBS359]Toda tarea, actividad: proceso, subproceso, gateway, evento tiene que empezar con un verbo infinitivo. (-ar, -er, -ir). Subprocesos 3.3 y 3.13._x000D_
</t>
  </si>
  <si>
    <t xml:space="preserve">[OBS360]El nombre de un proceso debe comenzar con un verbo en infinitivo, solo los nombres de los Macroprocesos no cumplen con esa regla._x000D_
[OBS361]El inicio y el fin deben estar en el pool principal._x000D_
[OBS362]Los conectores que interactúan con las actividades 13 y 15 no es el correcto, debe ser de flujo de mensaje._x000D_
</t>
  </si>
  <si>
    <t xml:space="preserve">[OBS363]El nombre de un proceso debe comenzar con un verbo en infinitivo, solo los nombres de los Macroprocesos no cumplen con esa regla._x000D_
[OBS364]El inicio debe estar en el flujo principal._x000D_
[OBS365]Los conectores que interactúan con los procesos externos 3, 7, 13 y 14 no son los correctos, deben ser Flujo de mensaje._x000D_
[OBS366] El flujo principal debe estar en el pool principal y no ser dependiente de los colaboradores. Los pools colaboradores son cajas negras. Debe existir un conector entre las actividades 12 y 15. Tenerlo en cuenta cuando se modifique el principio del proceso también._x000D_
</t>
  </si>
  <si>
    <t xml:space="preserve">[OBS367]El nombre de un proceso debe comenzar con un verbo en infinitivo, solo los nombres de los Macroprocesos no cumplen con esa regla._x000D_
[OBS368]El inicio debe estar en el flujo principal._x000D_
[OBS369]El conector que interactúan con el proceso externo 3 no es el correcto, debe ser Flujo de mensaje._x000D_
</t>
  </si>
  <si>
    <t>Arquitectura de Procesos</t>
  </si>
  <si>
    <t>El Fin ha sido reubicado.</t>
  </si>
  <si>
    <t>Se modificó el nombre del proceso a "Despedir o Ejecutar Retiro del Personal"</t>
  </si>
  <si>
    <t>Se modificó el nombre del proceso a "Capacitar al Personal".</t>
  </si>
  <si>
    <t>El nombre del proceso se modificó a "Evaluar Postulantes".</t>
  </si>
  <si>
    <t>Se modificó el nombre del proceso a "Reclutar Postulantes".</t>
  </si>
  <si>
    <t>Se modificó el nombre del proceso a "Rendir Gastos de Viaje".</t>
  </si>
  <si>
    <t>Se modificó el nombre del proceso a "Realizar Seguimiento del Personal".</t>
  </si>
  <si>
    <t>Se modificó el nombre del proceso a "Solicitar Fondos de Viaje".</t>
  </si>
  <si>
    <t>Se modificó el nombre del proceso a "Solicitar Personal".</t>
  </si>
  <si>
    <t>Se modificó la salida mencionada.</t>
  </si>
  <si>
    <t>Se modificaron las entradas y salidas del proceso.</t>
  </si>
  <si>
    <t>Se eliminó la hoja adicional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</si>
</sst>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7">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9"/>
      <color theme="1"/>
      <name val="Times New Roman"/>
      <family val="1"/>
    </font>
    <font>
      <sz val="11"/>
      <color rgb="FF000000"/>
      <name val="Calibri"/>
      <family val="2"/>
      <scheme val="minor"/>
    </font>
    <font>
      <b/>
      <sz val="11"/>
      <color rgb="FF000000"/>
      <name val="Calibri"/>
      <family val="2"/>
      <scheme val="minor"/>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0" fillId="0" borderId="0" xfId="0" applyFont="1" applyBorder="1" applyAlignment="1">
      <alignment vertical="center" wrapText="1"/>
    </xf>
    <xf numFmtId="0" fontId="0" fillId="0" borderId="0" xfId="0" applyBorder="1" applyAlignment="1">
      <alignment vertical="center" wrapText="1"/>
    </xf>
    <xf numFmtId="0" fontId="40" fillId="0" borderId="0" xfId="0" applyNumberFormat="1" applyFont="1" applyBorder="1" applyAlignment="1" applyProtection="1">
      <alignment vertical="center" wrapText="1"/>
    </xf>
    <xf numFmtId="0" fontId="40" fillId="0" borderId="0" xfId="0" applyNumberFormat="1" applyFont="1" applyBorder="1" applyAlignment="1">
      <alignment vertical="center" wrapText="1"/>
    </xf>
    <xf numFmtId="14" fontId="40" fillId="0" borderId="0" xfId="0" applyNumberFormat="1" applyFon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xf numFmtId="0" fontId="0" fillId="0" borderId="0" xfId="0" applyAlignment="1">
      <alignment horizontal="left" vertic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pivotCacheDefinition" Target="pivotCache/pivotCacheDefinition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609"/>
          <c:y val="0.20151813899974841"/>
          <c:w val="0.50142494135134519"/>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0.3611111111111111</c:v>
                </c:pt>
                <c:pt idx="1">
                  <c:v>0.61111111111111116</c:v>
                </c:pt>
                <c:pt idx="2">
                  <c:v>0</c:v>
                </c:pt>
                <c:pt idx="3">
                  <c:v>2.7777777777777776E-2</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zero"/>
    <c:showDLblsOverMax val="0"/>
  </c:chart>
  <c:printSettings>
    <c:headerFooter/>
    <c:pageMargins b="0.75000000000000977" l="0.70000000000000062" r="0.70000000000000062" t="0.75000000000000977"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zero"/>
    <c:showDLblsOverMax val="0"/>
  </c:chart>
  <c:printSettings>
    <c:headerFooter/>
    <c:pageMargins b="0.75000000000000977" l="0.70000000000000062" r="0.70000000000000062" t="0.75000000000000977"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HistoricoAvance!$C$4:$C$13</c:f>
              <c:numCache>
                <c:formatCode>0</c:formatCode>
                <c:ptCount val="10"/>
                <c:pt idx="0">
                  <c:v>0</c:v>
                </c:pt>
                <c:pt idx="1">
                  <c:v>0</c:v>
                </c:pt>
                <c:pt idx="2">
                  <c:v>5</c:v>
                </c:pt>
                <c:pt idx="3">
                  <c:v>14</c:v>
                </c:pt>
                <c:pt idx="4">
                  <c:v>15</c:v>
                </c:pt>
                <c:pt idx="5">
                  <c:v>15</c:v>
                </c:pt>
                <c:pt idx="6">
                  <c:v>15</c:v>
                </c:pt>
                <c:pt idx="7">
                  <c:v>16</c:v>
                </c:pt>
                <c:pt idx="8">
                  <c:v>15</c:v>
                </c:pt>
                <c:pt idx="9">
                  <c:v>13</c:v>
                </c:pt>
              </c:numCache>
            </c:numRef>
          </c:val>
          <c:smooth val="0"/>
        </c:ser>
        <c:ser>
          <c:idx val="1"/>
          <c:order val="1"/>
          <c:tx>
            <c:strRef>
              <c:f>HistoricoAvance!$D$3</c:f>
              <c:strCache>
                <c:ptCount val="1"/>
                <c:pt idx="0">
                  <c:v>Fallos</c:v>
                </c:pt>
              </c:strCache>
            </c:strRef>
          </c:tx>
          <c:spPr>
            <a:ln w="50800"/>
          </c:spPr>
          <c:cat>
            <c:numRef>
              <c:f>HistoricoAvance!$B$4:$B$13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HistoricoAvance!$D$4:$D$13</c:f>
              <c:numCache>
                <c:formatCode>0</c:formatCode>
                <c:ptCount val="10"/>
                <c:pt idx="0">
                  <c:v>10</c:v>
                </c:pt>
                <c:pt idx="1">
                  <c:v>15</c:v>
                </c:pt>
                <c:pt idx="2">
                  <c:v>10</c:v>
                </c:pt>
                <c:pt idx="3">
                  <c:v>1</c:v>
                </c:pt>
                <c:pt idx="4">
                  <c:v>10</c:v>
                </c:pt>
                <c:pt idx="5">
                  <c:v>10</c:v>
                </c:pt>
                <c:pt idx="6">
                  <c:v>20</c:v>
                </c:pt>
                <c:pt idx="7">
                  <c:v>19</c:v>
                </c:pt>
                <c:pt idx="8">
                  <c:v>20</c:v>
                </c:pt>
                <c:pt idx="9">
                  <c:v>22</c:v>
                </c:pt>
              </c:numCache>
            </c:numRef>
          </c:val>
          <c:smooth val="0"/>
        </c:ser>
        <c:ser>
          <c:idx val="2"/>
          <c:order val="2"/>
          <c:tx>
            <c:strRef>
              <c:f>HistoricoAvance!$E$3</c:f>
              <c:strCache>
                <c:ptCount val="1"/>
                <c:pt idx="0">
                  <c:v>Bloqueado</c:v>
                </c:pt>
              </c:strCache>
            </c:strRef>
          </c:tx>
          <c:cat>
            <c:numRef>
              <c:f>HistoricoAvance!$B$4:$B$13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HistoricoAvance!$E$4:$E$13</c:f>
              <c:numCache>
                <c:formatCode>0</c:formatCode>
                <c:ptCount val="10"/>
                <c:pt idx="0">
                  <c:v>0</c:v>
                </c:pt>
                <c:pt idx="1">
                  <c:v>0</c:v>
                </c:pt>
                <c:pt idx="2">
                  <c:v>0</c:v>
                </c:pt>
                <c:pt idx="3">
                  <c:v>0</c:v>
                </c:pt>
                <c:pt idx="4">
                  <c:v>0</c:v>
                </c:pt>
                <c:pt idx="5">
                  <c:v>0</c:v>
                </c:pt>
                <c:pt idx="6">
                  <c:v>0</c:v>
                </c:pt>
                <c:pt idx="7">
                  <c:v>0</c:v>
                </c:pt>
                <c:pt idx="8">
                  <c:v>0</c:v>
                </c:pt>
                <c:pt idx="9">
                  <c:v>0</c:v>
                </c:pt>
              </c:numCache>
            </c:numRef>
          </c:val>
          <c:smooth val="0"/>
        </c:ser>
        <c:ser>
          <c:idx val="3"/>
          <c:order val="3"/>
          <c:tx>
            <c:strRef>
              <c:f>HistoricoAvance!$F$3</c:f>
              <c:strCache>
                <c:ptCount val="1"/>
                <c:pt idx="0">
                  <c:v>Pendiente</c:v>
                </c:pt>
              </c:strCache>
            </c:strRef>
          </c:tx>
          <c:cat>
            <c:numRef>
              <c:f>HistoricoAvance!$B$4:$B$13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HistoricoAvance!$F$4:$F$13</c:f>
              <c:numCache>
                <c:formatCode>0</c:formatCode>
                <c:ptCount val="10"/>
                <c:pt idx="0">
                  <c:v>0</c:v>
                </c:pt>
                <c:pt idx="1">
                  <c:v>0</c:v>
                </c:pt>
                <c:pt idx="2">
                  <c:v>0</c:v>
                </c:pt>
                <c:pt idx="3">
                  <c:v>0</c:v>
                </c:pt>
                <c:pt idx="4">
                  <c:v>0</c:v>
                </c:pt>
                <c:pt idx="5">
                  <c:v>0</c:v>
                </c:pt>
                <c:pt idx="6">
                  <c:v>0</c:v>
                </c:pt>
                <c:pt idx="7">
                  <c:v>0</c:v>
                </c:pt>
                <c:pt idx="8">
                  <c:v>0</c:v>
                </c:pt>
                <c:pt idx="9">
                  <c:v>1</c:v>
                </c:pt>
              </c:numCache>
            </c:numRef>
          </c:val>
          <c:smooth val="0"/>
        </c:ser>
        <c:ser>
          <c:idx val="4"/>
          <c:order val="4"/>
          <c:tx>
            <c:strRef>
              <c:f>HistoricoAvance!$G$3</c:f>
              <c:strCache>
                <c:ptCount val="1"/>
                <c:pt idx="0">
                  <c:v>No Aplica</c:v>
                </c:pt>
              </c:strCache>
            </c:strRef>
          </c:tx>
          <c:cat>
            <c:numRef>
              <c:f>HistoricoAvance!$B$4:$B$13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HistoricoAvance!$G$4:$G$13</c:f>
              <c:numCache>
                <c:formatCode>0</c:formatCode>
                <c:ptCount val="10"/>
                <c:pt idx="0">
                  <c:v>0</c:v>
                </c:pt>
                <c:pt idx="1">
                  <c:v>0</c:v>
                </c:pt>
                <c:pt idx="2">
                  <c:v>0</c:v>
                </c:pt>
                <c:pt idx="3">
                  <c:v>0</c:v>
                </c:pt>
                <c:pt idx="4">
                  <c:v>0</c:v>
                </c:pt>
                <c:pt idx="5">
                  <c:v>0</c:v>
                </c:pt>
                <c:pt idx="6">
                  <c:v>0</c:v>
                </c:pt>
                <c:pt idx="7">
                  <c:v>0</c:v>
                </c:pt>
                <c:pt idx="8">
                  <c:v>0</c:v>
                </c:pt>
                <c:pt idx="9">
                  <c:v>0</c:v>
                </c:pt>
              </c:numCache>
            </c:numRef>
          </c:val>
          <c:smooth val="0"/>
        </c:ser>
        <c:ser>
          <c:idx val="5"/>
          <c:order val="5"/>
          <c:tx>
            <c:strRef>
              <c:f>HistoricoAvance!$H$3</c:f>
              <c:strCache>
                <c:ptCount val="1"/>
                <c:pt idx="0">
                  <c:v>En Proceso</c:v>
                </c:pt>
              </c:strCache>
            </c:strRef>
          </c:tx>
          <c:cat>
            <c:numRef>
              <c:f>HistoricoAvance!$B$4:$B$13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HistoricoAvance!$H$4:$H$13</c:f>
              <c:numCache>
                <c:formatCode>0</c:formatCode>
                <c:ptCount val="10"/>
                <c:pt idx="0">
                  <c:v>0</c:v>
                </c:pt>
                <c:pt idx="1">
                  <c:v>0</c:v>
                </c:pt>
                <c:pt idx="2">
                  <c:v>0</c:v>
                </c:pt>
                <c:pt idx="3">
                  <c:v>0</c:v>
                </c:pt>
                <c:pt idx="4">
                  <c:v>0</c:v>
                </c:pt>
                <c:pt idx="5">
                  <c:v>0</c:v>
                </c:pt>
                <c:pt idx="6">
                  <c:v>0</c:v>
                </c:pt>
                <c:pt idx="7">
                  <c:v>0</c:v>
                </c:pt>
                <c:pt idx="8">
                  <c:v>0</c:v>
                </c:pt>
                <c:pt idx="9">
                  <c:v>0</c:v>
                </c:pt>
              </c:numCache>
            </c:numRef>
          </c:val>
          <c:smooth val="0"/>
        </c:ser>
        <c:ser>
          <c:idx val="6"/>
          <c:order val="6"/>
          <c:tx>
            <c:strRef>
              <c:f>HistoricoAvance!$I$3</c:f>
              <c:strCache>
                <c:ptCount val="1"/>
                <c:pt idx="0">
                  <c:v>Reejecuciones</c:v>
                </c:pt>
              </c:strCache>
            </c:strRef>
          </c:tx>
          <c:cat>
            <c:numRef>
              <c:f>HistoricoAvance!$B$4:$B$13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HistoricoAvance!$I$4:$I$13</c:f>
              <c:numCache>
                <c:formatCode>0</c:formatCode>
                <c:ptCount val="10"/>
                <c:pt idx="0">
                  <c:v>0</c:v>
                </c:pt>
                <c:pt idx="1">
                  <c:v>0</c:v>
                </c:pt>
                <c:pt idx="2">
                  <c:v>0</c:v>
                </c:pt>
                <c:pt idx="3">
                  <c:v>0</c:v>
                </c:pt>
                <c:pt idx="4">
                  <c:v>0</c:v>
                </c:pt>
                <c:pt idx="5">
                  <c:v>0</c:v>
                </c:pt>
                <c:pt idx="6">
                  <c:v>0</c:v>
                </c:pt>
                <c:pt idx="7">
                  <c:v>0</c:v>
                </c:pt>
                <c:pt idx="8">
                  <c:v>0</c:v>
                </c:pt>
                <c:pt idx="9">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HistoricoAvance!$J$4:$J$13</c:f>
              <c:numCache>
                <c:formatCode>General</c:formatCode>
                <c:ptCount val="10"/>
                <c:pt idx="0">
                  <c:v>10</c:v>
                </c:pt>
                <c:pt idx="1">
                  <c:v>15</c:v>
                </c:pt>
                <c:pt idx="2">
                  <c:v>15</c:v>
                </c:pt>
                <c:pt idx="3">
                  <c:v>15</c:v>
                </c:pt>
                <c:pt idx="4">
                  <c:v>25</c:v>
                </c:pt>
                <c:pt idx="5">
                  <c:v>25</c:v>
                </c:pt>
                <c:pt idx="6">
                  <c:v>35</c:v>
                </c:pt>
                <c:pt idx="7">
                  <c:v>35</c:v>
                </c:pt>
                <c:pt idx="8">
                  <c:v>35</c:v>
                </c:pt>
                <c:pt idx="9">
                  <c:v>36</c:v>
                </c:pt>
              </c:numCache>
            </c:numRef>
          </c:val>
          <c:smooth val="0"/>
        </c:ser>
        <c:dLbls>
          <c:showLegendKey val="0"/>
          <c:showVal val="0"/>
          <c:showCatName val="0"/>
          <c:showSerName val="0"/>
          <c:showPercent val="0"/>
          <c:showBubbleSize val="0"/>
        </c:dLbls>
        <c:marker val="1"/>
        <c:smooth val="0"/>
        <c:axId val="145672448"/>
        <c:axId val="147922944"/>
      </c:lineChart>
      <c:dateAx>
        <c:axId val="145672448"/>
        <c:scaling>
          <c:orientation val="minMax"/>
        </c:scaling>
        <c:delete val="0"/>
        <c:axPos val="b"/>
        <c:numFmt formatCode="dd/mm/yyyy" sourceLinked="1"/>
        <c:majorTickMark val="out"/>
        <c:minorTickMark val="none"/>
        <c:tickLblPos val="nextTo"/>
        <c:txPr>
          <a:bodyPr/>
          <a:lstStyle/>
          <a:p>
            <a:pPr>
              <a:defRPr lang="es-ES"/>
            </a:pPr>
            <a:endParaRPr lang="es-PE"/>
          </a:p>
        </c:txPr>
        <c:crossAx val="147922944"/>
        <c:crosses val="autoZero"/>
        <c:auto val="1"/>
        <c:lblOffset val="100"/>
        <c:baseTimeUnit val="days"/>
      </c:dateAx>
      <c:valAx>
        <c:axId val="147922944"/>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45672448"/>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977" l="0.70000000000000062" r="0.70000000000000062" t="0.75000000000000977"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HistoricoAvance!$M$4:$M$13</c:f>
              <c:numCache>
                <c:formatCode>0</c:formatCode>
                <c:ptCount val="10"/>
                <c:pt idx="0">
                  <c:v>55</c:v>
                </c:pt>
                <c:pt idx="1">
                  <c:v>101</c:v>
                </c:pt>
                <c:pt idx="2">
                  <c:v>19</c:v>
                </c:pt>
                <c:pt idx="3">
                  <c:v>3</c:v>
                </c:pt>
                <c:pt idx="4">
                  <c:v>92</c:v>
                </c:pt>
                <c:pt idx="5">
                  <c:v>21</c:v>
                </c:pt>
                <c:pt idx="6">
                  <c:v>63</c:v>
                </c:pt>
                <c:pt idx="7">
                  <c:v>87</c:v>
                </c:pt>
                <c:pt idx="8">
                  <c:v>111</c:v>
                </c:pt>
                <c:pt idx="9">
                  <c:v>36</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HistoricoAvance!$N$4:$N$13</c:f>
              <c:numCache>
                <c:formatCode>0</c:formatCode>
                <c:ptCount val="10"/>
                <c:pt idx="0">
                  <c:v>0</c:v>
                </c:pt>
                <c:pt idx="1">
                  <c:v>0</c:v>
                </c:pt>
                <c:pt idx="2">
                  <c:v>101</c:v>
                </c:pt>
                <c:pt idx="3">
                  <c:v>120</c:v>
                </c:pt>
                <c:pt idx="4">
                  <c:v>123</c:v>
                </c:pt>
                <c:pt idx="5">
                  <c:v>215</c:v>
                </c:pt>
                <c:pt idx="6">
                  <c:v>215</c:v>
                </c:pt>
                <c:pt idx="7">
                  <c:v>215</c:v>
                </c:pt>
                <c:pt idx="8">
                  <c:v>215</c:v>
                </c:pt>
                <c:pt idx="9">
                  <c:v>333</c:v>
                </c:pt>
              </c:numCache>
            </c:numRef>
          </c:val>
          <c:smooth val="0"/>
        </c:ser>
        <c:ser>
          <c:idx val="2"/>
          <c:order val="2"/>
          <c:tx>
            <c:strRef>
              <c:f>HistoricoAvance!$O$3</c:f>
              <c:strCache>
                <c:ptCount val="1"/>
                <c:pt idx="0">
                  <c:v>Totales</c:v>
                </c:pt>
              </c:strCache>
            </c:strRef>
          </c:tx>
          <c:cat>
            <c:numRef>
              <c:f>HistoricoAvance!$L$4:$L$13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HistoricoAvance!$O$4:$O$13</c:f>
              <c:numCache>
                <c:formatCode>General</c:formatCode>
                <c:ptCount val="10"/>
                <c:pt idx="0">
                  <c:v>55</c:v>
                </c:pt>
                <c:pt idx="1">
                  <c:v>101</c:v>
                </c:pt>
                <c:pt idx="2">
                  <c:v>120</c:v>
                </c:pt>
                <c:pt idx="3">
                  <c:v>123</c:v>
                </c:pt>
                <c:pt idx="4">
                  <c:v>215</c:v>
                </c:pt>
                <c:pt idx="5">
                  <c:v>236</c:v>
                </c:pt>
                <c:pt idx="6">
                  <c:v>278</c:v>
                </c:pt>
                <c:pt idx="7">
                  <c:v>302</c:v>
                </c:pt>
                <c:pt idx="8">
                  <c:v>326</c:v>
                </c:pt>
                <c:pt idx="9">
                  <c:v>369</c:v>
                </c:pt>
              </c:numCache>
            </c:numRef>
          </c:val>
          <c:smooth val="0"/>
        </c:ser>
        <c:dLbls>
          <c:showLegendKey val="0"/>
          <c:showVal val="0"/>
          <c:showCatName val="0"/>
          <c:showSerName val="0"/>
          <c:showPercent val="0"/>
          <c:showBubbleSize val="0"/>
        </c:dLbls>
        <c:marker val="1"/>
        <c:smooth val="0"/>
        <c:axId val="147937920"/>
        <c:axId val="147939712"/>
      </c:lineChart>
      <c:dateAx>
        <c:axId val="147937920"/>
        <c:scaling>
          <c:orientation val="minMax"/>
        </c:scaling>
        <c:delete val="0"/>
        <c:axPos val="b"/>
        <c:numFmt formatCode="dd/mm/yyyy" sourceLinked="1"/>
        <c:majorTickMark val="out"/>
        <c:minorTickMark val="none"/>
        <c:tickLblPos val="nextTo"/>
        <c:txPr>
          <a:bodyPr/>
          <a:lstStyle/>
          <a:p>
            <a:pPr>
              <a:defRPr lang="es-ES"/>
            </a:pPr>
            <a:endParaRPr lang="es-PE"/>
          </a:p>
        </c:txPr>
        <c:crossAx val="147939712"/>
        <c:crosses val="autoZero"/>
        <c:auto val="1"/>
        <c:lblOffset val="100"/>
        <c:baseTimeUnit val="days"/>
      </c:dateAx>
      <c:valAx>
        <c:axId val="147939712"/>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47937920"/>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999" l="0.70000000000000062" r="0.70000000000000062" t="0.75000000000000999"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v10.xlsm]CuadrosResumen!Tabla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47968768"/>
        <c:axId val="147970304"/>
      </c:barChart>
      <c:catAx>
        <c:axId val="147968768"/>
        <c:scaling>
          <c:orientation val="minMax"/>
        </c:scaling>
        <c:delete val="0"/>
        <c:axPos val="b"/>
        <c:majorTickMark val="out"/>
        <c:minorTickMark val="none"/>
        <c:tickLblPos val="nextTo"/>
        <c:txPr>
          <a:bodyPr/>
          <a:lstStyle/>
          <a:p>
            <a:pPr>
              <a:defRPr lang="es-ES"/>
            </a:pPr>
            <a:endParaRPr lang="es-PE"/>
          </a:p>
        </c:txPr>
        <c:crossAx val="147970304"/>
        <c:crosses val="autoZero"/>
        <c:auto val="1"/>
        <c:lblAlgn val="ctr"/>
        <c:lblOffset val="100"/>
        <c:noMultiLvlLbl val="0"/>
      </c:catAx>
      <c:valAx>
        <c:axId val="14797030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7968768"/>
        <c:crosses val="autoZero"/>
        <c:crossBetween val="between"/>
      </c:valAx>
    </c:plotArea>
    <c:plotVisOnly val="1"/>
    <c:dispBlanksAs val="gap"/>
    <c:showDLblsOverMax val="0"/>
  </c:chart>
  <c:printSettings>
    <c:headerFooter/>
    <c:pageMargins b="0.75000000000000966" l="0.70000000000000062" r="0.70000000000000062" t="0.75000000000000966"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v10.xlsm]CuadrosResumen!Tabla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49650432"/>
        <c:axId val="149660416"/>
      </c:barChart>
      <c:catAx>
        <c:axId val="149650432"/>
        <c:scaling>
          <c:orientation val="minMax"/>
        </c:scaling>
        <c:delete val="0"/>
        <c:axPos val="b"/>
        <c:majorTickMark val="out"/>
        <c:minorTickMark val="none"/>
        <c:tickLblPos val="nextTo"/>
        <c:txPr>
          <a:bodyPr/>
          <a:lstStyle/>
          <a:p>
            <a:pPr>
              <a:defRPr lang="es-ES"/>
            </a:pPr>
            <a:endParaRPr lang="es-PE"/>
          </a:p>
        </c:txPr>
        <c:crossAx val="149660416"/>
        <c:crosses val="autoZero"/>
        <c:auto val="1"/>
        <c:lblAlgn val="ctr"/>
        <c:lblOffset val="100"/>
        <c:noMultiLvlLbl val="0"/>
      </c:catAx>
      <c:valAx>
        <c:axId val="14966041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9650432"/>
        <c:crosses val="autoZero"/>
        <c:crossBetween val="between"/>
      </c:valAx>
    </c:plotArea>
    <c:plotVisOnly val="1"/>
    <c:dispBlanksAs val="gap"/>
    <c:showDLblsOverMax val="0"/>
  </c:chart>
  <c:printSettings>
    <c:headerFooter/>
    <c:pageMargins b="0.75000000000000966" l="0.70000000000000062" r="0.70000000000000062" t="0.75000000000000966"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v10.xlsm]CuadrosResumen!Tabla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49675392"/>
        <c:axId val="149820544"/>
      </c:barChart>
      <c:catAx>
        <c:axId val="149675392"/>
        <c:scaling>
          <c:orientation val="minMax"/>
        </c:scaling>
        <c:delete val="0"/>
        <c:axPos val="b"/>
        <c:majorTickMark val="out"/>
        <c:minorTickMark val="none"/>
        <c:tickLblPos val="nextTo"/>
        <c:txPr>
          <a:bodyPr/>
          <a:lstStyle/>
          <a:p>
            <a:pPr>
              <a:defRPr lang="es-ES"/>
            </a:pPr>
            <a:endParaRPr lang="es-PE"/>
          </a:p>
        </c:txPr>
        <c:crossAx val="149820544"/>
        <c:crosses val="autoZero"/>
        <c:auto val="1"/>
        <c:lblAlgn val="ctr"/>
        <c:lblOffset val="100"/>
        <c:noMultiLvlLbl val="0"/>
      </c:catAx>
      <c:valAx>
        <c:axId val="14982054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9675392"/>
        <c:crosses val="autoZero"/>
        <c:crossBetween val="between"/>
      </c:valAx>
    </c:plotArea>
    <c:plotVisOnly val="1"/>
    <c:dispBlanksAs val="gap"/>
    <c:showDLblsOverMax val="0"/>
  </c:chart>
  <c:printSettings>
    <c:headerFooter/>
    <c:pageMargins b="0.75000000000000966" l="0.70000000000000062" r="0.70000000000000062" t="0.75000000000000966"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v10.xlsm]CuadrosResumen!Tabla dinámica5</c:name>
    <c:fmtId val="0"/>
  </c:pivotSource>
  <c:chart>
    <c:title>
      <c:tx>
        <c:rich>
          <a:bodyPr/>
          <a:lstStyle/>
          <a:p>
            <a:pPr>
              <a:defRPr lang="es-ES"/>
            </a:pPr>
            <a:r>
              <a:rPr lang="en-US"/>
              <a:t>Distribución por Responsable</a:t>
            </a:r>
          </a:p>
        </c:rich>
      </c:tx>
      <c:layout/>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49840640"/>
        <c:axId val="149842176"/>
      </c:barChart>
      <c:catAx>
        <c:axId val="149840640"/>
        <c:scaling>
          <c:orientation val="minMax"/>
        </c:scaling>
        <c:delete val="0"/>
        <c:axPos val="b"/>
        <c:majorTickMark val="out"/>
        <c:minorTickMark val="none"/>
        <c:tickLblPos val="nextTo"/>
        <c:txPr>
          <a:bodyPr/>
          <a:lstStyle/>
          <a:p>
            <a:pPr>
              <a:defRPr lang="es-ES"/>
            </a:pPr>
            <a:endParaRPr lang="es-PE"/>
          </a:p>
        </c:txPr>
        <c:crossAx val="149842176"/>
        <c:crosses val="autoZero"/>
        <c:auto val="1"/>
        <c:lblAlgn val="ctr"/>
        <c:lblOffset val="100"/>
        <c:noMultiLvlLbl val="0"/>
      </c:catAx>
      <c:valAx>
        <c:axId val="14984217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9840640"/>
        <c:crosses val="autoZero"/>
        <c:crossBetween val="between"/>
      </c:valAx>
    </c:plotArea>
    <c:plotVisOnly val="1"/>
    <c:dispBlanksAs val="gap"/>
    <c:showDLblsOverMax val="0"/>
  </c:chart>
  <c:printSettings>
    <c:headerFooter/>
    <c:pageMargins b="0.75000000000000955" l="0.70000000000000062" r="0.70000000000000062" t="0.7500000000000095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v10.xlsm]CuadrosResumen!Tabla dinámica6</c:name>
    <c:fmtId val="0"/>
  </c:pivotSource>
  <c:chart>
    <c:title>
      <c:tx>
        <c:rich>
          <a:bodyPr/>
          <a:lstStyle/>
          <a:p>
            <a:pPr>
              <a:defRPr lang="es-ES"/>
            </a:pPr>
            <a:r>
              <a:rPr lang="es-ES"/>
              <a:t>Distribución por Prioridad</a:t>
            </a:r>
          </a:p>
        </c:rich>
      </c:tx>
      <c:layout/>
      <c:overlay val="0"/>
    </c:title>
    <c:autoTitleDeleted val="0"/>
    <c:pivotFmts>
      <c:pivotFmt>
        <c:idx val="0"/>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49867136"/>
        <c:axId val="149877120"/>
      </c:barChart>
      <c:catAx>
        <c:axId val="149867136"/>
        <c:scaling>
          <c:orientation val="minMax"/>
        </c:scaling>
        <c:delete val="0"/>
        <c:axPos val="b"/>
        <c:majorTickMark val="out"/>
        <c:minorTickMark val="none"/>
        <c:tickLblPos val="nextTo"/>
        <c:txPr>
          <a:bodyPr/>
          <a:lstStyle/>
          <a:p>
            <a:pPr>
              <a:defRPr lang="es-ES"/>
            </a:pPr>
            <a:endParaRPr lang="es-PE"/>
          </a:p>
        </c:txPr>
        <c:crossAx val="149877120"/>
        <c:crosses val="autoZero"/>
        <c:auto val="1"/>
        <c:lblAlgn val="ctr"/>
        <c:lblOffset val="100"/>
        <c:noMultiLvlLbl val="0"/>
      </c:catAx>
      <c:valAx>
        <c:axId val="14987712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9867136"/>
        <c:crosses val="autoZero"/>
        <c:crossBetween val="between"/>
      </c:valAx>
    </c:plotArea>
    <c:plotVisOnly val="1"/>
    <c:dispBlanksAs val="gap"/>
    <c:showDLblsOverMax val="0"/>
  </c:chart>
  <c:printSettings>
    <c:headerFooter/>
    <c:pageMargins b="0.75000000000000955" l="0.70000000000000062" r="0.70000000000000062" t="0.7500000000000095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v10.xlsm]CuadrosResumen!Tabla dinámica7</c:name>
    <c:fmtId val="0"/>
  </c:pivotSource>
  <c:chart>
    <c:title>
      <c:tx>
        <c:rich>
          <a:bodyPr/>
          <a:lstStyle/>
          <a:p>
            <a:pPr>
              <a:defRPr lang="es-ES"/>
            </a:pPr>
            <a:r>
              <a:rPr lang="en-US"/>
              <a:t>Distribución</a:t>
            </a:r>
            <a:r>
              <a:rPr lang="en-US" baseline="0"/>
              <a:t> por Estado</a:t>
            </a:r>
          </a:p>
        </c:rich>
      </c:tx>
      <c:layout/>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50160512"/>
        <c:axId val="150162048"/>
      </c:barChart>
      <c:catAx>
        <c:axId val="150160512"/>
        <c:scaling>
          <c:orientation val="minMax"/>
        </c:scaling>
        <c:delete val="0"/>
        <c:axPos val="b"/>
        <c:majorTickMark val="out"/>
        <c:minorTickMark val="none"/>
        <c:tickLblPos val="nextTo"/>
        <c:txPr>
          <a:bodyPr/>
          <a:lstStyle/>
          <a:p>
            <a:pPr>
              <a:defRPr lang="es-ES"/>
            </a:pPr>
            <a:endParaRPr lang="es-PE"/>
          </a:p>
        </c:txPr>
        <c:crossAx val="150162048"/>
        <c:crosses val="autoZero"/>
        <c:auto val="1"/>
        <c:lblAlgn val="ctr"/>
        <c:lblOffset val="100"/>
        <c:noMultiLvlLbl val="0"/>
      </c:catAx>
      <c:valAx>
        <c:axId val="15016204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50160512"/>
        <c:crosses val="autoZero"/>
        <c:crossBetween val="between"/>
      </c:valAx>
    </c:plotArea>
    <c:plotVisOnly val="1"/>
    <c:dispBlanksAs val="gap"/>
    <c:showDLblsOverMax val="0"/>
  </c:chart>
  <c:printSettings>
    <c:headerFooter/>
    <c:pageMargins b="0.75000000000000955" l="0.70000000000000062" r="0.70000000000000062" t="0.7500000000000095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QA%20-%20Inspecci&#243;n%20Paquete%20%23%202/ANOCFAP%20Insp%20v3.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User/AppData/Roaming/Microsoft/Excel/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s>
    <sheetDataSet>
      <sheetData sheetId="0"/>
      <sheetData sheetId="1"/>
      <sheetData sheetId="2"/>
      <sheetData sheetId="3"/>
      <sheetData sheetId="4">
        <row r="223">
          <cell r="A223" t="str">
            <v>OBS221</v>
          </cell>
          <cell r="B223" t="str">
            <v>CP019</v>
          </cell>
          <cell r="C223" t="str">
            <v>Alta</v>
          </cell>
          <cell r="D223" t="str">
            <v>Alta</v>
          </cell>
          <cell r="E223" t="str">
            <v>Abierta</v>
          </cell>
          <cell r="F223">
            <v>40835</v>
          </cell>
          <cell r="H223" t="str">
            <v>AM</v>
          </cell>
          <cell r="I223" t="str">
            <v>Toda tarea, actividad: proceso, subproceso, gateway, evento tiene que empezar con un verbo infinitivo. (-ar, -er, -ir).</v>
          </cell>
          <cell r="J223" t="str">
            <v>Coordinar con Rosario Villalta</v>
          </cell>
        </row>
        <row r="224">
          <cell r="A224" t="str">
            <v>OBS222</v>
          </cell>
          <cell r="B224" t="str">
            <v>CP020</v>
          </cell>
          <cell r="C224" t="str">
            <v>Alta</v>
          </cell>
          <cell r="D224" t="str">
            <v>Alta</v>
          </cell>
          <cell r="E224" t="str">
            <v>Abierta</v>
          </cell>
          <cell r="F224">
            <v>40835</v>
          </cell>
          <cell r="H224" t="str">
            <v>AM</v>
          </cell>
          <cell r="I224" t="str">
            <v>Toda tarea, actividad: proceso, subproceso, gateway, evento tiene que empezar con un verbo infinitivo. (-ar, -er, -ir).</v>
          </cell>
          <cell r="J224" t="str">
            <v>Coordinar con Rosario Villalta</v>
          </cell>
        </row>
        <row r="225">
          <cell r="A225" t="str">
            <v>OBS223</v>
          </cell>
          <cell r="B225" t="str">
            <v>CP020</v>
          </cell>
          <cell r="C225" t="str">
            <v>Alta</v>
          </cell>
          <cell r="D225" t="str">
            <v>Alta</v>
          </cell>
          <cell r="E225" t="str">
            <v>Abierta</v>
          </cell>
          <cell r="F225">
            <v>40835</v>
          </cell>
          <cell r="H225" t="str">
            <v>AM</v>
          </cell>
          <cell r="I225" t="str">
            <v>Considerar las actividades de compensación que se llaman en la actividad 5 y 8. La actividad de compensación indica el rolling back del flujo. Para este caso, cancelando todo el proceso.</v>
          </cell>
          <cell r="J225" t="str">
            <v>Se cambió de evento.</v>
          </cell>
        </row>
        <row r="226">
          <cell r="A226" t="str">
            <v>OBS224</v>
          </cell>
          <cell r="B226" t="str">
            <v>CP020</v>
          </cell>
          <cell r="C226" t="str">
            <v>Alta</v>
          </cell>
          <cell r="D226" t="str">
            <v>Media</v>
          </cell>
          <cell r="E226" t="str">
            <v>Abierta</v>
          </cell>
          <cell r="F226">
            <v>40835</v>
          </cell>
          <cell r="H226" t="str">
            <v>AM</v>
          </cell>
          <cell r="I226" t="str">
            <v>Es una buena práctica caracterizar según el flujo total, no solo del principal. El fin debería ser lo último que se caracteriza al igual que procesos que tienen datos de salida que son datos de entrada de otro proceso se caracterizan primero.</v>
          </cell>
          <cell r="J226" t="str">
            <v>Se corrigió la enumeración.</v>
          </cell>
        </row>
        <row r="227">
          <cell r="A227" t="str">
            <v>OBS225</v>
          </cell>
          <cell r="B227" t="str">
            <v>CP021</v>
          </cell>
          <cell r="C227" t="str">
            <v>Alta</v>
          </cell>
          <cell r="D227" t="str">
            <v>Alta</v>
          </cell>
          <cell r="E227" t="str">
            <v>Abierta</v>
          </cell>
          <cell r="F227">
            <v>40835</v>
          </cell>
          <cell r="H227" t="str">
            <v>AM</v>
          </cell>
          <cell r="I227" t="str">
            <v>El nombre de un proceso debe comenzar con un verbo en infinitivo, solo los nombres de los Macroprocesos no cumplen con esa regla.</v>
          </cell>
        </row>
        <row r="228">
          <cell r="A228" t="str">
            <v>OBS226</v>
          </cell>
          <cell r="B228" t="str">
            <v>CP022</v>
          </cell>
          <cell r="C228" t="str">
            <v>Alta</v>
          </cell>
          <cell r="D228" t="str">
            <v>Alta</v>
          </cell>
          <cell r="E228" t="str">
            <v>Abierta</v>
          </cell>
          <cell r="F228">
            <v>40835</v>
          </cell>
          <cell r="H228" t="str">
            <v>AM</v>
          </cell>
          <cell r="I228" t="str">
            <v>El nombre de un proceso debe comenzar con un verbo en infinitivo, solo los nombres de los Macroprocesos no cumplen con esa regla.</v>
          </cell>
        </row>
        <row r="229">
          <cell r="A229" t="str">
            <v>OBS227</v>
          </cell>
          <cell r="B229" t="str">
            <v>CP023</v>
          </cell>
          <cell r="C229" t="str">
            <v>Alta</v>
          </cell>
          <cell r="D229" t="str">
            <v>Alta</v>
          </cell>
          <cell r="E229" t="str">
            <v>Abierta</v>
          </cell>
          <cell r="F229">
            <v>40835</v>
          </cell>
          <cell r="H229" t="str">
            <v>AM</v>
          </cell>
          <cell r="I229" t="str">
            <v>El nombre de un proceso debe comenzar con un verbo en infinitivo, solo los nombres de los Macroprocesos no cumplen con esa regla.</v>
          </cell>
        </row>
        <row r="230">
          <cell r="A230" t="str">
            <v>OBS228</v>
          </cell>
          <cell r="B230" t="str">
            <v>CP023</v>
          </cell>
          <cell r="C230" t="str">
            <v>Alta</v>
          </cell>
          <cell r="D230" t="str">
            <v>Media</v>
          </cell>
          <cell r="E230" t="str">
            <v>Abierta</v>
          </cell>
          <cell r="F230">
            <v>40835</v>
          </cell>
          <cell r="H230" t="str">
            <v>AM</v>
          </cell>
          <cell r="I230" t="str">
            <v>El dato de salida del inicio "Conjunto de Cartas entregadas" nunca se usa en el flujo.</v>
          </cell>
          <cell r="J230" t="str">
            <v>La salida se agregó como entrada de la actividad 2.</v>
          </cell>
        </row>
        <row r="231">
          <cell r="A231" t="str">
            <v>OBS229</v>
          </cell>
          <cell r="B231" t="str">
            <v>CP023</v>
          </cell>
          <cell r="C231" t="str">
            <v>Alta</v>
          </cell>
          <cell r="D231" t="str">
            <v>Media</v>
          </cell>
          <cell r="E231" t="str">
            <v>Abierta</v>
          </cell>
          <cell r="F231">
            <v>40835</v>
          </cell>
          <cell r="H231" t="str">
            <v>AM</v>
          </cell>
          <cell r="I231" t="str">
            <v>"Decisión luego de visita" debería ser dato de salida de la actividad 3</v>
          </cell>
          <cell r="J231" t="str">
            <v>Se considerará tanto como entrada y salida, pues proviene del proceso de apoyo "Realizar Visita a Institución" y es necesaria para evaluar la decisión del donante.</v>
          </cell>
        </row>
        <row r="232">
          <cell r="A232" t="str">
            <v>OBS230</v>
          </cell>
          <cell r="B232" t="str">
            <v>CP023</v>
          </cell>
          <cell r="C232" t="str">
            <v>Alta</v>
          </cell>
          <cell r="D232" t="str">
            <v>Media</v>
          </cell>
          <cell r="E232" t="str">
            <v>Abierta</v>
          </cell>
          <cell r="F232">
            <v>40835</v>
          </cell>
          <cell r="H232" t="str">
            <v>AM</v>
          </cell>
          <cell r="I232" t="str">
            <v>"Visita innecesaria" debería ser dato de entrada de la actividad 7</v>
          </cell>
          <cell r="J232" t="str">
            <v>Se agregó como entrada de la actividad 7.</v>
          </cell>
        </row>
        <row r="233">
          <cell r="A233" t="str">
            <v>OBS231</v>
          </cell>
          <cell r="B233" t="str">
            <v>CP023</v>
          </cell>
          <cell r="C233" t="str">
            <v>Alta</v>
          </cell>
          <cell r="D233" t="str">
            <v>Media</v>
          </cell>
          <cell r="E233" t="str">
            <v>Abierta</v>
          </cell>
          <cell r="F233">
            <v>40835</v>
          </cell>
          <cell r="H233" t="str">
            <v>AM</v>
          </cell>
          <cell r="I233" t="str">
            <v>"Voucher enviado" no puede ser un dato de entrada de la actividad 8.</v>
          </cell>
          <cell r="J233" t="str">
            <v>Se eliminó como entrada de la actividad 8.</v>
          </cell>
        </row>
        <row r="234">
          <cell r="A234" t="str">
            <v>OBS232</v>
          </cell>
          <cell r="B234" t="str">
            <v>CP023</v>
          </cell>
          <cell r="C234" t="str">
            <v>Alta</v>
          </cell>
          <cell r="D234" t="str">
            <v>Media</v>
          </cell>
          <cell r="E234" t="str">
            <v>Abierta</v>
          </cell>
          <cell r="F234">
            <v>40835</v>
          </cell>
          <cell r="H234" t="str">
            <v>AM</v>
          </cell>
          <cell r="I234" t="str">
            <v>No hay dato que relacione la actividad 8 y 10.</v>
          </cell>
          <cell r="J234" t="str">
            <v>Se agregó la salida de la actividad 8 como entrada de la actividad 10.</v>
          </cell>
        </row>
        <row r="235">
          <cell r="A235" t="str">
            <v>OBS233</v>
          </cell>
          <cell r="B235" t="str">
            <v>CP023</v>
          </cell>
          <cell r="C235" t="str">
            <v>Alta</v>
          </cell>
          <cell r="D235" t="str">
            <v>Media</v>
          </cell>
          <cell r="E235" t="str">
            <v>Abierta</v>
          </cell>
          <cell r="F235">
            <v>40835</v>
          </cell>
          <cell r="H235" t="str">
            <v>AM</v>
          </cell>
          <cell r="I235" t="str">
            <v xml:space="preserve">No se menciona los eventos timers de las actividades 14 y 20, ni el evento de condición, regla de negocio, de la actividad 16 en la caracterización. Mientras que en la actividad 15 se menciona una regla de negocio que no se ve en el diagrama. </v>
          </cell>
          <cell r="J235" t="str">
            <v>Se agregaron las descripciones correspondientes.</v>
          </cell>
        </row>
        <row r="236">
          <cell r="A236" t="str">
            <v>OBS234</v>
          </cell>
          <cell r="B236" t="str">
            <v>CP024</v>
          </cell>
          <cell r="C236" t="str">
            <v>Alta</v>
          </cell>
          <cell r="D236" t="str">
            <v>Alta</v>
          </cell>
          <cell r="E236" t="str">
            <v>Abierta</v>
          </cell>
          <cell r="F236">
            <v>40835</v>
          </cell>
          <cell r="H236" t="str">
            <v>AM</v>
          </cell>
          <cell r="I236" t="str">
            <v>Toda tarea, actividad: proceso, subproceso, gateway, evento tiene que empezar con un verbo infinitivo. (-ar, -er, -ir).</v>
          </cell>
          <cell r="J236" t="str">
            <v>Coordinar con Rosario Villalta</v>
          </cell>
        </row>
        <row r="237">
          <cell r="A237" t="str">
            <v>OBS235</v>
          </cell>
          <cell r="B237" t="str">
            <v>CP025</v>
          </cell>
          <cell r="C237" t="str">
            <v>Alta</v>
          </cell>
          <cell r="D237" t="str">
            <v>Alta</v>
          </cell>
          <cell r="E237" t="str">
            <v>Abierta</v>
          </cell>
          <cell r="F237">
            <v>40835</v>
          </cell>
          <cell r="H237" t="str">
            <v>AM</v>
          </cell>
          <cell r="I237" t="str">
            <v>El nombre de un proceso debe comenzar con un verbo en infinitivo, solo los nombres de los Macroprocesos no cumplen con esa regla.</v>
          </cell>
          <cell r="J237" t="str">
            <v>Coordinar con Rosario Villalta</v>
          </cell>
        </row>
        <row r="238">
          <cell r="A238" t="str">
            <v>OBS236</v>
          </cell>
          <cell r="B238" t="str">
            <v>CP025</v>
          </cell>
          <cell r="C238" t="str">
            <v>Alta</v>
          </cell>
          <cell r="D238" t="str">
            <v>Alta</v>
          </cell>
          <cell r="E238" t="str">
            <v>Abierta</v>
          </cell>
          <cell r="F238">
            <v>40835</v>
          </cell>
          <cell r="H238" t="str">
            <v>AM</v>
          </cell>
          <cell r="I238" t="str">
            <v>Toda tarea, actividad: proceso, subproceso, gateway, evento tiene que empezar con un verbo infinitivo. (-ar, -er, -ir).</v>
          </cell>
          <cell r="J238" t="str">
            <v>Coordinar con Rosario Villalta</v>
          </cell>
        </row>
      </sheetData>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40" totalsRowShown="0" headerRowDxfId="68" dataDxfId="66" headerRowBorderDxfId="67" tableBorderDxfId="65">
  <autoFilter ref="A4:Q40"/>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372" totalsRowShown="0" headerRowDxfId="47" dataDxfId="45" headerRowBorderDxfId="46" tableBorderDxfId="44">
  <autoFilter ref="A2:L372">
    <filterColumn colId="4">
      <filters>
        <filter val="Abierta"/>
      </filters>
    </filterColumn>
    <filterColumn colId="9">
      <filters blank="1"/>
    </filterColumn>
  </autoFilter>
  <sortState ref="A243:M304">
    <sortCondition ref="J2:J361"/>
  </sortState>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5" name="HistoricoIncidencias" displayName="HistoricoIncidencias" ref="L3:O13" totalsRowShown="0" headerRowDxfId="19" headerRowBorderDxfId="18" tableBorderDxfId="17">
  <tableColumns count="4">
    <tableColumn id="1" name="Fecha" dataDxfId="16"/>
    <tableColumn id="2" name="Abiertas" dataDxfId="15"/>
    <tableColumn id="4" name="Cerradas" dataDxfId="14"/>
    <tableColumn id="5" name="Totales" dataDxfId="13">
      <calculatedColumnFormula>SUM([2]!HistoricoIncidencias[[#This Row],[Abiertas]:[Cerradas]])</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4" name="HistóricoEjecuciones" displayName="HistóricoEjecuciones" ref="B3:J13" totalsRowShown="0" headerRowDxfId="12" dataDxfId="10" headerRowBorderDxfId="11" tableBorderDxfId="9">
  <tableColumns count="9">
    <tableColumn id="1" name="Fecha" dataDxfId="8"/>
    <tableColumn id="2" name="Aciertos" dataDxfId="7"/>
    <tableColumn id="3" name="Fallos" dataDxfId="6"/>
    <tableColumn id="4" name="Bloqueado" dataDxfId="5"/>
    <tableColumn id="7" name="Pendiente" dataDxfId="4"/>
    <tableColumn id="5" name="No Aplica" dataDxfId="3"/>
    <tableColumn id="8" name="En Proceso" dataDxfId="2"/>
    <tableColumn id="9" name="Reejecuciones" dataDxfId="1"/>
    <tableColumn id="6" name="Totales" dataDxfId="0">
      <calculatedColumnFormula>SUM([2]!HistóricoEjecuciones[[#This Row],[Aciertos]:[En Proceso]])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4" sqref="B4:D4"/>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2" t="s">
        <v>0</v>
      </c>
      <c r="B1" s="173"/>
      <c r="C1" s="173"/>
      <c r="D1" s="173"/>
      <c r="XFB1" s="4" t="s">
        <v>136</v>
      </c>
    </row>
    <row r="2" spans="1:4 16382:16382" ht="19.5" customHeight="1">
      <c r="A2" s="174" t="s">
        <v>1</v>
      </c>
      <c r="B2" s="174"/>
      <c r="C2" s="174"/>
      <c r="D2" s="174"/>
      <c r="XFB2" s="4" t="s">
        <v>137</v>
      </c>
    </row>
    <row r="3" spans="1:4 16382:16382" ht="19.5" customHeight="1">
      <c r="A3" s="109" t="s">
        <v>140</v>
      </c>
      <c r="B3" s="112" t="s">
        <v>163</v>
      </c>
      <c r="C3" s="109" t="s">
        <v>2</v>
      </c>
      <c r="D3" s="113" t="s">
        <v>139</v>
      </c>
      <c r="XFB3" s="4" t="s">
        <v>138</v>
      </c>
    </row>
    <row r="4" spans="1:4 16382:16382" ht="19.5" customHeight="1">
      <c r="A4" s="110" t="s">
        <v>141</v>
      </c>
      <c r="B4" s="175" t="s">
        <v>169</v>
      </c>
      <c r="C4" s="175"/>
      <c r="D4" s="175"/>
      <c r="XFB4" s="4" t="s">
        <v>139</v>
      </c>
    </row>
    <row r="5" spans="1:4 16382:16382" ht="120" customHeight="1">
      <c r="A5" s="109" t="s">
        <v>3</v>
      </c>
      <c r="B5" s="176" t="s">
        <v>164</v>
      </c>
      <c r="C5" s="177"/>
      <c r="D5" s="178"/>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79" t="s">
        <v>5</v>
      </c>
      <c r="B8" s="179"/>
      <c r="C8" s="179" t="s">
        <v>6</v>
      </c>
      <c r="D8" s="179"/>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D5" sqref="D5"/>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1" t="str">
        <f>General!$B$4</f>
        <v>Arquitectura de Negocios de la Oficina Central de Fe y Alegría Perú – ANOCFAP</v>
      </c>
      <c r="H2" s="181"/>
      <c r="I2" s="181"/>
      <c r="J2" s="181"/>
      <c r="K2" s="181"/>
      <c r="L2" s="181"/>
      <c r="M2" s="181"/>
      <c r="N2" s="181"/>
      <c r="O2" s="181"/>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0.3611111111111111</v>
      </c>
      <c r="E4" s="134"/>
      <c r="F4" s="133" t="s">
        <v>12</v>
      </c>
      <c r="G4" s="182" t="str">
        <f>IF(SUM($C$30:$C$31)&gt;0,P37,IF((SUM($C$30:$C$31)=0)*(SUM($C$32:$C$33)),$P$36,IF($C$34=0,$P$35,$P$35)))</f>
        <v>INSATISFACTORIO</v>
      </c>
      <c r="H4" s="182"/>
      <c r="I4" s="182"/>
      <c r="J4" s="182"/>
      <c r="K4" s="182"/>
      <c r="L4" s="182"/>
      <c r="M4" s="182"/>
      <c r="N4" s="182"/>
      <c r="O4" s="182"/>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0.97222222222222221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36</v>
      </c>
      <c r="D10" s="74"/>
      <c r="E10" s="74"/>
      <c r="F10" s="74"/>
      <c r="G10" s="74"/>
      <c r="H10" s="74"/>
      <c r="I10" s="74"/>
      <c r="J10" s="74"/>
      <c r="K10" s="74"/>
      <c r="L10" s="74"/>
      <c r="M10" s="74"/>
      <c r="N10" s="74"/>
      <c r="O10" s="74"/>
      <c r="P10" s="82" t="s">
        <v>32</v>
      </c>
      <c r="Q10" s="11" t="s">
        <v>3</v>
      </c>
      <c r="R10" s="74"/>
    </row>
    <row r="11" spans="1:18" ht="15.75" thickBot="1">
      <c r="A11" s="74"/>
      <c r="B11" s="131" t="s">
        <v>16</v>
      </c>
      <c r="C11" s="9">
        <f>$C$10-$C$12</f>
        <v>35</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1</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22</v>
      </c>
      <c r="D13" s="74"/>
      <c r="E13" s="5">
        <f>COUNTIF(CasoPrueba[[#All],[Estado Testing]],$P$28)</f>
        <v>13</v>
      </c>
      <c r="F13" s="5">
        <f>COUNTIF(CasoPrueba[[#All],[Estado Testing]],$P$29)</f>
        <v>22</v>
      </c>
      <c r="G13" s="5">
        <f>COUNTIF(CasoPrueba[[#All],[Estado Testing]],$P$30)</f>
        <v>0</v>
      </c>
      <c r="H13" s="5">
        <f>COUNTIF(CasoPrueba[[#All],[Estado Testing]],$P$27)</f>
        <v>1</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0.3611111111111111</v>
      </c>
      <c r="F14" s="15">
        <f t="shared" si="0"/>
        <v>0.61111111111111116</v>
      </c>
      <c r="G14" s="15">
        <f t="shared" si="0"/>
        <v>0</v>
      </c>
      <c r="H14" s="15">
        <f t="shared" si="0"/>
        <v>2.7777777777777776E-2</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3" t="s">
        <v>25</v>
      </c>
      <c r="C16" s="184" t="s">
        <v>19</v>
      </c>
      <c r="D16" s="184"/>
      <c r="E16" s="185" t="s">
        <v>20</v>
      </c>
      <c r="F16" s="185"/>
      <c r="G16" s="186" t="s">
        <v>21</v>
      </c>
      <c r="H16" s="186"/>
      <c r="I16" s="187" t="s">
        <v>22</v>
      </c>
      <c r="J16" s="188"/>
      <c r="K16" s="191" t="s">
        <v>23</v>
      </c>
      <c r="L16" s="192"/>
      <c r="M16" s="189" t="s">
        <v>24</v>
      </c>
      <c r="N16" s="190"/>
      <c r="O16" s="74"/>
      <c r="P16" s="10" t="s">
        <v>41</v>
      </c>
      <c r="Q16" s="11" t="s">
        <v>42</v>
      </c>
      <c r="R16" s="74"/>
    </row>
    <row r="17" spans="1:18" ht="15.75" hidden="1" thickBot="1">
      <c r="A17" s="74"/>
      <c r="B17" s="183"/>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13</v>
      </c>
      <c r="D18" s="45">
        <f>C18/$C$10</f>
        <v>0.3611111111111111</v>
      </c>
      <c r="E18" s="46">
        <f>COUNTIFS(CasoPrueba[[#All],[Estado Testing]],$P$29,CasoPrueba[[#All],[Prioridad]],$P$17)</f>
        <v>22</v>
      </c>
      <c r="F18" s="47">
        <f>E18/$C$10</f>
        <v>0.61111111111111116</v>
      </c>
      <c r="G18" s="48">
        <f>COUNTIFS(CasoPrueba[[#All],[Estado Testing]],$P$30,CasoPrueba[[#All],[Prioridad]],$P$17)</f>
        <v>0</v>
      </c>
      <c r="H18" s="49">
        <f>G18/$C$10</f>
        <v>0</v>
      </c>
      <c r="I18" s="50">
        <f>COUNTIFS(CasoPrueba[[#All],[Estado Testing]],$P$27,CasoPrueba[[#All],[Prioridad]],$P$17)</f>
        <v>1</v>
      </c>
      <c r="J18" s="51">
        <f>I18/$C$10</f>
        <v>2.7777777777777776E-2</v>
      </c>
      <c r="K18" s="52">
        <f>COUNTIFS(CasoPrueba[[#All],[Estado Testing]],$P$31,CasoPrueba[[#All],[Prioridad]],$P$17)</f>
        <v>0</v>
      </c>
      <c r="L18" s="54">
        <f>K18/$C$10</f>
        <v>0</v>
      </c>
      <c r="M18" s="55">
        <f>COUNTIFS(CasoPrueba[[#All],[Estado Testing]],$P$29,CasoPrueba[[#All],[Prioridad]],$P$17)</f>
        <v>22</v>
      </c>
      <c r="N18" s="53">
        <f>M18/$C$10</f>
        <v>0.61111111111111116</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13</v>
      </c>
      <c r="D21" s="63">
        <f t="shared" ref="D21:N21" si="2">SUM(D18:D20)</f>
        <v>0.3611111111111111</v>
      </c>
      <c r="E21" s="62">
        <f t="shared" si="2"/>
        <v>22</v>
      </c>
      <c r="F21" s="63">
        <f t="shared" si="2"/>
        <v>0.61111111111111116</v>
      </c>
      <c r="G21" s="62">
        <f t="shared" si="2"/>
        <v>0</v>
      </c>
      <c r="H21" s="63">
        <f t="shared" si="2"/>
        <v>0</v>
      </c>
      <c r="I21" s="62">
        <f t="shared" si="2"/>
        <v>1</v>
      </c>
      <c r="J21" s="63">
        <f t="shared" si="2"/>
        <v>2.7777777777777776E-2</v>
      </c>
      <c r="K21" s="62">
        <f>SUM(K18:K20)</f>
        <v>0</v>
      </c>
      <c r="L21" s="63">
        <f>SUM(L18:L20)</f>
        <v>0</v>
      </c>
      <c r="M21" s="62">
        <f t="shared" si="2"/>
        <v>22</v>
      </c>
      <c r="N21" s="63">
        <f t="shared" si="2"/>
        <v>0.61111111111111116</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0" t="s">
        <v>69</v>
      </c>
      <c r="C28" s="180" t="s">
        <v>70</v>
      </c>
      <c r="D28" s="180"/>
      <c r="E28" s="180" t="s">
        <v>71</v>
      </c>
      <c r="F28" s="180"/>
      <c r="G28" s="119"/>
      <c r="H28" s="119"/>
      <c r="I28" s="119"/>
      <c r="J28" s="119"/>
      <c r="K28" s="119"/>
      <c r="L28" s="119"/>
      <c r="M28" s="74"/>
      <c r="N28" s="74"/>
      <c r="O28" s="74"/>
      <c r="P28" s="103" t="s">
        <v>19</v>
      </c>
      <c r="Q28" s="14" t="s">
        <v>55</v>
      </c>
      <c r="R28" s="74"/>
    </row>
    <row r="29" spans="1:18" ht="15.75" hidden="1" thickBot="1">
      <c r="A29" s="119"/>
      <c r="B29" s="180"/>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27</v>
      </c>
      <c r="D30" s="124">
        <f>C30/$C$10</f>
        <v>0.75</v>
      </c>
      <c r="E30" s="125">
        <f>COUNTIFS(Observaciones[[#All],[Estado]],Resumen!$P$24,Observaciones[[#All],[Severidad]],Resumen!$P$11)</f>
        <v>56</v>
      </c>
      <c r="F30" s="124">
        <f>E30/$C$10</f>
        <v>1.5555555555555556</v>
      </c>
      <c r="G30" s="119"/>
      <c r="H30" s="122" t="s">
        <v>33</v>
      </c>
      <c r="I30" s="126">
        <f>COUNTIFS(Observaciones[[#All],[Severidad]],Resumen!$P$11,Observaciones[[#All],[Prioridad]],Resumen!$P$17)</f>
        <v>83</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0</v>
      </c>
      <c r="D31" s="124">
        <f>C31/$C$10</f>
        <v>0</v>
      </c>
      <c r="E31" s="125">
        <f>COUNTIFS(Observaciones[[#All],[Estado]],Resumen!$P$24,Observaciones[[#All],[Severidad]],Resumen!$P$12)</f>
        <v>117</v>
      </c>
      <c r="F31" s="124">
        <f>E31/$C$10</f>
        <v>3.25</v>
      </c>
      <c r="G31" s="119"/>
      <c r="H31" s="122" t="s">
        <v>35</v>
      </c>
      <c r="I31" s="126">
        <f>COUNTIFS(Observaciones[[#All],[Severidad]],Resumen!$P$12,Observaciones[[#All],[Prioridad]],Resumen!$P$17)</f>
        <v>117</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5</v>
      </c>
      <c r="D32" s="124">
        <f>C32/$C$10</f>
        <v>0.1388888888888889</v>
      </c>
      <c r="E32" s="125">
        <f>COUNTIFS(Observaciones[[#All],[Estado]],Resumen!$P$24,Observaciones[[#All],[Severidad]],Resumen!$P$13)</f>
        <v>72</v>
      </c>
      <c r="F32" s="124">
        <f>E32/$C$10</f>
        <v>2</v>
      </c>
      <c r="G32" s="119"/>
      <c r="H32" s="122" t="s">
        <v>37</v>
      </c>
      <c r="I32" s="126">
        <f>COUNTIFS(Observaciones[[#All],[Severidad]],Resumen!$P$13,Observaciones[[#All],[Prioridad]],Resumen!$P$17)</f>
        <v>77</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4</v>
      </c>
      <c r="D33" s="124">
        <f>C33/$C$10</f>
        <v>0.1111111111111111</v>
      </c>
      <c r="E33" s="125">
        <f>COUNTIFS(Observaciones[[#All],[Estado]],Resumen!$P$24,Observaciones[[#All],[Severidad]],Resumen!$P$14)</f>
        <v>88</v>
      </c>
      <c r="F33" s="124">
        <f>E33/$C$10</f>
        <v>2.4444444444444446</v>
      </c>
      <c r="G33" s="119"/>
      <c r="H33" s="122" t="s">
        <v>39</v>
      </c>
      <c r="I33" s="126">
        <f>COUNTIFS(Observaciones[[#All],[Severidad]],Resumen!$P$14,Observaciones[[#All],[Prioridad]],Resumen!$P$17)</f>
        <v>92</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36</v>
      </c>
      <c r="D34" s="129">
        <f>SUM(D30:D33)</f>
        <v>1</v>
      </c>
      <c r="E34" s="128">
        <f>SUM(E30:E33)</f>
        <v>333</v>
      </c>
      <c r="F34" s="129">
        <f>SUM(F30:F33)</f>
        <v>9.25</v>
      </c>
      <c r="G34" s="119"/>
      <c r="H34" s="122" t="s">
        <v>72</v>
      </c>
      <c r="I34" s="130">
        <f>SUM(I30:I33)</f>
        <v>369</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B88" workbookViewId="0">
      <selection activeCell="F108" sqref="F108"/>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3" t="s">
        <v>115</v>
      </c>
      <c r="B1" s="193"/>
      <c r="C1" s="193"/>
      <c r="D1" s="193"/>
      <c r="E1" s="193"/>
      <c r="F1" s="193"/>
      <c r="G1" s="193"/>
      <c r="H1" s="193"/>
      <c r="I1" s="193"/>
      <c r="J1" s="193"/>
      <c r="K1" s="193"/>
      <c r="L1" s="193"/>
      <c r="M1" s="193"/>
      <c r="N1" s="193"/>
      <c r="O1" s="193"/>
      <c r="P1" s="193"/>
      <c r="Q1" s="193"/>
      <c r="R1" s="193"/>
    </row>
    <row r="22" spans="1:18" ht="21">
      <c r="A22" s="193" t="s">
        <v>116</v>
      </c>
      <c r="B22" s="193"/>
      <c r="C22" s="193"/>
      <c r="D22" s="193"/>
      <c r="E22" s="193"/>
      <c r="F22" s="193"/>
      <c r="G22" s="193"/>
      <c r="H22" s="193"/>
      <c r="I22" s="193"/>
      <c r="J22" s="193"/>
      <c r="K22" s="193"/>
      <c r="L22" s="193"/>
      <c r="M22" s="193"/>
      <c r="N22" s="193"/>
      <c r="O22" s="193"/>
      <c r="P22" s="193"/>
      <c r="Q22" s="193"/>
      <c r="R22" s="193"/>
    </row>
    <row r="44" spans="1:18" ht="21">
      <c r="A44" s="193" t="s">
        <v>117</v>
      </c>
      <c r="B44" s="193"/>
      <c r="C44" s="193"/>
      <c r="D44" s="193"/>
      <c r="E44" s="193"/>
      <c r="F44" s="193"/>
      <c r="G44" s="193"/>
      <c r="H44" s="193"/>
      <c r="I44" s="193"/>
      <c r="J44" s="193"/>
      <c r="K44" s="193"/>
      <c r="L44" s="193"/>
      <c r="M44" s="193"/>
      <c r="N44" s="193"/>
      <c r="O44" s="193"/>
      <c r="P44" s="193"/>
      <c r="Q44" s="193"/>
      <c r="R44" s="193"/>
    </row>
    <row r="66" spans="1:18" ht="21">
      <c r="A66" s="193" t="s">
        <v>118</v>
      </c>
      <c r="B66" s="193"/>
      <c r="C66" s="193"/>
      <c r="D66" s="193"/>
      <c r="E66" s="193"/>
      <c r="F66" s="193"/>
      <c r="G66" s="193"/>
      <c r="H66" s="193"/>
      <c r="I66" s="193"/>
      <c r="J66" s="193"/>
      <c r="K66" s="193"/>
      <c r="L66" s="193"/>
      <c r="M66" s="193"/>
      <c r="N66" s="193"/>
      <c r="O66" s="193"/>
      <c r="P66" s="193"/>
      <c r="Q66" s="193"/>
      <c r="R66" s="193"/>
    </row>
    <row r="67" spans="1:18" ht="15.75" thickBot="1"/>
    <row r="68" spans="1:18" ht="15.75" thickBot="1">
      <c r="B68" s="194" t="s">
        <v>119</v>
      </c>
      <c r="C68" s="195"/>
      <c r="D68" s="195"/>
      <c r="E68" s="195"/>
      <c r="F68" s="196"/>
      <c r="G68" s="64">
        <f>AVERAGE(Observaciones[[#All],[Tiempo de Solución (Dias)]])</f>
        <v>7.7994579945799458</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3" t="s">
        <v>127</v>
      </c>
      <c r="B87" s="193"/>
      <c r="C87" s="193"/>
      <c r="D87" s="193"/>
      <c r="E87" s="193"/>
      <c r="F87" s="193"/>
      <c r="G87" s="193"/>
      <c r="H87" s="193"/>
      <c r="I87" s="193"/>
      <c r="J87" s="193"/>
      <c r="K87" s="193"/>
      <c r="L87" s="193"/>
      <c r="M87" s="193"/>
      <c r="N87" s="193"/>
      <c r="O87" s="193"/>
      <c r="P87" s="193"/>
      <c r="Q87" s="193"/>
      <c r="R87" s="193"/>
    </row>
    <row r="88" spans="1:18" ht="15.75" thickBot="1"/>
    <row r="89" spans="1:18" ht="15.75" thickBot="1">
      <c r="B89" s="194" t="s">
        <v>128</v>
      </c>
      <c r="C89" s="195"/>
      <c r="D89" s="195"/>
      <c r="E89" s="195"/>
      <c r="F89" s="196"/>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40"/>
  <sheetViews>
    <sheetView topLeftCell="A25" zoomScaleNormal="100" workbookViewId="0">
      <selection activeCell="C27" sqref="C27:D28"/>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7" t="str">
        <f>General!$B$4</f>
        <v>Arquitectura de Negocios de la Oficina Central de Fe y Alegría Perú – ANOCFAP</v>
      </c>
      <c r="H2" s="198"/>
      <c r="I2" s="198"/>
      <c r="J2" s="198"/>
      <c r="K2" s="198"/>
      <c r="L2" s="198"/>
      <c r="M2" s="198"/>
      <c r="N2" s="199"/>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33.75">
      <c r="A5" s="90" t="s">
        <v>159</v>
      </c>
      <c r="B5" s="90" t="s">
        <v>88</v>
      </c>
      <c r="C5" s="90" t="s">
        <v>170</v>
      </c>
      <c r="D5" s="203" t="s">
        <v>177</v>
      </c>
      <c r="E5" s="90" t="s">
        <v>160</v>
      </c>
      <c r="F5" s="91" t="str">
        <f>IF(CasoPrueba[[#This Row],[Estado Testing]]=Resumen!$P$28,"OK",IF(CasoPrueba[[#This Row],[Estado Testing]]=Resumen!$P$29,"NO OK",IF((CasoPrueba[[#This Row],[Estado Testing]]=Resumen!$P$30)+(CasoPrueba[[#This Row],[Estado Testing]]=Resumen!$P$31),"OBSERVADO","")))</f>
        <v>NO OK</v>
      </c>
      <c r="G5" s="90" t="s">
        <v>20</v>
      </c>
      <c r="H5" s="90" t="s">
        <v>28</v>
      </c>
      <c r="I5" s="92" t="s">
        <v>28</v>
      </c>
      <c r="J5" s="90" t="s">
        <v>47</v>
      </c>
      <c r="L5" s="93">
        <f>General!$A$10</f>
        <v>0</v>
      </c>
      <c r="M5" s="93">
        <v>40637</v>
      </c>
      <c r="N5" s="90">
        <v>1</v>
      </c>
      <c r="P5" s="92" t="s">
        <v>1090</v>
      </c>
      <c r="Q5" s="90" t="str">
        <f>CONCATENATE(General!$B$7," ",General!$B$6)</f>
        <v>Nicolay García José Ramos Ramírez</v>
      </c>
      <c r="R5" s="102"/>
    </row>
    <row r="6" spans="1:18" ht="33.7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NO OK</v>
      </c>
      <c r="G6" s="90" t="s">
        <v>20</v>
      </c>
      <c r="H6" s="90" t="s">
        <v>28</v>
      </c>
      <c r="I6" s="92" t="s">
        <v>28</v>
      </c>
      <c r="J6" s="90" t="s">
        <v>47</v>
      </c>
      <c r="K6" s="90"/>
      <c r="L6" s="93">
        <f>General!$A$10</f>
        <v>0</v>
      </c>
      <c r="M6" s="93"/>
      <c r="N6" s="90"/>
      <c r="O6" s="90"/>
      <c r="P6" s="92" t="s">
        <v>1091</v>
      </c>
      <c r="Q6" s="90" t="str">
        <f>CONCATENATE(General!$B$7," ",General!$B$6)</f>
        <v>Nicolay García José Ramos Ramírez</v>
      </c>
    </row>
    <row r="7" spans="1:18" ht="90">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NO OK</v>
      </c>
      <c r="G7" s="90" t="s">
        <v>20</v>
      </c>
      <c r="H7" s="90" t="s">
        <v>28</v>
      </c>
      <c r="I7" s="92" t="s">
        <v>28</v>
      </c>
      <c r="J7" s="90" t="s">
        <v>47</v>
      </c>
      <c r="K7" s="90"/>
      <c r="L7" s="93">
        <f>General!$A$10</f>
        <v>0</v>
      </c>
      <c r="M7" s="93"/>
      <c r="N7" s="90"/>
      <c r="O7" s="90"/>
      <c r="P7" s="92" t="s">
        <v>1092</v>
      </c>
      <c r="Q7" s="90" t="str">
        <f>CONCATENATE(General!$B$7," ",General!$B$6)</f>
        <v>Nicolay García José Ramos Ramírez</v>
      </c>
    </row>
    <row r="8" spans="1:18" ht="56.25">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NO OK</v>
      </c>
      <c r="G8" s="90" t="s">
        <v>20</v>
      </c>
      <c r="H8" s="90" t="s">
        <v>28</v>
      </c>
      <c r="I8" s="92" t="s">
        <v>28</v>
      </c>
      <c r="J8" s="90" t="s">
        <v>47</v>
      </c>
      <c r="K8" s="90"/>
      <c r="L8" s="93">
        <f>General!$A$10</f>
        <v>0</v>
      </c>
      <c r="M8" s="93"/>
      <c r="N8" s="90"/>
      <c r="O8" s="90"/>
      <c r="P8" s="92" t="s">
        <v>1093</v>
      </c>
      <c r="Q8" s="90" t="str">
        <f>CONCATENATE(General!$B$7," ",General!$B$6)</f>
        <v>Nicolay García José Ramos Ramírez</v>
      </c>
    </row>
    <row r="9" spans="1:18" ht="33.75">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NO OK</v>
      </c>
      <c r="G9" s="90" t="s">
        <v>20</v>
      </c>
      <c r="H9" s="90" t="s">
        <v>28</v>
      </c>
      <c r="I9" s="92" t="s">
        <v>28</v>
      </c>
      <c r="J9" s="90" t="s">
        <v>47</v>
      </c>
      <c r="K9" s="90"/>
      <c r="L9" s="93">
        <f>General!$A$10</f>
        <v>0</v>
      </c>
      <c r="M9" s="93"/>
      <c r="N9" s="90"/>
      <c r="O9" s="90"/>
      <c r="P9" s="92" t="s">
        <v>1094</v>
      </c>
      <c r="Q9" s="90" t="str">
        <f>CONCATENATE(General!$B$7," ",General!$B$6)</f>
        <v>Nicolay García José Ramos Ramírez</v>
      </c>
    </row>
    <row r="10" spans="1:18" ht="90">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NO OK</v>
      </c>
      <c r="G10" s="90" t="s">
        <v>20</v>
      </c>
      <c r="H10" s="90" t="s">
        <v>28</v>
      </c>
      <c r="I10" s="92" t="s">
        <v>28</v>
      </c>
      <c r="J10" s="90" t="s">
        <v>47</v>
      </c>
      <c r="K10" s="90"/>
      <c r="L10" s="93">
        <f>General!$A$10</f>
        <v>0</v>
      </c>
      <c r="M10" s="93"/>
      <c r="N10" s="90"/>
      <c r="O10" s="90"/>
      <c r="P10" s="92" t="s">
        <v>1095</v>
      </c>
      <c r="Q10" s="90" t="str">
        <f>CONCATENATE(General!$B$7," ",General!$B$6)</f>
        <v>Nicolay García José Ramos Ramírez</v>
      </c>
    </row>
    <row r="11" spans="1:18" ht="33.75">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NO OK</v>
      </c>
      <c r="G11" s="90" t="s">
        <v>20</v>
      </c>
      <c r="H11" s="90" t="s">
        <v>28</v>
      </c>
      <c r="I11" s="92" t="s">
        <v>28</v>
      </c>
      <c r="J11" s="90" t="s">
        <v>47</v>
      </c>
      <c r="K11" s="90"/>
      <c r="L11" s="93">
        <f>General!$A$10</f>
        <v>0</v>
      </c>
      <c r="M11" s="93"/>
      <c r="N11" s="90"/>
      <c r="O11" s="90"/>
      <c r="P11" s="92" t="s">
        <v>1096</v>
      </c>
      <c r="Q11" s="90" t="str">
        <f>CONCATENATE(General!$B$7," ",General!$B$6)</f>
        <v>Nicolay García José Ramos Ramírez</v>
      </c>
    </row>
    <row r="12" spans="1:18" ht="33.75">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NO OK</v>
      </c>
      <c r="G12" s="90" t="s">
        <v>20</v>
      </c>
      <c r="H12" s="90" t="s">
        <v>28</v>
      </c>
      <c r="I12" s="92" t="s">
        <v>28</v>
      </c>
      <c r="J12" s="90" t="s">
        <v>47</v>
      </c>
      <c r="K12" s="90"/>
      <c r="L12" s="93">
        <f>General!$A$10</f>
        <v>0</v>
      </c>
      <c r="M12" s="93"/>
      <c r="N12" s="90"/>
      <c r="O12" s="90"/>
      <c r="P12" s="92" t="s">
        <v>1097</v>
      </c>
      <c r="Q12" s="90" t="str">
        <f>CONCATENATE(General!$B$7," ",General!$B$6)</f>
        <v>Nicolay García José Ramos Ramírez</v>
      </c>
    </row>
    <row r="13" spans="1:18" ht="33.75">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NO OK</v>
      </c>
      <c r="G13" s="90" t="s">
        <v>20</v>
      </c>
      <c r="H13" s="90" t="s">
        <v>28</v>
      </c>
      <c r="I13" s="92" t="s">
        <v>28</v>
      </c>
      <c r="J13" s="90" t="s">
        <v>47</v>
      </c>
      <c r="K13" s="90"/>
      <c r="L13" s="93">
        <f>General!$A$10</f>
        <v>0</v>
      </c>
      <c r="M13" s="93"/>
      <c r="N13" s="90"/>
      <c r="O13" s="90"/>
      <c r="P13" s="92" t="s">
        <v>1098</v>
      </c>
      <c r="Q13" s="90" t="str">
        <f>CONCATENATE(General!$B$7," ",General!$B$6)</f>
        <v>Nicolay García José Ramos Ramírez</v>
      </c>
    </row>
    <row r="14" spans="1:18" ht="33.75">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NO OK</v>
      </c>
      <c r="G14" s="90" t="s">
        <v>20</v>
      </c>
      <c r="H14" s="90" t="s">
        <v>28</v>
      </c>
      <c r="I14" s="92" t="s">
        <v>28</v>
      </c>
      <c r="J14" s="90" t="s">
        <v>47</v>
      </c>
      <c r="K14" s="90"/>
      <c r="L14" s="93">
        <f>General!$A$10</f>
        <v>0</v>
      </c>
      <c r="M14" s="93"/>
      <c r="N14" s="90"/>
      <c r="O14" s="90"/>
      <c r="P14" s="92" t="s">
        <v>1099</v>
      </c>
      <c r="Q14" s="90" t="str">
        <f>CONCATENATE(General!$B$7," ",General!$B$6)</f>
        <v>Nicolay García José Ramos Ramírez</v>
      </c>
    </row>
    <row r="15" spans="1:18" ht="33.75">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NO OK</v>
      </c>
      <c r="G15" s="90" t="s">
        <v>20</v>
      </c>
      <c r="H15" s="90" t="s">
        <v>28</v>
      </c>
      <c r="I15" s="92" t="s">
        <v>28</v>
      </c>
      <c r="J15" s="90" t="s">
        <v>47</v>
      </c>
      <c r="K15" s="90"/>
      <c r="L15" s="93">
        <f>General!$A$10</f>
        <v>0</v>
      </c>
      <c r="M15" s="93"/>
      <c r="N15" s="90"/>
      <c r="O15" s="90"/>
      <c r="P15" s="92" t="s">
        <v>1100</v>
      </c>
      <c r="Q15" s="90" t="str">
        <f>CONCATENATE(General!$B$7," ",General!$B$6)</f>
        <v>Nicolay García José Ramos Ramírez</v>
      </c>
    </row>
    <row r="16" spans="1:18" ht="56.25">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NO OK</v>
      </c>
      <c r="G16" s="90" t="s">
        <v>20</v>
      </c>
      <c r="H16" s="90" t="s">
        <v>28</v>
      </c>
      <c r="I16" s="92" t="s">
        <v>28</v>
      </c>
      <c r="J16" s="90" t="s">
        <v>47</v>
      </c>
      <c r="K16" s="90"/>
      <c r="L16" s="93">
        <f>General!$A$10</f>
        <v>0</v>
      </c>
      <c r="M16" s="93"/>
      <c r="N16" s="90"/>
      <c r="O16" s="90"/>
      <c r="P16" s="92" t="s">
        <v>1101</v>
      </c>
      <c r="Q16" s="90" t="str">
        <f>CONCATENATE(General!$B$7," ",General!$B$6)</f>
        <v>Nicolay García José Ramos Ramírez</v>
      </c>
    </row>
    <row r="17" spans="1:17" ht="67.5">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NO OK</v>
      </c>
      <c r="G17" s="90" t="s">
        <v>20</v>
      </c>
      <c r="H17" s="90" t="s">
        <v>28</v>
      </c>
      <c r="I17" s="92" t="s">
        <v>28</v>
      </c>
      <c r="J17" s="90" t="s">
        <v>47</v>
      </c>
      <c r="K17" s="90"/>
      <c r="L17" s="93">
        <f>General!$A$10</f>
        <v>0</v>
      </c>
      <c r="M17" s="93"/>
      <c r="N17" s="90"/>
      <c r="O17" s="90"/>
      <c r="P17" s="92" t="s">
        <v>1102</v>
      </c>
      <c r="Q17" s="90" t="str">
        <f>CONCATENATE(General!$B$7," ",General!$B$6)</f>
        <v>Nicolay García José Ramos Ramírez</v>
      </c>
    </row>
    <row r="18" spans="1:17" ht="112.5">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NO OK</v>
      </c>
      <c r="G18" s="90" t="s">
        <v>20</v>
      </c>
      <c r="H18" s="90" t="s">
        <v>28</v>
      </c>
      <c r="I18" s="92" t="s">
        <v>28</v>
      </c>
      <c r="J18" s="90" t="s">
        <v>47</v>
      </c>
      <c r="K18" s="90"/>
      <c r="L18" s="93">
        <f>General!$A$10</f>
        <v>0</v>
      </c>
      <c r="M18" s="93"/>
      <c r="N18" s="90"/>
      <c r="O18" s="90"/>
      <c r="P18" s="92" t="s">
        <v>1103</v>
      </c>
      <c r="Q18" s="90" t="str">
        <f>CONCATENATE(General!$B$7," ",General!$B$6)</f>
        <v>Nicolay García José Ramos Ramírez</v>
      </c>
    </row>
    <row r="19" spans="1:17" ht="67.5">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NO OK</v>
      </c>
      <c r="G19" s="90" t="s">
        <v>20</v>
      </c>
      <c r="H19" s="90" t="s">
        <v>28</v>
      </c>
      <c r="I19" s="92" t="s">
        <v>28</v>
      </c>
      <c r="J19" s="90" t="s">
        <v>47</v>
      </c>
      <c r="K19" s="90"/>
      <c r="L19" s="93">
        <f>General!$A$10</f>
        <v>0</v>
      </c>
      <c r="M19" s="93"/>
      <c r="N19" s="90"/>
      <c r="O19" s="90"/>
      <c r="P19" s="92" t="s">
        <v>1104</v>
      </c>
      <c r="Q19" s="90" t="str">
        <f>CONCATENATE(General!$B$7," ",General!$B$6)</f>
        <v>Nicolay García José Ramos Ramírez</v>
      </c>
    </row>
    <row r="20" spans="1:17" ht="56.25">
      <c r="A20" s="90" t="s">
        <v>159</v>
      </c>
      <c r="B20" s="167" t="s">
        <v>487</v>
      </c>
      <c r="C20" s="90" t="s">
        <v>170</v>
      </c>
      <c r="D20" s="168" t="s">
        <v>490</v>
      </c>
      <c r="E20" s="90" t="s">
        <v>160</v>
      </c>
      <c r="F20" s="169" t="str">
        <f>IF(CasoPrueba[[#This Row],[Estado Testing]]=Resumen!$P$28,"OK",IF(CasoPrueba[[#This Row],[Estado Testing]]=Resumen!$P$29,"NO OK",IF((CasoPrueba[[#This Row],[Estado Testing]]=Resumen!$P$30)+(CasoPrueba[[#This Row],[Estado Testing]]=Resumen!$P$31),"OBSERVADO","")))</f>
        <v>OK</v>
      </c>
      <c r="G20" s="170" t="s">
        <v>19</v>
      </c>
      <c r="H20" s="90" t="s">
        <v>28</v>
      </c>
      <c r="I20" s="170"/>
      <c r="J20" s="167"/>
      <c r="K20" s="167"/>
      <c r="L20" s="171">
        <f>General!$A$10</f>
        <v>0</v>
      </c>
      <c r="M20" s="171"/>
      <c r="N20" s="167"/>
      <c r="O20" s="167"/>
      <c r="P20" s="170" t="s">
        <v>881</v>
      </c>
      <c r="Q20" s="90" t="str">
        <f>CONCATENATE(General!$B$7," ",General!$B$6)</f>
        <v>Nicolay García José Ramos Ramírez</v>
      </c>
    </row>
    <row r="21" spans="1:17" ht="56.25">
      <c r="A21" s="90" t="s">
        <v>159</v>
      </c>
      <c r="B21" s="167" t="s">
        <v>488</v>
      </c>
      <c r="C21" s="90" t="s">
        <v>170</v>
      </c>
      <c r="D21" s="31" t="s">
        <v>492</v>
      </c>
      <c r="E21" s="90" t="s">
        <v>160</v>
      </c>
      <c r="F21" s="91" t="str">
        <f>IF(CasoPrueba[[#This Row],[Estado Testing]]=Resumen!$P$28,"OK",IF(CasoPrueba[[#This Row],[Estado Testing]]=Resumen!$P$29,"NO OK",IF((CasoPrueba[[#This Row],[Estado Testing]]=Resumen!$P$30)+(CasoPrueba[[#This Row],[Estado Testing]]=Resumen!$P$31),"OBSERVADO","")))</f>
        <v>OK</v>
      </c>
      <c r="G21" s="92" t="s">
        <v>19</v>
      </c>
      <c r="H21" s="90" t="s">
        <v>28</v>
      </c>
      <c r="I21" s="92"/>
      <c r="J21" s="90"/>
      <c r="K21" s="90"/>
      <c r="L21" s="93">
        <f>General!$A$10</f>
        <v>0</v>
      </c>
      <c r="M21" s="93"/>
      <c r="N21" s="90"/>
      <c r="O21" s="90"/>
      <c r="P21" s="92" t="s">
        <v>882</v>
      </c>
      <c r="Q21" s="90" t="str">
        <f>CONCATENATE(General!$B$7," ",General!$B$6)</f>
        <v>Nicolay García José Ramos Ramírez</v>
      </c>
    </row>
    <row r="22" spans="1:17" ht="33.75">
      <c r="A22" s="90" t="s">
        <v>159</v>
      </c>
      <c r="B22" s="167" t="s">
        <v>489</v>
      </c>
      <c r="C22" s="90" t="s">
        <v>170</v>
      </c>
      <c r="D22" s="31" t="s">
        <v>491</v>
      </c>
      <c r="E22" s="90" t="s">
        <v>160</v>
      </c>
      <c r="F22" s="91" t="str">
        <f>IF(CasoPrueba[[#This Row],[Estado Testing]]=Resumen!$P$28,"OK",IF(CasoPrueba[[#This Row],[Estado Testing]]=Resumen!$P$29,"NO OK",IF((CasoPrueba[[#This Row],[Estado Testing]]=Resumen!$P$30)+(CasoPrueba[[#This Row],[Estado Testing]]=Resumen!$P$31),"OBSERVADO","")))</f>
        <v>OK</v>
      </c>
      <c r="G22" s="92" t="s">
        <v>19</v>
      </c>
      <c r="H22" s="90" t="s">
        <v>28</v>
      </c>
      <c r="I22" s="92"/>
      <c r="J22" s="90"/>
      <c r="K22" s="90"/>
      <c r="L22" s="93">
        <f>General!$A$10</f>
        <v>0</v>
      </c>
      <c r="M22" s="93"/>
      <c r="N22" s="90"/>
      <c r="O22" s="90"/>
      <c r="P22" s="92" t="s">
        <v>1031</v>
      </c>
      <c r="Q22" s="90" t="str">
        <f>CONCATENATE(General!$B$7," ",General!$B$6)</f>
        <v>Nicolay García José Ramos Ramírez</v>
      </c>
    </row>
    <row r="23" spans="1:17" ht="33.75">
      <c r="A23" s="90" t="s">
        <v>159</v>
      </c>
      <c r="B23" s="167" t="s">
        <v>614</v>
      </c>
      <c r="C23" s="90" t="s">
        <v>170</v>
      </c>
      <c r="D23" s="31" t="s">
        <v>615</v>
      </c>
      <c r="E23" s="90" t="s">
        <v>160</v>
      </c>
      <c r="F23" s="91" t="str">
        <f>IF(CasoPrueba[[#This Row],[Estado Testing]]=Resumen!$P$28,"OK",IF(CasoPrueba[[#This Row],[Estado Testing]]=Resumen!$P$29,"NO OK",IF((CasoPrueba[[#This Row],[Estado Testing]]=Resumen!$P$30)+(CasoPrueba[[#This Row],[Estado Testing]]=Resumen!$P$31),"OBSERVADO","")))</f>
        <v>NO OK</v>
      </c>
      <c r="G23" s="92" t="s">
        <v>20</v>
      </c>
      <c r="H23" s="90" t="s">
        <v>28</v>
      </c>
      <c r="I23" s="92" t="s">
        <v>30</v>
      </c>
      <c r="J23" s="90" t="s">
        <v>47</v>
      </c>
      <c r="K23" s="90"/>
      <c r="L23" s="93">
        <f>General!$A$10</f>
        <v>0</v>
      </c>
      <c r="M23" s="93"/>
      <c r="N23" s="90"/>
      <c r="O23" s="90"/>
      <c r="P23" s="92" t="s">
        <v>1064</v>
      </c>
      <c r="Q23" s="90" t="str">
        <f>CONCATENATE(General!$B$7," ",General!$B$6)</f>
        <v>Nicolay García José Ramos Ramírez</v>
      </c>
    </row>
    <row r="24" spans="1:17" ht="112.5">
      <c r="A24" s="90" t="s">
        <v>159</v>
      </c>
      <c r="B24" s="167" t="s">
        <v>616</v>
      </c>
      <c r="C24" s="90" t="s">
        <v>170</v>
      </c>
      <c r="D24" s="31" t="s">
        <v>620</v>
      </c>
      <c r="E24" s="90" t="s">
        <v>160</v>
      </c>
      <c r="F24" s="91" t="str">
        <f>IF(CasoPrueba[[#This Row],[Estado Testing]]=Resumen!$P$28,"OK",IF(CasoPrueba[[#This Row],[Estado Testing]]=Resumen!$P$29,"NO OK",IF((CasoPrueba[[#This Row],[Estado Testing]]=Resumen!$P$30)+(CasoPrueba[[#This Row],[Estado Testing]]=Resumen!$P$31),"OBSERVADO","")))</f>
        <v>OK</v>
      </c>
      <c r="G24" s="92" t="s">
        <v>19</v>
      </c>
      <c r="H24" s="90" t="s">
        <v>28</v>
      </c>
      <c r="I24" s="92"/>
      <c r="J24" s="90"/>
      <c r="K24" s="90"/>
      <c r="L24" s="93">
        <f>General!$A$10</f>
        <v>0</v>
      </c>
      <c r="M24" s="93"/>
      <c r="N24" s="90"/>
      <c r="O24" s="90"/>
      <c r="P24" s="92" t="s">
        <v>883</v>
      </c>
      <c r="Q24" s="90" t="str">
        <f>CONCATENATE(General!$B$7," ",General!$B$6)</f>
        <v>Nicolay García José Ramos Ramírez</v>
      </c>
    </row>
    <row r="25" spans="1:17" ht="33.75">
      <c r="A25" s="90" t="s">
        <v>159</v>
      </c>
      <c r="B25" s="167" t="s">
        <v>617</v>
      </c>
      <c r="C25" s="90" t="s">
        <v>170</v>
      </c>
      <c r="D25" s="31" t="s">
        <v>621</v>
      </c>
      <c r="E25" s="90" t="s">
        <v>160</v>
      </c>
      <c r="F25" s="91" t="str">
        <f>IF(CasoPrueba[[#This Row],[Estado Testing]]=Resumen!$P$28,"OK",IF(CasoPrueba[[#This Row],[Estado Testing]]=Resumen!$P$29,"NO OK",IF((CasoPrueba[[#This Row],[Estado Testing]]=Resumen!$P$30)+(CasoPrueba[[#This Row],[Estado Testing]]=Resumen!$P$31),"OBSERVADO","")))</f>
        <v>OK</v>
      </c>
      <c r="G25" s="92" t="s">
        <v>19</v>
      </c>
      <c r="H25" s="90" t="s">
        <v>28</v>
      </c>
      <c r="I25" s="92"/>
      <c r="J25" s="90"/>
      <c r="K25" s="90"/>
      <c r="L25" s="93">
        <f>General!$A$10</f>
        <v>0</v>
      </c>
      <c r="M25" s="93"/>
      <c r="N25" s="90"/>
      <c r="O25" s="90"/>
      <c r="P25" s="92" t="s">
        <v>884</v>
      </c>
      <c r="Q25" s="90" t="str">
        <f>CONCATENATE(General!$B$7," ",General!$B$6)</f>
        <v>Nicolay García José Ramos Ramírez</v>
      </c>
    </row>
    <row r="26" spans="1:17" ht="33.75">
      <c r="A26" s="90" t="s">
        <v>159</v>
      </c>
      <c r="B26" s="167" t="s">
        <v>618</v>
      </c>
      <c r="C26" s="90" t="s">
        <v>170</v>
      </c>
      <c r="D26" s="31" t="s">
        <v>622</v>
      </c>
      <c r="E26" s="90" t="s">
        <v>160</v>
      </c>
      <c r="F26" s="91" t="str">
        <f>IF(CasoPrueba[[#This Row],[Estado Testing]]=Resumen!$P$28,"OK",IF(CasoPrueba[[#This Row],[Estado Testing]]=Resumen!$P$29,"NO OK",IF((CasoPrueba[[#This Row],[Estado Testing]]=Resumen!$P$30)+(CasoPrueba[[#This Row],[Estado Testing]]=Resumen!$P$31),"OBSERVADO","")))</f>
        <v>OK</v>
      </c>
      <c r="G26" s="92" t="s">
        <v>19</v>
      </c>
      <c r="H26" s="90" t="s">
        <v>28</v>
      </c>
      <c r="I26" s="92"/>
      <c r="J26" s="90"/>
      <c r="K26" s="90"/>
      <c r="L26" s="93">
        <f>General!$A$10</f>
        <v>0</v>
      </c>
      <c r="M26" s="93"/>
      <c r="N26" s="90"/>
      <c r="O26" s="90"/>
      <c r="P26" s="92" t="s">
        <v>885</v>
      </c>
      <c r="Q26" s="90" t="str">
        <f>CONCATENATE(General!$B$7," ",General!$B$6)</f>
        <v>Nicolay García José Ramos Ramírez</v>
      </c>
    </row>
    <row r="27" spans="1:17" ht="22.5">
      <c r="A27" s="90" t="s">
        <v>159</v>
      </c>
      <c r="B27" s="167" t="s">
        <v>619</v>
      </c>
      <c r="C27" s="90" t="s">
        <v>170</v>
      </c>
      <c r="D27" s="31" t="s">
        <v>623</v>
      </c>
      <c r="E27" s="90" t="s">
        <v>160</v>
      </c>
      <c r="F27" s="91" t="str">
        <f>IF(CasoPrueba[[#This Row],[Estado Testing]]=Resumen!$P$28,"OK",IF(CasoPrueba[[#This Row],[Estado Testing]]=Resumen!$P$29,"NO OK",IF((CasoPrueba[[#This Row],[Estado Testing]]=Resumen!$P$30)+(CasoPrueba[[#This Row],[Estado Testing]]=Resumen!$P$31),"OBSERVADO","")))</f>
        <v>NO OK</v>
      </c>
      <c r="G27" s="92" t="s">
        <v>20</v>
      </c>
      <c r="H27" s="90" t="s">
        <v>28</v>
      </c>
      <c r="I27" s="92" t="s">
        <v>162</v>
      </c>
      <c r="J27" s="90" t="s">
        <v>47</v>
      </c>
      <c r="K27" s="90"/>
      <c r="L27" s="93">
        <f>General!$A$10</f>
        <v>0</v>
      </c>
      <c r="M27" s="93"/>
      <c r="N27" s="90"/>
      <c r="O27" s="90"/>
      <c r="P27" s="92" t="s">
        <v>1065</v>
      </c>
      <c r="Q27" s="90" t="str">
        <f>CONCATENATE(General!$B$7," ",General!$B$6)</f>
        <v>Nicolay García José Ramos Ramírez</v>
      </c>
    </row>
    <row r="28" spans="1:17" ht="22.5">
      <c r="A28" s="90" t="s">
        <v>159</v>
      </c>
      <c r="B28" s="167" t="s">
        <v>653</v>
      </c>
      <c r="C28" s="90" t="s">
        <v>170</v>
      </c>
      <c r="D28" s="31" t="s">
        <v>655</v>
      </c>
      <c r="E28" s="90" t="s">
        <v>160</v>
      </c>
      <c r="F28" s="91" t="str">
        <f>IF(CasoPrueba[[#This Row],[Estado Testing]]=Resumen!$P$28,"OK",IF(CasoPrueba[[#This Row],[Estado Testing]]=Resumen!$P$29,"NO OK",IF((CasoPrueba[[#This Row],[Estado Testing]]=Resumen!$P$30)+(CasoPrueba[[#This Row],[Estado Testing]]=Resumen!$P$31),"OBSERVADO","")))</f>
        <v>NO OK</v>
      </c>
      <c r="G28" s="92" t="s">
        <v>20</v>
      </c>
      <c r="H28" s="90" t="s">
        <v>28</v>
      </c>
      <c r="I28" s="92" t="s">
        <v>162</v>
      </c>
      <c r="J28" s="90" t="s">
        <v>47</v>
      </c>
      <c r="K28" s="90"/>
      <c r="L28" s="93">
        <f>General!$A$10</f>
        <v>0</v>
      </c>
      <c r="M28" s="93"/>
      <c r="N28" s="90"/>
      <c r="O28" s="90"/>
      <c r="P28" s="92" t="s">
        <v>1066</v>
      </c>
      <c r="Q28" s="90" t="str">
        <f>CONCATENATE(General!$B$7," ",General!$B$6)</f>
        <v>Nicolay García José Ramos Ramírez</v>
      </c>
    </row>
    <row r="29" spans="1:17" ht="56.25">
      <c r="A29" s="90" t="s">
        <v>159</v>
      </c>
      <c r="B29" s="167" t="s">
        <v>654</v>
      </c>
      <c r="C29" s="90" t="s">
        <v>170</v>
      </c>
      <c r="D29" s="31" t="s">
        <v>656</v>
      </c>
      <c r="E29" s="90" t="s">
        <v>160</v>
      </c>
      <c r="F29" s="91" t="str">
        <f>IF(CasoPrueba[[#This Row],[Estado Testing]]=Resumen!$P$28,"OK",IF(CasoPrueba[[#This Row],[Estado Testing]]=Resumen!$P$29,"NO OK",IF((CasoPrueba[[#This Row],[Estado Testing]]=Resumen!$P$30)+(CasoPrueba[[#This Row],[Estado Testing]]=Resumen!$P$31),"OBSERVADO","")))</f>
        <v>OK</v>
      </c>
      <c r="G29" s="92" t="s">
        <v>19</v>
      </c>
      <c r="H29" s="90" t="s">
        <v>28</v>
      </c>
      <c r="I29" s="92"/>
      <c r="J29" s="90"/>
      <c r="K29" s="90"/>
      <c r="L29" s="93">
        <f>General!$A$10</f>
        <v>0</v>
      </c>
      <c r="M29" s="93"/>
      <c r="N29" s="90"/>
      <c r="O29" s="90"/>
      <c r="P29" s="92" t="s">
        <v>886</v>
      </c>
      <c r="Q29" s="90" t="str">
        <f>CONCATENATE(General!$B$7," ",General!$B$6)</f>
        <v>Nicolay García José Ramos Ramírez</v>
      </c>
    </row>
    <row r="30" spans="1:17" ht="33.75">
      <c r="A30" s="90" t="s">
        <v>159</v>
      </c>
      <c r="B30" s="167" t="s">
        <v>887</v>
      </c>
      <c r="C30" s="90" t="s">
        <v>170</v>
      </c>
      <c r="D30" s="31" t="s">
        <v>894</v>
      </c>
      <c r="E30" s="90" t="s">
        <v>160</v>
      </c>
      <c r="F30" s="91" t="str">
        <f>IF(CasoPrueba[[#This Row],[Estado Testing]]=Resumen!$P$28,"OK",IF(CasoPrueba[[#This Row],[Estado Testing]]=Resumen!$P$29,"NO OK",IF((CasoPrueba[[#This Row],[Estado Testing]]=Resumen!$P$30)+(CasoPrueba[[#This Row],[Estado Testing]]=Resumen!$P$31),"OBSERVADO","")))</f>
        <v>NO OK</v>
      </c>
      <c r="G30" s="92" t="s">
        <v>20</v>
      </c>
      <c r="H30" s="90" t="s">
        <v>28</v>
      </c>
      <c r="I30" s="92" t="s">
        <v>30</v>
      </c>
      <c r="J30" s="90" t="s">
        <v>47</v>
      </c>
      <c r="K30" s="90"/>
      <c r="L30" s="93">
        <f>General!$A$10</f>
        <v>0</v>
      </c>
      <c r="M30" s="93"/>
      <c r="N30" s="90"/>
      <c r="O30" s="90"/>
      <c r="P30" s="92" t="s">
        <v>1039</v>
      </c>
      <c r="Q30" s="90" t="str">
        <f>CONCATENATE(General!$B$7," ",General!$B$6)</f>
        <v>Nicolay García José Ramos Ramírez</v>
      </c>
    </row>
    <row r="31" spans="1:17" ht="30">
      <c r="A31" s="90" t="s">
        <v>159</v>
      </c>
      <c r="B31" s="167" t="s">
        <v>888</v>
      </c>
      <c r="C31" s="90" t="s">
        <v>170</v>
      </c>
      <c r="D31" s="31" t="s">
        <v>895</v>
      </c>
      <c r="E31" s="90" t="s">
        <v>160</v>
      </c>
      <c r="F31" s="91" t="str">
        <f>IF(CasoPrueba[[#This Row],[Estado Testing]]=Resumen!$P$28,"OK",IF(CasoPrueba[[#This Row],[Estado Testing]]=Resumen!$P$29,"NO OK",IF((CasoPrueba[[#This Row],[Estado Testing]]=Resumen!$P$30)+(CasoPrueba[[#This Row],[Estado Testing]]=Resumen!$P$31),"OBSERVADO","")))</f>
        <v>NO OK</v>
      </c>
      <c r="G31" s="92" t="s">
        <v>20</v>
      </c>
      <c r="H31" s="90" t="s">
        <v>28</v>
      </c>
      <c r="I31" s="92" t="s">
        <v>30</v>
      </c>
      <c r="J31" s="90" t="s">
        <v>47</v>
      </c>
      <c r="K31" s="90"/>
      <c r="L31" s="93">
        <f>General!$A$10</f>
        <v>0</v>
      </c>
      <c r="M31" s="93"/>
      <c r="N31" s="90"/>
      <c r="O31" s="90"/>
      <c r="P31" s="92" t="s">
        <v>1040</v>
      </c>
      <c r="Q31" s="90" t="str">
        <f>CONCATENATE(General!$B$7," ",General!$B$6)</f>
        <v>Nicolay García José Ramos Ramírez</v>
      </c>
    </row>
    <row r="32" spans="1:17" ht="56.25">
      <c r="A32" s="90" t="s">
        <v>159</v>
      </c>
      <c r="B32" s="167" t="s">
        <v>889</v>
      </c>
      <c r="C32" s="90" t="s">
        <v>170</v>
      </c>
      <c r="D32" s="31" t="s">
        <v>896</v>
      </c>
      <c r="E32" s="90" t="s">
        <v>160</v>
      </c>
      <c r="F32" s="91" t="str">
        <f>IF(CasoPrueba[[#This Row],[Estado Testing]]=Resumen!$P$28,"OK",IF(CasoPrueba[[#This Row],[Estado Testing]]=Resumen!$P$29,"NO OK",IF((CasoPrueba[[#This Row],[Estado Testing]]=Resumen!$P$30)+(CasoPrueba[[#This Row],[Estado Testing]]=Resumen!$P$31),"OBSERVADO","")))</f>
        <v>NO OK</v>
      </c>
      <c r="G32" s="92" t="s">
        <v>20</v>
      </c>
      <c r="H32" s="90" t="s">
        <v>28</v>
      </c>
      <c r="I32" s="92" t="s">
        <v>30</v>
      </c>
      <c r="J32" s="90" t="s">
        <v>47</v>
      </c>
      <c r="K32" s="90"/>
      <c r="L32" s="93">
        <f>General!$A$10</f>
        <v>0</v>
      </c>
      <c r="M32" s="93"/>
      <c r="N32" s="90"/>
      <c r="O32" s="90"/>
      <c r="P32" s="92" t="s">
        <v>1067</v>
      </c>
      <c r="Q32" s="90" t="str">
        <f>CONCATENATE(General!$B$7," ",General!$B$6)</f>
        <v>Nicolay García José Ramos Ramírez</v>
      </c>
    </row>
    <row r="33" spans="1:17" ht="168.75">
      <c r="A33" s="90" t="s">
        <v>159</v>
      </c>
      <c r="B33" s="167" t="s">
        <v>890</v>
      </c>
      <c r="C33" s="90" t="s">
        <v>170</v>
      </c>
      <c r="D33" s="31" t="s">
        <v>897</v>
      </c>
      <c r="E33" s="90" t="s">
        <v>160</v>
      </c>
      <c r="F33" s="91" t="str">
        <f>IF(CasoPrueba[[#This Row],[Estado Testing]]=Resumen!$P$28,"OK",IF(CasoPrueba[[#This Row],[Estado Testing]]=Resumen!$P$29,"NO OK",IF((CasoPrueba[[#This Row],[Estado Testing]]=Resumen!$P$30)+(CasoPrueba[[#This Row],[Estado Testing]]=Resumen!$P$31),"OBSERVADO","")))</f>
        <v>OK</v>
      </c>
      <c r="G33" s="92" t="s">
        <v>19</v>
      </c>
      <c r="H33" s="90" t="s">
        <v>28</v>
      </c>
      <c r="I33" s="92"/>
      <c r="J33" s="90"/>
      <c r="K33" s="90"/>
      <c r="L33" s="93">
        <f>General!$A$10</f>
        <v>0</v>
      </c>
      <c r="M33" s="93"/>
      <c r="N33" s="90"/>
      <c r="O33" s="90"/>
      <c r="P33" s="92" t="s">
        <v>952</v>
      </c>
      <c r="Q33" s="90" t="str">
        <f>CONCATENATE(General!$B$7," ",General!$B$6)</f>
        <v>Nicolay García José Ramos Ramírez</v>
      </c>
    </row>
    <row r="34" spans="1:17" ht="33.75">
      <c r="A34" s="90" t="s">
        <v>159</v>
      </c>
      <c r="B34" s="167" t="s">
        <v>891</v>
      </c>
      <c r="C34" s="90" t="s">
        <v>170</v>
      </c>
      <c r="D34" s="31" t="s">
        <v>898</v>
      </c>
      <c r="E34" s="90" t="s">
        <v>160</v>
      </c>
      <c r="F34" s="91" t="str">
        <f>IF(CasoPrueba[[#This Row],[Estado Testing]]=Resumen!$P$28,"OK",IF(CasoPrueba[[#This Row],[Estado Testing]]=Resumen!$P$29,"NO OK",IF((CasoPrueba[[#This Row],[Estado Testing]]=Resumen!$P$30)+(CasoPrueba[[#This Row],[Estado Testing]]=Resumen!$P$31),"OBSERVADO","")))</f>
        <v>NO OK</v>
      </c>
      <c r="G34" s="92" t="s">
        <v>20</v>
      </c>
      <c r="H34" s="90" t="s">
        <v>28</v>
      </c>
      <c r="I34" s="92" t="s">
        <v>162</v>
      </c>
      <c r="J34" s="90" t="s">
        <v>47</v>
      </c>
      <c r="K34" s="90"/>
      <c r="L34" s="93">
        <f>General!$A$10</f>
        <v>0</v>
      </c>
      <c r="M34" s="93"/>
      <c r="N34" s="90"/>
      <c r="O34" s="90"/>
      <c r="P34" s="92" t="s">
        <v>1041</v>
      </c>
      <c r="Q34" s="90" t="str">
        <f>CONCATENATE(General!$B$7," ",General!$B$6)</f>
        <v>Nicolay García José Ramos Ramírez</v>
      </c>
    </row>
    <row r="35" spans="1:17" ht="180">
      <c r="A35" s="90" t="s">
        <v>159</v>
      </c>
      <c r="B35" s="167" t="s">
        <v>892</v>
      </c>
      <c r="C35" s="90" t="s">
        <v>170</v>
      </c>
      <c r="D35" s="31" t="s">
        <v>899</v>
      </c>
      <c r="E35" s="90" t="s">
        <v>160</v>
      </c>
      <c r="F35" s="91" t="str">
        <f>IF(CasoPrueba[[#This Row],[Estado Testing]]=Resumen!$P$28,"OK",IF(CasoPrueba[[#This Row],[Estado Testing]]=Resumen!$P$29,"NO OK",IF((CasoPrueba[[#This Row],[Estado Testing]]=Resumen!$P$30)+(CasoPrueba[[#This Row],[Estado Testing]]=Resumen!$P$31),"OBSERVADO","")))</f>
        <v>OK</v>
      </c>
      <c r="G35" s="92" t="s">
        <v>19</v>
      </c>
      <c r="H35" s="90" t="s">
        <v>28</v>
      </c>
      <c r="I35" s="92"/>
      <c r="J35" s="90"/>
      <c r="K35" s="90"/>
      <c r="L35" s="93">
        <f>General!$A$10</f>
        <v>0</v>
      </c>
      <c r="M35" s="93"/>
      <c r="N35" s="90"/>
      <c r="O35" s="90"/>
      <c r="P35" s="92" t="s">
        <v>953</v>
      </c>
      <c r="Q35" s="90" t="str">
        <f>CONCATENATE(General!$B$7," ",General!$B$6)</f>
        <v>Nicolay García José Ramos Ramírez</v>
      </c>
    </row>
    <row r="36" spans="1:17" ht="168.75">
      <c r="A36" s="90" t="s">
        <v>159</v>
      </c>
      <c r="B36" s="167" t="s">
        <v>893</v>
      </c>
      <c r="C36" s="90" t="s">
        <v>170</v>
      </c>
      <c r="D36" s="31" t="s">
        <v>900</v>
      </c>
      <c r="E36" s="90" t="s">
        <v>160</v>
      </c>
      <c r="F36" s="91" t="str">
        <f>IF(CasoPrueba[[#This Row],[Estado Testing]]=Resumen!$P$28,"OK",IF(CasoPrueba[[#This Row],[Estado Testing]]=Resumen!$P$29,"NO OK",IF((CasoPrueba[[#This Row],[Estado Testing]]=Resumen!$P$30)+(CasoPrueba[[#This Row],[Estado Testing]]=Resumen!$P$31),"OBSERVADO","")))</f>
        <v>OK</v>
      </c>
      <c r="G36" s="92" t="s">
        <v>19</v>
      </c>
      <c r="H36" s="90" t="s">
        <v>28</v>
      </c>
      <c r="I36" s="92"/>
      <c r="J36" s="90"/>
      <c r="K36" s="90"/>
      <c r="L36" s="93">
        <f>General!$A$10</f>
        <v>0</v>
      </c>
      <c r="M36" s="93"/>
      <c r="N36" s="90"/>
      <c r="O36" s="90"/>
      <c r="P36" s="92" t="s">
        <v>954</v>
      </c>
      <c r="Q36" s="90" t="str">
        <f>CONCATENATE(General!$B$7," ",General!$B$6)</f>
        <v>Nicolay García José Ramos Ramírez</v>
      </c>
    </row>
    <row r="37" spans="1:17" ht="202.5">
      <c r="A37" s="90" t="s">
        <v>159</v>
      </c>
      <c r="B37" s="167" t="s">
        <v>904</v>
      </c>
      <c r="C37" s="90" t="s">
        <v>170</v>
      </c>
      <c r="D37" s="168" t="s">
        <v>901</v>
      </c>
      <c r="E37" s="90" t="s">
        <v>160</v>
      </c>
      <c r="F37" s="91" t="str">
        <f>IF(CasoPrueba[[#This Row],[Estado Testing]]=Resumen!$P$28,"OK",IF(CasoPrueba[[#This Row],[Estado Testing]]=Resumen!$P$29,"NO OK",IF((CasoPrueba[[#This Row],[Estado Testing]]=Resumen!$P$30)+(CasoPrueba[[#This Row],[Estado Testing]]=Resumen!$P$31),"OBSERVADO","")))</f>
        <v>OK</v>
      </c>
      <c r="G37" s="92" t="s">
        <v>19</v>
      </c>
      <c r="H37" s="90" t="s">
        <v>28</v>
      </c>
      <c r="I37" s="92"/>
      <c r="J37" s="90"/>
      <c r="K37" s="167"/>
      <c r="L37" s="171">
        <f>General!$A$10</f>
        <v>0</v>
      </c>
      <c r="M37" s="171"/>
      <c r="N37" s="167"/>
      <c r="O37" s="167"/>
      <c r="P37" s="170" t="s">
        <v>1022</v>
      </c>
      <c r="Q37" s="90" t="str">
        <f>CONCATENATE(General!$B$7," ",General!$B$6)</f>
        <v>Nicolay García José Ramos Ramírez</v>
      </c>
    </row>
    <row r="38" spans="1:17" ht="202.5">
      <c r="A38" s="90" t="s">
        <v>159</v>
      </c>
      <c r="B38" s="167" t="s">
        <v>905</v>
      </c>
      <c r="C38" s="90" t="s">
        <v>170</v>
      </c>
      <c r="D38" s="168" t="s">
        <v>902</v>
      </c>
      <c r="E38" s="90" t="s">
        <v>160</v>
      </c>
      <c r="F38" s="91" t="str">
        <f>IF(CasoPrueba[[#This Row],[Estado Testing]]=Resumen!$P$28,"OK",IF(CasoPrueba[[#This Row],[Estado Testing]]=Resumen!$P$29,"NO OK",IF((CasoPrueba[[#This Row],[Estado Testing]]=Resumen!$P$30)+(CasoPrueba[[#This Row],[Estado Testing]]=Resumen!$P$31),"OBSERVADO","")))</f>
        <v>OK</v>
      </c>
      <c r="G38" s="92" t="s">
        <v>19</v>
      </c>
      <c r="H38" s="90" t="s">
        <v>28</v>
      </c>
      <c r="I38" s="92"/>
      <c r="J38" s="90"/>
      <c r="K38" s="167"/>
      <c r="L38" s="171">
        <f>General!$A$10</f>
        <v>0</v>
      </c>
      <c r="M38" s="171"/>
      <c r="N38" s="167"/>
      <c r="O38" s="167"/>
      <c r="P38" s="170" t="s">
        <v>1023</v>
      </c>
      <c r="Q38" s="90" t="str">
        <f>CONCATENATE(General!$B$7," ",General!$B$6)</f>
        <v>Nicolay García José Ramos Ramírez</v>
      </c>
    </row>
    <row r="39" spans="1:17" ht="90">
      <c r="A39" s="90" t="s">
        <v>159</v>
      </c>
      <c r="B39" s="167" t="s">
        <v>906</v>
      </c>
      <c r="C39" s="90" t="s">
        <v>170</v>
      </c>
      <c r="D39" s="168" t="s">
        <v>903</v>
      </c>
      <c r="E39" s="90" t="s">
        <v>160</v>
      </c>
      <c r="F39" s="91" t="str">
        <f>IF(CasoPrueba[[#This Row],[Estado Testing]]=Resumen!$P$28,"OK",IF(CasoPrueba[[#This Row],[Estado Testing]]=Resumen!$P$29,"NO OK",IF((CasoPrueba[[#This Row],[Estado Testing]]=Resumen!$P$30)+(CasoPrueba[[#This Row],[Estado Testing]]=Resumen!$P$31),"OBSERVADO","")))</f>
        <v>OK</v>
      </c>
      <c r="G39" s="92" t="s">
        <v>19</v>
      </c>
      <c r="H39" s="90" t="s">
        <v>28</v>
      </c>
      <c r="I39" s="92"/>
      <c r="J39" s="90"/>
      <c r="K39" s="167"/>
      <c r="L39" s="171">
        <f>General!$A$10</f>
        <v>0</v>
      </c>
      <c r="M39" s="171"/>
      <c r="N39" s="167"/>
      <c r="O39" s="167"/>
      <c r="P39" s="170" t="s">
        <v>1024</v>
      </c>
      <c r="Q39" s="90" t="str">
        <f>CONCATENATE(General!$B$7," ",General!$B$6)</f>
        <v>Nicolay García José Ramos Ramírez</v>
      </c>
    </row>
    <row r="40" spans="1:17" ht="22.5">
      <c r="A40" s="167" t="s">
        <v>159</v>
      </c>
      <c r="B40" s="167" t="s">
        <v>906</v>
      </c>
      <c r="C40" s="90" t="s">
        <v>170</v>
      </c>
      <c r="D40" s="168" t="s">
        <v>1105</v>
      </c>
      <c r="E40" s="90" t="s">
        <v>160</v>
      </c>
      <c r="F40" s="91" t="str">
        <f>IF(CasoPrueba[[#This Row],[Estado Testing]]=Resumen!$P$28,"OK",IF(CasoPrueba[[#This Row],[Estado Testing]]=Resumen!$P$29,"NO OK",IF((CasoPrueba[[#This Row],[Estado Testing]]=Resumen!$P$30)+(CasoPrueba[[#This Row],[Estado Testing]]=Resumen!$P$31),"OBSERVADO","")))</f>
        <v/>
      </c>
      <c r="G40" s="92" t="s">
        <v>22</v>
      </c>
      <c r="H40" s="90" t="s">
        <v>28</v>
      </c>
      <c r="I40" s="92"/>
      <c r="J40" s="90"/>
      <c r="K40" s="167"/>
      <c r="L40" s="171">
        <f>General!$A$10</f>
        <v>0</v>
      </c>
      <c r="M40" s="171"/>
      <c r="N40" s="167"/>
      <c r="O40" s="167"/>
      <c r="P40" s="170"/>
      <c r="Q40" s="90"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Resumen!$P$27:$P$32</xm:f>
          </x14:formula1>
          <xm:sqref>G5:G39</xm:sqref>
        </x14:dataValidation>
        <x14:dataValidation type="list" allowBlank="1" showInputMessage="1" showErrorMessage="1">
          <x14:formula1>
            <xm:f>Resumen!$P$17:$P$19</xm:f>
          </x14:formula1>
          <xm:sqref>H5:H39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N372"/>
  <sheetViews>
    <sheetView tabSelected="1" zoomScale="85" zoomScaleNormal="85" workbookViewId="0">
      <selection activeCell="J342" sqref="J342"/>
    </sheetView>
  </sheetViews>
  <sheetFormatPr baseColWidth="10" defaultColWidth="0" defaultRowHeight="15"/>
  <cols>
    <col min="1" max="1" width="12.7109375" style="72" customWidth="1"/>
    <col min="2" max="5" width="12.7109375" style="34" customWidth="1"/>
    <col min="6" max="7" width="12.7109375" style="73" customWidth="1"/>
    <col min="8" max="8" width="13.28515625" style="94" customWidth="1"/>
    <col min="9" max="9" width="41.5703125" style="34" customWidth="1"/>
    <col min="10" max="10" width="40.42578125" style="34" customWidth="1"/>
    <col min="11" max="11" width="12.7109375" style="31" customWidth="1"/>
    <col min="12" max="12" width="13.85546875" style="31" customWidth="1"/>
    <col min="13" max="16384" width="11.42578125" style="31" hidden="1"/>
  </cols>
  <sheetData>
    <row r="1" spans="1:14" customFormat="1" ht="31.5">
      <c r="A1" s="200" t="s">
        <v>96</v>
      </c>
      <c r="B1" s="200"/>
      <c r="C1" s="200"/>
      <c r="D1" s="200"/>
      <c r="E1" s="200"/>
      <c r="F1" s="200"/>
      <c r="G1" s="200"/>
      <c r="H1" s="200"/>
      <c r="I1" s="200"/>
      <c r="J1" s="200"/>
      <c r="K1" s="200"/>
      <c r="N1" s="31" t="s">
        <v>132</v>
      </c>
    </row>
    <row r="2" spans="1:14" s="71" customFormat="1" ht="38.25">
      <c r="A2" s="153" t="s">
        <v>89</v>
      </c>
      <c r="B2" s="154" t="s">
        <v>90</v>
      </c>
      <c r="C2" s="154" t="s">
        <v>78</v>
      </c>
      <c r="D2" s="154" t="s">
        <v>79</v>
      </c>
      <c r="E2" s="154" t="s">
        <v>91</v>
      </c>
      <c r="F2" s="155" t="s">
        <v>92</v>
      </c>
      <c r="G2" s="155" t="s">
        <v>93</v>
      </c>
      <c r="H2" s="155" t="s">
        <v>129</v>
      </c>
      <c r="I2" s="154" t="s">
        <v>3</v>
      </c>
      <c r="J2" s="154" t="s">
        <v>94</v>
      </c>
      <c r="K2" s="156" t="s">
        <v>104</v>
      </c>
      <c r="L2" s="156" t="s">
        <v>143</v>
      </c>
      <c r="N2" s="31" t="s">
        <v>133</v>
      </c>
    </row>
    <row r="3" spans="1:14" ht="45" hidden="1">
      <c r="A3" s="72" t="s">
        <v>97</v>
      </c>
      <c r="B3" s="34" t="s">
        <v>88</v>
      </c>
      <c r="C3" s="34" t="str">
        <f>VLOOKUP(Observaciones[Caso de Prueba],CasoPrueba[[#All],[Código CP]:[Prioridad]],7,TRUE)</f>
        <v>Alta</v>
      </c>
      <c r="D3" s="34" t="s">
        <v>30</v>
      </c>
      <c r="E3" s="34" t="s">
        <v>49</v>
      </c>
      <c r="F3" s="73">
        <v>40784</v>
      </c>
      <c r="G3" s="73">
        <v>40796</v>
      </c>
      <c r="H3" s="94"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4" ht="30" hidden="1">
      <c r="A4" s="165" t="s">
        <v>161</v>
      </c>
      <c r="B4" s="163" t="s">
        <v>88</v>
      </c>
      <c r="C4" s="34" t="str">
        <f>VLOOKUP(Observaciones[Caso de Prueba],CasoPrueba[[#All],[Código CP]:[Prioridad]],7,TRUE)</f>
        <v>Alta</v>
      </c>
      <c r="D4" s="163" t="s">
        <v>30</v>
      </c>
      <c r="E4" s="34" t="s">
        <v>49</v>
      </c>
      <c r="F4" s="164">
        <v>40784</v>
      </c>
      <c r="G4" s="73">
        <v>40796</v>
      </c>
      <c r="H4" s="166" t="s">
        <v>132</v>
      </c>
      <c r="I4" s="163" t="s">
        <v>192</v>
      </c>
      <c r="J4" s="163"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4" ht="30" hidden="1">
      <c r="A5" s="165" t="s">
        <v>194</v>
      </c>
      <c r="B5" s="163" t="s">
        <v>88</v>
      </c>
      <c r="C5" s="34" t="str">
        <f>VLOOKUP(Observaciones[Caso de Prueba],CasoPrueba[[#All],[Código CP]:[Prioridad]],7,TRUE)</f>
        <v>Alta</v>
      </c>
      <c r="D5" s="163" t="s">
        <v>162</v>
      </c>
      <c r="E5" s="34" t="s">
        <v>49</v>
      </c>
      <c r="F5" s="164">
        <v>40784</v>
      </c>
      <c r="G5" s="73">
        <v>40796</v>
      </c>
      <c r="H5" s="166" t="s">
        <v>132</v>
      </c>
      <c r="I5" s="163" t="s">
        <v>195</v>
      </c>
      <c r="J5" s="163"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4" ht="30" hidden="1">
      <c r="A6" s="165" t="s">
        <v>197</v>
      </c>
      <c r="B6" s="163" t="s">
        <v>88</v>
      </c>
      <c r="C6" s="34" t="str">
        <f>VLOOKUP(Observaciones[Caso de Prueba],CasoPrueba[[#All],[Código CP]:[Prioridad]],7,TRUE)</f>
        <v>Alta</v>
      </c>
      <c r="D6" s="163" t="s">
        <v>162</v>
      </c>
      <c r="E6" s="34" t="s">
        <v>49</v>
      </c>
      <c r="F6" s="164">
        <v>40784</v>
      </c>
      <c r="G6" s="73">
        <v>40796</v>
      </c>
      <c r="H6" s="166" t="s">
        <v>132</v>
      </c>
      <c r="I6" s="163" t="s">
        <v>198</v>
      </c>
      <c r="J6" s="163"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4" hidden="1">
      <c r="A7" s="165" t="s">
        <v>200</v>
      </c>
      <c r="B7" s="163" t="s">
        <v>88</v>
      </c>
      <c r="C7" s="34" t="str">
        <f>VLOOKUP(Observaciones[Caso de Prueba],CasoPrueba[[#All],[Código CP]:[Prioridad]],7,TRUE)</f>
        <v>Alta</v>
      </c>
      <c r="D7" s="163" t="s">
        <v>162</v>
      </c>
      <c r="E7" s="34" t="s">
        <v>49</v>
      </c>
      <c r="F7" s="164">
        <v>40784</v>
      </c>
      <c r="G7" s="73">
        <v>40796</v>
      </c>
      <c r="H7" s="166" t="s">
        <v>132</v>
      </c>
      <c r="I7" s="163" t="s">
        <v>426</v>
      </c>
      <c r="J7" s="163"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4" ht="30" hidden="1">
      <c r="A8" s="165" t="s">
        <v>202</v>
      </c>
      <c r="B8" s="163" t="s">
        <v>88</v>
      </c>
      <c r="C8" s="34" t="str">
        <f>VLOOKUP(Observaciones[Caso de Prueba],CasoPrueba[[#All],[Código CP]:[Prioridad]],7,TRUE)</f>
        <v>Alta</v>
      </c>
      <c r="D8" s="163" t="s">
        <v>30</v>
      </c>
      <c r="E8" s="34" t="s">
        <v>49</v>
      </c>
      <c r="F8" s="164">
        <v>40793</v>
      </c>
      <c r="G8" s="73">
        <v>40796</v>
      </c>
      <c r="H8" s="166" t="s">
        <v>132</v>
      </c>
      <c r="I8" s="163" t="s">
        <v>203</v>
      </c>
      <c r="J8" s="163"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4" ht="30" hidden="1">
      <c r="A9" s="165" t="s">
        <v>205</v>
      </c>
      <c r="B9" s="163" t="s">
        <v>88</v>
      </c>
      <c r="C9" s="34" t="str">
        <f>VLOOKUP(Observaciones[Caso de Prueba],CasoPrueba[[#All],[Código CP]:[Prioridad]],7,TRUE)</f>
        <v>Alta</v>
      </c>
      <c r="D9" s="163" t="s">
        <v>29</v>
      </c>
      <c r="E9" s="34" t="s">
        <v>49</v>
      </c>
      <c r="F9" s="164">
        <v>40784</v>
      </c>
      <c r="G9" s="73">
        <v>40796</v>
      </c>
      <c r="H9" s="166" t="s">
        <v>132</v>
      </c>
      <c r="I9" s="163" t="s">
        <v>206</v>
      </c>
      <c r="J9" s="163"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4" ht="60" hidden="1">
      <c r="A10" s="165" t="s">
        <v>208</v>
      </c>
      <c r="B10" s="163" t="s">
        <v>88</v>
      </c>
      <c r="C10" s="34" t="str">
        <f>VLOOKUP(Observaciones[Caso de Prueba],CasoPrueba[[#All],[Código CP]:[Prioridad]],7,TRUE)</f>
        <v>Alta</v>
      </c>
      <c r="D10" s="163" t="s">
        <v>29</v>
      </c>
      <c r="E10" s="34" t="s">
        <v>49</v>
      </c>
      <c r="F10" s="164">
        <v>40784</v>
      </c>
      <c r="G10" s="73">
        <v>40796</v>
      </c>
      <c r="H10" s="166" t="s">
        <v>132</v>
      </c>
      <c r="I10" s="163" t="s">
        <v>209</v>
      </c>
      <c r="J10" s="163"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4" ht="30" hidden="1">
      <c r="A11" s="165" t="s">
        <v>211</v>
      </c>
      <c r="B11" s="163" t="s">
        <v>88</v>
      </c>
      <c r="C11" s="34" t="str">
        <f>VLOOKUP(Observaciones[Caso de Prueba],CasoPrueba[[#All],[Código CP]:[Prioridad]],7,TRUE)</f>
        <v>Alta</v>
      </c>
      <c r="D11" s="163" t="s">
        <v>29</v>
      </c>
      <c r="E11" s="34" t="s">
        <v>49</v>
      </c>
      <c r="F11" s="164">
        <v>40784</v>
      </c>
      <c r="G11" s="73">
        <v>40796</v>
      </c>
      <c r="H11" s="166" t="s">
        <v>132</v>
      </c>
      <c r="I11" s="163" t="s">
        <v>212</v>
      </c>
      <c r="J11" s="163"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4" ht="60" hidden="1">
      <c r="A12" s="165" t="s">
        <v>214</v>
      </c>
      <c r="B12" s="163" t="s">
        <v>88</v>
      </c>
      <c r="C12" s="34" t="str">
        <f>VLOOKUP(Observaciones[Caso de Prueba],CasoPrueba[[#All],[Código CP]:[Prioridad]],7,TRUE)</f>
        <v>Alta</v>
      </c>
      <c r="D12" s="163" t="s">
        <v>29</v>
      </c>
      <c r="E12" s="34" t="s">
        <v>49</v>
      </c>
      <c r="F12" s="164">
        <v>40784</v>
      </c>
      <c r="G12" s="73">
        <v>40796</v>
      </c>
      <c r="H12" s="166" t="s">
        <v>132</v>
      </c>
      <c r="I12" s="163" t="s">
        <v>215</v>
      </c>
      <c r="J12" s="163"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4" ht="45" hidden="1">
      <c r="A13" s="165" t="s">
        <v>217</v>
      </c>
      <c r="B13" s="163" t="s">
        <v>88</v>
      </c>
      <c r="C13" s="34" t="str">
        <f>VLOOKUP(Observaciones[Caso de Prueba],CasoPrueba[[#All],[Código CP]:[Prioridad]],7,TRUE)</f>
        <v>Alta</v>
      </c>
      <c r="D13" s="163" t="s">
        <v>29</v>
      </c>
      <c r="E13" s="34" t="s">
        <v>49</v>
      </c>
      <c r="F13" s="164">
        <v>40784</v>
      </c>
      <c r="G13" s="73">
        <v>40796</v>
      </c>
      <c r="H13" s="166" t="s">
        <v>132</v>
      </c>
      <c r="I13" s="163" t="s">
        <v>218</v>
      </c>
      <c r="J13" s="163"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4" ht="30" hidden="1">
      <c r="A14" s="165" t="s">
        <v>220</v>
      </c>
      <c r="B14" s="163" t="s">
        <v>88</v>
      </c>
      <c r="C14" s="34" t="str">
        <f>VLOOKUP(Observaciones[Caso de Prueba],CasoPrueba[[#All],[Código CP]:[Prioridad]],7,TRUE)</f>
        <v>Alta</v>
      </c>
      <c r="D14" s="163" t="s">
        <v>30</v>
      </c>
      <c r="E14" s="34" t="s">
        <v>49</v>
      </c>
      <c r="F14" s="164">
        <v>40784</v>
      </c>
      <c r="G14" s="73">
        <v>40796</v>
      </c>
      <c r="H14" s="166" t="s">
        <v>132</v>
      </c>
      <c r="I14" s="163" t="s">
        <v>221</v>
      </c>
      <c r="J14" s="163"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4" ht="60" hidden="1">
      <c r="A15" s="165" t="s">
        <v>223</v>
      </c>
      <c r="B15" s="163" t="s">
        <v>88</v>
      </c>
      <c r="C15" s="34" t="str">
        <f>VLOOKUP(Observaciones[Caso de Prueba],CasoPrueba[[#All],[Código CP]:[Prioridad]],7,TRUE)</f>
        <v>Alta</v>
      </c>
      <c r="D15" s="163" t="s">
        <v>30</v>
      </c>
      <c r="E15" s="34" t="s">
        <v>49</v>
      </c>
      <c r="F15" s="164">
        <v>40784</v>
      </c>
      <c r="G15" s="73">
        <v>40796</v>
      </c>
      <c r="H15" s="166" t="s">
        <v>132</v>
      </c>
      <c r="I15" s="163" t="s">
        <v>224</v>
      </c>
      <c r="J15" s="163"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4" ht="45" hidden="1">
      <c r="A16" s="165" t="s">
        <v>226</v>
      </c>
      <c r="B16" s="163" t="s">
        <v>151</v>
      </c>
      <c r="C16" s="34" t="str">
        <f>VLOOKUP(Observaciones[Caso de Prueba],CasoPrueba[[#All],[Código CP]:[Prioridad]],7,TRUE)</f>
        <v>Alta</v>
      </c>
      <c r="D16" s="163" t="s">
        <v>30</v>
      </c>
      <c r="E16" s="34" t="s">
        <v>49</v>
      </c>
      <c r="F16" s="164">
        <v>40786</v>
      </c>
      <c r="G16" s="73">
        <v>40796</v>
      </c>
      <c r="H16" s="166" t="s">
        <v>132</v>
      </c>
      <c r="I16" s="163" t="s">
        <v>227</v>
      </c>
      <c r="J16" s="163"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hidden="1">
      <c r="A17" s="165" t="s">
        <v>229</v>
      </c>
      <c r="B17" s="163" t="s">
        <v>151</v>
      </c>
      <c r="C17" s="34" t="str">
        <f>VLOOKUP(Observaciones[Caso de Prueba],CasoPrueba[[#All],[Código CP]:[Prioridad]],7,TRUE)</f>
        <v>Alta</v>
      </c>
      <c r="D17" s="163" t="s">
        <v>162</v>
      </c>
      <c r="E17" s="34" t="s">
        <v>49</v>
      </c>
      <c r="F17" s="164">
        <v>40786</v>
      </c>
      <c r="G17" s="73">
        <v>40796</v>
      </c>
      <c r="H17" s="166" t="s">
        <v>132</v>
      </c>
      <c r="I17" s="163" t="s">
        <v>230</v>
      </c>
      <c r="J17" s="163"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hidden="1">
      <c r="A18" s="165" t="s">
        <v>232</v>
      </c>
      <c r="B18" s="163" t="s">
        <v>151</v>
      </c>
      <c r="C18" s="34" t="str">
        <f>VLOOKUP(Observaciones[Caso de Prueba],CasoPrueba[[#All],[Código CP]:[Prioridad]],7,TRUE)</f>
        <v>Alta</v>
      </c>
      <c r="D18" s="163" t="s">
        <v>162</v>
      </c>
      <c r="E18" s="34" t="s">
        <v>49</v>
      </c>
      <c r="F18" s="164">
        <v>40786</v>
      </c>
      <c r="G18" s="73">
        <v>40796</v>
      </c>
      <c r="H18" s="166" t="s">
        <v>132</v>
      </c>
      <c r="I18" s="163" t="s">
        <v>233</v>
      </c>
      <c r="J18" s="163"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hidden="1">
      <c r="A19" s="165" t="s">
        <v>235</v>
      </c>
      <c r="B19" s="163" t="s">
        <v>151</v>
      </c>
      <c r="C19" s="34" t="str">
        <f>VLOOKUP(Observaciones[Caso de Prueba],CasoPrueba[[#All],[Código CP]:[Prioridad]],7,TRUE)</f>
        <v>Alta</v>
      </c>
      <c r="D19" s="163" t="s">
        <v>30</v>
      </c>
      <c r="E19" s="34" t="s">
        <v>49</v>
      </c>
      <c r="F19" s="164">
        <v>40793</v>
      </c>
      <c r="G19" s="73">
        <v>40796</v>
      </c>
      <c r="H19" s="166" t="s">
        <v>132</v>
      </c>
      <c r="I19" s="163" t="s">
        <v>236</v>
      </c>
      <c r="J19" s="163"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hidden="1">
      <c r="A20" s="165" t="s">
        <v>238</v>
      </c>
      <c r="B20" s="163" t="s">
        <v>151</v>
      </c>
      <c r="C20" s="34" t="str">
        <f>VLOOKUP(Observaciones[Caso de Prueba],CasoPrueba[[#All],[Código CP]:[Prioridad]],7,TRUE)</f>
        <v>Alta</v>
      </c>
      <c r="D20" s="163" t="s">
        <v>29</v>
      </c>
      <c r="E20" s="34" t="s">
        <v>49</v>
      </c>
      <c r="F20" s="164">
        <v>40786</v>
      </c>
      <c r="G20" s="73">
        <v>40796</v>
      </c>
      <c r="H20" s="166" t="s">
        <v>132</v>
      </c>
      <c r="I20" s="163" t="s">
        <v>239</v>
      </c>
      <c r="J20" s="163"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hidden="1">
      <c r="A21" s="165" t="s">
        <v>241</v>
      </c>
      <c r="B21" s="163" t="s">
        <v>151</v>
      </c>
      <c r="C21" s="34" t="str">
        <f>VLOOKUP(Observaciones[Caso de Prueba],CasoPrueba[[#All],[Código CP]:[Prioridad]],7,TRUE)</f>
        <v>Alta</v>
      </c>
      <c r="D21" s="163" t="s">
        <v>29</v>
      </c>
      <c r="E21" s="34" t="s">
        <v>49</v>
      </c>
      <c r="F21" s="164">
        <v>40786</v>
      </c>
      <c r="G21" s="73">
        <v>40796</v>
      </c>
      <c r="H21" s="166" t="s">
        <v>132</v>
      </c>
      <c r="I21" s="163" t="s">
        <v>242</v>
      </c>
      <c r="J21" s="163"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hidden="1">
      <c r="A22" s="165" t="s">
        <v>244</v>
      </c>
      <c r="B22" s="163" t="s">
        <v>151</v>
      </c>
      <c r="C22" s="34" t="str">
        <f>VLOOKUP(Observaciones[Caso de Prueba],CasoPrueba[[#All],[Código CP]:[Prioridad]],7,TRUE)</f>
        <v>Alta</v>
      </c>
      <c r="D22" s="163" t="s">
        <v>29</v>
      </c>
      <c r="E22" s="34" t="s">
        <v>49</v>
      </c>
      <c r="F22" s="164">
        <v>40786</v>
      </c>
      <c r="G22" s="73">
        <v>40796</v>
      </c>
      <c r="H22" s="166" t="s">
        <v>132</v>
      </c>
      <c r="I22" s="163" t="s">
        <v>245</v>
      </c>
      <c r="J22" s="163"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hidden="1">
      <c r="A23" s="165" t="s">
        <v>247</v>
      </c>
      <c r="B23" s="163" t="s">
        <v>151</v>
      </c>
      <c r="C23" s="34" t="str">
        <f>VLOOKUP(Observaciones[Caso de Prueba],CasoPrueba[[#All],[Código CP]:[Prioridad]],7,TRUE)</f>
        <v>Alta</v>
      </c>
      <c r="D23" s="163" t="s">
        <v>162</v>
      </c>
      <c r="E23" s="34" t="s">
        <v>49</v>
      </c>
      <c r="F23" s="164">
        <v>40786</v>
      </c>
      <c r="G23" s="73">
        <v>40796</v>
      </c>
      <c r="H23" s="166" t="s">
        <v>132</v>
      </c>
      <c r="I23" s="163" t="s">
        <v>248</v>
      </c>
      <c r="J23" s="163"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hidden="1">
      <c r="A24" s="165" t="s">
        <v>249</v>
      </c>
      <c r="B24" s="163" t="s">
        <v>151</v>
      </c>
      <c r="C24" s="34" t="str">
        <f>VLOOKUP(Observaciones[Caso de Prueba],CasoPrueba[[#All],[Código CP]:[Prioridad]],7,TRUE)</f>
        <v>Alta</v>
      </c>
      <c r="D24" s="163" t="s">
        <v>28</v>
      </c>
      <c r="E24" s="34" t="s">
        <v>49</v>
      </c>
      <c r="F24" s="164">
        <v>40786</v>
      </c>
      <c r="G24" s="73">
        <v>40796</v>
      </c>
      <c r="H24" s="166" t="s">
        <v>132</v>
      </c>
      <c r="I24" s="163" t="s">
        <v>250</v>
      </c>
      <c r="J24" s="163"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hidden="1">
      <c r="A25" s="165" t="s">
        <v>252</v>
      </c>
      <c r="B25" s="163" t="s">
        <v>152</v>
      </c>
      <c r="C25" s="34" t="str">
        <f>VLOOKUP(Observaciones[Caso de Prueba],CasoPrueba[[#All],[Código CP]:[Prioridad]],7,TRUE)</f>
        <v>Alta</v>
      </c>
      <c r="D25" s="163" t="s">
        <v>30</v>
      </c>
      <c r="E25" s="34" t="s">
        <v>49</v>
      </c>
      <c r="F25" s="164">
        <v>40786</v>
      </c>
      <c r="G25" s="73">
        <v>40796</v>
      </c>
      <c r="H25" s="166" t="s">
        <v>132</v>
      </c>
      <c r="I25" s="163" t="s">
        <v>253</v>
      </c>
      <c r="J25" s="163"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hidden="1">
      <c r="A26" s="165" t="s">
        <v>254</v>
      </c>
      <c r="B26" s="163" t="s">
        <v>152</v>
      </c>
      <c r="C26" s="34" t="str">
        <f>VLOOKUP(Observaciones[Caso de Prueba],CasoPrueba[[#All],[Código CP]:[Prioridad]],7,TRUE)</f>
        <v>Alta</v>
      </c>
      <c r="D26" s="163" t="s">
        <v>30</v>
      </c>
      <c r="E26" s="163" t="s">
        <v>49</v>
      </c>
      <c r="F26" s="164">
        <v>40793</v>
      </c>
      <c r="G26" s="73">
        <v>40796</v>
      </c>
      <c r="H26" s="166" t="s">
        <v>132</v>
      </c>
      <c r="I26" s="163" t="s">
        <v>236</v>
      </c>
      <c r="J26" s="163"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hidden="1">
      <c r="A27" s="165" t="s">
        <v>256</v>
      </c>
      <c r="B27" s="163" t="s">
        <v>152</v>
      </c>
      <c r="C27" s="34" t="str">
        <f>VLOOKUP(Observaciones[Caso de Prueba],CasoPrueba[[#All],[Código CP]:[Prioridad]],7,TRUE)</f>
        <v>Alta</v>
      </c>
      <c r="D27" s="163" t="s">
        <v>29</v>
      </c>
      <c r="E27" s="163" t="s">
        <v>49</v>
      </c>
      <c r="F27" s="164">
        <v>40786</v>
      </c>
      <c r="G27" s="73">
        <v>40796</v>
      </c>
      <c r="H27" s="166" t="s">
        <v>132</v>
      </c>
      <c r="I27" s="163" t="s">
        <v>257</v>
      </c>
      <c r="J27" s="163"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60" hidden="1">
      <c r="A28" s="165" t="s">
        <v>259</v>
      </c>
      <c r="B28" s="163" t="s">
        <v>152</v>
      </c>
      <c r="C28" s="34" t="str">
        <f>VLOOKUP(Observaciones[Caso de Prueba],CasoPrueba[[#All],[Código CP]:[Prioridad]],7,TRUE)</f>
        <v>Alta</v>
      </c>
      <c r="D28" s="163" t="s">
        <v>29</v>
      </c>
      <c r="E28" s="163" t="s">
        <v>49</v>
      </c>
      <c r="F28" s="164">
        <v>40786</v>
      </c>
      <c r="G28" s="73">
        <v>40796</v>
      </c>
      <c r="H28" s="166" t="s">
        <v>132</v>
      </c>
      <c r="I28" s="163" t="s">
        <v>260</v>
      </c>
      <c r="J28" s="163"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hidden="1">
      <c r="A29" s="165" t="s">
        <v>262</v>
      </c>
      <c r="B29" s="163" t="s">
        <v>152</v>
      </c>
      <c r="C29" s="34" t="str">
        <f>VLOOKUP(Observaciones[Caso de Prueba],CasoPrueba[[#All],[Código CP]:[Prioridad]],7,TRUE)</f>
        <v>Alta</v>
      </c>
      <c r="D29" s="163" t="s">
        <v>162</v>
      </c>
      <c r="E29" s="163" t="s">
        <v>49</v>
      </c>
      <c r="F29" s="164">
        <v>40786</v>
      </c>
      <c r="G29" s="73">
        <v>40796</v>
      </c>
      <c r="H29" s="166" t="s">
        <v>132</v>
      </c>
      <c r="I29" s="163" t="s">
        <v>263</v>
      </c>
      <c r="J29" s="163"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hidden="1">
      <c r="A30" s="165" t="s">
        <v>265</v>
      </c>
      <c r="B30" s="163" t="s">
        <v>152</v>
      </c>
      <c r="C30" s="34" t="str">
        <f>VLOOKUP(Observaciones[Caso de Prueba],CasoPrueba[[#All],[Código CP]:[Prioridad]],7,TRUE)</f>
        <v>Alta</v>
      </c>
      <c r="D30" s="163" t="s">
        <v>28</v>
      </c>
      <c r="E30" s="163" t="s">
        <v>49</v>
      </c>
      <c r="F30" s="164">
        <v>40793</v>
      </c>
      <c r="G30" s="73">
        <v>40796</v>
      </c>
      <c r="H30" s="166" t="s">
        <v>132</v>
      </c>
      <c r="I30" s="163" t="s">
        <v>250</v>
      </c>
      <c r="J30" s="163"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hidden="1">
      <c r="A31" s="165" t="s">
        <v>267</v>
      </c>
      <c r="B31" s="163" t="s">
        <v>153</v>
      </c>
      <c r="C31" s="34" t="str">
        <f>VLOOKUP(Observaciones[Caso de Prueba],CasoPrueba[[#All],[Código CP]:[Prioridad]],7,TRUE)</f>
        <v>Alta</v>
      </c>
      <c r="D31" s="163" t="s">
        <v>30</v>
      </c>
      <c r="E31" s="163" t="s">
        <v>49</v>
      </c>
      <c r="F31" s="164">
        <v>40788</v>
      </c>
      <c r="G31" s="73">
        <v>40796</v>
      </c>
      <c r="H31" s="166" t="s">
        <v>132</v>
      </c>
      <c r="I31" s="163" t="s">
        <v>268</v>
      </c>
      <c r="J31" s="163"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hidden="1">
      <c r="A32" s="165" t="s">
        <v>270</v>
      </c>
      <c r="B32" s="163" t="s">
        <v>153</v>
      </c>
      <c r="C32" s="34" t="str">
        <f>VLOOKUP(Observaciones[Caso de Prueba],CasoPrueba[[#All],[Código CP]:[Prioridad]],7,TRUE)</f>
        <v>Alta</v>
      </c>
      <c r="D32" s="163" t="s">
        <v>30</v>
      </c>
      <c r="E32" s="163" t="s">
        <v>49</v>
      </c>
      <c r="F32" s="164">
        <v>40788</v>
      </c>
      <c r="G32" s="73">
        <v>40796</v>
      </c>
      <c r="H32" s="166" t="s">
        <v>132</v>
      </c>
      <c r="I32" s="163" t="s">
        <v>253</v>
      </c>
      <c r="J32" s="163"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hidden="1">
      <c r="A33" s="165" t="s">
        <v>271</v>
      </c>
      <c r="B33" s="163" t="s">
        <v>153</v>
      </c>
      <c r="C33" s="34" t="str">
        <f>VLOOKUP(Observaciones[Caso de Prueba],CasoPrueba[[#All],[Código CP]:[Prioridad]],7,TRUE)</f>
        <v>Alta</v>
      </c>
      <c r="D33" s="163" t="s">
        <v>30</v>
      </c>
      <c r="E33" s="163" t="s">
        <v>49</v>
      </c>
      <c r="F33" s="164">
        <v>40793</v>
      </c>
      <c r="G33" s="73">
        <v>40796</v>
      </c>
      <c r="H33" s="166" t="s">
        <v>132</v>
      </c>
      <c r="I33" s="163" t="s">
        <v>236</v>
      </c>
      <c r="J33" s="163"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hidden="1">
      <c r="A34" s="165" t="s">
        <v>273</v>
      </c>
      <c r="B34" s="163" t="s">
        <v>153</v>
      </c>
      <c r="C34" s="34" t="str">
        <f>VLOOKUP(Observaciones[Caso de Prueba],CasoPrueba[[#All],[Código CP]:[Prioridad]],7,TRUE)</f>
        <v>Alta</v>
      </c>
      <c r="D34" s="163" t="s">
        <v>29</v>
      </c>
      <c r="E34" s="163" t="s">
        <v>49</v>
      </c>
      <c r="F34" s="164">
        <v>40788</v>
      </c>
      <c r="G34" s="73">
        <v>40796</v>
      </c>
      <c r="H34" s="166" t="s">
        <v>132</v>
      </c>
      <c r="I34" s="163" t="s">
        <v>206</v>
      </c>
      <c r="J34" s="163"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45" hidden="1">
      <c r="A35" s="165" t="s">
        <v>275</v>
      </c>
      <c r="B35" s="163" t="s">
        <v>153</v>
      </c>
      <c r="C35" s="34" t="str">
        <f>VLOOKUP(Observaciones[Caso de Prueba],CasoPrueba[[#All],[Código CP]:[Prioridad]],7,TRUE)</f>
        <v>Alta</v>
      </c>
      <c r="D35" s="163" t="s">
        <v>30</v>
      </c>
      <c r="E35" s="163" t="s">
        <v>49</v>
      </c>
      <c r="F35" s="164">
        <v>40788</v>
      </c>
      <c r="G35" s="73">
        <v>40796</v>
      </c>
      <c r="H35" s="166" t="s">
        <v>132</v>
      </c>
      <c r="I35" s="163" t="s">
        <v>276</v>
      </c>
      <c r="J35" s="163"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60" hidden="1">
      <c r="A36" s="165" t="s">
        <v>278</v>
      </c>
      <c r="B36" s="163" t="s">
        <v>153</v>
      </c>
      <c r="C36" s="34" t="str">
        <f>VLOOKUP(Observaciones[Caso de Prueba],CasoPrueba[[#All],[Código CP]:[Prioridad]],7,TRUE)</f>
        <v>Alta</v>
      </c>
      <c r="D36" s="163" t="s">
        <v>29</v>
      </c>
      <c r="E36" s="163" t="s">
        <v>49</v>
      </c>
      <c r="F36" s="164">
        <v>40788</v>
      </c>
      <c r="G36" s="73">
        <v>40796</v>
      </c>
      <c r="H36" s="166" t="s">
        <v>132</v>
      </c>
      <c r="I36" s="163" t="s">
        <v>279</v>
      </c>
      <c r="J36" s="163"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hidden="1">
      <c r="A37" s="165" t="s">
        <v>281</v>
      </c>
      <c r="B37" s="163" t="s">
        <v>153</v>
      </c>
      <c r="C37" s="34" t="str">
        <f>VLOOKUP(Observaciones[Caso de Prueba],CasoPrueba[[#All],[Código CP]:[Prioridad]],7,TRUE)</f>
        <v>Alta</v>
      </c>
      <c r="D37" s="163" t="s">
        <v>29</v>
      </c>
      <c r="E37" s="163" t="s">
        <v>49</v>
      </c>
      <c r="F37" s="164">
        <v>40788</v>
      </c>
      <c r="G37" s="73">
        <v>40796</v>
      </c>
      <c r="H37" s="166" t="s">
        <v>132</v>
      </c>
      <c r="I37" s="163" t="s">
        <v>282</v>
      </c>
      <c r="J37" s="163"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hidden="1">
      <c r="A38" s="165" t="s">
        <v>284</v>
      </c>
      <c r="B38" s="163" t="s">
        <v>153</v>
      </c>
      <c r="C38" s="34" t="str">
        <f>VLOOKUP(Observaciones[Caso de Prueba],CasoPrueba[[#All],[Código CP]:[Prioridad]],7,TRUE)</f>
        <v>Alta</v>
      </c>
      <c r="D38" s="163" t="s">
        <v>29</v>
      </c>
      <c r="E38" s="163" t="s">
        <v>49</v>
      </c>
      <c r="F38" s="164">
        <v>40788</v>
      </c>
      <c r="G38" s="73">
        <v>40796</v>
      </c>
      <c r="H38" s="166" t="s">
        <v>132</v>
      </c>
      <c r="I38" s="163" t="s">
        <v>285</v>
      </c>
      <c r="J38" s="163"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hidden="1">
      <c r="A39" s="165" t="s">
        <v>287</v>
      </c>
      <c r="B39" s="163" t="s">
        <v>153</v>
      </c>
      <c r="C39" s="34" t="str">
        <f>VLOOKUP(Observaciones[Caso de Prueba],CasoPrueba[[#All],[Código CP]:[Prioridad]],7,TRUE)</f>
        <v>Alta</v>
      </c>
      <c r="D39" s="163" t="s">
        <v>29</v>
      </c>
      <c r="E39" s="163" t="s">
        <v>49</v>
      </c>
      <c r="F39" s="164">
        <v>40788</v>
      </c>
      <c r="G39" s="73">
        <v>40796</v>
      </c>
      <c r="H39" s="166" t="s">
        <v>132</v>
      </c>
      <c r="I39" s="163" t="s">
        <v>288</v>
      </c>
      <c r="J39" s="163"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hidden="1">
      <c r="A40" s="165" t="s">
        <v>290</v>
      </c>
      <c r="B40" s="163" t="s">
        <v>153</v>
      </c>
      <c r="C40" s="34" t="str">
        <f>VLOOKUP(Observaciones[Caso de Prueba],CasoPrueba[[#All],[Código CP]:[Prioridad]],7,TRUE)</f>
        <v>Alta</v>
      </c>
      <c r="D40" s="163" t="s">
        <v>162</v>
      </c>
      <c r="E40" s="163" t="s">
        <v>49</v>
      </c>
      <c r="F40" s="164">
        <v>40788</v>
      </c>
      <c r="G40" s="73">
        <v>40796</v>
      </c>
      <c r="H40" s="166" t="s">
        <v>132</v>
      </c>
      <c r="I40" s="163" t="s">
        <v>291</v>
      </c>
      <c r="J40" s="163"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hidden="1">
      <c r="A41" s="165" t="s">
        <v>292</v>
      </c>
      <c r="B41" s="163" t="s">
        <v>153</v>
      </c>
      <c r="C41" s="34" t="str">
        <f>VLOOKUP(Observaciones[Caso de Prueba],CasoPrueba[[#All],[Código CP]:[Prioridad]],7,TRUE)</f>
        <v>Alta</v>
      </c>
      <c r="D41" s="163" t="s">
        <v>30</v>
      </c>
      <c r="E41" s="163" t="s">
        <v>49</v>
      </c>
      <c r="F41" s="164">
        <v>40788</v>
      </c>
      <c r="G41" s="73">
        <v>40796</v>
      </c>
      <c r="H41" s="166" t="s">
        <v>132</v>
      </c>
      <c r="I41" s="163" t="s">
        <v>293</v>
      </c>
      <c r="J41" s="163"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hidden="1">
      <c r="A42" s="165" t="s">
        <v>295</v>
      </c>
      <c r="B42" s="163" t="s">
        <v>153</v>
      </c>
      <c r="C42" s="34" t="str">
        <f>VLOOKUP(Observaciones[Caso de Prueba],CasoPrueba[[#All],[Código CP]:[Prioridad]],7,TRUE)</f>
        <v>Alta</v>
      </c>
      <c r="D42" s="163" t="s">
        <v>29</v>
      </c>
      <c r="E42" s="163" t="s">
        <v>49</v>
      </c>
      <c r="F42" s="164">
        <v>40788</v>
      </c>
      <c r="G42" s="73">
        <v>40796</v>
      </c>
      <c r="H42" s="166" t="s">
        <v>132</v>
      </c>
      <c r="I42" s="163" t="s">
        <v>296</v>
      </c>
      <c r="J42" s="163"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hidden="1">
      <c r="A43" s="165" t="s">
        <v>298</v>
      </c>
      <c r="B43" s="163" t="s">
        <v>154</v>
      </c>
      <c r="C43" s="34" t="str">
        <f>VLOOKUP(Observaciones[Caso de Prueba],CasoPrueba[[#All],[Código CP]:[Prioridad]],7,TRUE)</f>
        <v>Alta</v>
      </c>
      <c r="D43" s="163" t="s">
        <v>30</v>
      </c>
      <c r="E43" s="163" t="s">
        <v>49</v>
      </c>
      <c r="F43" s="164">
        <v>40788</v>
      </c>
      <c r="G43" s="73">
        <v>40796</v>
      </c>
      <c r="H43" s="166" t="s">
        <v>132</v>
      </c>
      <c r="I43" s="163" t="s">
        <v>253</v>
      </c>
      <c r="J43" s="163"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hidden="1">
      <c r="A44" s="165" t="s">
        <v>299</v>
      </c>
      <c r="B44" s="163" t="s">
        <v>154</v>
      </c>
      <c r="C44" s="34" t="str">
        <f>VLOOKUP(Observaciones[Caso de Prueba],CasoPrueba[[#All],[Código CP]:[Prioridad]],7,TRUE)</f>
        <v>Alta</v>
      </c>
      <c r="D44" s="163" t="s">
        <v>30</v>
      </c>
      <c r="E44" s="163" t="s">
        <v>49</v>
      </c>
      <c r="F44" s="164">
        <v>40793</v>
      </c>
      <c r="G44" s="73">
        <v>40796</v>
      </c>
      <c r="H44" s="166" t="s">
        <v>132</v>
      </c>
      <c r="I44" s="163" t="s">
        <v>236</v>
      </c>
      <c r="J44" s="163"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hidden="1">
      <c r="A45" s="165" t="s">
        <v>300</v>
      </c>
      <c r="B45" s="163" t="s">
        <v>154</v>
      </c>
      <c r="C45" s="34" t="str">
        <f>VLOOKUP(Observaciones[Caso de Prueba],CasoPrueba[[#All],[Código CP]:[Prioridad]],7,TRUE)</f>
        <v>Alta</v>
      </c>
      <c r="D45" s="163" t="s">
        <v>29</v>
      </c>
      <c r="E45" s="163" t="s">
        <v>49</v>
      </c>
      <c r="F45" s="164">
        <v>40788</v>
      </c>
      <c r="G45" s="73">
        <v>40796</v>
      </c>
      <c r="H45" s="166" t="s">
        <v>132</v>
      </c>
      <c r="I45" s="163" t="s">
        <v>301</v>
      </c>
      <c r="J45" s="163"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60" hidden="1">
      <c r="A46" s="165" t="s">
        <v>302</v>
      </c>
      <c r="B46" s="163" t="s">
        <v>154</v>
      </c>
      <c r="C46" s="34" t="str">
        <f>VLOOKUP(Observaciones[Caso de Prueba],CasoPrueba[[#All],[Código CP]:[Prioridad]],7,TRUE)</f>
        <v>Alta</v>
      </c>
      <c r="D46" s="163" t="s">
        <v>29</v>
      </c>
      <c r="E46" s="163" t="s">
        <v>49</v>
      </c>
      <c r="F46" s="164">
        <v>40788</v>
      </c>
      <c r="G46" s="73">
        <v>40796</v>
      </c>
      <c r="H46" s="166" t="s">
        <v>132</v>
      </c>
      <c r="I46" s="163" t="s">
        <v>303</v>
      </c>
      <c r="J46" s="163"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hidden="1">
      <c r="A47" s="165" t="s">
        <v>304</v>
      </c>
      <c r="B47" s="163" t="s">
        <v>154</v>
      </c>
      <c r="C47" s="34" t="str">
        <f>VLOOKUP(Observaciones[Caso de Prueba],CasoPrueba[[#All],[Código CP]:[Prioridad]],7,TRUE)</f>
        <v>Alta</v>
      </c>
      <c r="D47" s="163" t="s">
        <v>28</v>
      </c>
      <c r="E47" s="163" t="s">
        <v>49</v>
      </c>
      <c r="F47" s="164">
        <v>40793</v>
      </c>
      <c r="G47" s="73">
        <v>40796</v>
      </c>
      <c r="H47" s="166" t="s">
        <v>132</v>
      </c>
      <c r="I47" s="163" t="s">
        <v>250</v>
      </c>
      <c r="J47" s="163"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hidden="1">
      <c r="A48" s="165" t="s">
        <v>306</v>
      </c>
      <c r="B48" s="163" t="s">
        <v>155</v>
      </c>
      <c r="C48" s="34" t="str">
        <f>VLOOKUP(Observaciones[Caso de Prueba],CasoPrueba[[#All],[Código CP]:[Prioridad]],7,TRUE)</f>
        <v>Alta</v>
      </c>
      <c r="D48" s="163" t="s">
        <v>30</v>
      </c>
      <c r="E48" s="163" t="s">
        <v>49</v>
      </c>
      <c r="F48" s="164">
        <v>40788</v>
      </c>
      <c r="G48" s="73">
        <v>40796</v>
      </c>
      <c r="H48" s="166" t="s">
        <v>132</v>
      </c>
      <c r="I48" s="163" t="s">
        <v>253</v>
      </c>
      <c r="J48" s="163"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hidden="1">
      <c r="A49" s="165" t="s">
        <v>307</v>
      </c>
      <c r="B49" s="163" t="s">
        <v>155</v>
      </c>
      <c r="C49" s="34" t="str">
        <f>VLOOKUP(Observaciones[Caso de Prueba],CasoPrueba[[#All],[Código CP]:[Prioridad]],7,TRUE)</f>
        <v>Alta</v>
      </c>
      <c r="D49" s="163" t="s">
        <v>30</v>
      </c>
      <c r="E49" s="163" t="s">
        <v>49</v>
      </c>
      <c r="F49" s="164">
        <v>40793</v>
      </c>
      <c r="G49" s="73">
        <v>40796</v>
      </c>
      <c r="H49" s="166" t="s">
        <v>132</v>
      </c>
      <c r="I49" s="163" t="s">
        <v>236</v>
      </c>
      <c r="J49" s="163"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hidden="1">
      <c r="A50" s="165" t="s">
        <v>308</v>
      </c>
      <c r="B50" s="163" t="s">
        <v>155</v>
      </c>
      <c r="C50" s="34" t="str">
        <f>VLOOKUP(Observaciones[Caso de Prueba],CasoPrueba[[#All],[Código CP]:[Prioridad]],7,TRUE)</f>
        <v>Alta</v>
      </c>
      <c r="D50" s="163" t="s">
        <v>29</v>
      </c>
      <c r="E50" s="163" t="s">
        <v>49</v>
      </c>
      <c r="F50" s="164">
        <v>40788</v>
      </c>
      <c r="G50" s="73">
        <v>40796</v>
      </c>
      <c r="H50" s="166" t="s">
        <v>132</v>
      </c>
      <c r="I50" s="163" t="s">
        <v>301</v>
      </c>
      <c r="J50" s="163"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hidden="1">
      <c r="A51" s="165" t="s">
        <v>309</v>
      </c>
      <c r="B51" s="163" t="s">
        <v>156</v>
      </c>
      <c r="C51" s="34" t="str">
        <f>VLOOKUP(Observaciones[Caso de Prueba],CasoPrueba[[#All],[Código CP]:[Prioridad]],7,TRUE)</f>
        <v>Alta</v>
      </c>
      <c r="D51" s="163" t="s">
        <v>30</v>
      </c>
      <c r="E51" s="163" t="s">
        <v>49</v>
      </c>
      <c r="F51" s="164">
        <v>40789</v>
      </c>
      <c r="G51" s="73">
        <v>40796</v>
      </c>
      <c r="H51" s="166" t="s">
        <v>132</v>
      </c>
      <c r="I51" s="163" t="s">
        <v>253</v>
      </c>
      <c r="J51" s="163"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hidden="1">
      <c r="A52" s="165" t="s">
        <v>310</v>
      </c>
      <c r="B52" s="163" t="s">
        <v>156</v>
      </c>
      <c r="C52" s="34" t="str">
        <f>VLOOKUP(Observaciones[Caso de Prueba],CasoPrueba[[#All],[Código CP]:[Prioridad]],7,TRUE)</f>
        <v>Alta</v>
      </c>
      <c r="D52" s="163" t="s">
        <v>30</v>
      </c>
      <c r="E52" s="163" t="s">
        <v>49</v>
      </c>
      <c r="F52" s="164">
        <v>40793</v>
      </c>
      <c r="G52" s="73">
        <v>40796</v>
      </c>
      <c r="H52" s="166" t="s">
        <v>132</v>
      </c>
      <c r="I52" s="163" t="s">
        <v>236</v>
      </c>
      <c r="J52" s="163"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hidden="1">
      <c r="A53" s="165" t="s">
        <v>311</v>
      </c>
      <c r="B53" s="163" t="s">
        <v>156</v>
      </c>
      <c r="C53" s="34" t="str">
        <f>VLOOKUP(Observaciones[Caso de Prueba],CasoPrueba[[#All],[Código CP]:[Prioridad]],7,TRUE)</f>
        <v>Alta</v>
      </c>
      <c r="D53" s="163" t="s">
        <v>30</v>
      </c>
      <c r="E53" s="163" t="s">
        <v>49</v>
      </c>
      <c r="F53" s="164">
        <v>40789</v>
      </c>
      <c r="G53" s="73">
        <v>40796</v>
      </c>
      <c r="H53" s="166" t="s">
        <v>132</v>
      </c>
      <c r="I53" s="163" t="s">
        <v>312</v>
      </c>
      <c r="J53" s="163"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hidden="1">
      <c r="A54" s="165" t="s">
        <v>314</v>
      </c>
      <c r="B54" s="163" t="s">
        <v>156</v>
      </c>
      <c r="C54" s="34" t="str">
        <f>VLOOKUP(Observaciones[Caso de Prueba],CasoPrueba[[#All],[Código CP]:[Prioridad]],7,TRUE)</f>
        <v>Alta</v>
      </c>
      <c r="D54" s="163" t="s">
        <v>29</v>
      </c>
      <c r="E54" s="163" t="s">
        <v>49</v>
      </c>
      <c r="F54" s="164">
        <v>40789</v>
      </c>
      <c r="G54" s="73">
        <v>40796</v>
      </c>
      <c r="H54" s="166" t="s">
        <v>132</v>
      </c>
      <c r="I54" s="163" t="s">
        <v>315</v>
      </c>
      <c r="J54" s="163"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60" hidden="1">
      <c r="A55" s="165" t="s">
        <v>316</v>
      </c>
      <c r="B55" s="163" t="s">
        <v>156</v>
      </c>
      <c r="C55" s="34" t="str">
        <f>VLOOKUP(Observaciones[Caso de Prueba],CasoPrueba[[#All],[Código CP]:[Prioridad]],7,TRUE)</f>
        <v>Alta</v>
      </c>
      <c r="D55" s="163" t="s">
        <v>30</v>
      </c>
      <c r="E55" s="163" t="s">
        <v>49</v>
      </c>
      <c r="F55" s="164">
        <v>40793</v>
      </c>
      <c r="G55" s="73">
        <v>40796</v>
      </c>
      <c r="H55" s="166" t="s">
        <v>132</v>
      </c>
      <c r="I55" s="163" t="s">
        <v>317</v>
      </c>
      <c r="J55" s="163"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60" hidden="1">
      <c r="A56" s="165" t="s">
        <v>319</v>
      </c>
      <c r="B56" s="163" t="s">
        <v>156</v>
      </c>
      <c r="C56" s="34" t="str">
        <f>VLOOKUP(Observaciones[Caso de Prueba],CasoPrueba[[#All],[Código CP]:[Prioridad]],7,TRUE)</f>
        <v>Alta</v>
      </c>
      <c r="D56" s="163" t="s">
        <v>30</v>
      </c>
      <c r="E56" s="163" t="s">
        <v>49</v>
      </c>
      <c r="F56" s="164">
        <v>40789</v>
      </c>
      <c r="G56" s="73">
        <v>40796</v>
      </c>
      <c r="H56" s="166" t="s">
        <v>132</v>
      </c>
      <c r="I56" s="163" t="s">
        <v>320</v>
      </c>
      <c r="J56" s="163"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30" hidden="1">
      <c r="A57" s="165" t="s">
        <v>322</v>
      </c>
      <c r="B57" s="163" t="s">
        <v>156</v>
      </c>
      <c r="C57" s="34" t="str">
        <f>VLOOKUP(Observaciones[Caso de Prueba],CasoPrueba[[#All],[Código CP]:[Prioridad]],7,TRUE)</f>
        <v>Alta</v>
      </c>
      <c r="D57" s="163" t="s">
        <v>29</v>
      </c>
      <c r="E57" s="163" t="s">
        <v>49</v>
      </c>
      <c r="F57" s="164">
        <v>40789</v>
      </c>
      <c r="G57" s="73">
        <v>40796</v>
      </c>
      <c r="H57" s="166" t="s">
        <v>132</v>
      </c>
      <c r="I57" s="163" t="s">
        <v>323</v>
      </c>
      <c r="J57" s="163"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hidden="1">
      <c r="A58" s="165" t="s">
        <v>325</v>
      </c>
      <c r="B58" s="163" t="s">
        <v>157</v>
      </c>
      <c r="C58" s="34" t="str">
        <f>VLOOKUP(Observaciones[Caso de Prueba],CasoPrueba[[#All],[Código CP]:[Prioridad]],7,TRUE)</f>
        <v>Alta</v>
      </c>
      <c r="D58" s="163" t="s">
        <v>30</v>
      </c>
      <c r="E58" s="163" t="s">
        <v>49</v>
      </c>
      <c r="F58" s="164">
        <v>40789</v>
      </c>
      <c r="G58" s="73">
        <v>40796</v>
      </c>
      <c r="H58" s="166" t="s">
        <v>132</v>
      </c>
      <c r="I58" s="163" t="s">
        <v>253</v>
      </c>
      <c r="J58" s="163"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hidden="1">
      <c r="A59" s="165" t="s">
        <v>326</v>
      </c>
      <c r="B59" s="163" t="s">
        <v>157</v>
      </c>
      <c r="C59" s="34" t="str">
        <f>VLOOKUP(Observaciones[Caso de Prueba],CasoPrueba[[#All],[Código CP]:[Prioridad]],7,TRUE)</f>
        <v>Alta</v>
      </c>
      <c r="D59" s="163" t="s">
        <v>30</v>
      </c>
      <c r="E59" s="163" t="s">
        <v>49</v>
      </c>
      <c r="F59" s="164">
        <v>40793</v>
      </c>
      <c r="G59" s="73">
        <v>40796</v>
      </c>
      <c r="H59" s="166" t="s">
        <v>132</v>
      </c>
      <c r="I59" s="163" t="s">
        <v>236</v>
      </c>
      <c r="J59" s="163"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hidden="1">
      <c r="A60" s="165" t="s">
        <v>327</v>
      </c>
      <c r="B60" s="163" t="s">
        <v>157</v>
      </c>
      <c r="C60" s="34" t="str">
        <f>VLOOKUP(Observaciones[Caso de Prueba],CasoPrueba[[#All],[Código CP]:[Prioridad]],7,TRUE)</f>
        <v>Alta</v>
      </c>
      <c r="D60" s="163" t="s">
        <v>162</v>
      </c>
      <c r="E60" s="163" t="s">
        <v>49</v>
      </c>
      <c r="F60" s="164">
        <v>40789</v>
      </c>
      <c r="G60" s="73">
        <v>40796</v>
      </c>
      <c r="H60" s="166" t="s">
        <v>132</v>
      </c>
      <c r="I60" s="163" t="s">
        <v>328</v>
      </c>
      <c r="J60" s="163"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hidden="1">
      <c r="A61" s="165" t="s">
        <v>329</v>
      </c>
      <c r="B61" s="163" t="s">
        <v>157</v>
      </c>
      <c r="C61" s="34" t="str">
        <f>VLOOKUP(Observaciones[Caso de Prueba],CasoPrueba[[#All],[Código CP]:[Prioridad]],7,TRUE)</f>
        <v>Alta</v>
      </c>
      <c r="D61" s="163" t="s">
        <v>29</v>
      </c>
      <c r="E61" s="163" t="s">
        <v>49</v>
      </c>
      <c r="F61" s="164">
        <v>40789</v>
      </c>
      <c r="G61" s="73">
        <v>40796</v>
      </c>
      <c r="H61" s="166" t="s">
        <v>132</v>
      </c>
      <c r="I61" s="163" t="s">
        <v>330</v>
      </c>
      <c r="J61" s="163"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hidden="1">
      <c r="A62" s="165" t="s">
        <v>332</v>
      </c>
      <c r="B62" s="163" t="s">
        <v>157</v>
      </c>
      <c r="C62" s="34" t="str">
        <f>VLOOKUP(Observaciones[Caso de Prueba],CasoPrueba[[#All],[Código CP]:[Prioridad]],7,TRUE)</f>
        <v>Alta</v>
      </c>
      <c r="D62" s="163" t="s">
        <v>29</v>
      </c>
      <c r="E62" s="163" t="s">
        <v>49</v>
      </c>
      <c r="F62" s="164">
        <v>40789</v>
      </c>
      <c r="G62" s="73">
        <v>40796</v>
      </c>
      <c r="H62" s="166" t="s">
        <v>132</v>
      </c>
      <c r="I62" s="163" t="s">
        <v>333</v>
      </c>
      <c r="J62" s="163"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hidden="1">
      <c r="A63" s="165" t="s">
        <v>334</v>
      </c>
      <c r="B63" s="163" t="s">
        <v>157</v>
      </c>
      <c r="C63" s="34" t="str">
        <f>VLOOKUP(Observaciones[Caso de Prueba],CasoPrueba[[#All],[Código CP]:[Prioridad]],7,TRUE)</f>
        <v>Alta</v>
      </c>
      <c r="D63" s="163" t="s">
        <v>28</v>
      </c>
      <c r="E63" s="163" t="s">
        <v>49</v>
      </c>
      <c r="F63" s="164">
        <v>40793</v>
      </c>
      <c r="G63" s="73">
        <v>40796</v>
      </c>
      <c r="H63" s="166" t="s">
        <v>132</v>
      </c>
      <c r="I63" s="163" t="s">
        <v>250</v>
      </c>
      <c r="J63" s="163"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hidden="1">
      <c r="A64" s="165" t="s">
        <v>336</v>
      </c>
      <c r="B64" s="163" t="s">
        <v>158</v>
      </c>
      <c r="C64" s="34" t="str">
        <f>VLOOKUP(Observaciones[Caso de Prueba],CasoPrueba[[#All],[Código CP]:[Prioridad]],7,TRUE)</f>
        <v>Alta</v>
      </c>
      <c r="D64" s="163" t="s">
        <v>30</v>
      </c>
      <c r="E64" s="163" t="s">
        <v>49</v>
      </c>
      <c r="F64" s="164">
        <v>40791</v>
      </c>
      <c r="G64" s="73">
        <v>40796</v>
      </c>
      <c r="H64" s="166" t="s">
        <v>132</v>
      </c>
      <c r="I64" s="163" t="s">
        <v>253</v>
      </c>
      <c r="J64" s="163"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hidden="1">
      <c r="A65" s="165" t="s">
        <v>337</v>
      </c>
      <c r="B65" s="163" t="s">
        <v>158</v>
      </c>
      <c r="C65" s="34" t="str">
        <f>VLOOKUP(Observaciones[Caso de Prueba],CasoPrueba[[#All],[Código CP]:[Prioridad]],7,TRUE)</f>
        <v>Alta</v>
      </c>
      <c r="D65" s="163" t="s">
        <v>30</v>
      </c>
      <c r="E65" s="163" t="s">
        <v>49</v>
      </c>
      <c r="F65" s="164">
        <v>40793</v>
      </c>
      <c r="G65" s="73">
        <v>40796</v>
      </c>
      <c r="H65" s="166" t="s">
        <v>132</v>
      </c>
      <c r="I65" s="163" t="s">
        <v>236</v>
      </c>
      <c r="J65" s="163"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60" hidden="1">
      <c r="A66" s="165" t="s">
        <v>338</v>
      </c>
      <c r="B66" s="163" t="s">
        <v>158</v>
      </c>
      <c r="C66" s="34" t="str">
        <f>VLOOKUP(Observaciones[Caso de Prueba],CasoPrueba[[#All],[Código CP]:[Prioridad]],7,TRUE)</f>
        <v>Alta</v>
      </c>
      <c r="D66" s="163" t="s">
        <v>30</v>
      </c>
      <c r="E66" s="163" t="s">
        <v>49</v>
      </c>
      <c r="F66" s="164">
        <v>40793</v>
      </c>
      <c r="G66" s="73">
        <v>40796</v>
      </c>
      <c r="H66" s="166" t="s">
        <v>132</v>
      </c>
      <c r="I66" s="163" t="s">
        <v>317</v>
      </c>
      <c r="J66" s="163"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hidden="1">
      <c r="A67" s="165" t="s">
        <v>339</v>
      </c>
      <c r="B67" s="163" t="s">
        <v>158</v>
      </c>
      <c r="C67" s="34" t="str">
        <f>VLOOKUP(Observaciones[Caso de Prueba],CasoPrueba[[#All],[Código CP]:[Prioridad]],7,TRUE)</f>
        <v>Alta</v>
      </c>
      <c r="D67" s="163" t="s">
        <v>29</v>
      </c>
      <c r="E67" s="163" t="s">
        <v>49</v>
      </c>
      <c r="F67" s="164">
        <v>40791</v>
      </c>
      <c r="G67" s="73">
        <v>40796</v>
      </c>
      <c r="H67" s="166" t="s">
        <v>132</v>
      </c>
      <c r="I67" s="163" t="s">
        <v>340</v>
      </c>
      <c r="J67" s="163"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hidden="1">
      <c r="A68" s="165" t="s">
        <v>341</v>
      </c>
      <c r="B68" s="163" t="s">
        <v>158</v>
      </c>
      <c r="C68" s="34" t="str">
        <f>VLOOKUP(Observaciones[Caso de Prueba],CasoPrueba[[#All],[Código CP]:[Prioridad]],7,TRUE)</f>
        <v>Alta</v>
      </c>
      <c r="D68" s="163" t="s">
        <v>162</v>
      </c>
      <c r="E68" s="163" t="s">
        <v>49</v>
      </c>
      <c r="F68" s="164">
        <v>40791</v>
      </c>
      <c r="G68" s="73">
        <v>40796</v>
      </c>
      <c r="H68" s="166" t="s">
        <v>132</v>
      </c>
      <c r="I68" s="163" t="s">
        <v>342</v>
      </c>
      <c r="J68" s="163"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30" hidden="1">
      <c r="A69" s="165" t="s">
        <v>343</v>
      </c>
      <c r="B69" s="163" t="s">
        <v>158</v>
      </c>
      <c r="C69" s="34" t="str">
        <f>VLOOKUP(Observaciones[Caso de Prueba],CasoPrueba[[#All],[Código CP]:[Prioridad]],7,TRUE)</f>
        <v>Alta</v>
      </c>
      <c r="D69" s="163" t="s">
        <v>29</v>
      </c>
      <c r="E69" s="163" t="s">
        <v>49</v>
      </c>
      <c r="F69" s="164">
        <v>40791</v>
      </c>
      <c r="G69" s="73">
        <v>40796</v>
      </c>
      <c r="H69" s="166" t="s">
        <v>132</v>
      </c>
      <c r="I69" s="163" t="s">
        <v>323</v>
      </c>
      <c r="J69" s="163"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hidden="1">
      <c r="A70" s="165" t="s">
        <v>344</v>
      </c>
      <c r="B70" s="163" t="s">
        <v>171</v>
      </c>
      <c r="C70" s="34" t="str">
        <f>VLOOKUP(Observaciones[Caso de Prueba],CasoPrueba[[#All],[Código CP]:[Prioridad]],7,TRUE)</f>
        <v>Alta</v>
      </c>
      <c r="D70" s="163" t="s">
        <v>30</v>
      </c>
      <c r="E70" s="163" t="s">
        <v>49</v>
      </c>
      <c r="F70" s="164">
        <v>40791</v>
      </c>
      <c r="G70" s="73">
        <v>40796</v>
      </c>
      <c r="H70" s="166" t="s">
        <v>132</v>
      </c>
      <c r="I70" s="163" t="s">
        <v>253</v>
      </c>
      <c r="J70" s="163"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hidden="1">
      <c r="A71" s="165" t="s">
        <v>345</v>
      </c>
      <c r="B71" s="163" t="s">
        <v>171</v>
      </c>
      <c r="C71" s="34" t="str">
        <f>VLOOKUP(Observaciones[Caso de Prueba],CasoPrueba[[#All],[Código CP]:[Prioridad]],7,TRUE)</f>
        <v>Alta</v>
      </c>
      <c r="D71" s="163" t="s">
        <v>30</v>
      </c>
      <c r="E71" s="163" t="s">
        <v>49</v>
      </c>
      <c r="F71" s="164">
        <v>40793</v>
      </c>
      <c r="G71" s="73">
        <v>40796</v>
      </c>
      <c r="H71" s="166" t="s">
        <v>132</v>
      </c>
      <c r="I71" s="163" t="s">
        <v>236</v>
      </c>
      <c r="J71" s="163"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30" hidden="1">
      <c r="A72" s="165" t="s">
        <v>346</v>
      </c>
      <c r="B72" s="163" t="s">
        <v>171</v>
      </c>
      <c r="C72" s="34" t="str">
        <f>VLOOKUP(Observaciones[Caso de Prueba],CasoPrueba[[#All],[Código CP]:[Prioridad]],7,TRUE)</f>
        <v>Alta</v>
      </c>
      <c r="D72" s="163" t="s">
        <v>29</v>
      </c>
      <c r="E72" s="163" t="s">
        <v>49</v>
      </c>
      <c r="F72" s="164">
        <v>40791</v>
      </c>
      <c r="G72" s="73">
        <v>40796</v>
      </c>
      <c r="H72" s="166" t="s">
        <v>132</v>
      </c>
      <c r="I72" s="163" t="s">
        <v>323</v>
      </c>
      <c r="J72" s="163"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hidden="1">
      <c r="A73" s="165" t="s">
        <v>347</v>
      </c>
      <c r="B73" s="163" t="s">
        <v>171</v>
      </c>
      <c r="C73" s="34" t="str">
        <f>VLOOKUP(Observaciones[Caso de Prueba],CasoPrueba[[#All],[Código CP]:[Prioridad]],7,TRUE)</f>
        <v>Alta</v>
      </c>
      <c r="D73" s="163" t="s">
        <v>28</v>
      </c>
      <c r="E73" s="163" t="s">
        <v>49</v>
      </c>
      <c r="F73" s="164">
        <v>40793</v>
      </c>
      <c r="G73" s="73">
        <v>40796</v>
      </c>
      <c r="H73" s="166" t="s">
        <v>132</v>
      </c>
      <c r="I73" s="163" t="s">
        <v>250</v>
      </c>
      <c r="J73" s="163"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hidden="1">
      <c r="A74" s="165" t="s">
        <v>348</v>
      </c>
      <c r="B74" s="163" t="s">
        <v>172</v>
      </c>
      <c r="C74" s="34" t="str">
        <f>VLOOKUP(Observaciones[Caso de Prueba],CasoPrueba[[#All],[Código CP]:[Prioridad]],7,TRUE)</f>
        <v>Alta</v>
      </c>
      <c r="D74" s="163" t="s">
        <v>162</v>
      </c>
      <c r="E74" s="163" t="s">
        <v>49</v>
      </c>
      <c r="F74" s="164">
        <v>40793</v>
      </c>
      <c r="G74" s="73">
        <v>40796</v>
      </c>
      <c r="H74" s="166" t="s">
        <v>132</v>
      </c>
      <c r="I74" s="163" t="s">
        <v>349</v>
      </c>
      <c r="J74" s="163"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hidden="1">
      <c r="A75" s="165" t="s">
        <v>350</v>
      </c>
      <c r="B75" s="163" t="s">
        <v>172</v>
      </c>
      <c r="C75" s="34" t="str">
        <f>VLOOKUP(Observaciones[Caso de Prueba],CasoPrueba[[#All],[Código CP]:[Prioridad]],7,TRUE)</f>
        <v>Alta</v>
      </c>
      <c r="D75" s="163" t="s">
        <v>162</v>
      </c>
      <c r="E75" s="163" t="s">
        <v>49</v>
      </c>
      <c r="F75" s="164">
        <v>40793</v>
      </c>
      <c r="G75" s="73">
        <v>40796</v>
      </c>
      <c r="H75" s="166" t="s">
        <v>132</v>
      </c>
      <c r="I75" s="163" t="s">
        <v>351</v>
      </c>
      <c r="J75" s="163"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hidden="1">
      <c r="A76" s="165" t="s">
        <v>353</v>
      </c>
      <c r="B76" s="163" t="s">
        <v>172</v>
      </c>
      <c r="C76" s="34" t="str">
        <f>VLOOKUP(Observaciones[Caso de Prueba],CasoPrueba[[#All],[Código CP]:[Prioridad]],7,TRUE)</f>
        <v>Alta</v>
      </c>
      <c r="D76" s="163" t="s">
        <v>30</v>
      </c>
      <c r="E76" s="163" t="s">
        <v>49</v>
      </c>
      <c r="F76" s="164">
        <v>40793</v>
      </c>
      <c r="G76" s="73">
        <v>40796</v>
      </c>
      <c r="H76" s="166" t="s">
        <v>132</v>
      </c>
      <c r="I76" s="163" t="s">
        <v>354</v>
      </c>
      <c r="J76" s="163"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hidden="1">
      <c r="A77" s="165" t="s">
        <v>356</v>
      </c>
      <c r="B77" s="163" t="s">
        <v>172</v>
      </c>
      <c r="C77" s="34" t="str">
        <f>VLOOKUP(Observaciones[Caso de Prueba],CasoPrueba[[#All],[Código CP]:[Prioridad]],7,TRUE)</f>
        <v>Alta</v>
      </c>
      <c r="D77" s="163" t="s">
        <v>28</v>
      </c>
      <c r="E77" s="163" t="s">
        <v>49</v>
      </c>
      <c r="F77" s="164">
        <v>40793</v>
      </c>
      <c r="G77" s="73">
        <v>40796</v>
      </c>
      <c r="H77" s="166" t="s">
        <v>132</v>
      </c>
      <c r="I77" s="163" t="s">
        <v>357</v>
      </c>
      <c r="J77" s="163"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hidden="1">
      <c r="A78" s="165" t="s">
        <v>359</v>
      </c>
      <c r="B78" s="163" t="s">
        <v>172</v>
      </c>
      <c r="C78" s="34" t="str">
        <f>VLOOKUP(Observaciones[Caso de Prueba],CasoPrueba[[#All],[Código CP]:[Prioridad]],7,TRUE)</f>
        <v>Alta</v>
      </c>
      <c r="D78" s="163" t="s">
        <v>28</v>
      </c>
      <c r="E78" s="163" t="s">
        <v>49</v>
      </c>
      <c r="F78" s="164">
        <v>40793</v>
      </c>
      <c r="G78" s="73">
        <v>40796</v>
      </c>
      <c r="H78" s="166" t="s">
        <v>132</v>
      </c>
      <c r="I78" s="163" t="s">
        <v>250</v>
      </c>
      <c r="J78" s="163"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hidden="1">
      <c r="A79" s="165" t="s">
        <v>361</v>
      </c>
      <c r="B79" s="163" t="s">
        <v>172</v>
      </c>
      <c r="C79" s="34" t="str">
        <f>VLOOKUP(Observaciones[Caso de Prueba],CasoPrueba[[#All],[Código CP]:[Prioridad]],7,TRUE)</f>
        <v>Alta</v>
      </c>
      <c r="D79" s="163" t="s">
        <v>29</v>
      </c>
      <c r="E79" s="163" t="s">
        <v>49</v>
      </c>
      <c r="F79" s="164">
        <v>40793</v>
      </c>
      <c r="G79" s="73">
        <v>40796</v>
      </c>
      <c r="H79" s="166" t="s">
        <v>132</v>
      </c>
      <c r="I79" s="163" t="s">
        <v>301</v>
      </c>
      <c r="J79" s="163"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hidden="1">
      <c r="A80" s="165" t="s">
        <v>363</v>
      </c>
      <c r="B80" s="163" t="s">
        <v>172</v>
      </c>
      <c r="C80" s="34" t="str">
        <f>VLOOKUP(Observaciones[Caso de Prueba],CasoPrueba[[#All],[Código CP]:[Prioridad]],7,TRUE)</f>
        <v>Alta</v>
      </c>
      <c r="D80" s="163" t="s">
        <v>29</v>
      </c>
      <c r="E80" s="163" t="s">
        <v>49</v>
      </c>
      <c r="F80" s="164">
        <v>40793</v>
      </c>
      <c r="G80" s="73">
        <v>40796</v>
      </c>
      <c r="H80" s="166" t="s">
        <v>132</v>
      </c>
      <c r="I80" s="163" t="s">
        <v>364</v>
      </c>
      <c r="J80" s="163"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45" hidden="1">
      <c r="A81" s="165" t="s">
        <v>366</v>
      </c>
      <c r="B81" s="163" t="s">
        <v>172</v>
      </c>
      <c r="C81" s="34" t="str">
        <f>VLOOKUP(Observaciones[Caso de Prueba],CasoPrueba[[#All],[Código CP]:[Prioridad]],7,TRUE)</f>
        <v>Alta</v>
      </c>
      <c r="D81" s="163" t="s">
        <v>30</v>
      </c>
      <c r="E81" s="163" t="s">
        <v>49</v>
      </c>
      <c r="F81" s="164">
        <v>40793</v>
      </c>
      <c r="G81" s="73">
        <v>40796</v>
      </c>
      <c r="H81" s="166" t="s">
        <v>132</v>
      </c>
      <c r="I81" s="163" t="s">
        <v>460</v>
      </c>
      <c r="J81" s="163"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60" hidden="1">
      <c r="A82" s="165" t="s">
        <v>368</v>
      </c>
      <c r="B82" s="163" t="s">
        <v>172</v>
      </c>
      <c r="C82" s="34" t="str">
        <f>VLOOKUP(Observaciones[Caso de Prueba],CasoPrueba[[#All],[Código CP]:[Prioridad]],7,TRUE)</f>
        <v>Alta</v>
      </c>
      <c r="D82" s="163" t="s">
        <v>29</v>
      </c>
      <c r="E82" s="163" t="s">
        <v>49</v>
      </c>
      <c r="F82" s="164">
        <v>40793</v>
      </c>
      <c r="G82" s="73">
        <v>40796</v>
      </c>
      <c r="H82" s="166" t="s">
        <v>132</v>
      </c>
      <c r="I82" s="163" t="s">
        <v>369</v>
      </c>
      <c r="J82" s="163"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60" hidden="1">
      <c r="A83" s="165" t="s">
        <v>371</v>
      </c>
      <c r="B83" s="163" t="s">
        <v>172</v>
      </c>
      <c r="C83" s="34" t="str">
        <f>VLOOKUP(Observaciones[Caso de Prueba],CasoPrueba[[#All],[Código CP]:[Prioridad]],7,TRUE)</f>
        <v>Alta</v>
      </c>
      <c r="D83" s="163" t="s">
        <v>29</v>
      </c>
      <c r="E83" s="163" t="s">
        <v>49</v>
      </c>
      <c r="F83" s="164">
        <v>40793</v>
      </c>
      <c r="G83" s="73">
        <v>40796</v>
      </c>
      <c r="H83" s="166" t="s">
        <v>132</v>
      </c>
      <c r="I83" s="163" t="s">
        <v>372</v>
      </c>
      <c r="J83" s="163"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hidden="1">
      <c r="A84" s="165" t="s">
        <v>373</v>
      </c>
      <c r="B84" s="163" t="s">
        <v>172</v>
      </c>
      <c r="C84" s="34" t="str">
        <f>VLOOKUP(Observaciones[Caso de Prueba],CasoPrueba[[#All],[Código CP]:[Prioridad]],7,TRUE)</f>
        <v>Alta</v>
      </c>
      <c r="D84" s="163" t="s">
        <v>29</v>
      </c>
      <c r="E84" s="163" t="s">
        <v>49</v>
      </c>
      <c r="F84" s="164">
        <v>40793</v>
      </c>
      <c r="G84" s="73">
        <v>40796</v>
      </c>
      <c r="H84" s="166" t="s">
        <v>132</v>
      </c>
      <c r="I84" s="163" t="s">
        <v>374</v>
      </c>
      <c r="J84" s="163"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hidden="1">
      <c r="A85" s="165" t="s">
        <v>376</v>
      </c>
      <c r="B85" s="163" t="s">
        <v>172</v>
      </c>
      <c r="C85" s="34" t="str">
        <f>VLOOKUP(Observaciones[Caso de Prueba],CasoPrueba[[#All],[Código CP]:[Prioridad]],7,TRUE)</f>
        <v>Alta</v>
      </c>
      <c r="D85" s="163" t="s">
        <v>29</v>
      </c>
      <c r="E85" s="163" t="s">
        <v>49</v>
      </c>
      <c r="F85" s="164">
        <v>40793</v>
      </c>
      <c r="G85" s="73">
        <v>40796</v>
      </c>
      <c r="H85" s="166" t="s">
        <v>132</v>
      </c>
      <c r="I85" s="163" t="s">
        <v>377</v>
      </c>
      <c r="J85" s="163"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hidden="1">
      <c r="A86" s="165" t="s">
        <v>379</v>
      </c>
      <c r="B86" s="163" t="s">
        <v>172</v>
      </c>
      <c r="C86" s="34" t="str">
        <f>VLOOKUP(Observaciones[Caso de Prueba],CasoPrueba[[#All],[Código CP]:[Prioridad]],7,TRUE)</f>
        <v>Alta</v>
      </c>
      <c r="D86" s="163" t="s">
        <v>162</v>
      </c>
      <c r="E86" s="163" t="s">
        <v>49</v>
      </c>
      <c r="F86" s="164">
        <v>40793</v>
      </c>
      <c r="G86" s="73">
        <v>40796</v>
      </c>
      <c r="H86" s="166" t="s">
        <v>132</v>
      </c>
      <c r="I86" s="163" t="s">
        <v>380</v>
      </c>
      <c r="J86" s="163"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hidden="1">
      <c r="A87" s="165" t="s">
        <v>381</v>
      </c>
      <c r="B87" s="163" t="s">
        <v>172</v>
      </c>
      <c r="C87" s="34" t="str">
        <f>VLOOKUP(Observaciones[Caso de Prueba],CasoPrueba[[#All],[Código CP]:[Prioridad]],7,TRUE)</f>
        <v>Alta</v>
      </c>
      <c r="D87" s="163" t="s">
        <v>29</v>
      </c>
      <c r="E87" s="163" t="s">
        <v>49</v>
      </c>
      <c r="F87" s="164">
        <v>40793</v>
      </c>
      <c r="G87" s="73">
        <v>40796</v>
      </c>
      <c r="H87" s="166" t="s">
        <v>132</v>
      </c>
      <c r="I87" s="163" t="s">
        <v>382</v>
      </c>
      <c r="J87" s="163"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hidden="1">
      <c r="A88" s="165" t="s">
        <v>384</v>
      </c>
      <c r="B88" s="163" t="s">
        <v>173</v>
      </c>
      <c r="C88" s="34" t="str">
        <f>VLOOKUP(Observaciones[Caso de Prueba],CasoPrueba[[#All],[Código CP]:[Prioridad]],7,TRUE)</f>
        <v>Alta</v>
      </c>
      <c r="D88" s="163" t="s">
        <v>162</v>
      </c>
      <c r="E88" s="163" t="s">
        <v>49</v>
      </c>
      <c r="F88" s="164">
        <v>40795</v>
      </c>
      <c r="G88" s="73">
        <v>40796</v>
      </c>
      <c r="H88" s="166" t="s">
        <v>132</v>
      </c>
      <c r="I88" s="163" t="s">
        <v>385</v>
      </c>
      <c r="J88" s="163"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75" hidden="1">
      <c r="A89" s="165" t="s">
        <v>387</v>
      </c>
      <c r="B89" s="163" t="s">
        <v>173</v>
      </c>
      <c r="C89" s="34" t="str">
        <f>VLOOKUP(Observaciones[Caso de Prueba],CasoPrueba[[#All],[Código CP]:[Prioridad]],7,TRUE)</f>
        <v>Alta</v>
      </c>
      <c r="D89" s="163" t="s">
        <v>162</v>
      </c>
      <c r="E89" s="163" t="s">
        <v>49</v>
      </c>
      <c r="F89" s="164">
        <v>40795</v>
      </c>
      <c r="G89" s="73">
        <v>40796</v>
      </c>
      <c r="H89" s="166" t="s">
        <v>132</v>
      </c>
      <c r="I89" s="163" t="s">
        <v>388</v>
      </c>
      <c r="J89" s="163"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hidden="1">
      <c r="A90" s="165" t="s">
        <v>390</v>
      </c>
      <c r="B90" s="163" t="s">
        <v>173</v>
      </c>
      <c r="C90" s="34" t="str">
        <f>VLOOKUP(Observaciones[Caso de Prueba],CasoPrueba[[#All],[Código CP]:[Prioridad]],7,TRUE)</f>
        <v>Alta</v>
      </c>
      <c r="D90" s="163" t="s">
        <v>30</v>
      </c>
      <c r="E90" s="163" t="s">
        <v>49</v>
      </c>
      <c r="F90" s="164">
        <v>40795</v>
      </c>
      <c r="G90" s="73">
        <v>40796</v>
      </c>
      <c r="H90" s="166" t="s">
        <v>132</v>
      </c>
      <c r="I90" s="163" t="s">
        <v>354</v>
      </c>
      <c r="J90" s="163"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hidden="1">
      <c r="A91" s="165" t="s">
        <v>392</v>
      </c>
      <c r="B91" s="163" t="s">
        <v>173</v>
      </c>
      <c r="C91" s="34" t="str">
        <f>VLOOKUP(Observaciones[Caso de Prueba],CasoPrueba[[#All],[Código CP]:[Prioridad]],7,TRUE)</f>
        <v>Alta</v>
      </c>
      <c r="D91" s="163" t="s">
        <v>28</v>
      </c>
      <c r="E91" s="163" t="s">
        <v>49</v>
      </c>
      <c r="F91" s="164">
        <v>40795</v>
      </c>
      <c r="G91" s="73">
        <v>40796</v>
      </c>
      <c r="H91" s="166" t="s">
        <v>132</v>
      </c>
      <c r="I91" s="163" t="s">
        <v>393</v>
      </c>
      <c r="J91" s="163"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hidden="1">
      <c r="A92" s="165" t="s">
        <v>395</v>
      </c>
      <c r="B92" s="163" t="s">
        <v>173</v>
      </c>
      <c r="C92" s="34" t="str">
        <f>VLOOKUP(Observaciones[Caso de Prueba],CasoPrueba[[#All],[Código CP]:[Prioridad]],7,TRUE)</f>
        <v>Alta</v>
      </c>
      <c r="D92" s="163" t="s">
        <v>30</v>
      </c>
      <c r="E92" s="163" t="s">
        <v>49</v>
      </c>
      <c r="F92" s="164">
        <v>40795</v>
      </c>
      <c r="G92" s="73">
        <v>40796</v>
      </c>
      <c r="H92" s="166" t="s">
        <v>132</v>
      </c>
      <c r="I92" s="163" t="s">
        <v>396</v>
      </c>
      <c r="J92" s="163"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hidden="1">
      <c r="A93" s="165" t="s">
        <v>398</v>
      </c>
      <c r="B93" s="163" t="s">
        <v>173</v>
      </c>
      <c r="C93" s="34" t="str">
        <f>VLOOKUP(Observaciones[Caso de Prueba],CasoPrueba[[#All],[Código CP]:[Prioridad]],7,TRUE)</f>
        <v>Alta</v>
      </c>
      <c r="D93" s="163" t="s">
        <v>30</v>
      </c>
      <c r="E93" s="163" t="s">
        <v>49</v>
      </c>
      <c r="F93" s="164">
        <v>40795</v>
      </c>
      <c r="G93" s="73">
        <v>40796</v>
      </c>
      <c r="H93" s="166" t="s">
        <v>132</v>
      </c>
      <c r="I93" s="163" t="s">
        <v>399</v>
      </c>
      <c r="J93" s="163"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60" hidden="1">
      <c r="A94" s="165" t="s">
        <v>401</v>
      </c>
      <c r="B94" s="163" t="s">
        <v>173</v>
      </c>
      <c r="C94" s="34" t="str">
        <f>VLOOKUP(Observaciones[Caso de Prueba],CasoPrueba[[#All],[Código CP]:[Prioridad]],7,TRUE)</f>
        <v>Alta</v>
      </c>
      <c r="D94" s="163" t="s">
        <v>30</v>
      </c>
      <c r="E94" s="163" t="s">
        <v>49</v>
      </c>
      <c r="F94" s="164">
        <v>40795</v>
      </c>
      <c r="G94" s="73">
        <v>40796</v>
      </c>
      <c r="H94" s="166" t="s">
        <v>132</v>
      </c>
      <c r="I94" s="163" t="s">
        <v>402</v>
      </c>
      <c r="J94" s="163"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hidden="1">
      <c r="A95" s="165" t="s">
        <v>404</v>
      </c>
      <c r="B95" s="163" t="s">
        <v>175</v>
      </c>
      <c r="C95" s="34" t="str">
        <f>VLOOKUP(Observaciones[Caso de Prueba],CasoPrueba[[#All],[Código CP]:[Prioridad]],7,TRUE)</f>
        <v>Alta</v>
      </c>
      <c r="D95" s="163" t="s">
        <v>162</v>
      </c>
      <c r="E95" s="163" t="s">
        <v>49</v>
      </c>
      <c r="F95" s="164">
        <v>40795</v>
      </c>
      <c r="G95" s="73">
        <v>40796</v>
      </c>
      <c r="H95" s="166" t="s">
        <v>132</v>
      </c>
      <c r="I95" s="163" t="s">
        <v>405</v>
      </c>
      <c r="J95" s="163"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hidden="1">
      <c r="A96" s="165" t="s">
        <v>407</v>
      </c>
      <c r="B96" s="163" t="s">
        <v>175</v>
      </c>
      <c r="C96" s="34" t="str">
        <f>VLOOKUP(Observaciones[Caso de Prueba],CasoPrueba[[#All],[Código CP]:[Prioridad]],7,TRUE)</f>
        <v>Alta</v>
      </c>
      <c r="D96" s="163" t="s">
        <v>30</v>
      </c>
      <c r="E96" s="163" t="s">
        <v>49</v>
      </c>
      <c r="F96" s="164">
        <v>40795</v>
      </c>
      <c r="G96" s="73">
        <v>40796</v>
      </c>
      <c r="H96" s="166" t="s">
        <v>132</v>
      </c>
      <c r="I96" s="163" t="s">
        <v>354</v>
      </c>
      <c r="J96" s="163"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hidden="1">
      <c r="A97" s="165" t="s">
        <v>409</v>
      </c>
      <c r="B97" s="163" t="s">
        <v>175</v>
      </c>
      <c r="C97" s="34" t="str">
        <f>VLOOKUP(Observaciones[Caso de Prueba],CasoPrueba[[#All],[Código CP]:[Prioridad]],7,TRUE)</f>
        <v>Alta</v>
      </c>
      <c r="D97" s="163" t="s">
        <v>162</v>
      </c>
      <c r="E97" s="163" t="s">
        <v>49</v>
      </c>
      <c r="F97" s="164">
        <v>40795</v>
      </c>
      <c r="G97" s="73">
        <v>40796</v>
      </c>
      <c r="H97" s="166" t="s">
        <v>132</v>
      </c>
      <c r="I97" s="163" t="s">
        <v>410</v>
      </c>
      <c r="J97" s="163"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hidden="1" customHeight="1">
      <c r="A98" s="165" t="s">
        <v>412</v>
      </c>
      <c r="B98" s="163" t="s">
        <v>175</v>
      </c>
      <c r="C98" s="34" t="str">
        <f>VLOOKUP(Observaciones[Caso de Prueba],CasoPrueba[[#All],[Código CP]:[Prioridad]],7,TRUE)</f>
        <v>Alta</v>
      </c>
      <c r="D98" s="163" t="s">
        <v>29</v>
      </c>
      <c r="E98" s="163" t="s">
        <v>49</v>
      </c>
      <c r="F98" s="164">
        <v>40795</v>
      </c>
      <c r="G98" s="73">
        <v>40796</v>
      </c>
      <c r="H98" s="166" t="s">
        <v>132</v>
      </c>
      <c r="I98" s="163" t="s">
        <v>413</v>
      </c>
      <c r="J98" s="163"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hidden="1">
      <c r="A99" s="165" t="s">
        <v>415</v>
      </c>
      <c r="B99" s="163" t="s">
        <v>175</v>
      </c>
      <c r="C99" s="34" t="str">
        <f>VLOOKUP(Observaciones[Caso de Prueba],CasoPrueba[[#All],[Código CP]:[Prioridad]],7,TRUE)</f>
        <v>Alta</v>
      </c>
      <c r="D99" s="163" t="s">
        <v>30</v>
      </c>
      <c r="E99" s="163" t="s">
        <v>49</v>
      </c>
      <c r="F99" s="164">
        <v>40795</v>
      </c>
      <c r="G99" s="73">
        <v>40796</v>
      </c>
      <c r="H99" s="166" t="s">
        <v>132</v>
      </c>
      <c r="I99" s="163" t="s">
        <v>416</v>
      </c>
      <c r="J99" s="163"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hidden="1">
      <c r="A100" s="165" t="s">
        <v>418</v>
      </c>
      <c r="B100" s="163" t="s">
        <v>175</v>
      </c>
      <c r="C100" s="34" t="str">
        <f>VLOOKUP(Observaciones[Caso de Prueba],CasoPrueba[[#All],[Código CP]:[Prioridad]],7,TRUE)</f>
        <v>Alta</v>
      </c>
      <c r="D100" s="163" t="s">
        <v>162</v>
      </c>
      <c r="E100" s="163" t="s">
        <v>49</v>
      </c>
      <c r="F100" s="164">
        <v>40795</v>
      </c>
      <c r="G100" s="73">
        <v>40796</v>
      </c>
      <c r="H100" s="166" t="s">
        <v>132</v>
      </c>
      <c r="I100" s="163" t="s">
        <v>419</v>
      </c>
      <c r="J100" s="163"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hidden="1">
      <c r="A101" s="165" t="s">
        <v>420</v>
      </c>
      <c r="B101" s="163" t="s">
        <v>176</v>
      </c>
      <c r="C101" s="34" t="str">
        <f>VLOOKUP(Observaciones[Caso de Prueba],CasoPrueba[[#All],[Código CP]:[Prioridad]],7,TRUE)</f>
        <v>Alta</v>
      </c>
      <c r="D101" s="163" t="s">
        <v>30</v>
      </c>
      <c r="E101" s="163" t="s">
        <v>49</v>
      </c>
      <c r="F101" s="164">
        <v>40795</v>
      </c>
      <c r="G101" s="73">
        <v>40796</v>
      </c>
      <c r="H101" s="166" t="s">
        <v>132</v>
      </c>
      <c r="I101" s="163" t="s">
        <v>354</v>
      </c>
      <c r="J101" s="163"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hidden="1">
      <c r="A102" s="165" t="s">
        <v>421</v>
      </c>
      <c r="B102" s="163" t="s">
        <v>176</v>
      </c>
      <c r="C102" s="34" t="str">
        <f>VLOOKUP(Observaciones[Caso de Prueba],CasoPrueba[[#All],[Código CP]:[Prioridad]],7,TRUE)</f>
        <v>Alta</v>
      </c>
      <c r="D102" s="163" t="s">
        <v>29</v>
      </c>
      <c r="E102" s="163" t="s">
        <v>49</v>
      </c>
      <c r="F102" s="164">
        <v>40795</v>
      </c>
      <c r="G102" s="73">
        <v>40796</v>
      </c>
      <c r="H102" s="166" t="s">
        <v>132</v>
      </c>
      <c r="I102" s="163" t="s">
        <v>422</v>
      </c>
      <c r="J102" s="163"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45" hidden="1">
      <c r="A103" s="165" t="s">
        <v>423</v>
      </c>
      <c r="B103" s="163" t="s">
        <v>176</v>
      </c>
      <c r="C103" s="34" t="str">
        <f>VLOOKUP(Observaciones[Caso de Prueba],CasoPrueba[[#All],[Código CP]:[Prioridad]],7,TRUE)</f>
        <v>Alta</v>
      </c>
      <c r="D103" s="163" t="s">
        <v>30</v>
      </c>
      <c r="E103" s="163" t="s">
        <v>49</v>
      </c>
      <c r="F103" s="164">
        <v>40795</v>
      </c>
      <c r="G103" s="73">
        <v>40796</v>
      </c>
      <c r="H103" s="166" t="s">
        <v>132</v>
      </c>
      <c r="I103" s="163" t="s">
        <v>424</v>
      </c>
      <c r="J103" s="163"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45" hidden="1">
      <c r="A104" s="165" t="s">
        <v>427</v>
      </c>
      <c r="B104" s="34" t="s">
        <v>88</v>
      </c>
      <c r="C104" s="34" t="str">
        <f>VLOOKUP(Observaciones[Caso de Prueba],CasoPrueba[[#All],[Código CP]:[Prioridad]],7,TRUE)</f>
        <v>Alta</v>
      </c>
      <c r="D104" s="34" t="s">
        <v>162</v>
      </c>
      <c r="E104" s="34" t="s">
        <v>49</v>
      </c>
      <c r="F104" s="73">
        <v>40798</v>
      </c>
      <c r="G104" s="73">
        <v>40803</v>
      </c>
      <c r="H104" s="166" t="s">
        <v>132</v>
      </c>
      <c r="I104" s="34" t="s">
        <v>438</v>
      </c>
      <c r="J104" s="34" t="s">
        <v>196</v>
      </c>
      <c r="K104" s="34">
        <f>IF((Observaciones[[#This Row],[Fecha Levantamiento]]-Observaciones[[#This Row],[Fecha Detección]])&gt;=0,Observaciones[[#This Row],[Fecha Levantamiento]]-Observaciones[[#This Row],[Fecha Detección]]+1,0)</f>
        <v>6</v>
      </c>
      <c r="L104" s="34" t="str">
        <f>LOOKUP(Observaciones[[#This Row],[Caso de Prueba]],CasoPrueba[Código CP],CasoPrueba[Código de REQ])</f>
        <v>INSPECCIÓN</v>
      </c>
    </row>
    <row r="105" spans="1:12" ht="76.5" hidden="1" customHeight="1">
      <c r="A105" s="165" t="s">
        <v>428</v>
      </c>
      <c r="B105" s="34" t="s">
        <v>88</v>
      </c>
      <c r="C105" s="34" t="str">
        <f>VLOOKUP(Observaciones[Caso de Prueba],CasoPrueba[[#All],[Código CP]:[Prioridad]],7,TRUE)</f>
        <v>Alta</v>
      </c>
      <c r="D105" s="34" t="s">
        <v>29</v>
      </c>
      <c r="E105" s="34" t="s">
        <v>49</v>
      </c>
      <c r="F105" s="73">
        <v>40798</v>
      </c>
      <c r="G105" s="73">
        <v>40803</v>
      </c>
      <c r="H105" s="166" t="s">
        <v>132</v>
      </c>
      <c r="I105" s="34" t="s">
        <v>439</v>
      </c>
      <c r="J105" s="34" t="s">
        <v>465</v>
      </c>
      <c r="K105" s="34">
        <f>IF((Observaciones[[#This Row],[Fecha Levantamiento]]-Observaciones[[#This Row],[Fecha Detección]])&gt;=0,Observaciones[[#This Row],[Fecha Levantamiento]]-Observaciones[[#This Row],[Fecha Detección]]+1,0)</f>
        <v>6</v>
      </c>
      <c r="L105" s="34" t="str">
        <f>LOOKUP(Observaciones[[#This Row],[Caso de Prueba]],CasoPrueba[Código CP],CasoPrueba[Código de REQ])</f>
        <v>INSPECCIÓN</v>
      </c>
    </row>
    <row r="106" spans="1:12" ht="48" hidden="1" customHeight="1">
      <c r="A106" s="165" t="s">
        <v>429</v>
      </c>
      <c r="B106" s="34" t="s">
        <v>88</v>
      </c>
      <c r="C106" s="34" t="str">
        <f>VLOOKUP(Observaciones[Caso de Prueba],CasoPrueba[[#All],[Código CP]:[Prioridad]],7,TRUE)</f>
        <v>Alta</v>
      </c>
      <c r="D106" s="34" t="s">
        <v>162</v>
      </c>
      <c r="E106" s="34" t="s">
        <v>49</v>
      </c>
      <c r="F106" s="73">
        <v>40798</v>
      </c>
      <c r="G106" s="73">
        <v>40803</v>
      </c>
      <c r="H106" s="166" t="s">
        <v>132</v>
      </c>
      <c r="I106" s="34" t="s">
        <v>440</v>
      </c>
      <c r="J106" s="34" t="s">
        <v>466</v>
      </c>
      <c r="K106" s="34">
        <f>IF((Observaciones[[#This Row],[Fecha Levantamiento]]-Observaciones[[#This Row],[Fecha Detección]])&gt;=0,Observaciones[[#This Row],[Fecha Levantamiento]]-Observaciones[[#This Row],[Fecha Detección]]+1,0)</f>
        <v>6</v>
      </c>
      <c r="L106" s="34" t="str">
        <f>LOOKUP(Observaciones[[#This Row],[Caso de Prueba]],CasoPrueba[Código CP],CasoPrueba[Código de REQ])</f>
        <v>INSPECCIÓN</v>
      </c>
    </row>
    <row r="107" spans="1:12" ht="45" hidden="1">
      <c r="A107" s="165" t="s">
        <v>430</v>
      </c>
      <c r="B107" s="34" t="s">
        <v>88</v>
      </c>
      <c r="C107" s="34" t="str">
        <f>VLOOKUP(Observaciones[Caso de Prueba],CasoPrueba[[#All],[Código CP]:[Prioridad]],7,TRUE)</f>
        <v>Alta</v>
      </c>
      <c r="D107" s="34" t="s">
        <v>30</v>
      </c>
      <c r="E107" s="34" t="s">
        <v>49</v>
      </c>
      <c r="F107" s="73">
        <v>40798</v>
      </c>
      <c r="G107" s="73">
        <v>40803</v>
      </c>
      <c r="H107" s="166" t="s">
        <v>132</v>
      </c>
      <c r="I107" s="34" t="s">
        <v>458</v>
      </c>
      <c r="J107" s="34" t="s">
        <v>467</v>
      </c>
      <c r="K107" s="34">
        <f>IF((Observaciones[[#This Row],[Fecha Levantamiento]]-Observaciones[[#This Row],[Fecha Detección]])&gt;=0,Observaciones[[#This Row],[Fecha Levantamiento]]-Observaciones[[#This Row],[Fecha Detección]]+1,0)</f>
        <v>6</v>
      </c>
      <c r="L107" s="34" t="str">
        <f>LOOKUP(Observaciones[[#This Row],[Caso de Prueba]],CasoPrueba[Código CP],CasoPrueba[Código de REQ])</f>
        <v>INSPECCIÓN</v>
      </c>
    </row>
    <row r="108" spans="1:12" ht="30" hidden="1">
      <c r="A108" s="165" t="s">
        <v>431</v>
      </c>
      <c r="B108" s="34" t="s">
        <v>151</v>
      </c>
      <c r="C108" s="34" t="str">
        <f>VLOOKUP(Observaciones[Caso de Prueba],CasoPrueba[[#All],[Código CP]:[Prioridad]],7,TRUE)</f>
        <v>Alta</v>
      </c>
      <c r="D108" s="34" t="s">
        <v>162</v>
      </c>
      <c r="E108" s="34" t="s">
        <v>49</v>
      </c>
      <c r="F108" s="73">
        <v>40798</v>
      </c>
      <c r="G108" s="73">
        <v>40803</v>
      </c>
      <c r="H108" s="166" t="s">
        <v>132</v>
      </c>
      <c r="I108" s="34" t="s">
        <v>441</v>
      </c>
      <c r="J108" s="34" t="s">
        <v>234</v>
      </c>
      <c r="K108" s="34">
        <f>IF((Observaciones[[#This Row],[Fecha Levantamiento]]-Observaciones[[#This Row],[Fecha Detección]])&gt;=0,Observaciones[[#This Row],[Fecha Levantamiento]]-Observaciones[[#This Row],[Fecha Detección]]+1,0)</f>
        <v>6</v>
      </c>
      <c r="L108" s="34" t="str">
        <f>LOOKUP(Observaciones[[#This Row],[Caso de Prueba]],CasoPrueba[Código CP],CasoPrueba[Código de REQ])</f>
        <v>INSPECCIÓN</v>
      </c>
    </row>
    <row r="109" spans="1:12" ht="45" hidden="1">
      <c r="A109" s="165" t="s">
        <v>432</v>
      </c>
      <c r="B109" s="34" t="s">
        <v>152</v>
      </c>
      <c r="C109" s="34" t="str">
        <f>VLOOKUP(Observaciones[Caso de Prueba],CasoPrueba[[#All],[Código CP]:[Prioridad]],7,TRUE)</f>
        <v>Alta</v>
      </c>
      <c r="D109" s="34" t="s">
        <v>29</v>
      </c>
      <c r="E109" s="34" t="s">
        <v>49</v>
      </c>
      <c r="F109" s="73">
        <v>40798</v>
      </c>
      <c r="G109" s="73">
        <v>40803</v>
      </c>
      <c r="H109" s="166" t="s">
        <v>132</v>
      </c>
      <c r="I109" s="34" t="s">
        <v>442</v>
      </c>
      <c r="J109" s="34" t="s">
        <v>468</v>
      </c>
      <c r="K109" s="34">
        <f>IF((Observaciones[[#This Row],[Fecha Levantamiento]]-Observaciones[[#This Row],[Fecha Detección]])&gt;=0,Observaciones[[#This Row],[Fecha Levantamiento]]-Observaciones[[#This Row],[Fecha Detección]]+1,0)</f>
        <v>6</v>
      </c>
      <c r="L109" s="34" t="str">
        <f>LOOKUP(Observaciones[[#This Row],[Caso de Prueba]],CasoPrueba[Código CP],CasoPrueba[Código de REQ])</f>
        <v>INSPECCIÓN</v>
      </c>
    </row>
    <row r="110" spans="1:12" ht="30" hidden="1">
      <c r="A110" s="165" t="s">
        <v>433</v>
      </c>
      <c r="B110" s="34" t="s">
        <v>153</v>
      </c>
      <c r="C110" s="34" t="str">
        <f>VLOOKUP(Observaciones[Caso de Prueba],CasoPrueba[[#All],[Código CP]:[Prioridad]],7,TRUE)</f>
        <v>Alta</v>
      </c>
      <c r="D110" s="34" t="s">
        <v>162</v>
      </c>
      <c r="E110" s="34" t="s">
        <v>49</v>
      </c>
      <c r="F110" s="73">
        <v>40800</v>
      </c>
      <c r="G110" s="73">
        <v>40803</v>
      </c>
      <c r="H110" s="94" t="s">
        <v>132</v>
      </c>
      <c r="I110" s="34" t="s">
        <v>443</v>
      </c>
      <c r="J110" s="34" t="s">
        <v>234</v>
      </c>
      <c r="K110" s="34">
        <f>IF((Observaciones[[#This Row],[Fecha Levantamiento]]-Observaciones[[#This Row],[Fecha Detección]])&gt;=0,Observaciones[[#This Row],[Fecha Levantamiento]]-Observaciones[[#This Row],[Fecha Detección]]+1,0)</f>
        <v>4</v>
      </c>
      <c r="L110" s="34" t="str">
        <f>LOOKUP(Observaciones[[#This Row],[Caso de Prueba]],CasoPrueba[Código CP],CasoPrueba[Código de REQ])</f>
        <v>INSPECCIÓN</v>
      </c>
    </row>
    <row r="111" spans="1:12" ht="30" hidden="1">
      <c r="A111" s="165" t="s">
        <v>434</v>
      </c>
      <c r="B111" s="34" t="s">
        <v>153</v>
      </c>
      <c r="C111" s="34" t="str">
        <f>VLOOKUP(Observaciones[Caso de Prueba],CasoPrueba[[#All],[Código CP]:[Prioridad]],7,TRUE)</f>
        <v>Alta</v>
      </c>
      <c r="D111" s="34" t="s">
        <v>162</v>
      </c>
      <c r="E111" s="34" t="s">
        <v>49</v>
      </c>
      <c r="F111" s="73">
        <v>40800</v>
      </c>
      <c r="G111" s="73">
        <v>40803</v>
      </c>
      <c r="H111" s="94" t="s">
        <v>132</v>
      </c>
      <c r="I111" s="34" t="s">
        <v>444</v>
      </c>
      <c r="J111" s="34" t="s">
        <v>234</v>
      </c>
      <c r="K111" s="34">
        <f>IF((Observaciones[[#This Row],[Fecha Levantamiento]]-Observaciones[[#This Row],[Fecha Detección]])&gt;=0,Observaciones[[#This Row],[Fecha Levantamiento]]-Observaciones[[#This Row],[Fecha Detección]]+1,0)</f>
        <v>4</v>
      </c>
      <c r="L111" s="34" t="str">
        <f>LOOKUP(Observaciones[[#This Row],[Caso de Prueba]],CasoPrueba[Código CP],CasoPrueba[Código de REQ])</f>
        <v>INSPECCIÓN</v>
      </c>
    </row>
    <row r="112" spans="1:12" ht="45" hidden="1">
      <c r="A112" s="165" t="s">
        <v>435</v>
      </c>
      <c r="B112" s="34" t="s">
        <v>153</v>
      </c>
      <c r="C112" s="34" t="str">
        <f>VLOOKUP(Observaciones[Caso de Prueba],CasoPrueba[[#All],[Código CP]:[Prioridad]],7,TRUE)</f>
        <v>Alta</v>
      </c>
      <c r="D112" s="34" t="s">
        <v>29</v>
      </c>
      <c r="E112" s="34" t="s">
        <v>49</v>
      </c>
      <c r="F112" s="73">
        <v>40800</v>
      </c>
      <c r="G112" s="73">
        <v>40803</v>
      </c>
      <c r="H112" s="94" t="s">
        <v>132</v>
      </c>
      <c r="I112" s="34" t="s">
        <v>446</v>
      </c>
      <c r="J112" s="34" t="s">
        <v>469</v>
      </c>
      <c r="K112" s="34"/>
      <c r="L112" s="34"/>
    </row>
    <row r="113" spans="1:12" ht="120" hidden="1">
      <c r="A113" s="165" t="s">
        <v>436</v>
      </c>
      <c r="B113" s="34" t="s">
        <v>154</v>
      </c>
      <c r="C113" s="34" t="str">
        <f>VLOOKUP(Observaciones[Caso de Prueba],CasoPrueba[[#All],[Código CP]:[Prioridad]],7,TRUE)</f>
        <v>Alta</v>
      </c>
      <c r="D113" s="34" t="s">
        <v>30</v>
      </c>
      <c r="E113" s="34" t="s">
        <v>49</v>
      </c>
      <c r="F113" s="73">
        <v>40800</v>
      </c>
      <c r="G113" s="73">
        <v>40803</v>
      </c>
      <c r="H113" s="94" t="s">
        <v>132</v>
      </c>
      <c r="I113" s="34" t="s">
        <v>445</v>
      </c>
      <c r="J113" s="34" t="s">
        <v>470</v>
      </c>
      <c r="K113" s="34">
        <f>IF((Observaciones[[#This Row],[Fecha Levantamiento]]-Observaciones[[#This Row],[Fecha Detección]])&gt;=0,Observaciones[[#This Row],[Fecha Levantamiento]]-Observaciones[[#This Row],[Fecha Detección]]+1,0)</f>
        <v>4</v>
      </c>
      <c r="L113" s="34" t="str">
        <f>LOOKUP(Observaciones[[#This Row],[Caso de Prueba]],CasoPrueba[Código CP],CasoPrueba[Código de REQ])</f>
        <v>INSPECCIÓN</v>
      </c>
    </row>
    <row r="114" spans="1:12" ht="30" hidden="1">
      <c r="A114" s="165" t="s">
        <v>437</v>
      </c>
      <c r="B114" s="34" t="s">
        <v>154</v>
      </c>
      <c r="C114" s="34" t="str">
        <f>VLOOKUP(Observaciones[Caso de Prueba],CasoPrueba[[#All],[Código CP]:[Prioridad]],7,TRUE)</f>
        <v>Alta</v>
      </c>
      <c r="D114" s="34" t="s">
        <v>29</v>
      </c>
      <c r="E114" s="34" t="s">
        <v>49</v>
      </c>
      <c r="F114" s="73">
        <v>40800</v>
      </c>
      <c r="G114" s="73">
        <v>40803</v>
      </c>
      <c r="H114" s="94" t="s">
        <v>132</v>
      </c>
      <c r="I114" s="34" t="s">
        <v>455</v>
      </c>
      <c r="J114" s="34" t="s">
        <v>471</v>
      </c>
      <c r="K114" s="34">
        <f>IF((Observaciones[[#This Row],[Fecha Levantamiento]]-Observaciones[[#This Row],[Fecha Detección]])&gt;=0,Observaciones[[#This Row],[Fecha Levantamiento]]-Observaciones[[#This Row],[Fecha Detección]]+1,0)</f>
        <v>4</v>
      </c>
      <c r="L114" s="34" t="str">
        <f>LOOKUP(Observaciones[[#This Row],[Caso de Prueba]],CasoPrueba[Código CP],CasoPrueba[Código de REQ])</f>
        <v>INSPECCIÓN</v>
      </c>
    </row>
    <row r="115" spans="1:12" ht="45" hidden="1">
      <c r="A115" s="165" t="s">
        <v>447</v>
      </c>
      <c r="B115" s="34" t="s">
        <v>156</v>
      </c>
      <c r="C115" s="34" t="str">
        <f>VLOOKUP(Observaciones[Caso de Prueba],CasoPrueba[[#All],[Código CP]:[Prioridad]],7,TRUE)</f>
        <v>Alta</v>
      </c>
      <c r="D115" s="34" t="s">
        <v>30</v>
      </c>
      <c r="E115" s="34" t="s">
        <v>49</v>
      </c>
      <c r="F115" s="73">
        <v>40800</v>
      </c>
      <c r="G115" s="73">
        <v>40803</v>
      </c>
      <c r="H115" s="94" t="s">
        <v>132</v>
      </c>
      <c r="I115" s="34" t="s">
        <v>456</v>
      </c>
      <c r="J115" s="34" t="s">
        <v>470</v>
      </c>
      <c r="K115" s="34">
        <f>IF((Observaciones[[#This Row],[Fecha Levantamiento]]-Observaciones[[#This Row],[Fecha Detección]])&gt;=0,Observaciones[[#This Row],[Fecha Levantamiento]]-Observaciones[[#This Row],[Fecha Detección]]+1,0)</f>
        <v>4</v>
      </c>
      <c r="L115" s="34" t="str">
        <f>LOOKUP(Observaciones[[#This Row],[Caso de Prueba]],CasoPrueba[Código CP],CasoPrueba[Código de REQ])</f>
        <v>INSPECCIÓN</v>
      </c>
    </row>
    <row r="116" spans="1:12" ht="45" hidden="1">
      <c r="A116" s="165" t="s">
        <v>448</v>
      </c>
      <c r="B116" s="34" t="s">
        <v>156</v>
      </c>
      <c r="C116" s="34" t="str">
        <f>VLOOKUP(Observaciones[Caso de Prueba],CasoPrueba[[#All],[Código CP]:[Prioridad]],7,TRUE)</f>
        <v>Alta</v>
      </c>
      <c r="D116" s="34" t="s">
        <v>29</v>
      </c>
      <c r="E116" s="34" t="s">
        <v>49</v>
      </c>
      <c r="F116" s="73">
        <v>40800</v>
      </c>
      <c r="G116" s="73">
        <v>40803</v>
      </c>
      <c r="H116" s="94" t="s">
        <v>132</v>
      </c>
      <c r="I116" s="34" t="s">
        <v>457</v>
      </c>
      <c r="J116" s="34" t="s">
        <v>472</v>
      </c>
      <c r="K116" s="34">
        <f>IF((Observaciones[[#This Row],[Fecha Levantamiento]]-Observaciones[[#This Row],[Fecha Detección]])&gt;=0,Observaciones[[#This Row],[Fecha Levantamiento]]-Observaciones[[#This Row],[Fecha Detección]]+1,0)</f>
        <v>4</v>
      </c>
      <c r="L116" s="34" t="str">
        <f>LOOKUP(Observaciones[[#This Row],[Caso de Prueba]],CasoPrueba[Código CP],CasoPrueba[Código de REQ])</f>
        <v>INSPECCIÓN</v>
      </c>
    </row>
    <row r="117" spans="1:12" ht="45" hidden="1">
      <c r="A117" s="165" t="s">
        <v>449</v>
      </c>
      <c r="B117" s="34" t="s">
        <v>158</v>
      </c>
      <c r="C117" s="34" t="str">
        <f>VLOOKUP(Observaciones[Caso de Prueba],CasoPrueba[[#All],[Código CP]:[Prioridad]],7,TRUE)</f>
        <v>Alta</v>
      </c>
      <c r="D117" s="34" t="s">
        <v>30</v>
      </c>
      <c r="E117" s="34" t="s">
        <v>49</v>
      </c>
      <c r="F117" s="73">
        <v>40800</v>
      </c>
      <c r="G117" s="73">
        <v>40803</v>
      </c>
      <c r="H117" s="94" t="s">
        <v>132</v>
      </c>
      <c r="I117" s="34" t="s">
        <v>456</v>
      </c>
      <c r="J117" s="34" t="s">
        <v>470</v>
      </c>
      <c r="K117" s="34">
        <f>IF((Observaciones[[#This Row],[Fecha Levantamiento]]-Observaciones[[#This Row],[Fecha Detección]])&gt;=0,Observaciones[[#This Row],[Fecha Levantamiento]]-Observaciones[[#This Row],[Fecha Detección]]+1,0)</f>
        <v>4</v>
      </c>
      <c r="L117" s="34" t="str">
        <f>LOOKUP(Observaciones[[#This Row],[Caso de Prueba]],CasoPrueba[Código CP],CasoPrueba[Código de REQ])</f>
        <v>INSPECCIÓN</v>
      </c>
    </row>
    <row r="118" spans="1:12" ht="45" hidden="1">
      <c r="A118" s="165" t="s">
        <v>450</v>
      </c>
      <c r="B118" s="34" t="s">
        <v>172</v>
      </c>
      <c r="C118" s="34" t="str">
        <f>VLOOKUP(Observaciones[Caso de Prueba],CasoPrueba[[#All],[Código CP]:[Prioridad]],7,TRUE)</f>
        <v>Alta</v>
      </c>
      <c r="D118" s="34" t="s">
        <v>28</v>
      </c>
      <c r="E118" s="34" t="s">
        <v>49</v>
      </c>
      <c r="F118" s="73">
        <v>40800</v>
      </c>
      <c r="G118" s="73">
        <v>40803</v>
      </c>
      <c r="H118" s="94" t="s">
        <v>132</v>
      </c>
      <c r="I118" s="34" t="s">
        <v>459</v>
      </c>
      <c r="J118" s="34" t="s">
        <v>467</v>
      </c>
      <c r="K118" s="34">
        <f>IF((Observaciones[[#This Row],[Fecha Levantamiento]]-Observaciones[[#This Row],[Fecha Detección]])&gt;=0,Observaciones[[#This Row],[Fecha Levantamiento]]-Observaciones[[#This Row],[Fecha Detección]]+1,0)</f>
        <v>4</v>
      </c>
      <c r="L118" s="34" t="str">
        <f>LOOKUP(Observaciones[[#This Row],[Caso de Prueba]],CasoPrueba[Código CP],CasoPrueba[Código de REQ])</f>
        <v>INSPECCIÓN</v>
      </c>
    </row>
    <row r="119" spans="1:12" ht="93" hidden="1" customHeight="1">
      <c r="A119" s="165" t="s">
        <v>451</v>
      </c>
      <c r="B119" s="34" t="s">
        <v>172</v>
      </c>
      <c r="C119" s="34" t="str">
        <f>VLOOKUP(Observaciones[Caso de Prueba],CasoPrueba[[#All],[Código CP]:[Prioridad]],7,TRUE)</f>
        <v>Alta</v>
      </c>
      <c r="D119" s="34" t="s">
        <v>29</v>
      </c>
      <c r="E119" s="34" t="s">
        <v>49</v>
      </c>
      <c r="F119" s="73">
        <v>40800</v>
      </c>
      <c r="G119" s="73">
        <v>40803</v>
      </c>
      <c r="H119" s="94" t="s">
        <v>132</v>
      </c>
      <c r="I119" s="34" t="s">
        <v>476</v>
      </c>
      <c r="J119" s="34" t="s">
        <v>473</v>
      </c>
      <c r="K119" s="34">
        <f>IF((Observaciones[[#This Row],[Fecha Levantamiento]]-Observaciones[[#This Row],[Fecha Detección]])&gt;=0,Observaciones[[#This Row],[Fecha Levantamiento]]-Observaciones[[#This Row],[Fecha Detección]]+1,0)</f>
        <v>4</v>
      </c>
      <c r="L119" s="34" t="str">
        <f>LOOKUP(Observaciones[[#This Row],[Caso de Prueba]],CasoPrueba[Código CP],CasoPrueba[Código de REQ])</f>
        <v>INSPECCIÓN</v>
      </c>
    </row>
    <row r="120" spans="1:12" ht="105" hidden="1">
      <c r="A120" s="165" t="s">
        <v>452</v>
      </c>
      <c r="B120" s="34" t="s">
        <v>172</v>
      </c>
      <c r="C120" s="34" t="str">
        <f>VLOOKUP(Observaciones[Caso de Prueba],CasoPrueba[[#All],[Código CP]:[Prioridad]],7,TRUE)</f>
        <v>Alta</v>
      </c>
      <c r="D120" s="34" t="s">
        <v>29</v>
      </c>
      <c r="E120" s="34" t="s">
        <v>49</v>
      </c>
      <c r="F120" s="73">
        <v>40800</v>
      </c>
      <c r="G120" s="73">
        <v>40803</v>
      </c>
      <c r="H120" s="94" t="s">
        <v>132</v>
      </c>
      <c r="I120" s="34" t="s">
        <v>477</v>
      </c>
      <c r="J120" s="34" t="s">
        <v>474</v>
      </c>
      <c r="K120" s="34">
        <f>IF((Observaciones[[#This Row],[Fecha Levantamiento]]-Observaciones[[#This Row],[Fecha Detección]])&gt;=0,Observaciones[[#This Row],[Fecha Levantamiento]]-Observaciones[[#This Row],[Fecha Detección]]+1,0)</f>
        <v>4</v>
      </c>
      <c r="L120" s="34" t="str">
        <f>LOOKUP(Observaciones[[#This Row],[Caso de Prueba]],CasoPrueba[Código CP],CasoPrueba[Código de REQ])</f>
        <v>INSPECCIÓN</v>
      </c>
    </row>
    <row r="121" spans="1:12" ht="105" hidden="1">
      <c r="A121" s="165" t="s">
        <v>453</v>
      </c>
      <c r="B121" s="34" t="s">
        <v>173</v>
      </c>
      <c r="C121" s="34" t="str">
        <f>VLOOKUP(Observaciones[Caso de Prueba],CasoPrueba[[#All],[Código CP]:[Prioridad]],7,TRUE)</f>
        <v>Alta</v>
      </c>
      <c r="D121" s="34" t="s">
        <v>28</v>
      </c>
      <c r="E121" s="34" t="s">
        <v>49</v>
      </c>
      <c r="F121" s="73">
        <v>40800</v>
      </c>
      <c r="G121" s="73">
        <v>40803</v>
      </c>
      <c r="H121" s="94" t="s">
        <v>132</v>
      </c>
      <c r="I121" s="34" t="s">
        <v>461</v>
      </c>
      <c r="J121" s="34" t="s">
        <v>266</v>
      </c>
      <c r="K121" s="34">
        <f>IF((Observaciones[[#This Row],[Fecha Levantamiento]]-Observaciones[[#This Row],[Fecha Detección]])&gt;=0,Observaciones[[#This Row],[Fecha Levantamiento]]-Observaciones[[#This Row],[Fecha Detección]]+1,0)</f>
        <v>4</v>
      </c>
      <c r="L121" s="34" t="str">
        <f>LOOKUP(Observaciones[[#This Row],[Caso de Prueba]],CasoPrueba[Código CP],CasoPrueba[Código de REQ])</f>
        <v>INSPECCIÓN</v>
      </c>
    </row>
    <row r="122" spans="1:12" ht="30" hidden="1">
      <c r="A122" s="165" t="s">
        <v>454</v>
      </c>
      <c r="B122" s="34" t="s">
        <v>174</v>
      </c>
      <c r="C122" s="34" t="str">
        <f>VLOOKUP(Observaciones[Caso de Prueba],CasoPrueba[[#All],[Código CP]:[Prioridad]],7,TRUE)</f>
        <v>Alta</v>
      </c>
      <c r="D122" s="34" t="s">
        <v>30</v>
      </c>
      <c r="E122" s="34" t="s">
        <v>49</v>
      </c>
      <c r="F122" s="73">
        <v>40800</v>
      </c>
      <c r="G122" s="73">
        <v>40803</v>
      </c>
      <c r="H122" s="94" t="s">
        <v>132</v>
      </c>
      <c r="I122" s="34" t="s">
        <v>462</v>
      </c>
      <c r="J122" s="34" t="s">
        <v>475</v>
      </c>
      <c r="K122" s="34">
        <f>IF((Observaciones[[#This Row],[Fecha Levantamiento]]-Observaciones[[#This Row],[Fecha Detección]])&gt;=0,Observaciones[[#This Row],[Fecha Levantamiento]]-Observaciones[[#This Row],[Fecha Detección]]+1,0)</f>
        <v>4</v>
      </c>
      <c r="L122" s="34" t="str">
        <f>LOOKUP(Observaciones[[#This Row],[Caso de Prueba]],CasoPrueba[Código CP],CasoPrueba[Código de REQ])</f>
        <v>INSPECCIÓN</v>
      </c>
    </row>
    <row r="123" spans="1:12" ht="45" hidden="1">
      <c r="A123" s="165" t="s">
        <v>478</v>
      </c>
      <c r="B123" s="34" t="s">
        <v>173</v>
      </c>
      <c r="C123" s="34" t="str">
        <f>VLOOKUP(Observaciones[Caso de Prueba],CasoPrueba[[#All],[Código CP]:[Prioridad]],7,TRUE)</f>
        <v>Alta</v>
      </c>
      <c r="D123" s="34" t="s">
        <v>162</v>
      </c>
      <c r="E123" s="34" t="s">
        <v>49</v>
      </c>
      <c r="F123" s="73">
        <v>40802</v>
      </c>
      <c r="G123" s="73">
        <v>40805</v>
      </c>
      <c r="H123" s="94" t="s">
        <v>132</v>
      </c>
      <c r="I123" s="34" t="s">
        <v>484</v>
      </c>
      <c r="J123" s="34" t="s">
        <v>493</v>
      </c>
      <c r="K123" s="34">
        <f>IF((Observaciones[[#This Row],[Fecha Levantamiento]]-Observaciones[[#This Row],[Fecha Detección]])&gt;=0,Observaciones[[#This Row],[Fecha Levantamiento]]-Observaciones[[#This Row],[Fecha Detección]]+1,0)</f>
        <v>4</v>
      </c>
      <c r="L123" s="34" t="str">
        <f>LOOKUP(Observaciones[[#This Row],[Caso de Prueba]],CasoPrueba[Código CP],CasoPrueba[Código de REQ])</f>
        <v>INSPECCIÓN</v>
      </c>
    </row>
    <row r="124" spans="1:12" ht="45.75" hidden="1" customHeight="1">
      <c r="A124" s="165" t="s">
        <v>479</v>
      </c>
      <c r="B124" s="34" t="s">
        <v>173</v>
      </c>
      <c r="C124" s="34" t="str">
        <f>VLOOKUP(Observaciones[Caso de Prueba],CasoPrueba[[#All],[Código CP]:[Prioridad]],7,TRUE)</f>
        <v>Alta</v>
      </c>
      <c r="D124" s="34" t="s">
        <v>29</v>
      </c>
      <c r="E124" s="34" t="s">
        <v>49</v>
      </c>
      <c r="F124" s="73">
        <v>40802</v>
      </c>
      <c r="G124" s="73">
        <v>40805</v>
      </c>
      <c r="H124" s="94" t="s">
        <v>132</v>
      </c>
      <c r="I124" s="34" t="s">
        <v>485</v>
      </c>
      <c r="J124" s="34" t="s">
        <v>494</v>
      </c>
      <c r="K124" s="34">
        <f>IF((Observaciones[[#This Row],[Fecha Levantamiento]]-Observaciones[[#This Row],[Fecha Detección]])&gt;=0,Observaciones[[#This Row],[Fecha Levantamiento]]-Observaciones[[#This Row],[Fecha Detección]]+1,0)</f>
        <v>4</v>
      </c>
      <c r="L124" s="34" t="str">
        <f>LOOKUP(Observaciones[[#This Row],[Caso de Prueba]],CasoPrueba[Código CP],CasoPrueba[Código de REQ])</f>
        <v>INSPECCIÓN</v>
      </c>
    </row>
    <row r="125" spans="1:12" ht="30" hidden="1">
      <c r="A125" s="165" t="s">
        <v>480</v>
      </c>
      <c r="B125" s="34" t="s">
        <v>173</v>
      </c>
      <c r="C125" s="34" t="str">
        <f>VLOOKUP(Observaciones[Caso de Prueba],CasoPrueba[[#All],[Código CP]:[Prioridad]],7,TRUE)</f>
        <v>Alta</v>
      </c>
      <c r="D125" s="34" t="s">
        <v>29</v>
      </c>
      <c r="E125" s="34" t="s">
        <v>49</v>
      </c>
      <c r="F125" s="73">
        <v>40802</v>
      </c>
      <c r="G125" s="73">
        <v>40805</v>
      </c>
      <c r="H125" s="94" t="s">
        <v>132</v>
      </c>
      <c r="I125" s="34" t="s">
        <v>486</v>
      </c>
      <c r="J125" s="34" t="s">
        <v>495</v>
      </c>
      <c r="K125" s="34">
        <f>IF((Observaciones[[#This Row],[Fecha Levantamiento]]-Observaciones[[#This Row],[Fecha Detección]])&gt;=0,Observaciones[[#This Row],[Fecha Levantamiento]]-Observaciones[[#This Row],[Fecha Detección]]+1,0)</f>
        <v>4</v>
      </c>
      <c r="L125" s="34" t="str">
        <f>LOOKUP(Observaciones[[#This Row],[Caso de Prueba]],CasoPrueba[Código CP],CasoPrueba[Código de REQ])</f>
        <v>INSPECCIÓN</v>
      </c>
    </row>
    <row r="126" spans="1:12" ht="45" hidden="1">
      <c r="A126" s="165" t="s">
        <v>481</v>
      </c>
      <c r="B126" s="34" t="s">
        <v>487</v>
      </c>
      <c r="C126" s="34" t="str">
        <f>VLOOKUP(Observaciones[Caso de Prueba],CasoPrueba[[#All],[Código CP]:[Prioridad]],7,TRUE)</f>
        <v>Alta</v>
      </c>
      <c r="D126" s="34" t="s">
        <v>162</v>
      </c>
      <c r="E126" s="34" t="s">
        <v>49</v>
      </c>
      <c r="F126" s="73">
        <v>40805</v>
      </c>
      <c r="G126" s="73">
        <v>40831</v>
      </c>
      <c r="H126" s="94" t="s">
        <v>132</v>
      </c>
      <c r="I126" s="34" t="s">
        <v>624</v>
      </c>
      <c r="J126" s="34" t="s">
        <v>816</v>
      </c>
      <c r="K126" s="34">
        <f>IF((Observaciones[[#This Row],[Fecha Levantamiento]]-Observaciones[[#This Row],[Fecha Detección]])&gt;=0,Observaciones[[#This Row],[Fecha Levantamiento]]-Observaciones[[#This Row],[Fecha Detección]]+1,0)</f>
        <v>27</v>
      </c>
      <c r="L126" s="34" t="str">
        <f>LOOKUP(Observaciones[[#This Row],[Caso de Prueba]],CasoPrueba[Código CP],CasoPrueba[Código de REQ])</f>
        <v>INSPECCIÓN</v>
      </c>
    </row>
    <row r="127" spans="1:12" ht="90" hidden="1">
      <c r="A127" s="165" t="s">
        <v>482</v>
      </c>
      <c r="B127" s="34" t="s">
        <v>487</v>
      </c>
      <c r="C127" s="34" t="str">
        <f>VLOOKUP(Observaciones[Caso de Prueba],CasoPrueba[[#All],[Código CP]:[Prioridad]],7,TRUE)</f>
        <v>Alta</v>
      </c>
      <c r="D127" s="34" t="s">
        <v>30</v>
      </c>
      <c r="E127" s="34" t="s">
        <v>49</v>
      </c>
      <c r="F127" s="73">
        <v>40805</v>
      </c>
      <c r="G127" s="73">
        <v>40831</v>
      </c>
      <c r="H127" s="94" t="s">
        <v>132</v>
      </c>
      <c r="I127" s="34" t="s">
        <v>599</v>
      </c>
      <c r="J127" s="34" t="s">
        <v>817</v>
      </c>
      <c r="K127" s="34">
        <f>IF((Observaciones[[#This Row],[Fecha Levantamiento]]-Observaciones[[#This Row],[Fecha Detección]])&gt;=0,Observaciones[[#This Row],[Fecha Levantamiento]]-Observaciones[[#This Row],[Fecha Detección]]+1,0)</f>
        <v>27</v>
      </c>
      <c r="L127" s="34" t="str">
        <f>LOOKUP(Observaciones[[#This Row],[Caso de Prueba]],CasoPrueba[Código CP],CasoPrueba[Código de REQ])</f>
        <v>INSPECCIÓN</v>
      </c>
    </row>
    <row r="128" spans="1:12" ht="30" hidden="1">
      <c r="A128" s="165" t="s">
        <v>483</v>
      </c>
      <c r="B128" s="34" t="s">
        <v>487</v>
      </c>
      <c r="C128" s="34" t="str">
        <f>VLOOKUP(Observaciones[Caso de Prueba],CasoPrueba[[#All],[Código CP]:[Prioridad]],7,TRUE)</f>
        <v>Alta</v>
      </c>
      <c r="D128" s="34" t="s">
        <v>29</v>
      </c>
      <c r="E128" s="34" t="s">
        <v>49</v>
      </c>
      <c r="F128" s="73">
        <v>40805</v>
      </c>
      <c r="G128" s="73">
        <v>40831</v>
      </c>
      <c r="H128" s="94" t="s">
        <v>132</v>
      </c>
      <c r="I128" s="34" t="s">
        <v>583</v>
      </c>
      <c r="J128" s="34" t="s">
        <v>818</v>
      </c>
      <c r="K128" s="34">
        <f>IF((Observaciones[[#This Row],[Fecha Levantamiento]]-Observaciones[[#This Row],[Fecha Detección]])&gt;=0,Observaciones[[#This Row],[Fecha Levantamiento]]-Observaciones[[#This Row],[Fecha Detección]]+1,0)</f>
        <v>27</v>
      </c>
      <c r="L128" s="34" t="str">
        <f>LOOKUP(Observaciones[[#This Row],[Caso de Prueba]],CasoPrueba[Código CP],CasoPrueba[Código de REQ])</f>
        <v>INSPECCIÓN</v>
      </c>
    </row>
    <row r="129" spans="1:12" ht="30" hidden="1">
      <c r="A129" s="165" t="s">
        <v>496</v>
      </c>
      <c r="B129" s="34" t="s">
        <v>487</v>
      </c>
      <c r="C129" s="34" t="str">
        <f>VLOOKUP(Observaciones[Caso de Prueba],CasoPrueba[[#All],[Código CP]:[Prioridad]],7,TRUE)</f>
        <v>Alta</v>
      </c>
      <c r="D129" s="34" t="s">
        <v>28</v>
      </c>
      <c r="E129" s="34" t="s">
        <v>49</v>
      </c>
      <c r="F129" s="73">
        <v>40805</v>
      </c>
      <c r="G129" s="73">
        <v>40831</v>
      </c>
      <c r="H129" s="94" t="s">
        <v>132</v>
      </c>
      <c r="I129" s="34" t="s">
        <v>584</v>
      </c>
      <c r="J129" s="34" t="s">
        <v>819</v>
      </c>
      <c r="K129" s="34">
        <f>IF((Observaciones[[#This Row],[Fecha Levantamiento]]-Observaciones[[#This Row],[Fecha Detección]])&gt;=0,Observaciones[[#This Row],[Fecha Levantamiento]]-Observaciones[[#This Row],[Fecha Detección]]+1,0)</f>
        <v>27</v>
      </c>
      <c r="L129" s="34" t="str">
        <f>LOOKUP(Observaciones[[#This Row],[Caso de Prueba]],CasoPrueba[Código CP],CasoPrueba[Código de REQ])</f>
        <v>INSPECCIÓN</v>
      </c>
    </row>
    <row r="130" spans="1:12" ht="30" hidden="1">
      <c r="A130" s="165" t="s">
        <v>497</v>
      </c>
      <c r="B130" s="34" t="s">
        <v>487</v>
      </c>
      <c r="C130" s="34" t="str">
        <f>VLOOKUP(Observaciones[Caso de Prueba],CasoPrueba[[#All],[Código CP]:[Prioridad]],7,TRUE)</f>
        <v>Alta</v>
      </c>
      <c r="D130" s="34" t="s">
        <v>30</v>
      </c>
      <c r="E130" s="34" t="s">
        <v>49</v>
      </c>
      <c r="F130" s="73">
        <v>40805</v>
      </c>
      <c r="G130" s="73">
        <v>40831</v>
      </c>
      <c r="H130" s="94" t="s">
        <v>132</v>
      </c>
      <c r="I130" s="34" t="s">
        <v>585</v>
      </c>
      <c r="J130" s="34" t="s">
        <v>820</v>
      </c>
      <c r="K130" s="34">
        <f>IF((Observaciones[[#This Row],[Fecha Levantamiento]]-Observaciones[[#This Row],[Fecha Detección]])&gt;=0,Observaciones[[#This Row],[Fecha Levantamiento]]-Observaciones[[#This Row],[Fecha Detección]]+1,0)</f>
        <v>27</v>
      </c>
      <c r="L130" s="34" t="str">
        <f>LOOKUP(Observaciones[[#This Row],[Caso de Prueba]],CasoPrueba[Código CP],CasoPrueba[Código de REQ])</f>
        <v>INSPECCIÓN</v>
      </c>
    </row>
    <row r="131" spans="1:12" ht="60" hidden="1">
      <c r="A131" s="165" t="s">
        <v>498</v>
      </c>
      <c r="B131" s="34" t="s">
        <v>487</v>
      </c>
      <c r="C131" s="34" t="str">
        <f>VLOOKUP(Observaciones[Caso de Prueba],CasoPrueba[[#All],[Código CP]:[Prioridad]],7,TRUE)</f>
        <v>Alta</v>
      </c>
      <c r="D131" s="34" t="s">
        <v>29</v>
      </c>
      <c r="E131" s="34" t="s">
        <v>49</v>
      </c>
      <c r="F131" s="73">
        <v>40805</v>
      </c>
      <c r="G131" s="73">
        <v>40831</v>
      </c>
      <c r="H131" s="94" t="s">
        <v>132</v>
      </c>
      <c r="I131" s="34" t="s">
        <v>586</v>
      </c>
      <c r="J131" s="34" t="s">
        <v>821</v>
      </c>
      <c r="K131" s="34">
        <f>IF((Observaciones[[#This Row],[Fecha Levantamiento]]-Observaciones[[#This Row],[Fecha Detección]])&gt;=0,Observaciones[[#This Row],[Fecha Levantamiento]]-Observaciones[[#This Row],[Fecha Detección]]+1,0)</f>
        <v>27</v>
      </c>
      <c r="L131" s="34" t="str">
        <f>LOOKUP(Observaciones[[#This Row],[Caso de Prueba]],CasoPrueba[Código CP],CasoPrueba[Código de REQ])</f>
        <v>INSPECCIÓN</v>
      </c>
    </row>
    <row r="132" spans="1:12" ht="60" hidden="1">
      <c r="A132" s="165" t="s">
        <v>499</v>
      </c>
      <c r="B132" s="34" t="s">
        <v>487</v>
      </c>
      <c r="C132" s="34" t="str">
        <f>VLOOKUP(Observaciones[Caso de Prueba],CasoPrueba[[#All],[Código CP]:[Prioridad]],7,TRUE)</f>
        <v>Alta</v>
      </c>
      <c r="D132" s="34" t="s">
        <v>30</v>
      </c>
      <c r="E132" s="34" t="s">
        <v>49</v>
      </c>
      <c r="F132" s="73">
        <v>40805</v>
      </c>
      <c r="G132" s="73">
        <v>40831</v>
      </c>
      <c r="H132" s="94" t="s">
        <v>132</v>
      </c>
      <c r="I132" s="34" t="s">
        <v>626</v>
      </c>
      <c r="J132" s="34" t="s">
        <v>822</v>
      </c>
      <c r="K132" s="34">
        <f>IF((Observaciones[[#This Row],[Fecha Levantamiento]]-Observaciones[[#This Row],[Fecha Detección]])&gt;=0,Observaciones[[#This Row],[Fecha Levantamiento]]-Observaciones[[#This Row],[Fecha Detección]]+1,0)</f>
        <v>27</v>
      </c>
      <c r="L132" s="34" t="str">
        <f>LOOKUP(Observaciones[[#This Row],[Caso de Prueba]],CasoPrueba[Código CP],CasoPrueba[Código de REQ])</f>
        <v>INSPECCIÓN</v>
      </c>
    </row>
    <row r="133" spans="1:12" ht="45" hidden="1">
      <c r="A133" s="165" t="s">
        <v>500</v>
      </c>
      <c r="B133" s="34" t="s">
        <v>487</v>
      </c>
      <c r="C133" s="34" t="str">
        <f>VLOOKUP(Observaciones[Caso de Prueba],CasoPrueba[[#All],[Código CP]:[Prioridad]],7,TRUE)</f>
        <v>Alta</v>
      </c>
      <c r="D133" s="34" t="s">
        <v>162</v>
      </c>
      <c r="E133" s="34" t="s">
        <v>49</v>
      </c>
      <c r="F133" s="73">
        <v>40805</v>
      </c>
      <c r="G133" s="73">
        <v>40831</v>
      </c>
      <c r="H133" s="94" t="s">
        <v>132</v>
      </c>
      <c r="I133" s="34" t="s">
        <v>587</v>
      </c>
      <c r="J133" s="34" t="s">
        <v>823</v>
      </c>
      <c r="K133" s="34">
        <f>IF((Observaciones[[#This Row],[Fecha Levantamiento]]-Observaciones[[#This Row],[Fecha Detección]])&gt;=0,Observaciones[[#This Row],[Fecha Levantamiento]]-Observaciones[[#This Row],[Fecha Detección]]+1,0)</f>
        <v>27</v>
      </c>
      <c r="L133" s="34" t="str">
        <f>LOOKUP(Observaciones[[#This Row],[Caso de Prueba]],CasoPrueba[Código CP],CasoPrueba[Código de REQ])</f>
        <v>INSPECCIÓN</v>
      </c>
    </row>
    <row r="134" spans="1:12" ht="45" hidden="1">
      <c r="A134" s="165" t="s">
        <v>501</v>
      </c>
      <c r="B134" s="34" t="s">
        <v>487</v>
      </c>
      <c r="C134" s="34" t="str">
        <f>VLOOKUP(Observaciones[Caso de Prueba],CasoPrueba[[#All],[Código CP]:[Prioridad]],7,TRUE)</f>
        <v>Alta</v>
      </c>
      <c r="D134" s="34" t="s">
        <v>29</v>
      </c>
      <c r="E134" s="34" t="s">
        <v>49</v>
      </c>
      <c r="F134" s="73">
        <v>40805</v>
      </c>
      <c r="G134" s="73">
        <v>40831</v>
      </c>
      <c r="H134" s="94" t="s">
        <v>132</v>
      </c>
      <c r="I134" s="34" t="s">
        <v>588</v>
      </c>
      <c r="J134" s="34" t="s">
        <v>824</v>
      </c>
      <c r="K134" s="34">
        <f>IF((Observaciones[[#This Row],[Fecha Levantamiento]]-Observaciones[[#This Row],[Fecha Detección]])&gt;=0,Observaciones[[#This Row],[Fecha Levantamiento]]-Observaciones[[#This Row],[Fecha Detección]]+1,0)</f>
        <v>27</v>
      </c>
      <c r="L134" s="34" t="str">
        <f>LOOKUP(Observaciones[[#This Row],[Caso de Prueba]],CasoPrueba[Código CP],CasoPrueba[Código de REQ])</f>
        <v>INSPECCIÓN</v>
      </c>
    </row>
    <row r="135" spans="1:12" ht="45" hidden="1">
      <c r="A135" s="165" t="s">
        <v>502</v>
      </c>
      <c r="B135" s="34" t="s">
        <v>487</v>
      </c>
      <c r="C135" s="34" t="str">
        <f>VLOOKUP(Observaciones[Caso de Prueba],CasoPrueba[[#All],[Código CP]:[Prioridad]],7,TRUE)</f>
        <v>Alta</v>
      </c>
      <c r="D135" s="34" t="s">
        <v>29</v>
      </c>
      <c r="E135" s="34" t="s">
        <v>49</v>
      </c>
      <c r="F135" s="73">
        <v>40805</v>
      </c>
      <c r="G135" s="73">
        <v>40831</v>
      </c>
      <c r="H135" s="94" t="s">
        <v>132</v>
      </c>
      <c r="I135" s="34" t="s">
        <v>589</v>
      </c>
      <c r="J135" s="34" t="s">
        <v>825</v>
      </c>
      <c r="K135" s="34">
        <f>IF((Observaciones[[#This Row],[Fecha Levantamiento]]-Observaciones[[#This Row],[Fecha Detección]])&gt;=0,Observaciones[[#This Row],[Fecha Levantamiento]]-Observaciones[[#This Row],[Fecha Detección]]+1,0)</f>
        <v>27</v>
      </c>
      <c r="L135" s="34" t="str">
        <f>LOOKUP(Observaciones[[#This Row],[Caso de Prueba]],CasoPrueba[Código CP],CasoPrueba[Código de REQ])</f>
        <v>INSPECCIÓN</v>
      </c>
    </row>
    <row r="136" spans="1:12" ht="105" hidden="1">
      <c r="A136" s="165" t="s">
        <v>503</v>
      </c>
      <c r="B136" s="34" t="s">
        <v>487</v>
      </c>
      <c r="C136" s="34" t="str">
        <f>VLOOKUP(Observaciones[Caso de Prueba],CasoPrueba[[#All],[Código CP]:[Prioridad]],7,TRUE)</f>
        <v>Alta</v>
      </c>
      <c r="D136" s="34" t="s">
        <v>29</v>
      </c>
      <c r="E136" s="34" t="s">
        <v>49</v>
      </c>
      <c r="F136" s="73">
        <v>40805</v>
      </c>
      <c r="G136" s="73">
        <v>40831</v>
      </c>
      <c r="H136" s="94" t="s">
        <v>132</v>
      </c>
      <c r="I136" s="34" t="s">
        <v>590</v>
      </c>
      <c r="J136" s="34" t="s">
        <v>826</v>
      </c>
      <c r="K136" s="34">
        <f>IF((Observaciones[[#This Row],[Fecha Levantamiento]]-Observaciones[[#This Row],[Fecha Detección]])&gt;=0,Observaciones[[#This Row],[Fecha Levantamiento]]-Observaciones[[#This Row],[Fecha Detección]]+1,0)</f>
        <v>27</v>
      </c>
      <c r="L136" s="34" t="str">
        <f>LOOKUP(Observaciones[[#This Row],[Caso de Prueba]],CasoPrueba[Código CP],CasoPrueba[Código de REQ])</f>
        <v>INSPECCIÓN</v>
      </c>
    </row>
    <row r="137" spans="1:12" ht="60" hidden="1">
      <c r="A137" s="165" t="s">
        <v>504</v>
      </c>
      <c r="B137" s="34" t="s">
        <v>487</v>
      </c>
      <c r="C137" s="34" t="str">
        <f>VLOOKUP(Observaciones[Caso de Prueba],CasoPrueba[[#All],[Código CP]:[Prioridad]],7,TRUE)</f>
        <v>Alta</v>
      </c>
      <c r="D137" s="34" t="s">
        <v>29</v>
      </c>
      <c r="E137" s="34" t="s">
        <v>49</v>
      </c>
      <c r="F137" s="73">
        <v>40805</v>
      </c>
      <c r="G137" s="73">
        <v>40831</v>
      </c>
      <c r="H137" s="94" t="s">
        <v>132</v>
      </c>
      <c r="I137" s="34" t="s">
        <v>591</v>
      </c>
      <c r="J137" s="34" t="s">
        <v>827</v>
      </c>
      <c r="K137" s="34">
        <f>IF((Observaciones[[#This Row],[Fecha Levantamiento]]-Observaciones[[#This Row],[Fecha Detección]])&gt;=0,Observaciones[[#This Row],[Fecha Levantamiento]]-Observaciones[[#This Row],[Fecha Detección]]+1,0)</f>
        <v>27</v>
      </c>
      <c r="L137" s="34" t="str">
        <f>LOOKUP(Observaciones[[#This Row],[Caso de Prueba]],CasoPrueba[Código CP],CasoPrueba[Código de REQ])</f>
        <v>INSPECCIÓN</v>
      </c>
    </row>
    <row r="138" spans="1:12" ht="30" hidden="1">
      <c r="A138" s="165" t="s">
        <v>505</v>
      </c>
      <c r="B138" s="34" t="s">
        <v>487</v>
      </c>
      <c r="C138" s="34" t="str">
        <f>VLOOKUP(Observaciones[Caso de Prueba],CasoPrueba[[#All],[Código CP]:[Prioridad]],7,TRUE)</f>
        <v>Alta</v>
      </c>
      <c r="D138" s="34" t="s">
        <v>162</v>
      </c>
      <c r="E138" s="34" t="s">
        <v>49</v>
      </c>
      <c r="F138" s="73">
        <v>40805</v>
      </c>
      <c r="G138" s="73">
        <v>40831</v>
      </c>
      <c r="H138" s="94" t="s">
        <v>132</v>
      </c>
      <c r="I138" s="34" t="s">
        <v>592</v>
      </c>
      <c r="J138" s="34" t="s">
        <v>234</v>
      </c>
      <c r="K138" s="34">
        <f>IF((Observaciones[[#This Row],[Fecha Levantamiento]]-Observaciones[[#This Row],[Fecha Detección]])&gt;=0,Observaciones[[#This Row],[Fecha Levantamiento]]-Observaciones[[#This Row],[Fecha Detección]]+1,0)</f>
        <v>27</v>
      </c>
      <c r="L138" s="34" t="str">
        <f>LOOKUP(Observaciones[[#This Row],[Caso de Prueba]],CasoPrueba[Código CP],CasoPrueba[Código de REQ])</f>
        <v>INSPECCIÓN</v>
      </c>
    </row>
    <row r="139" spans="1:12" ht="78.75" hidden="1" customHeight="1">
      <c r="A139" s="165" t="s">
        <v>506</v>
      </c>
      <c r="B139" s="34" t="s">
        <v>487</v>
      </c>
      <c r="C139" s="34" t="str">
        <f>VLOOKUP(Observaciones[Caso de Prueba],CasoPrueba[[#All],[Código CP]:[Prioridad]],7,TRUE)</f>
        <v>Alta</v>
      </c>
      <c r="D139" s="34" t="s">
        <v>29</v>
      </c>
      <c r="E139" s="34" t="s">
        <v>49</v>
      </c>
      <c r="F139" s="73">
        <v>40805</v>
      </c>
      <c r="G139" s="73">
        <v>40831</v>
      </c>
      <c r="H139" s="94" t="s">
        <v>132</v>
      </c>
      <c r="I139" s="34" t="s">
        <v>593</v>
      </c>
      <c r="J139" s="34" t="s">
        <v>828</v>
      </c>
      <c r="K139" s="34">
        <f>IF((Observaciones[[#This Row],[Fecha Levantamiento]]-Observaciones[[#This Row],[Fecha Detección]])&gt;=0,Observaciones[[#This Row],[Fecha Levantamiento]]-Observaciones[[#This Row],[Fecha Detección]]+1,0)</f>
        <v>27</v>
      </c>
      <c r="L139" s="34" t="str">
        <f>LOOKUP(Observaciones[[#This Row],[Caso de Prueba]],CasoPrueba[Código CP],CasoPrueba[Código de REQ])</f>
        <v>INSPECCIÓN</v>
      </c>
    </row>
    <row r="140" spans="1:12" hidden="1">
      <c r="A140" s="165" t="s">
        <v>507</v>
      </c>
      <c r="B140" s="34" t="s">
        <v>487</v>
      </c>
      <c r="C140" s="34" t="str">
        <f>VLOOKUP(Observaciones[Caso de Prueba],CasoPrueba[[#All],[Código CP]:[Prioridad]],7,TRUE)</f>
        <v>Alta</v>
      </c>
      <c r="D140" s="34" t="s">
        <v>30</v>
      </c>
      <c r="E140" s="34" t="s">
        <v>49</v>
      </c>
      <c r="F140" s="73">
        <v>40805</v>
      </c>
      <c r="G140" s="73">
        <v>40831</v>
      </c>
      <c r="H140" s="94" t="s">
        <v>132</v>
      </c>
      <c r="I140" s="34" t="s">
        <v>594</v>
      </c>
      <c r="J140" s="34" t="s">
        <v>829</v>
      </c>
      <c r="K140" s="34">
        <f>IF((Observaciones[[#This Row],[Fecha Levantamiento]]-Observaciones[[#This Row],[Fecha Detección]])&gt;=0,Observaciones[[#This Row],[Fecha Levantamiento]]-Observaciones[[#This Row],[Fecha Detección]]+1,0)</f>
        <v>27</v>
      </c>
      <c r="L140" s="34" t="str">
        <f>LOOKUP(Observaciones[[#This Row],[Caso de Prueba]],CasoPrueba[Código CP],CasoPrueba[Código de REQ])</f>
        <v>INSPECCIÓN</v>
      </c>
    </row>
    <row r="141" spans="1:12" ht="30" hidden="1">
      <c r="A141" s="165" t="s">
        <v>508</v>
      </c>
      <c r="B141" s="34" t="s">
        <v>487</v>
      </c>
      <c r="C141" s="34" t="str">
        <f>VLOOKUP(Observaciones[Caso de Prueba],CasoPrueba[[#All],[Código CP]:[Prioridad]],7,TRUE)</f>
        <v>Alta</v>
      </c>
      <c r="D141" s="34" t="s">
        <v>162</v>
      </c>
      <c r="E141" s="34" t="s">
        <v>49</v>
      </c>
      <c r="F141" s="73">
        <v>40805</v>
      </c>
      <c r="G141" s="73">
        <v>40831</v>
      </c>
      <c r="H141" s="94" t="s">
        <v>132</v>
      </c>
      <c r="I141" s="34" t="s">
        <v>595</v>
      </c>
      <c r="J141" s="34" t="s">
        <v>823</v>
      </c>
      <c r="K141" s="34">
        <f>IF((Observaciones[[#This Row],[Fecha Levantamiento]]-Observaciones[[#This Row],[Fecha Detección]])&gt;=0,Observaciones[[#This Row],[Fecha Levantamiento]]-Observaciones[[#This Row],[Fecha Detección]]+1,0)</f>
        <v>27</v>
      </c>
      <c r="L141" s="34" t="str">
        <f>LOOKUP(Observaciones[[#This Row],[Caso de Prueba]],CasoPrueba[Código CP],CasoPrueba[Código de REQ])</f>
        <v>INSPECCIÓN</v>
      </c>
    </row>
    <row r="142" spans="1:12" ht="45" hidden="1">
      <c r="A142" s="165" t="s">
        <v>509</v>
      </c>
      <c r="B142" s="34" t="s">
        <v>487</v>
      </c>
      <c r="C142" s="34" t="str">
        <f>VLOOKUP(Observaciones[Caso de Prueba],CasoPrueba[[#All],[Código CP]:[Prioridad]],7,TRUE)</f>
        <v>Alta</v>
      </c>
      <c r="D142" s="34" t="s">
        <v>29</v>
      </c>
      <c r="E142" s="34" t="s">
        <v>49</v>
      </c>
      <c r="F142" s="73">
        <v>40805</v>
      </c>
      <c r="G142" s="73">
        <v>40831</v>
      </c>
      <c r="H142" s="94" t="s">
        <v>132</v>
      </c>
      <c r="I142" s="34" t="s">
        <v>596</v>
      </c>
      <c r="J142" s="34" t="s">
        <v>826</v>
      </c>
      <c r="K142" s="34">
        <f>IF((Observaciones[[#This Row],[Fecha Levantamiento]]-Observaciones[[#This Row],[Fecha Detección]])&gt;=0,Observaciones[[#This Row],[Fecha Levantamiento]]-Observaciones[[#This Row],[Fecha Detección]]+1,0)</f>
        <v>27</v>
      </c>
      <c r="L142" s="34" t="str">
        <f>LOOKUP(Observaciones[[#This Row],[Caso de Prueba]],CasoPrueba[Código CP],CasoPrueba[Código de REQ])</f>
        <v>INSPECCIÓN</v>
      </c>
    </row>
    <row r="143" spans="1:12" ht="63.75" hidden="1" customHeight="1">
      <c r="A143" s="165" t="s">
        <v>510</v>
      </c>
      <c r="B143" s="34" t="s">
        <v>488</v>
      </c>
      <c r="C143" s="34" t="str">
        <f>VLOOKUP(Observaciones[Caso de Prueba],CasoPrueba[[#All],[Código CP]:[Prioridad]],7,TRUE)</f>
        <v>Alta</v>
      </c>
      <c r="D143" s="34" t="s">
        <v>29</v>
      </c>
      <c r="E143" s="34" t="s">
        <v>49</v>
      </c>
      <c r="F143" s="73">
        <v>40805</v>
      </c>
      <c r="G143" s="73">
        <v>40831</v>
      </c>
      <c r="H143" s="94" t="s">
        <v>132</v>
      </c>
      <c r="I143" s="34" t="s">
        <v>597</v>
      </c>
      <c r="J143" s="34" t="s">
        <v>830</v>
      </c>
      <c r="K143" s="34">
        <f>IF((Observaciones[[#This Row],[Fecha Levantamiento]]-Observaciones[[#This Row],[Fecha Detección]])&gt;=0,Observaciones[[#This Row],[Fecha Levantamiento]]-Observaciones[[#This Row],[Fecha Detección]]+1,0)</f>
        <v>27</v>
      </c>
      <c r="L143" s="34" t="str">
        <f>LOOKUP(Observaciones[[#This Row],[Caso de Prueba]],CasoPrueba[Código CP],CasoPrueba[Código de REQ])</f>
        <v>INSPECCIÓN</v>
      </c>
    </row>
    <row r="144" spans="1:12" ht="30" hidden="1">
      <c r="A144" s="165" t="s">
        <v>511</v>
      </c>
      <c r="B144" s="34" t="s">
        <v>488</v>
      </c>
      <c r="C144" s="34" t="str">
        <f>VLOOKUP(Observaciones[Caso de Prueba],CasoPrueba[[#All],[Código CP]:[Prioridad]],7,TRUE)</f>
        <v>Alta</v>
      </c>
      <c r="D144" s="34" t="s">
        <v>162</v>
      </c>
      <c r="E144" s="34" t="s">
        <v>49</v>
      </c>
      <c r="F144" s="73">
        <v>40805</v>
      </c>
      <c r="G144" s="73">
        <v>40831</v>
      </c>
      <c r="H144" s="94" t="s">
        <v>132</v>
      </c>
      <c r="I144" s="34" t="s">
        <v>598</v>
      </c>
      <c r="J144" s="34" t="s">
        <v>831</v>
      </c>
      <c r="K144" s="34">
        <f>IF((Observaciones[[#This Row],[Fecha Levantamiento]]-Observaciones[[#This Row],[Fecha Detección]])&gt;=0,Observaciones[[#This Row],[Fecha Levantamiento]]-Observaciones[[#This Row],[Fecha Detección]]+1,0)</f>
        <v>27</v>
      </c>
      <c r="L144" s="34" t="str">
        <f>LOOKUP(Observaciones[[#This Row],[Caso de Prueba]],CasoPrueba[Código CP],CasoPrueba[Código de REQ])</f>
        <v>INSPECCIÓN</v>
      </c>
    </row>
    <row r="145" spans="1:12" ht="30" hidden="1">
      <c r="A145" s="165" t="s">
        <v>512</v>
      </c>
      <c r="B145" s="34" t="s">
        <v>488</v>
      </c>
      <c r="C145" s="34" t="str">
        <f>VLOOKUP(Observaciones[Caso de Prueba],CasoPrueba[[#All],[Código CP]:[Prioridad]],7,TRUE)</f>
        <v>Alta</v>
      </c>
      <c r="D145" s="34" t="s">
        <v>28</v>
      </c>
      <c r="E145" s="34" t="s">
        <v>49</v>
      </c>
      <c r="F145" s="73">
        <v>40805</v>
      </c>
      <c r="G145" s="73">
        <v>40831</v>
      </c>
      <c r="H145" s="94" t="s">
        <v>132</v>
      </c>
      <c r="I145" s="34" t="s">
        <v>584</v>
      </c>
      <c r="J145" s="34" t="s">
        <v>832</v>
      </c>
      <c r="K145" s="34">
        <f>IF((Observaciones[[#This Row],[Fecha Levantamiento]]-Observaciones[[#This Row],[Fecha Detección]])&gt;=0,Observaciones[[#This Row],[Fecha Levantamiento]]-Observaciones[[#This Row],[Fecha Detección]]+1,0)</f>
        <v>27</v>
      </c>
      <c r="L145" s="34" t="str">
        <f>LOOKUP(Observaciones[[#This Row],[Caso de Prueba]],CasoPrueba[Código CP],CasoPrueba[Código de REQ])</f>
        <v>INSPECCIÓN</v>
      </c>
    </row>
    <row r="146" spans="1:12" ht="90" hidden="1">
      <c r="A146" s="165" t="s">
        <v>513</v>
      </c>
      <c r="B146" s="34" t="s">
        <v>488</v>
      </c>
      <c r="C146" s="34" t="str">
        <f>VLOOKUP(Observaciones[Caso de Prueba],CasoPrueba[[#All],[Código CP]:[Prioridad]],7,TRUE)</f>
        <v>Alta</v>
      </c>
      <c r="D146" s="34" t="s">
        <v>30</v>
      </c>
      <c r="E146" s="34" t="s">
        <v>49</v>
      </c>
      <c r="F146" s="73">
        <v>40805</v>
      </c>
      <c r="G146" s="73">
        <v>40831</v>
      </c>
      <c r="H146" s="94" t="s">
        <v>132</v>
      </c>
      <c r="I146" s="34" t="s">
        <v>599</v>
      </c>
      <c r="J146" s="34" t="s">
        <v>817</v>
      </c>
      <c r="K146" s="34">
        <f>IF((Observaciones[[#This Row],[Fecha Levantamiento]]-Observaciones[[#This Row],[Fecha Detección]])&gt;=0,Observaciones[[#This Row],[Fecha Levantamiento]]-Observaciones[[#This Row],[Fecha Detección]]+1,0)</f>
        <v>27</v>
      </c>
      <c r="L146" s="34" t="str">
        <f>LOOKUP(Observaciones[[#This Row],[Caso de Prueba]],CasoPrueba[Código CP],CasoPrueba[Código de REQ])</f>
        <v>INSPECCIÓN</v>
      </c>
    </row>
    <row r="147" spans="1:12" ht="30" hidden="1">
      <c r="A147" s="165" t="s">
        <v>514</v>
      </c>
      <c r="B147" s="34" t="s">
        <v>488</v>
      </c>
      <c r="C147" s="34" t="str">
        <f>VLOOKUP(Observaciones[Caso de Prueba],CasoPrueba[[#All],[Código CP]:[Prioridad]],7,TRUE)</f>
        <v>Alta</v>
      </c>
      <c r="D147" s="34" t="s">
        <v>30</v>
      </c>
      <c r="E147" s="34" t="s">
        <v>49</v>
      </c>
      <c r="F147" s="73">
        <v>40805</v>
      </c>
      <c r="G147" s="73">
        <v>40831</v>
      </c>
      <c r="H147" s="94" t="s">
        <v>132</v>
      </c>
      <c r="I147" s="34" t="s">
        <v>600</v>
      </c>
      <c r="J147" s="34" t="s">
        <v>833</v>
      </c>
      <c r="K147" s="34">
        <f>IF((Observaciones[[#This Row],[Fecha Levantamiento]]-Observaciones[[#This Row],[Fecha Detección]])&gt;=0,Observaciones[[#This Row],[Fecha Levantamiento]]-Observaciones[[#This Row],[Fecha Detección]]+1,0)</f>
        <v>27</v>
      </c>
      <c r="L147" s="34" t="str">
        <f>LOOKUP(Observaciones[[#This Row],[Caso de Prueba]],CasoPrueba[Código CP],CasoPrueba[Código de REQ])</f>
        <v>INSPECCIÓN</v>
      </c>
    </row>
    <row r="148" spans="1:12" ht="80.25" hidden="1" customHeight="1">
      <c r="A148" s="165" t="s">
        <v>515</v>
      </c>
      <c r="B148" s="34" t="s">
        <v>488</v>
      </c>
      <c r="C148" s="34" t="str">
        <f>VLOOKUP(Observaciones[Caso de Prueba],CasoPrueba[[#All],[Código CP]:[Prioridad]],7,TRUE)</f>
        <v>Alta</v>
      </c>
      <c r="D148" s="34" t="s">
        <v>28</v>
      </c>
      <c r="E148" s="34" t="s">
        <v>49</v>
      </c>
      <c r="F148" s="73">
        <v>40805</v>
      </c>
      <c r="G148" s="73">
        <v>40831</v>
      </c>
      <c r="H148" s="94" t="s">
        <v>132</v>
      </c>
      <c r="I148" s="34" t="s">
        <v>601</v>
      </c>
      <c r="J148" s="34" t="s">
        <v>834</v>
      </c>
      <c r="K148" s="34">
        <f>IF((Observaciones[[#This Row],[Fecha Levantamiento]]-Observaciones[[#This Row],[Fecha Detección]])&gt;=0,Observaciones[[#This Row],[Fecha Levantamiento]]-Observaciones[[#This Row],[Fecha Detección]]+1,0)</f>
        <v>27</v>
      </c>
      <c r="L148" s="34" t="str">
        <f>LOOKUP(Observaciones[[#This Row],[Caso de Prueba]],CasoPrueba[Código CP],CasoPrueba[Código de REQ])</f>
        <v>INSPECCIÓN</v>
      </c>
    </row>
    <row r="149" spans="1:12" ht="78" hidden="1" customHeight="1">
      <c r="A149" s="165" t="s">
        <v>516</v>
      </c>
      <c r="B149" s="34" t="s">
        <v>488</v>
      </c>
      <c r="C149" s="34" t="str">
        <f>VLOOKUP(Observaciones[Caso de Prueba],CasoPrueba[[#All],[Código CP]:[Prioridad]],7,TRUE)</f>
        <v>Alta</v>
      </c>
      <c r="D149" s="34" t="s">
        <v>29</v>
      </c>
      <c r="E149" s="34" t="s">
        <v>49</v>
      </c>
      <c r="F149" s="73">
        <v>40805</v>
      </c>
      <c r="G149" s="73">
        <v>40831</v>
      </c>
      <c r="H149" s="94" t="s">
        <v>132</v>
      </c>
      <c r="I149" s="34" t="s">
        <v>602</v>
      </c>
      <c r="J149" s="34" t="s">
        <v>835</v>
      </c>
      <c r="K149" s="34">
        <f>IF((Observaciones[[#This Row],[Fecha Levantamiento]]-Observaciones[[#This Row],[Fecha Detección]])&gt;=0,Observaciones[[#This Row],[Fecha Levantamiento]]-Observaciones[[#This Row],[Fecha Detección]]+1,0)</f>
        <v>27</v>
      </c>
      <c r="L149" s="34" t="str">
        <f>LOOKUP(Observaciones[[#This Row],[Caso de Prueba]],CasoPrueba[Código CP],CasoPrueba[Código de REQ])</f>
        <v>INSPECCIÓN</v>
      </c>
    </row>
    <row r="150" spans="1:12" ht="49.5" hidden="1" customHeight="1">
      <c r="A150" s="165" t="s">
        <v>517</v>
      </c>
      <c r="B150" s="34" t="s">
        <v>488</v>
      </c>
      <c r="C150" s="34" t="str">
        <f>VLOOKUP(Observaciones[Caso de Prueba],CasoPrueba[[#All],[Código CP]:[Prioridad]],7,TRUE)</f>
        <v>Alta</v>
      </c>
      <c r="D150" s="34" t="s">
        <v>162</v>
      </c>
      <c r="E150" s="34" t="s">
        <v>49</v>
      </c>
      <c r="F150" s="73">
        <v>40805</v>
      </c>
      <c r="G150" s="73">
        <v>40831</v>
      </c>
      <c r="H150" s="94" t="s">
        <v>132</v>
      </c>
      <c r="I150" s="34" t="s">
        <v>603</v>
      </c>
      <c r="J150" s="34" t="s">
        <v>234</v>
      </c>
      <c r="K150" s="34">
        <f>IF((Observaciones[[#This Row],[Fecha Levantamiento]]-Observaciones[[#This Row],[Fecha Detección]])&gt;=0,Observaciones[[#This Row],[Fecha Levantamiento]]-Observaciones[[#This Row],[Fecha Detección]]+1,0)</f>
        <v>27</v>
      </c>
      <c r="L150" s="34" t="str">
        <f>LOOKUP(Observaciones[[#This Row],[Caso de Prueba]],CasoPrueba[Código CP],CasoPrueba[Código de REQ])</f>
        <v>INSPECCIÓN</v>
      </c>
    </row>
    <row r="151" spans="1:12" ht="45" hidden="1">
      <c r="A151" s="165" t="s">
        <v>518</v>
      </c>
      <c r="B151" s="34" t="s">
        <v>488</v>
      </c>
      <c r="C151" s="34" t="str">
        <f>VLOOKUP(Observaciones[Caso de Prueba],CasoPrueba[[#All],[Código CP]:[Prioridad]],7,TRUE)</f>
        <v>Alta</v>
      </c>
      <c r="D151" s="34" t="s">
        <v>162</v>
      </c>
      <c r="E151" s="34" t="s">
        <v>49</v>
      </c>
      <c r="F151" s="73">
        <v>40805</v>
      </c>
      <c r="G151" s="73">
        <v>40831</v>
      </c>
      <c r="H151" s="94" t="s">
        <v>132</v>
      </c>
      <c r="I151" s="34" t="s">
        <v>604</v>
      </c>
      <c r="J151" s="34" t="s">
        <v>234</v>
      </c>
      <c r="K151" s="34">
        <f>IF((Observaciones[[#This Row],[Fecha Levantamiento]]-Observaciones[[#This Row],[Fecha Detección]])&gt;=0,Observaciones[[#This Row],[Fecha Levantamiento]]-Observaciones[[#This Row],[Fecha Detección]]+1,0)</f>
        <v>27</v>
      </c>
      <c r="L151" s="34" t="str">
        <f>LOOKUP(Observaciones[[#This Row],[Caso de Prueba]],CasoPrueba[Código CP],CasoPrueba[Código de REQ])</f>
        <v>INSPECCIÓN</v>
      </c>
    </row>
    <row r="152" spans="1:12" ht="30" hidden="1">
      <c r="A152" s="165" t="s">
        <v>519</v>
      </c>
      <c r="B152" s="34" t="s">
        <v>488</v>
      </c>
      <c r="C152" s="34" t="str">
        <f>VLOOKUP(Observaciones[Caso de Prueba],CasoPrueba[[#All],[Código CP]:[Prioridad]],7,TRUE)</f>
        <v>Alta</v>
      </c>
      <c r="D152" s="34" t="s">
        <v>162</v>
      </c>
      <c r="E152" s="34" t="s">
        <v>49</v>
      </c>
      <c r="F152" s="73">
        <v>40805</v>
      </c>
      <c r="G152" s="73">
        <v>40831</v>
      </c>
      <c r="H152" s="94" t="s">
        <v>132</v>
      </c>
      <c r="I152" s="34" t="s">
        <v>595</v>
      </c>
      <c r="J152" s="34" t="s">
        <v>234</v>
      </c>
      <c r="K152" s="34">
        <f>IF((Observaciones[[#This Row],[Fecha Levantamiento]]-Observaciones[[#This Row],[Fecha Detección]])&gt;=0,Observaciones[[#This Row],[Fecha Levantamiento]]-Observaciones[[#This Row],[Fecha Detección]]+1,0)</f>
        <v>27</v>
      </c>
      <c r="L152" s="34" t="str">
        <f>LOOKUP(Observaciones[[#This Row],[Caso de Prueba]],CasoPrueba[Código CP],CasoPrueba[Código de REQ])</f>
        <v>INSPECCIÓN</v>
      </c>
    </row>
    <row r="153" spans="1:12" ht="66" hidden="1" customHeight="1">
      <c r="A153" s="165" t="s">
        <v>520</v>
      </c>
      <c r="B153" s="34" t="s">
        <v>489</v>
      </c>
      <c r="C153" s="34" t="str">
        <f>VLOOKUP(Observaciones[Caso de Prueba],CasoPrueba[[#All],[Código CP]:[Prioridad]],7,TRUE)</f>
        <v>Alta</v>
      </c>
      <c r="D153" s="34" t="s">
        <v>29</v>
      </c>
      <c r="E153" s="34" t="s">
        <v>49</v>
      </c>
      <c r="F153" s="73">
        <v>40807</v>
      </c>
      <c r="G153" s="73">
        <v>40831</v>
      </c>
      <c r="H153" s="94" t="s">
        <v>132</v>
      </c>
      <c r="I153" s="34" t="s">
        <v>597</v>
      </c>
      <c r="J153" s="34" t="s">
        <v>830</v>
      </c>
      <c r="K153" s="34">
        <f>IF((Observaciones[[#This Row],[Fecha Levantamiento]]-Observaciones[[#This Row],[Fecha Detección]])&gt;=0,Observaciones[[#This Row],[Fecha Levantamiento]]-Observaciones[[#This Row],[Fecha Detección]]+1,0)</f>
        <v>25</v>
      </c>
      <c r="L153" s="34" t="str">
        <f>LOOKUP(Observaciones[[#This Row],[Caso de Prueba]],CasoPrueba[Código CP],CasoPrueba[Código de REQ])</f>
        <v>INSPECCIÓN</v>
      </c>
    </row>
    <row r="154" spans="1:12" ht="30" hidden="1">
      <c r="A154" s="165" t="s">
        <v>521</v>
      </c>
      <c r="B154" s="34" t="s">
        <v>489</v>
      </c>
      <c r="C154" s="34" t="str">
        <f>VLOOKUP(Observaciones[Caso de Prueba],CasoPrueba[[#All],[Código CP]:[Prioridad]],7,TRUE)</f>
        <v>Alta</v>
      </c>
      <c r="D154" s="34" t="s">
        <v>28</v>
      </c>
      <c r="E154" s="34" t="s">
        <v>49</v>
      </c>
      <c r="F154" s="73">
        <v>40807</v>
      </c>
      <c r="G154" s="73">
        <v>40831</v>
      </c>
      <c r="H154" s="94" t="s">
        <v>132</v>
      </c>
      <c r="I154" s="34" t="s">
        <v>584</v>
      </c>
      <c r="J154" s="34" t="s">
        <v>832</v>
      </c>
      <c r="K154" s="34">
        <f>IF((Observaciones[[#This Row],[Fecha Levantamiento]]-Observaciones[[#This Row],[Fecha Detección]])&gt;=0,Observaciones[[#This Row],[Fecha Levantamiento]]-Observaciones[[#This Row],[Fecha Detección]]+1,0)</f>
        <v>25</v>
      </c>
      <c r="L154" s="34" t="str">
        <f>LOOKUP(Observaciones[[#This Row],[Caso de Prueba]],CasoPrueba[Código CP],CasoPrueba[Código de REQ])</f>
        <v>INSPECCIÓN</v>
      </c>
    </row>
    <row r="155" spans="1:12" ht="45" hidden="1">
      <c r="A155" s="165" t="s">
        <v>522</v>
      </c>
      <c r="B155" s="34" t="s">
        <v>489</v>
      </c>
      <c r="C155" s="34" t="str">
        <f>VLOOKUP(Observaciones[Caso de Prueba],CasoPrueba[[#All],[Código CP]:[Prioridad]],7,TRUE)</f>
        <v>Alta</v>
      </c>
      <c r="D155" s="34" t="s">
        <v>162</v>
      </c>
      <c r="E155" s="34" t="s">
        <v>49</v>
      </c>
      <c r="F155" s="73">
        <v>40807</v>
      </c>
      <c r="G155" s="73">
        <v>40831</v>
      </c>
      <c r="H155" s="94" t="s">
        <v>132</v>
      </c>
      <c r="I155" s="34" t="s">
        <v>605</v>
      </c>
      <c r="J155" s="34" t="s">
        <v>836</v>
      </c>
      <c r="K155" s="34">
        <f>IF((Observaciones[[#This Row],[Fecha Levantamiento]]-Observaciones[[#This Row],[Fecha Detección]])&gt;=0,Observaciones[[#This Row],[Fecha Levantamiento]]-Observaciones[[#This Row],[Fecha Detección]]+1,0)</f>
        <v>25</v>
      </c>
      <c r="L155" s="34" t="str">
        <f>LOOKUP(Observaciones[[#This Row],[Caso de Prueba]],CasoPrueba[Código CP],CasoPrueba[Código de REQ])</f>
        <v>INSPECCIÓN</v>
      </c>
    </row>
    <row r="156" spans="1:12" ht="45" hidden="1">
      <c r="A156" s="165" t="s">
        <v>523</v>
      </c>
      <c r="B156" s="34" t="s">
        <v>489</v>
      </c>
      <c r="C156" s="34" t="str">
        <f>VLOOKUP(Observaciones[Caso de Prueba],CasoPrueba[[#All],[Código CP]:[Prioridad]],7,TRUE)</f>
        <v>Alta</v>
      </c>
      <c r="D156" s="34" t="s">
        <v>29</v>
      </c>
      <c r="E156" s="34" t="s">
        <v>49</v>
      </c>
      <c r="F156" s="73">
        <v>40807</v>
      </c>
      <c r="G156" s="73">
        <v>40831</v>
      </c>
      <c r="H156" s="94" t="s">
        <v>132</v>
      </c>
      <c r="I156" s="34" t="s">
        <v>606</v>
      </c>
      <c r="J156" s="34" t="s">
        <v>266</v>
      </c>
      <c r="K156" s="34">
        <f>IF((Observaciones[[#This Row],[Fecha Levantamiento]]-Observaciones[[#This Row],[Fecha Detección]])&gt;=0,Observaciones[[#This Row],[Fecha Levantamiento]]-Observaciones[[#This Row],[Fecha Detección]]+1,0)</f>
        <v>25</v>
      </c>
      <c r="L156" s="34" t="str">
        <f>LOOKUP(Observaciones[[#This Row],[Caso de Prueba]],CasoPrueba[Código CP],CasoPrueba[Código de REQ])</f>
        <v>INSPECCIÓN</v>
      </c>
    </row>
    <row r="157" spans="1:12" ht="90" hidden="1">
      <c r="A157" s="165" t="s">
        <v>524</v>
      </c>
      <c r="B157" s="34" t="s">
        <v>489</v>
      </c>
      <c r="C157" s="34" t="str">
        <f>VLOOKUP(Observaciones[Caso de Prueba],CasoPrueba[[#All],[Código CP]:[Prioridad]],7,TRUE)</f>
        <v>Alta</v>
      </c>
      <c r="D157" s="34" t="s">
        <v>29</v>
      </c>
      <c r="E157" s="34" t="s">
        <v>49</v>
      </c>
      <c r="F157" s="73">
        <v>40807</v>
      </c>
      <c r="G157" s="73">
        <v>40831</v>
      </c>
      <c r="H157" s="94" t="s">
        <v>132</v>
      </c>
      <c r="I157" s="34" t="s">
        <v>599</v>
      </c>
      <c r="J157" s="34" t="s">
        <v>817</v>
      </c>
      <c r="K157" s="34">
        <f>IF((Observaciones[[#This Row],[Fecha Levantamiento]]-Observaciones[[#This Row],[Fecha Detección]])&gt;=0,Observaciones[[#This Row],[Fecha Levantamiento]]-Observaciones[[#This Row],[Fecha Detección]]+1,0)</f>
        <v>25</v>
      </c>
      <c r="L157" s="34" t="str">
        <f>LOOKUP(Observaciones[[#This Row],[Caso de Prueba]],CasoPrueba[Código CP],CasoPrueba[Código de REQ])</f>
        <v>INSPECCIÓN</v>
      </c>
    </row>
    <row r="158" spans="1:12" ht="75" hidden="1">
      <c r="A158" s="165" t="s">
        <v>525</v>
      </c>
      <c r="B158" s="34" t="s">
        <v>489</v>
      </c>
      <c r="C158" s="34" t="str">
        <f>VLOOKUP(Observaciones[Caso de Prueba],CasoPrueba[[#All],[Código CP]:[Prioridad]],7,TRUE)</f>
        <v>Alta</v>
      </c>
      <c r="D158" s="34" t="s">
        <v>30</v>
      </c>
      <c r="E158" s="34" t="s">
        <v>49</v>
      </c>
      <c r="F158" s="73">
        <v>40807</v>
      </c>
      <c r="G158" s="73">
        <v>40831</v>
      </c>
      <c r="H158" s="94" t="s">
        <v>132</v>
      </c>
      <c r="I158" s="34" t="s">
        <v>607</v>
      </c>
      <c r="J158" s="34" t="s">
        <v>837</v>
      </c>
      <c r="K158" s="34">
        <f>IF((Observaciones[[#This Row],[Fecha Levantamiento]]-Observaciones[[#This Row],[Fecha Detección]])&gt;=0,Observaciones[[#This Row],[Fecha Levantamiento]]-Observaciones[[#This Row],[Fecha Detección]]+1,0)</f>
        <v>25</v>
      </c>
      <c r="L158" s="34" t="str">
        <f>LOOKUP(Observaciones[[#This Row],[Caso de Prueba]],CasoPrueba[Código CP],CasoPrueba[Código de REQ])</f>
        <v>INSPECCIÓN</v>
      </c>
    </row>
    <row r="159" spans="1:12" ht="60" hidden="1">
      <c r="A159" s="165" t="s">
        <v>526</v>
      </c>
      <c r="B159" s="34" t="s">
        <v>489</v>
      </c>
      <c r="C159" s="34" t="str">
        <f>VLOOKUP(Observaciones[Caso de Prueba],CasoPrueba[[#All],[Código CP]:[Prioridad]],7,TRUE)</f>
        <v>Alta</v>
      </c>
      <c r="D159" s="34" t="s">
        <v>29</v>
      </c>
      <c r="E159" s="34" t="s">
        <v>49</v>
      </c>
      <c r="F159" s="73">
        <v>40807</v>
      </c>
      <c r="G159" s="73">
        <v>40831</v>
      </c>
      <c r="H159" s="94" t="s">
        <v>132</v>
      </c>
      <c r="I159" s="34" t="s">
        <v>608</v>
      </c>
      <c r="J159" s="34" t="s">
        <v>838</v>
      </c>
      <c r="K159" s="34">
        <f>IF((Observaciones[[#This Row],[Fecha Levantamiento]]-Observaciones[[#This Row],[Fecha Detección]])&gt;=0,Observaciones[[#This Row],[Fecha Levantamiento]]-Observaciones[[#This Row],[Fecha Detección]]+1,0)</f>
        <v>25</v>
      </c>
      <c r="L159" s="34" t="str">
        <f>LOOKUP(Observaciones[[#This Row],[Caso de Prueba]],CasoPrueba[Código CP],CasoPrueba[Código de REQ])</f>
        <v>INSPECCIÓN</v>
      </c>
    </row>
    <row r="160" spans="1:12" ht="30" hidden="1">
      <c r="A160" s="165" t="s">
        <v>527</v>
      </c>
      <c r="B160" s="34" t="s">
        <v>489</v>
      </c>
      <c r="C160" s="34" t="str">
        <f>VLOOKUP(Observaciones[Caso de Prueba],CasoPrueba[[#All],[Código CP]:[Prioridad]],7,TRUE)</f>
        <v>Alta</v>
      </c>
      <c r="D160" s="34" t="s">
        <v>28</v>
      </c>
      <c r="E160" s="34" t="s">
        <v>49</v>
      </c>
      <c r="F160" s="73">
        <v>40807</v>
      </c>
      <c r="G160" s="73">
        <v>40831</v>
      </c>
      <c r="H160" s="94" t="s">
        <v>132</v>
      </c>
      <c r="I160" s="34" t="s">
        <v>609</v>
      </c>
      <c r="J160" s="34" t="s">
        <v>266</v>
      </c>
      <c r="K160" s="34">
        <f>IF((Observaciones[[#This Row],[Fecha Levantamiento]]-Observaciones[[#This Row],[Fecha Detección]])&gt;=0,Observaciones[[#This Row],[Fecha Levantamiento]]-Observaciones[[#This Row],[Fecha Detección]]+1,0)</f>
        <v>25</v>
      </c>
      <c r="L160" s="34" t="str">
        <f>LOOKUP(Observaciones[[#This Row],[Caso de Prueba]],CasoPrueba[Código CP],CasoPrueba[Código de REQ])</f>
        <v>INSPECCIÓN</v>
      </c>
    </row>
    <row r="161" spans="1:12" ht="45" hidden="1">
      <c r="A161" s="165" t="s">
        <v>528</v>
      </c>
      <c r="B161" s="34" t="s">
        <v>489</v>
      </c>
      <c r="C161" s="34" t="str">
        <f>VLOOKUP(Observaciones[Caso de Prueba],CasoPrueba[[#All],[Código CP]:[Prioridad]],7,TRUE)</f>
        <v>Alta</v>
      </c>
      <c r="D161" s="34" t="s">
        <v>29</v>
      </c>
      <c r="E161" s="34" t="s">
        <v>49</v>
      </c>
      <c r="F161" s="73">
        <v>40807</v>
      </c>
      <c r="G161" s="73">
        <v>40831</v>
      </c>
      <c r="H161" s="94" t="s">
        <v>132</v>
      </c>
      <c r="I161" s="34" t="s">
        <v>610</v>
      </c>
      <c r="J161" s="34" t="s">
        <v>839</v>
      </c>
      <c r="K161" s="34">
        <f>IF((Observaciones[[#This Row],[Fecha Levantamiento]]-Observaciones[[#This Row],[Fecha Detección]])&gt;=0,Observaciones[[#This Row],[Fecha Levantamiento]]-Observaciones[[#This Row],[Fecha Detección]]+1,0)</f>
        <v>25</v>
      </c>
      <c r="L161" s="34" t="str">
        <f>LOOKUP(Observaciones[[#This Row],[Caso de Prueba]],CasoPrueba[Código CP],CasoPrueba[Código de REQ])</f>
        <v>INSPECCIÓN</v>
      </c>
    </row>
    <row r="162" spans="1:12" ht="45" hidden="1">
      <c r="A162" s="165" t="s">
        <v>529</v>
      </c>
      <c r="B162" s="34" t="s">
        <v>489</v>
      </c>
      <c r="C162" s="34" t="str">
        <f>VLOOKUP(Observaciones[Caso de Prueba],CasoPrueba[[#All],[Código CP]:[Prioridad]],7,TRUE)</f>
        <v>Alta</v>
      </c>
      <c r="D162" s="34" t="s">
        <v>162</v>
      </c>
      <c r="E162" s="34" t="s">
        <v>49</v>
      </c>
      <c r="F162" s="73">
        <v>40807</v>
      </c>
      <c r="G162" s="73">
        <v>40831</v>
      </c>
      <c r="H162" s="94" t="s">
        <v>132</v>
      </c>
      <c r="I162" s="34" t="s">
        <v>611</v>
      </c>
      <c r="J162" s="34" t="s">
        <v>234</v>
      </c>
      <c r="K162" s="34">
        <f>IF((Observaciones[[#This Row],[Fecha Levantamiento]]-Observaciones[[#This Row],[Fecha Detección]])&gt;=0,Observaciones[[#This Row],[Fecha Levantamiento]]-Observaciones[[#This Row],[Fecha Detección]]+1,0)</f>
        <v>25</v>
      </c>
      <c r="L162" s="34" t="str">
        <f>LOOKUP(Observaciones[[#This Row],[Caso de Prueba]],CasoPrueba[Código CP],CasoPrueba[Código de REQ])</f>
        <v>INSPECCIÓN</v>
      </c>
    </row>
    <row r="163" spans="1:12" ht="75" hidden="1">
      <c r="A163" s="165" t="s">
        <v>530</v>
      </c>
      <c r="B163" s="34" t="s">
        <v>489</v>
      </c>
      <c r="C163" s="34" t="str">
        <f>VLOOKUP(Observaciones[Caso de Prueba],CasoPrueba[[#All],[Código CP]:[Prioridad]],7,TRUE)</f>
        <v>Alta</v>
      </c>
      <c r="D163" s="34" t="s">
        <v>29</v>
      </c>
      <c r="E163" s="34" t="s">
        <v>49</v>
      </c>
      <c r="F163" s="73">
        <v>40807</v>
      </c>
      <c r="G163" s="73">
        <v>40831</v>
      </c>
      <c r="H163" s="94" t="s">
        <v>132</v>
      </c>
      <c r="I163" s="34" t="s">
        <v>612</v>
      </c>
      <c r="J163" s="34" t="s">
        <v>266</v>
      </c>
      <c r="K163" s="34">
        <f>IF((Observaciones[[#This Row],[Fecha Levantamiento]]-Observaciones[[#This Row],[Fecha Detección]])&gt;=0,Observaciones[[#This Row],[Fecha Levantamiento]]-Observaciones[[#This Row],[Fecha Detección]]+1,0)</f>
        <v>25</v>
      </c>
      <c r="L163" s="34" t="str">
        <f>LOOKUP(Observaciones[[#This Row],[Caso de Prueba]],CasoPrueba[Código CP],CasoPrueba[Código de REQ])</f>
        <v>INSPECCIÓN</v>
      </c>
    </row>
    <row r="164" spans="1:12" ht="59.25" hidden="1" customHeight="1">
      <c r="A164" s="165" t="s">
        <v>531</v>
      </c>
      <c r="B164" s="34" t="s">
        <v>489</v>
      </c>
      <c r="C164" s="34" t="str">
        <f>VLOOKUP(Observaciones[Caso de Prueba],CasoPrueba[[#All],[Código CP]:[Prioridad]],7,TRUE)</f>
        <v>Alta</v>
      </c>
      <c r="D164" s="34" t="s">
        <v>162</v>
      </c>
      <c r="E164" s="34" t="s">
        <v>49</v>
      </c>
      <c r="F164" s="73">
        <v>40807</v>
      </c>
      <c r="G164" s="73">
        <v>40831</v>
      </c>
      <c r="H164" s="94" t="s">
        <v>132</v>
      </c>
      <c r="I164" s="34" t="s">
        <v>613</v>
      </c>
      <c r="J164" s="34" t="s">
        <v>264</v>
      </c>
      <c r="K164" s="34">
        <f>IF((Observaciones[[#This Row],[Fecha Levantamiento]]-Observaciones[[#This Row],[Fecha Detección]])&gt;=0,Observaciones[[#This Row],[Fecha Levantamiento]]-Observaciones[[#This Row],[Fecha Detección]]+1,0)</f>
        <v>25</v>
      </c>
      <c r="L164" s="34" t="str">
        <f>LOOKUP(Observaciones[[#This Row],[Caso de Prueba]],CasoPrueba[Código CP],CasoPrueba[Código de REQ])</f>
        <v>INSPECCIÓN</v>
      </c>
    </row>
    <row r="165" spans="1:12" ht="30" hidden="1">
      <c r="A165" s="165" t="s">
        <v>532</v>
      </c>
      <c r="B165" s="34" t="s">
        <v>614</v>
      </c>
      <c r="C165" s="34" t="str">
        <f>VLOOKUP(Observaciones[Caso de Prueba],CasoPrueba[[#All],[Código CP]:[Prioridad]],7,TRUE)</f>
        <v>Alta</v>
      </c>
      <c r="D165" s="34" t="s">
        <v>162</v>
      </c>
      <c r="E165" s="34" t="s">
        <v>49</v>
      </c>
      <c r="F165" s="73">
        <v>40807</v>
      </c>
      <c r="G165" s="73">
        <v>40831</v>
      </c>
      <c r="H165" s="94" t="s">
        <v>132</v>
      </c>
      <c r="I165" s="34" t="s">
        <v>625</v>
      </c>
      <c r="J165" s="34" t="s">
        <v>199</v>
      </c>
      <c r="K165" s="34">
        <f>IF((Observaciones[[#This Row],[Fecha Levantamiento]]-Observaciones[[#This Row],[Fecha Detección]])&gt;=0,Observaciones[[#This Row],[Fecha Levantamiento]]-Observaciones[[#This Row],[Fecha Detección]]+1,0)</f>
        <v>25</v>
      </c>
      <c r="L165" s="34" t="str">
        <f>LOOKUP(Observaciones[[#This Row],[Caso de Prueba]],CasoPrueba[Código CP],CasoPrueba[Código de REQ])</f>
        <v>INSPECCIÓN</v>
      </c>
    </row>
    <row r="166" spans="1:12" ht="30" hidden="1">
      <c r="A166" s="165" t="s">
        <v>533</v>
      </c>
      <c r="B166" s="34" t="s">
        <v>614</v>
      </c>
      <c r="C166" s="34" t="str">
        <f>VLOOKUP(Observaciones[Caso de Prueba],CasoPrueba[[#All],[Código CP]:[Prioridad]],7,TRUE)</f>
        <v>Alta</v>
      </c>
      <c r="D166" s="34" t="s">
        <v>28</v>
      </c>
      <c r="E166" s="34" t="s">
        <v>49</v>
      </c>
      <c r="F166" s="73">
        <v>40807</v>
      </c>
      <c r="G166" s="73">
        <v>40831</v>
      </c>
      <c r="H166" s="94" t="s">
        <v>132</v>
      </c>
      <c r="I166" s="34" t="s">
        <v>584</v>
      </c>
      <c r="J166" s="34" t="s">
        <v>819</v>
      </c>
      <c r="K166" s="34">
        <f>IF((Observaciones[[#This Row],[Fecha Levantamiento]]-Observaciones[[#This Row],[Fecha Detección]])&gt;=0,Observaciones[[#This Row],[Fecha Levantamiento]]-Observaciones[[#This Row],[Fecha Detección]]+1,0)</f>
        <v>25</v>
      </c>
      <c r="L166" s="34" t="str">
        <f>LOOKUP(Observaciones[[#This Row],[Caso de Prueba]],CasoPrueba[Código CP],CasoPrueba[Código de REQ])</f>
        <v>INSPECCIÓN</v>
      </c>
    </row>
    <row r="167" spans="1:12" ht="90" hidden="1">
      <c r="A167" s="165" t="s">
        <v>534</v>
      </c>
      <c r="B167" s="34" t="s">
        <v>614</v>
      </c>
      <c r="C167" s="34" t="str">
        <f>VLOOKUP(Observaciones[Caso de Prueba],CasoPrueba[[#All],[Código CP]:[Prioridad]],7,TRUE)</f>
        <v>Alta</v>
      </c>
      <c r="D167" s="34" t="s">
        <v>29</v>
      </c>
      <c r="E167" s="34" t="s">
        <v>49</v>
      </c>
      <c r="F167" s="73">
        <v>40807</v>
      </c>
      <c r="G167" s="73">
        <v>40831</v>
      </c>
      <c r="H167" s="94" t="s">
        <v>132</v>
      </c>
      <c r="I167" s="34" t="s">
        <v>599</v>
      </c>
      <c r="J167" s="34" t="s">
        <v>840</v>
      </c>
      <c r="K167" s="34">
        <f>IF((Observaciones[[#This Row],[Fecha Levantamiento]]-Observaciones[[#This Row],[Fecha Detección]])&gt;=0,Observaciones[[#This Row],[Fecha Levantamiento]]-Observaciones[[#This Row],[Fecha Detección]]+1,0)</f>
        <v>25</v>
      </c>
      <c r="L167" s="34" t="str">
        <f>LOOKUP(Observaciones[[#This Row],[Caso de Prueba]],CasoPrueba[Código CP],CasoPrueba[Código de REQ])</f>
        <v>INSPECCIÓN</v>
      </c>
    </row>
    <row r="168" spans="1:12" ht="30" hidden="1">
      <c r="A168" s="165" t="s">
        <v>535</v>
      </c>
      <c r="B168" s="34" t="s">
        <v>614</v>
      </c>
      <c r="C168" s="34" t="str">
        <f>VLOOKUP(Observaciones[Caso de Prueba],CasoPrueba[[#All],[Código CP]:[Prioridad]],7,TRUE)</f>
        <v>Alta</v>
      </c>
      <c r="D168" s="34" t="s">
        <v>162</v>
      </c>
      <c r="E168" s="34" t="s">
        <v>49</v>
      </c>
      <c r="F168" s="73">
        <v>40807</v>
      </c>
      <c r="G168" s="73">
        <v>40831</v>
      </c>
      <c r="H168" s="94" t="s">
        <v>132</v>
      </c>
      <c r="I168" s="34" t="s">
        <v>634</v>
      </c>
      <c r="J168" s="34" t="s">
        <v>467</v>
      </c>
      <c r="K168" s="34">
        <f>IF((Observaciones[[#This Row],[Fecha Levantamiento]]-Observaciones[[#This Row],[Fecha Detección]])&gt;=0,Observaciones[[#This Row],[Fecha Levantamiento]]-Observaciones[[#This Row],[Fecha Detección]]+1,0)</f>
        <v>25</v>
      </c>
      <c r="L168" s="34" t="str">
        <f>LOOKUP(Observaciones[[#This Row],[Caso de Prueba]],CasoPrueba[Código CP],CasoPrueba[Código de REQ])</f>
        <v>INSPECCIÓN</v>
      </c>
    </row>
    <row r="169" spans="1:12" ht="45" hidden="1">
      <c r="A169" s="165" t="s">
        <v>536</v>
      </c>
      <c r="B169" s="34" t="s">
        <v>614</v>
      </c>
      <c r="C169" s="34" t="str">
        <f>VLOOKUP(Observaciones[Caso de Prueba],CasoPrueba[[#All],[Código CP]:[Prioridad]],7,TRUE)</f>
        <v>Alta</v>
      </c>
      <c r="D169" s="34" t="s">
        <v>30</v>
      </c>
      <c r="E169" s="34" t="s">
        <v>49</v>
      </c>
      <c r="F169" s="73">
        <v>40807</v>
      </c>
      <c r="G169" s="73">
        <v>40831</v>
      </c>
      <c r="H169" s="94" t="s">
        <v>132</v>
      </c>
      <c r="I169" s="34" t="s">
        <v>630</v>
      </c>
      <c r="J169" s="34" t="s">
        <v>841</v>
      </c>
      <c r="K169" s="34">
        <f>IF((Observaciones[[#This Row],[Fecha Levantamiento]]-Observaciones[[#This Row],[Fecha Detección]])&gt;=0,Observaciones[[#This Row],[Fecha Levantamiento]]-Observaciones[[#This Row],[Fecha Detección]]+1,0)</f>
        <v>25</v>
      </c>
      <c r="L169" s="34" t="str">
        <f>LOOKUP(Observaciones[[#This Row],[Caso de Prueba]],CasoPrueba[Código CP],CasoPrueba[Código de REQ])</f>
        <v>INSPECCIÓN</v>
      </c>
    </row>
    <row r="170" spans="1:12" ht="45" hidden="1">
      <c r="A170" s="165" t="s">
        <v>537</v>
      </c>
      <c r="B170" s="34" t="s">
        <v>614</v>
      </c>
      <c r="C170" s="34" t="str">
        <f>VLOOKUP(Observaciones[Caso de Prueba],CasoPrueba[[#All],[Código CP]:[Prioridad]],7,TRUE)</f>
        <v>Alta</v>
      </c>
      <c r="D170" s="34" t="s">
        <v>162</v>
      </c>
      <c r="E170" s="34" t="s">
        <v>49</v>
      </c>
      <c r="F170" s="73">
        <v>40807</v>
      </c>
      <c r="G170" s="73">
        <v>40831</v>
      </c>
      <c r="H170" s="94" t="s">
        <v>132</v>
      </c>
      <c r="I170" s="34" t="s">
        <v>627</v>
      </c>
      <c r="J170" s="34" t="s">
        <v>842</v>
      </c>
      <c r="K170" s="34">
        <f>IF((Observaciones[[#This Row],[Fecha Levantamiento]]-Observaciones[[#This Row],[Fecha Detección]])&gt;=0,Observaciones[[#This Row],[Fecha Levantamiento]]-Observaciones[[#This Row],[Fecha Detección]]+1,0)</f>
        <v>25</v>
      </c>
      <c r="L170" s="34" t="str">
        <f>LOOKUP(Observaciones[[#This Row],[Caso de Prueba]],CasoPrueba[Código CP],CasoPrueba[Código de REQ])</f>
        <v>INSPECCIÓN</v>
      </c>
    </row>
    <row r="171" spans="1:12" ht="30" hidden="1">
      <c r="A171" s="165" t="s">
        <v>538</v>
      </c>
      <c r="B171" s="34" t="s">
        <v>614</v>
      </c>
      <c r="C171" s="34" t="str">
        <f>VLOOKUP(Observaciones[Caso de Prueba],CasoPrueba[[#All],[Código CP]:[Prioridad]],7,TRUE)</f>
        <v>Alta</v>
      </c>
      <c r="D171" s="34" t="s">
        <v>162</v>
      </c>
      <c r="E171" s="34" t="s">
        <v>49</v>
      </c>
      <c r="F171" s="73">
        <v>40807</v>
      </c>
      <c r="G171" s="73">
        <v>40831</v>
      </c>
      <c r="H171" s="94" t="s">
        <v>132</v>
      </c>
      <c r="I171" s="34" t="s">
        <v>628</v>
      </c>
      <c r="J171" s="34" t="s">
        <v>467</v>
      </c>
      <c r="K171" s="34">
        <f>IF((Observaciones[[#This Row],[Fecha Levantamiento]]-Observaciones[[#This Row],[Fecha Detección]])&gt;=0,Observaciones[[#This Row],[Fecha Levantamiento]]-Observaciones[[#This Row],[Fecha Detección]]+1,0)</f>
        <v>25</v>
      </c>
      <c r="L171" s="34" t="str">
        <f>LOOKUP(Observaciones[[#This Row],[Caso de Prueba]],CasoPrueba[Código CP],CasoPrueba[Código de REQ])</f>
        <v>INSPECCIÓN</v>
      </c>
    </row>
    <row r="172" spans="1:12" ht="45" hidden="1">
      <c r="A172" s="165" t="s">
        <v>539</v>
      </c>
      <c r="B172" s="34" t="s">
        <v>614</v>
      </c>
      <c r="C172" s="34" t="str">
        <f>VLOOKUP(Observaciones[Caso de Prueba],CasoPrueba[[#All],[Código CP]:[Prioridad]],7,TRUE)</f>
        <v>Alta</v>
      </c>
      <c r="D172" s="34" t="s">
        <v>162</v>
      </c>
      <c r="E172" s="34" t="s">
        <v>49</v>
      </c>
      <c r="F172" s="73">
        <v>40807</v>
      </c>
      <c r="G172" s="73">
        <v>40831</v>
      </c>
      <c r="H172" s="94" t="s">
        <v>132</v>
      </c>
      <c r="I172" s="34" t="s">
        <v>629</v>
      </c>
      <c r="J172" s="34" t="s">
        <v>467</v>
      </c>
      <c r="K172" s="34">
        <f>IF((Observaciones[[#This Row],[Fecha Levantamiento]]-Observaciones[[#This Row],[Fecha Detección]])&gt;=0,Observaciones[[#This Row],[Fecha Levantamiento]]-Observaciones[[#This Row],[Fecha Detección]]+1,0)</f>
        <v>25</v>
      </c>
      <c r="L172" s="34" t="str">
        <f>LOOKUP(Observaciones[[#This Row],[Caso de Prueba]],CasoPrueba[Código CP],CasoPrueba[Código de REQ])</f>
        <v>INSPECCIÓN</v>
      </c>
    </row>
    <row r="173" spans="1:12" ht="30" hidden="1">
      <c r="A173" s="165" t="s">
        <v>540</v>
      </c>
      <c r="B173" s="34" t="s">
        <v>614</v>
      </c>
      <c r="C173" s="34" t="str">
        <f>VLOOKUP(Observaciones[Caso de Prueba],CasoPrueba[[#All],[Código CP]:[Prioridad]],7,TRUE)</f>
        <v>Alta</v>
      </c>
      <c r="D173" s="34" t="s">
        <v>162</v>
      </c>
      <c r="E173" s="34" t="s">
        <v>49</v>
      </c>
      <c r="F173" s="73">
        <v>40807</v>
      </c>
      <c r="G173" s="73">
        <v>40831</v>
      </c>
      <c r="H173" s="94" t="s">
        <v>132</v>
      </c>
      <c r="I173" s="34" t="s">
        <v>631</v>
      </c>
      <c r="J173" s="34" t="s">
        <v>199</v>
      </c>
      <c r="K173" s="34">
        <f>IF((Observaciones[[#This Row],[Fecha Levantamiento]]-Observaciones[[#This Row],[Fecha Detección]])&gt;=0,Observaciones[[#This Row],[Fecha Levantamiento]]-Observaciones[[#This Row],[Fecha Detección]]+1,0)</f>
        <v>25</v>
      </c>
      <c r="L173" s="34" t="str">
        <f>LOOKUP(Observaciones[[#This Row],[Caso de Prueba]],CasoPrueba[Código CP],CasoPrueba[Código de REQ])</f>
        <v>INSPECCIÓN</v>
      </c>
    </row>
    <row r="174" spans="1:12" ht="45" hidden="1">
      <c r="A174" s="165" t="s">
        <v>541</v>
      </c>
      <c r="B174" s="34" t="s">
        <v>614</v>
      </c>
      <c r="C174" s="34" t="str">
        <f>VLOOKUP(Observaciones[Caso de Prueba],CasoPrueba[[#All],[Código CP]:[Prioridad]],7,TRUE)</f>
        <v>Alta</v>
      </c>
      <c r="D174" s="34" t="s">
        <v>29</v>
      </c>
      <c r="E174" s="34" t="s">
        <v>49</v>
      </c>
      <c r="F174" s="73">
        <v>40807</v>
      </c>
      <c r="G174" s="73">
        <v>40831</v>
      </c>
      <c r="H174" s="94" t="s">
        <v>132</v>
      </c>
      <c r="I174" s="34" t="s">
        <v>632</v>
      </c>
      <c r="J174" s="34" t="s">
        <v>843</v>
      </c>
      <c r="K174" s="34">
        <f>IF((Observaciones[[#This Row],[Fecha Levantamiento]]-Observaciones[[#This Row],[Fecha Detección]])&gt;=0,Observaciones[[#This Row],[Fecha Levantamiento]]-Observaciones[[#This Row],[Fecha Detección]]+1,0)</f>
        <v>25</v>
      </c>
      <c r="L174" s="34" t="str">
        <f>LOOKUP(Observaciones[[#This Row],[Caso de Prueba]],CasoPrueba[Código CP],CasoPrueba[Código de REQ])</f>
        <v>INSPECCIÓN</v>
      </c>
    </row>
    <row r="175" spans="1:12" ht="60" hidden="1">
      <c r="A175" s="165" t="s">
        <v>542</v>
      </c>
      <c r="B175" s="34" t="s">
        <v>614</v>
      </c>
      <c r="C175" s="34" t="str">
        <f>VLOOKUP(Observaciones[Caso de Prueba],CasoPrueba[[#All],[Código CP]:[Prioridad]],7,TRUE)</f>
        <v>Alta</v>
      </c>
      <c r="D175" s="34" t="s">
        <v>29</v>
      </c>
      <c r="E175" s="34" t="s">
        <v>49</v>
      </c>
      <c r="F175" s="73">
        <v>40807</v>
      </c>
      <c r="G175" s="73">
        <v>40831</v>
      </c>
      <c r="H175" s="94" t="s">
        <v>132</v>
      </c>
      <c r="I175" s="34" t="s">
        <v>633</v>
      </c>
      <c r="J175" s="34" t="s">
        <v>844</v>
      </c>
      <c r="K175" s="34">
        <f>IF((Observaciones[[#This Row],[Fecha Levantamiento]]-Observaciones[[#This Row],[Fecha Detección]])&gt;=0,Observaciones[[#This Row],[Fecha Levantamiento]]-Observaciones[[#This Row],[Fecha Detección]]+1,0)</f>
        <v>25</v>
      </c>
      <c r="L175" s="34" t="str">
        <f>LOOKUP(Observaciones[[#This Row],[Caso de Prueba]],CasoPrueba[Código CP],CasoPrueba[Código de REQ])</f>
        <v>INSPECCIÓN</v>
      </c>
    </row>
    <row r="176" spans="1:12" ht="45" hidden="1">
      <c r="A176" s="165" t="s">
        <v>543</v>
      </c>
      <c r="B176" s="34" t="s">
        <v>616</v>
      </c>
      <c r="C176" s="34" t="str">
        <f>VLOOKUP(Observaciones[Caso de Prueba],CasoPrueba[[#All],[Código CP]:[Prioridad]],7,TRUE)</f>
        <v>Alta</v>
      </c>
      <c r="D176" s="34" t="s">
        <v>29</v>
      </c>
      <c r="E176" s="34" t="s">
        <v>49</v>
      </c>
      <c r="F176" s="73">
        <v>40826</v>
      </c>
      <c r="G176" s="73">
        <v>40831</v>
      </c>
      <c r="H176" s="94" t="s">
        <v>132</v>
      </c>
      <c r="I176" s="34" t="s">
        <v>597</v>
      </c>
      <c r="J176" s="34" t="s">
        <v>830</v>
      </c>
      <c r="K176" s="34">
        <f>IF((Observaciones[[#This Row],[Fecha Levantamiento]]-Observaciones[[#This Row],[Fecha Detección]])&gt;=0,Observaciones[[#This Row],[Fecha Levantamiento]]-Observaciones[[#This Row],[Fecha Detección]]+1,0)</f>
        <v>6</v>
      </c>
      <c r="L176" s="34" t="str">
        <f>LOOKUP(Observaciones[[#This Row],[Caso de Prueba]],CasoPrueba[Código CP],CasoPrueba[Código de REQ])</f>
        <v>INSPECCIÓN</v>
      </c>
    </row>
    <row r="177" spans="1:12" ht="30" hidden="1">
      <c r="A177" s="165" t="s">
        <v>544</v>
      </c>
      <c r="B177" s="34" t="s">
        <v>616</v>
      </c>
      <c r="C177" s="34" t="str">
        <f>VLOOKUP(Observaciones[Caso de Prueba],CasoPrueba[[#All],[Código CP]:[Prioridad]],7,TRUE)</f>
        <v>Alta</v>
      </c>
      <c r="D177" s="34" t="s">
        <v>28</v>
      </c>
      <c r="E177" s="34" t="s">
        <v>49</v>
      </c>
      <c r="F177" s="73">
        <v>40826</v>
      </c>
      <c r="G177" s="73">
        <v>40831</v>
      </c>
      <c r="H177" s="94" t="s">
        <v>132</v>
      </c>
      <c r="I177" s="34" t="s">
        <v>584</v>
      </c>
      <c r="J177" s="34" t="s">
        <v>832</v>
      </c>
      <c r="K177" s="34">
        <f>IF((Observaciones[[#This Row],[Fecha Levantamiento]]-Observaciones[[#This Row],[Fecha Detección]])&gt;=0,Observaciones[[#This Row],[Fecha Levantamiento]]-Observaciones[[#This Row],[Fecha Detección]]+1,0)</f>
        <v>6</v>
      </c>
      <c r="L177" s="34" t="str">
        <f>LOOKUP(Observaciones[[#This Row],[Caso de Prueba]],CasoPrueba[Código CP],CasoPrueba[Código de REQ])</f>
        <v>INSPECCIÓN</v>
      </c>
    </row>
    <row r="178" spans="1:12" ht="75" hidden="1">
      <c r="A178" s="165" t="s">
        <v>545</v>
      </c>
      <c r="B178" s="34" t="s">
        <v>616</v>
      </c>
      <c r="C178" s="34" t="str">
        <f>VLOOKUP(Observaciones[Caso de Prueba],CasoPrueba[[#All],[Código CP]:[Prioridad]],7,TRUE)</f>
        <v>Alta</v>
      </c>
      <c r="D178" s="34" t="s">
        <v>28</v>
      </c>
      <c r="E178" s="34" t="s">
        <v>49</v>
      </c>
      <c r="F178" s="73">
        <v>40826</v>
      </c>
      <c r="G178" s="73">
        <v>40831</v>
      </c>
      <c r="H178" s="94" t="s">
        <v>132</v>
      </c>
      <c r="I178" s="34" t="s">
        <v>635</v>
      </c>
      <c r="J178" s="34" t="s">
        <v>845</v>
      </c>
      <c r="K178" s="34">
        <f>IF((Observaciones[[#This Row],[Fecha Levantamiento]]-Observaciones[[#This Row],[Fecha Detección]])&gt;=0,Observaciones[[#This Row],[Fecha Levantamiento]]-Observaciones[[#This Row],[Fecha Detección]]+1,0)</f>
        <v>6</v>
      </c>
      <c r="L178" s="34" t="str">
        <f>LOOKUP(Observaciones[[#This Row],[Caso de Prueba]],CasoPrueba[Código CP],CasoPrueba[Código de REQ])</f>
        <v>INSPECCIÓN</v>
      </c>
    </row>
    <row r="179" spans="1:12" ht="45" hidden="1">
      <c r="A179" s="165" t="s">
        <v>546</v>
      </c>
      <c r="B179" s="34" t="s">
        <v>616</v>
      </c>
      <c r="C179" s="34" t="str">
        <f>VLOOKUP(Observaciones[Caso de Prueba],CasoPrueba[[#All],[Código CP]:[Prioridad]],7,TRUE)</f>
        <v>Alta</v>
      </c>
      <c r="D179" s="34" t="s">
        <v>30</v>
      </c>
      <c r="E179" s="34" t="s">
        <v>49</v>
      </c>
      <c r="F179" s="73">
        <v>40826</v>
      </c>
      <c r="G179" s="73">
        <v>40831</v>
      </c>
      <c r="H179" s="94" t="s">
        <v>132</v>
      </c>
      <c r="I179" s="34" t="s">
        <v>636</v>
      </c>
      <c r="J179" s="34" t="s">
        <v>846</v>
      </c>
      <c r="K179" s="34">
        <f>IF((Observaciones[[#This Row],[Fecha Levantamiento]]-Observaciones[[#This Row],[Fecha Detección]])&gt;=0,Observaciones[[#This Row],[Fecha Levantamiento]]-Observaciones[[#This Row],[Fecha Detección]]+1,0)</f>
        <v>6</v>
      </c>
      <c r="L179" s="34" t="str">
        <f>LOOKUP(Observaciones[[#This Row],[Caso de Prueba]],CasoPrueba[Código CP],CasoPrueba[Código de REQ])</f>
        <v>INSPECCIÓN</v>
      </c>
    </row>
    <row r="180" spans="1:12" ht="30" hidden="1">
      <c r="A180" s="165" t="s">
        <v>547</v>
      </c>
      <c r="B180" s="34" t="s">
        <v>616</v>
      </c>
      <c r="C180" s="34" t="str">
        <f>VLOOKUP(Observaciones[Caso de Prueba],CasoPrueba[[#All],[Código CP]:[Prioridad]],7,TRUE)</f>
        <v>Alta</v>
      </c>
      <c r="D180" s="34" t="s">
        <v>29</v>
      </c>
      <c r="E180" s="34" t="s">
        <v>49</v>
      </c>
      <c r="F180" s="73">
        <v>40826</v>
      </c>
      <c r="G180" s="73">
        <v>40831</v>
      </c>
      <c r="H180" s="94" t="s">
        <v>132</v>
      </c>
      <c r="I180" s="34" t="s">
        <v>637</v>
      </c>
      <c r="J180" s="34" t="s">
        <v>847</v>
      </c>
      <c r="K180" s="34">
        <f>IF((Observaciones[[#This Row],[Fecha Levantamiento]]-Observaciones[[#This Row],[Fecha Detección]])&gt;=0,Observaciones[[#This Row],[Fecha Levantamiento]]-Observaciones[[#This Row],[Fecha Detección]]+1,0)</f>
        <v>6</v>
      </c>
      <c r="L180" s="34" t="str">
        <f>LOOKUP(Observaciones[[#This Row],[Caso de Prueba]],CasoPrueba[Código CP],CasoPrueba[Código de REQ])</f>
        <v>INSPECCIÓN</v>
      </c>
    </row>
    <row r="181" spans="1:12" ht="45" hidden="1">
      <c r="A181" s="165" t="s">
        <v>548</v>
      </c>
      <c r="B181" s="34" t="s">
        <v>616</v>
      </c>
      <c r="C181" s="34" t="str">
        <f>VLOOKUP(Observaciones[Caso de Prueba],CasoPrueba[[#All],[Código CP]:[Prioridad]],7,TRUE)</f>
        <v>Alta</v>
      </c>
      <c r="D181" s="34" t="s">
        <v>30</v>
      </c>
      <c r="E181" s="34" t="s">
        <v>49</v>
      </c>
      <c r="F181" s="73">
        <v>40826</v>
      </c>
      <c r="G181" s="73">
        <v>40831</v>
      </c>
      <c r="H181" s="94" t="s">
        <v>132</v>
      </c>
      <c r="I181" s="34" t="s">
        <v>638</v>
      </c>
      <c r="J181" s="34" t="s">
        <v>848</v>
      </c>
      <c r="K181" s="34">
        <f>IF((Observaciones[[#This Row],[Fecha Levantamiento]]-Observaciones[[#This Row],[Fecha Detección]])&gt;=0,Observaciones[[#This Row],[Fecha Levantamiento]]-Observaciones[[#This Row],[Fecha Detección]]+1,0)</f>
        <v>6</v>
      </c>
      <c r="L181" s="34" t="str">
        <f>LOOKUP(Observaciones[[#This Row],[Caso de Prueba]],CasoPrueba[Código CP],CasoPrueba[Código de REQ])</f>
        <v>INSPECCIÓN</v>
      </c>
    </row>
    <row r="182" spans="1:12" ht="43.5" hidden="1" customHeight="1">
      <c r="A182" s="165" t="s">
        <v>549</v>
      </c>
      <c r="B182" s="34" t="s">
        <v>616</v>
      </c>
      <c r="C182" s="34" t="str">
        <f>VLOOKUP(Observaciones[Caso de Prueba],CasoPrueba[[#All],[Código CP]:[Prioridad]],7,TRUE)</f>
        <v>Alta</v>
      </c>
      <c r="D182" s="34" t="s">
        <v>30</v>
      </c>
      <c r="E182" s="34" t="s">
        <v>49</v>
      </c>
      <c r="F182" s="73">
        <v>40826</v>
      </c>
      <c r="G182" s="73">
        <v>40831</v>
      </c>
      <c r="H182" s="94" t="s">
        <v>132</v>
      </c>
      <c r="I182" s="34" t="s">
        <v>639</v>
      </c>
      <c r="J182" s="34" t="s">
        <v>849</v>
      </c>
      <c r="K182" s="34">
        <f>IF((Observaciones[[#This Row],[Fecha Levantamiento]]-Observaciones[[#This Row],[Fecha Detección]])&gt;=0,Observaciones[[#This Row],[Fecha Levantamiento]]-Observaciones[[#This Row],[Fecha Detección]]+1,0)</f>
        <v>6</v>
      </c>
      <c r="L182" s="34" t="str">
        <f>LOOKUP(Observaciones[[#This Row],[Caso de Prueba]],CasoPrueba[Código CP],CasoPrueba[Código de REQ])</f>
        <v>INSPECCIÓN</v>
      </c>
    </row>
    <row r="183" spans="1:12" ht="30" hidden="1">
      <c r="A183" s="165" t="s">
        <v>550</v>
      </c>
      <c r="B183" s="34" t="s">
        <v>616</v>
      </c>
      <c r="C183" s="34" t="str">
        <f>VLOOKUP(Observaciones[Caso de Prueba],CasoPrueba[[#All],[Código CP]:[Prioridad]],7,TRUE)</f>
        <v>Alta</v>
      </c>
      <c r="D183" s="34" t="s">
        <v>29</v>
      </c>
      <c r="E183" s="34" t="s">
        <v>49</v>
      </c>
      <c r="F183" s="73">
        <v>40828</v>
      </c>
      <c r="G183" s="73">
        <v>40831</v>
      </c>
      <c r="H183" s="94" t="s">
        <v>132</v>
      </c>
      <c r="I183" s="34" t="s">
        <v>640</v>
      </c>
      <c r="J183" s="34" t="s">
        <v>850</v>
      </c>
      <c r="K183" s="34">
        <f>IF((Observaciones[[#This Row],[Fecha Levantamiento]]-Observaciones[[#This Row],[Fecha Detección]])&gt;=0,Observaciones[[#This Row],[Fecha Levantamiento]]-Observaciones[[#This Row],[Fecha Detección]]+1,0)</f>
        <v>4</v>
      </c>
      <c r="L183" s="34" t="str">
        <f>LOOKUP(Observaciones[[#This Row],[Caso de Prueba]],CasoPrueba[Código CP],CasoPrueba[Código de REQ])</f>
        <v>INSPECCIÓN</v>
      </c>
    </row>
    <row r="184" spans="1:12" ht="64.5" hidden="1" customHeight="1">
      <c r="A184" s="165" t="s">
        <v>551</v>
      </c>
      <c r="B184" s="34" t="s">
        <v>617</v>
      </c>
      <c r="C184" s="34" t="str">
        <f>VLOOKUP(Observaciones[Caso de Prueba],CasoPrueba[[#All],[Código CP]:[Prioridad]],7,TRUE)</f>
        <v>Alta</v>
      </c>
      <c r="D184" s="34" t="s">
        <v>29</v>
      </c>
      <c r="E184" s="34" t="s">
        <v>49</v>
      </c>
      <c r="F184" s="73">
        <v>40828</v>
      </c>
      <c r="G184" s="73">
        <v>40831</v>
      </c>
      <c r="H184" s="94" t="s">
        <v>132</v>
      </c>
      <c r="I184" s="34" t="s">
        <v>597</v>
      </c>
      <c r="J184" s="34" t="s">
        <v>830</v>
      </c>
      <c r="K184" s="34">
        <f>IF((Observaciones[[#This Row],[Fecha Levantamiento]]-Observaciones[[#This Row],[Fecha Detección]])&gt;=0,Observaciones[[#This Row],[Fecha Levantamiento]]-Observaciones[[#This Row],[Fecha Detección]]+1,0)</f>
        <v>4</v>
      </c>
      <c r="L184" s="34" t="str">
        <f>LOOKUP(Observaciones[[#This Row],[Caso de Prueba]],CasoPrueba[Código CP],CasoPrueba[Código de REQ])</f>
        <v>INSPECCIÓN</v>
      </c>
    </row>
    <row r="185" spans="1:12" ht="45" hidden="1">
      <c r="A185" s="165" t="s">
        <v>552</v>
      </c>
      <c r="B185" s="34" t="s">
        <v>617</v>
      </c>
      <c r="C185" s="34" t="str">
        <f>VLOOKUP(Observaciones[Caso de Prueba],CasoPrueba[[#All],[Código CP]:[Prioridad]],7,TRUE)</f>
        <v>Alta</v>
      </c>
      <c r="D185" s="34" t="s">
        <v>162</v>
      </c>
      <c r="E185" s="34" t="s">
        <v>49</v>
      </c>
      <c r="F185" s="73">
        <v>40828</v>
      </c>
      <c r="G185" s="73">
        <v>40831</v>
      </c>
      <c r="H185" s="94" t="s">
        <v>132</v>
      </c>
      <c r="I185" s="34" t="s">
        <v>641</v>
      </c>
      <c r="J185" s="34" t="s">
        <v>851</v>
      </c>
      <c r="K185" s="34">
        <f>IF((Observaciones[[#This Row],[Fecha Levantamiento]]-Observaciones[[#This Row],[Fecha Detección]])&gt;=0,Observaciones[[#This Row],[Fecha Levantamiento]]-Observaciones[[#This Row],[Fecha Detección]]+1,0)</f>
        <v>4</v>
      </c>
      <c r="L185" s="34" t="str">
        <f>LOOKUP(Observaciones[[#This Row],[Caso de Prueba]],CasoPrueba[Código CP],CasoPrueba[Código de REQ])</f>
        <v>INSPECCIÓN</v>
      </c>
    </row>
    <row r="186" spans="1:12" ht="30" hidden="1">
      <c r="A186" s="165" t="s">
        <v>553</v>
      </c>
      <c r="B186" s="34" t="s">
        <v>617</v>
      </c>
      <c r="C186" s="34" t="str">
        <f>VLOOKUP(Observaciones[Caso de Prueba],CasoPrueba[[#All],[Código CP]:[Prioridad]],7,TRUE)</f>
        <v>Alta</v>
      </c>
      <c r="D186" s="34" t="s">
        <v>29</v>
      </c>
      <c r="E186" s="34" t="s">
        <v>49</v>
      </c>
      <c r="F186" s="73">
        <v>40828</v>
      </c>
      <c r="G186" s="73">
        <v>40831</v>
      </c>
      <c r="H186" s="94" t="s">
        <v>132</v>
      </c>
      <c r="I186" s="34" t="s">
        <v>644</v>
      </c>
      <c r="J186" s="34" t="s">
        <v>852</v>
      </c>
      <c r="K186" s="34">
        <f>IF((Observaciones[[#This Row],[Fecha Levantamiento]]-Observaciones[[#This Row],[Fecha Detección]])&gt;=0,Observaciones[[#This Row],[Fecha Levantamiento]]-Observaciones[[#This Row],[Fecha Detección]]+1,0)</f>
        <v>4</v>
      </c>
      <c r="L186" s="34" t="str">
        <f>LOOKUP(Observaciones[[#This Row],[Caso de Prueba]],CasoPrueba[Código CP],CasoPrueba[Código de REQ])</f>
        <v>INSPECCIÓN</v>
      </c>
    </row>
    <row r="187" spans="1:12" ht="45" hidden="1">
      <c r="A187" s="165" t="s">
        <v>554</v>
      </c>
      <c r="B187" s="34" t="s">
        <v>617</v>
      </c>
      <c r="C187" s="34" t="str">
        <f>VLOOKUP(Observaciones[Caso de Prueba],CasoPrueba[[#All],[Código CP]:[Prioridad]],7,TRUE)</f>
        <v>Alta</v>
      </c>
      <c r="D187" s="34" t="s">
        <v>29</v>
      </c>
      <c r="E187" s="34" t="s">
        <v>49</v>
      </c>
      <c r="F187" s="73">
        <v>40828</v>
      </c>
      <c r="G187" s="73">
        <v>40831</v>
      </c>
      <c r="H187" s="94" t="s">
        <v>132</v>
      </c>
      <c r="I187" s="34" t="s">
        <v>642</v>
      </c>
      <c r="J187" s="34" t="s">
        <v>853</v>
      </c>
      <c r="K187" s="34">
        <f>IF((Observaciones[[#This Row],[Fecha Levantamiento]]-Observaciones[[#This Row],[Fecha Detección]])&gt;=0,Observaciones[[#This Row],[Fecha Levantamiento]]-Observaciones[[#This Row],[Fecha Detección]]+1,0)</f>
        <v>4</v>
      </c>
      <c r="L187" s="34" t="str">
        <f>LOOKUP(Observaciones[[#This Row],[Caso de Prueba]],CasoPrueba[Código CP],CasoPrueba[Código de REQ])</f>
        <v>INSPECCIÓN</v>
      </c>
    </row>
    <row r="188" spans="1:12" ht="57" hidden="1" customHeight="1">
      <c r="A188" s="165" t="s">
        <v>555</v>
      </c>
      <c r="B188" s="34" t="s">
        <v>617</v>
      </c>
      <c r="C188" s="34" t="str">
        <f>VLOOKUP(Observaciones[Caso de Prueba],CasoPrueba[[#All],[Código CP]:[Prioridad]],7,TRUE)</f>
        <v>Alta</v>
      </c>
      <c r="D188" s="34" t="s">
        <v>29</v>
      </c>
      <c r="E188" s="34" t="s">
        <v>49</v>
      </c>
      <c r="F188" s="73">
        <v>40828</v>
      </c>
      <c r="G188" s="73">
        <v>40831</v>
      </c>
      <c r="H188" s="94" t="s">
        <v>132</v>
      </c>
      <c r="I188" s="34" t="s">
        <v>643</v>
      </c>
      <c r="J188" s="34" t="s">
        <v>854</v>
      </c>
      <c r="K188" s="34">
        <f>IF((Observaciones[[#This Row],[Fecha Levantamiento]]-Observaciones[[#This Row],[Fecha Detección]])&gt;=0,Observaciones[[#This Row],[Fecha Levantamiento]]-Observaciones[[#This Row],[Fecha Detección]]+1,0)</f>
        <v>4</v>
      </c>
      <c r="L188" s="34" t="str">
        <f>LOOKUP(Observaciones[[#This Row],[Caso de Prueba]],CasoPrueba[Código CP],CasoPrueba[Código de REQ])</f>
        <v>INSPECCIÓN</v>
      </c>
    </row>
    <row r="189" spans="1:12" ht="30" hidden="1">
      <c r="A189" s="165" t="s">
        <v>556</v>
      </c>
      <c r="B189" s="34" t="s">
        <v>617</v>
      </c>
      <c r="C189" s="34" t="str">
        <f>VLOOKUP(Observaciones[Caso de Prueba],CasoPrueba[[#All],[Código CP]:[Prioridad]],7,TRUE)</f>
        <v>Alta</v>
      </c>
      <c r="D189" s="34" t="s">
        <v>29</v>
      </c>
      <c r="E189" s="34" t="s">
        <v>49</v>
      </c>
      <c r="F189" s="73">
        <v>40828</v>
      </c>
      <c r="G189" s="73">
        <v>40831</v>
      </c>
      <c r="H189" s="94" t="s">
        <v>132</v>
      </c>
      <c r="I189" s="34" t="s">
        <v>645</v>
      </c>
      <c r="J189" s="34" t="s">
        <v>855</v>
      </c>
      <c r="K189" s="34">
        <f>IF((Observaciones[[#This Row],[Fecha Levantamiento]]-Observaciones[[#This Row],[Fecha Detección]])&gt;=0,Observaciones[[#This Row],[Fecha Levantamiento]]-Observaciones[[#This Row],[Fecha Detección]]+1,0)</f>
        <v>4</v>
      </c>
      <c r="L189" s="34" t="str">
        <f>LOOKUP(Observaciones[[#This Row],[Caso de Prueba]],CasoPrueba[Código CP],CasoPrueba[Código de REQ])</f>
        <v>INSPECCIÓN</v>
      </c>
    </row>
    <row r="190" spans="1:12" ht="45" hidden="1">
      <c r="A190" s="165" t="s">
        <v>557</v>
      </c>
      <c r="B190" s="34" t="s">
        <v>618</v>
      </c>
      <c r="C190" s="34" t="str">
        <f>VLOOKUP(Observaciones[Caso de Prueba],CasoPrueba[[#All],[Código CP]:[Prioridad]],7,TRUE)</f>
        <v>Alta</v>
      </c>
      <c r="D190" s="34" t="s">
        <v>29</v>
      </c>
      <c r="E190" s="34" t="s">
        <v>49</v>
      </c>
      <c r="F190" s="73">
        <v>40828</v>
      </c>
      <c r="G190" s="73">
        <v>40831</v>
      </c>
      <c r="H190" s="94" t="s">
        <v>132</v>
      </c>
      <c r="I190" s="34" t="s">
        <v>597</v>
      </c>
      <c r="J190" s="34" t="s">
        <v>830</v>
      </c>
      <c r="K190" s="34">
        <f>IF((Observaciones[[#This Row],[Fecha Levantamiento]]-Observaciones[[#This Row],[Fecha Detección]])&gt;=0,Observaciones[[#This Row],[Fecha Levantamiento]]-Observaciones[[#This Row],[Fecha Detección]]+1,0)</f>
        <v>4</v>
      </c>
      <c r="L190" s="34" t="str">
        <f>LOOKUP(Observaciones[[#This Row],[Caso de Prueba]],CasoPrueba[Código CP],CasoPrueba[Código de REQ])</f>
        <v>INSPECCIÓN</v>
      </c>
    </row>
    <row r="191" spans="1:12" ht="45" hidden="1">
      <c r="A191" s="165" t="s">
        <v>558</v>
      </c>
      <c r="B191" s="34" t="s">
        <v>618</v>
      </c>
      <c r="C191" s="34" t="str">
        <f>VLOOKUP(Observaciones[Caso de Prueba],CasoPrueba[[#All],[Código CP]:[Prioridad]],7,TRUE)</f>
        <v>Alta</v>
      </c>
      <c r="D191" s="34" t="s">
        <v>30</v>
      </c>
      <c r="E191" s="34" t="s">
        <v>49</v>
      </c>
      <c r="F191" s="73">
        <v>40828</v>
      </c>
      <c r="G191" s="73">
        <v>40831</v>
      </c>
      <c r="H191" s="94" t="s">
        <v>132</v>
      </c>
      <c r="I191" s="34" t="s">
        <v>646</v>
      </c>
      <c r="J191" s="34" t="s">
        <v>856</v>
      </c>
      <c r="K191" s="34">
        <f>IF((Observaciones[[#This Row],[Fecha Levantamiento]]-Observaciones[[#This Row],[Fecha Detección]])&gt;=0,Observaciones[[#This Row],[Fecha Levantamiento]]-Observaciones[[#This Row],[Fecha Detección]]+1,0)</f>
        <v>4</v>
      </c>
      <c r="L191" s="34" t="str">
        <f>LOOKUP(Observaciones[[#This Row],[Caso de Prueba]],CasoPrueba[Código CP],CasoPrueba[Código de REQ])</f>
        <v>INSPECCIÓN</v>
      </c>
    </row>
    <row r="192" spans="1:12" ht="45" hidden="1">
      <c r="A192" s="165" t="s">
        <v>559</v>
      </c>
      <c r="B192" s="34" t="s">
        <v>618</v>
      </c>
      <c r="C192" s="34" t="str">
        <f>VLOOKUP(Observaciones[Caso de Prueba],CasoPrueba[[#All],[Código CP]:[Prioridad]],7,TRUE)</f>
        <v>Alta</v>
      </c>
      <c r="D192" s="34" t="s">
        <v>29</v>
      </c>
      <c r="E192" s="34" t="s">
        <v>49</v>
      </c>
      <c r="F192" s="73">
        <v>40828</v>
      </c>
      <c r="G192" s="73">
        <v>40831</v>
      </c>
      <c r="H192" s="94" t="s">
        <v>132</v>
      </c>
      <c r="I192" s="34" t="s">
        <v>648</v>
      </c>
      <c r="J192" s="34" t="s">
        <v>468</v>
      </c>
      <c r="K192" s="34">
        <f>IF((Observaciones[[#This Row],[Fecha Levantamiento]]-Observaciones[[#This Row],[Fecha Detección]])&gt;=0,Observaciones[[#This Row],[Fecha Levantamiento]]-Observaciones[[#This Row],[Fecha Detección]]+1,0)</f>
        <v>4</v>
      </c>
      <c r="L192" s="34" t="str">
        <f>LOOKUP(Observaciones[[#This Row],[Caso de Prueba]],CasoPrueba[Código CP],CasoPrueba[Código de REQ])</f>
        <v>INSPECCIÓN</v>
      </c>
    </row>
    <row r="193" spans="1:12" ht="60" hidden="1">
      <c r="A193" s="165" t="s">
        <v>560</v>
      </c>
      <c r="B193" s="34" t="s">
        <v>618</v>
      </c>
      <c r="C193" s="34" t="str">
        <f>VLOOKUP(Observaciones[Caso de Prueba],CasoPrueba[[#All],[Código CP]:[Prioridad]],7,TRUE)</f>
        <v>Alta</v>
      </c>
      <c r="D193" s="34" t="s">
        <v>28</v>
      </c>
      <c r="E193" s="34" t="s">
        <v>49</v>
      </c>
      <c r="F193" s="73">
        <v>40828</v>
      </c>
      <c r="G193" s="73">
        <v>40831</v>
      </c>
      <c r="H193" s="94" t="s">
        <v>132</v>
      </c>
      <c r="I193" s="34" t="s">
        <v>649</v>
      </c>
      <c r="J193" s="34" t="s">
        <v>857</v>
      </c>
      <c r="K193" s="34">
        <f>IF((Observaciones[[#This Row],[Fecha Levantamiento]]-Observaciones[[#This Row],[Fecha Detección]])&gt;=0,Observaciones[[#This Row],[Fecha Levantamiento]]-Observaciones[[#This Row],[Fecha Detección]]+1,0)</f>
        <v>4</v>
      </c>
      <c r="L193" s="34" t="str">
        <f>LOOKUP(Observaciones[[#This Row],[Caso de Prueba]],CasoPrueba[Código CP],CasoPrueba[Código de REQ])</f>
        <v>INSPECCIÓN</v>
      </c>
    </row>
    <row r="194" spans="1:12" ht="45" hidden="1">
      <c r="A194" s="165" t="s">
        <v>561</v>
      </c>
      <c r="B194" s="34" t="s">
        <v>619</v>
      </c>
      <c r="C194" s="34" t="str">
        <f>VLOOKUP(Observaciones[Caso de Prueba],CasoPrueba[[#All],[Código CP]:[Prioridad]],7,TRUE)</f>
        <v>Alta</v>
      </c>
      <c r="D194" s="34" t="s">
        <v>29</v>
      </c>
      <c r="E194" s="34" t="s">
        <v>49</v>
      </c>
      <c r="F194" s="73">
        <v>40828</v>
      </c>
      <c r="G194" s="73">
        <v>40831</v>
      </c>
      <c r="H194" s="94" t="s">
        <v>132</v>
      </c>
      <c r="I194" s="34" t="s">
        <v>597</v>
      </c>
      <c r="J194" s="34" t="s">
        <v>830</v>
      </c>
      <c r="K194" s="34">
        <f>IF((Observaciones[[#This Row],[Fecha Levantamiento]]-Observaciones[[#This Row],[Fecha Detección]])&gt;=0,Observaciones[[#This Row],[Fecha Levantamiento]]-Observaciones[[#This Row],[Fecha Detección]]+1,0)</f>
        <v>4</v>
      </c>
      <c r="L194" s="34" t="str">
        <f>LOOKUP(Observaciones[[#This Row],[Caso de Prueba]],CasoPrueba[Código CP],CasoPrueba[Código de REQ])</f>
        <v>INSPECCIÓN</v>
      </c>
    </row>
    <row r="195" spans="1:12" ht="30" hidden="1">
      <c r="A195" s="165" t="s">
        <v>562</v>
      </c>
      <c r="B195" s="34" t="s">
        <v>619</v>
      </c>
      <c r="C195" s="34" t="str">
        <f>VLOOKUP(Observaciones[Caso de Prueba],CasoPrueba[[#All],[Código CP]:[Prioridad]],7,TRUE)</f>
        <v>Alta</v>
      </c>
      <c r="D195" s="34" t="s">
        <v>162</v>
      </c>
      <c r="E195" s="34" t="s">
        <v>49</v>
      </c>
      <c r="F195" s="73">
        <v>40828</v>
      </c>
      <c r="G195" s="73">
        <v>40831</v>
      </c>
      <c r="H195" s="94" t="s">
        <v>132</v>
      </c>
      <c r="I195" s="34" t="s">
        <v>647</v>
      </c>
      <c r="J195" s="34" t="s">
        <v>386</v>
      </c>
      <c r="K195" s="34">
        <f>IF((Observaciones[[#This Row],[Fecha Levantamiento]]-Observaciones[[#This Row],[Fecha Detección]])&gt;=0,Observaciones[[#This Row],[Fecha Levantamiento]]-Observaciones[[#This Row],[Fecha Detección]]+1,0)</f>
        <v>4</v>
      </c>
      <c r="L195" s="34" t="str">
        <f>LOOKUP(Observaciones[[#This Row],[Caso de Prueba]],CasoPrueba[Código CP],CasoPrueba[Código de REQ])</f>
        <v>INSPECCIÓN</v>
      </c>
    </row>
    <row r="196" spans="1:12" ht="60" hidden="1">
      <c r="A196" s="165" t="s">
        <v>563</v>
      </c>
      <c r="B196" s="34" t="s">
        <v>619</v>
      </c>
      <c r="C196" s="34" t="str">
        <f>VLOOKUP(Observaciones[Caso de Prueba],CasoPrueba[[#All],[Código CP]:[Prioridad]],7,TRUE)</f>
        <v>Alta</v>
      </c>
      <c r="D196" s="34" t="s">
        <v>28</v>
      </c>
      <c r="E196" s="34" t="s">
        <v>49</v>
      </c>
      <c r="F196" s="73">
        <v>40828</v>
      </c>
      <c r="G196" s="73">
        <v>40831</v>
      </c>
      <c r="H196" s="94" t="s">
        <v>132</v>
      </c>
      <c r="I196" s="34" t="s">
        <v>650</v>
      </c>
      <c r="J196" s="34" t="s">
        <v>857</v>
      </c>
      <c r="K196" s="34">
        <f>IF((Observaciones[[#This Row],[Fecha Levantamiento]]-Observaciones[[#This Row],[Fecha Detección]])&gt;=0,Observaciones[[#This Row],[Fecha Levantamiento]]-Observaciones[[#This Row],[Fecha Detección]]+1,0)</f>
        <v>4</v>
      </c>
      <c r="L196" s="34" t="str">
        <f>LOOKUP(Observaciones[[#This Row],[Caso de Prueba]],CasoPrueba[Código CP],CasoPrueba[Código de REQ])</f>
        <v>INSPECCIÓN</v>
      </c>
    </row>
    <row r="197" spans="1:12" ht="30" hidden="1">
      <c r="A197" s="165" t="s">
        <v>564</v>
      </c>
      <c r="B197" s="34" t="s">
        <v>619</v>
      </c>
      <c r="C197" s="34" t="str">
        <f>VLOOKUP(Observaciones[Caso de Prueba],CasoPrueba[[#All],[Código CP]:[Prioridad]],7,TRUE)</f>
        <v>Alta</v>
      </c>
      <c r="D197" s="34" t="s">
        <v>29</v>
      </c>
      <c r="E197" s="34" t="s">
        <v>49</v>
      </c>
      <c r="F197" s="73">
        <v>40828</v>
      </c>
      <c r="G197" s="73">
        <v>40831</v>
      </c>
      <c r="H197" s="94" t="s">
        <v>132</v>
      </c>
      <c r="I197" s="34" t="s">
        <v>651</v>
      </c>
      <c r="J197" s="34" t="s">
        <v>858</v>
      </c>
      <c r="K197" s="34">
        <f>IF((Observaciones[[#This Row],[Fecha Levantamiento]]-Observaciones[[#This Row],[Fecha Detección]])&gt;=0,Observaciones[[#This Row],[Fecha Levantamiento]]-Observaciones[[#This Row],[Fecha Detección]]+1,0)</f>
        <v>4</v>
      </c>
      <c r="L197" s="34" t="str">
        <f>LOOKUP(Observaciones[[#This Row],[Caso de Prueba]],CasoPrueba[Código CP],CasoPrueba[Código de REQ])</f>
        <v>INSPECCIÓN</v>
      </c>
    </row>
    <row r="198" spans="1:12" ht="90" hidden="1">
      <c r="A198" s="165" t="s">
        <v>565</v>
      </c>
      <c r="B198" s="34" t="s">
        <v>619</v>
      </c>
      <c r="C198" s="34" t="str">
        <f>VLOOKUP(Observaciones[Caso de Prueba],CasoPrueba[[#All],[Código CP]:[Prioridad]],7,TRUE)</f>
        <v>Alta</v>
      </c>
      <c r="D198" s="34" t="s">
        <v>29</v>
      </c>
      <c r="E198" s="34" t="s">
        <v>49</v>
      </c>
      <c r="F198" s="73">
        <v>40828</v>
      </c>
      <c r="G198" s="73">
        <v>40831</v>
      </c>
      <c r="H198" s="94" t="s">
        <v>132</v>
      </c>
      <c r="I198" s="34" t="s">
        <v>599</v>
      </c>
      <c r="J198" s="34" t="s">
        <v>817</v>
      </c>
      <c r="K198" s="34">
        <f>IF((Observaciones[[#This Row],[Fecha Levantamiento]]-Observaciones[[#This Row],[Fecha Detección]])&gt;=0,Observaciones[[#This Row],[Fecha Levantamiento]]-Observaciones[[#This Row],[Fecha Detección]]+1,0)</f>
        <v>4</v>
      </c>
      <c r="L198" s="34" t="str">
        <f>LOOKUP(Observaciones[[#This Row],[Caso de Prueba]],CasoPrueba[Código CP],CasoPrueba[Código de REQ])</f>
        <v>INSPECCIÓN</v>
      </c>
    </row>
    <row r="199" spans="1:12" ht="45" hidden="1">
      <c r="A199" s="165" t="s">
        <v>566</v>
      </c>
      <c r="B199" s="34" t="s">
        <v>619</v>
      </c>
      <c r="C199" s="34" t="str">
        <f>VLOOKUP(Observaciones[Caso de Prueba],CasoPrueba[[#All],[Código CP]:[Prioridad]],7,TRUE)</f>
        <v>Alta</v>
      </c>
      <c r="D199" s="34" t="s">
        <v>162</v>
      </c>
      <c r="E199" s="34" t="s">
        <v>49</v>
      </c>
      <c r="F199" s="73">
        <v>40828</v>
      </c>
      <c r="G199" s="73">
        <v>40831</v>
      </c>
      <c r="H199" s="94" t="s">
        <v>132</v>
      </c>
      <c r="I199" s="34" t="s">
        <v>652</v>
      </c>
      <c r="J199" s="34" t="s">
        <v>823</v>
      </c>
      <c r="K199" s="34">
        <f>IF((Observaciones[[#This Row],[Fecha Levantamiento]]-Observaciones[[#This Row],[Fecha Detección]])&gt;=0,Observaciones[[#This Row],[Fecha Levantamiento]]-Observaciones[[#This Row],[Fecha Detección]]+1,0)</f>
        <v>4</v>
      </c>
      <c r="L199" s="34" t="str">
        <f>LOOKUP(Observaciones[[#This Row],[Caso de Prueba]],CasoPrueba[Código CP],CasoPrueba[Código de REQ])</f>
        <v>INSPECCIÓN</v>
      </c>
    </row>
    <row r="200" spans="1:12" ht="45" hidden="1">
      <c r="A200" s="165" t="s">
        <v>567</v>
      </c>
      <c r="B200" s="34" t="s">
        <v>653</v>
      </c>
      <c r="C200" s="34" t="str">
        <f>VLOOKUP(Observaciones[Caso de Prueba],CasoPrueba[[#All],[Código CP]:[Prioridad]],7,TRUE)</f>
        <v>Alta</v>
      </c>
      <c r="D200" s="34" t="s">
        <v>162</v>
      </c>
      <c r="E200" s="34" t="s">
        <v>49</v>
      </c>
      <c r="F200" s="73">
        <v>40829</v>
      </c>
      <c r="G200" s="73">
        <v>40831</v>
      </c>
      <c r="H200" s="94" t="s">
        <v>132</v>
      </c>
      <c r="I200" s="34" t="s">
        <v>803</v>
      </c>
      <c r="J200" s="34" t="s">
        <v>859</v>
      </c>
      <c r="K200" s="34">
        <f>IF((Observaciones[[#This Row],[Fecha Levantamiento]]-Observaciones[[#This Row],[Fecha Detección]])&gt;=0,Observaciones[[#This Row],[Fecha Levantamiento]]-Observaciones[[#This Row],[Fecha Detección]]+1,0)</f>
        <v>3</v>
      </c>
      <c r="L200" s="34" t="str">
        <f>LOOKUP(Observaciones[[#This Row],[Caso de Prueba]],CasoPrueba[Código CP],CasoPrueba[Código de REQ])</f>
        <v>INSPECCIÓN</v>
      </c>
    </row>
    <row r="201" spans="1:12" ht="30" hidden="1">
      <c r="A201" s="165" t="s">
        <v>568</v>
      </c>
      <c r="B201" s="34" t="s">
        <v>653</v>
      </c>
      <c r="C201" s="34" t="str">
        <f>VLOOKUP(Observaciones[Caso de Prueba],CasoPrueba[[#All],[Código CP]:[Prioridad]],7,TRUE)</f>
        <v>Alta</v>
      </c>
      <c r="D201" s="34" t="s">
        <v>28</v>
      </c>
      <c r="E201" s="34" t="s">
        <v>49</v>
      </c>
      <c r="F201" s="73">
        <v>40829</v>
      </c>
      <c r="G201" s="73">
        <v>40831</v>
      </c>
      <c r="H201" s="94" t="s">
        <v>132</v>
      </c>
      <c r="I201" s="34" t="s">
        <v>584</v>
      </c>
      <c r="J201" s="34" t="s">
        <v>860</v>
      </c>
      <c r="K201" s="34">
        <f>IF((Observaciones[[#This Row],[Fecha Levantamiento]]-Observaciones[[#This Row],[Fecha Detección]])&gt;=0,Observaciones[[#This Row],[Fecha Levantamiento]]-Observaciones[[#This Row],[Fecha Detección]]+1,0)</f>
        <v>3</v>
      </c>
      <c r="L201" s="34" t="str">
        <f>LOOKUP(Observaciones[[#This Row],[Caso de Prueba]],CasoPrueba[Código CP],CasoPrueba[Código de REQ])</f>
        <v>INSPECCIÓN</v>
      </c>
    </row>
    <row r="202" spans="1:12" ht="45" hidden="1">
      <c r="A202" s="165" t="s">
        <v>569</v>
      </c>
      <c r="B202" s="34" t="s">
        <v>653</v>
      </c>
      <c r="C202" s="34" t="str">
        <f>VLOOKUP(Observaciones[Caso de Prueba],CasoPrueba[[#All],[Código CP]:[Prioridad]],7,TRUE)</f>
        <v>Alta</v>
      </c>
      <c r="D202" s="34" t="s">
        <v>29</v>
      </c>
      <c r="E202" s="34" t="s">
        <v>49</v>
      </c>
      <c r="F202" s="73">
        <v>40829</v>
      </c>
      <c r="G202" s="73">
        <v>40831</v>
      </c>
      <c r="H202" s="94" t="s">
        <v>132</v>
      </c>
      <c r="I202" s="34" t="s">
        <v>804</v>
      </c>
      <c r="J202" s="34" t="s">
        <v>861</v>
      </c>
      <c r="K202" s="34">
        <f>IF((Observaciones[[#This Row],[Fecha Levantamiento]]-Observaciones[[#This Row],[Fecha Detección]])&gt;=0,Observaciones[[#This Row],[Fecha Levantamiento]]-Observaciones[[#This Row],[Fecha Detección]]+1,0)</f>
        <v>3</v>
      </c>
      <c r="L202" s="34" t="str">
        <f>LOOKUP(Observaciones[[#This Row],[Caso de Prueba]],CasoPrueba[Código CP],CasoPrueba[Código de REQ])</f>
        <v>INSPECCIÓN</v>
      </c>
    </row>
    <row r="203" spans="1:12" ht="30" hidden="1">
      <c r="A203" s="165" t="s">
        <v>570</v>
      </c>
      <c r="B203" s="34" t="s">
        <v>653</v>
      </c>
      <c r="C203" s="34" t="str">
        <f>VLOOKUP(Observaciones[Caso de Prueba],CasoPrueba[[#All],[Código CP]:[Prioridad]],7,TRUE)</f>
        <v>Alta</v>
      </c>
      <c r="D203" s="34" t="s">
        <v>29</v>
      </c>
      <c r="E203" s="34" t="s">
        <v>49</v>
      </c>
      <c r="F203" s="73">
        <v>40829</v>
      </c>
      <c r="G203" s="73">
        <v>40831</v>
      </c>
      <c r="H203" s="94" t="s">
        <v>132</v>
      </c>
      <c r="I203" s="34" t="s">
        <v>805</v>
      </c>
      <c r="J203" s="34" t="s">
        <v>862</v>
      </c>
      <c r="K203" s="34">
        <f>IF((Observaciones[[#This Row],[Fecha Levantamiento]]-Observaciones[[#This Row],[Fecha Detección]])&gt;=0,Observaciones[[#This Row],[Fecha Levantamiento]]-Observaciones[[#This Row],[Fecha Detección]]+1,0)</f>
        <v>3</v>
      </c>
      <c r="L203" s="34" t="str">
        <f>LOOKUP(Observaciones[[#This Row],[Caso de Prueba]],CasoPrueba[Código CP],CasoPrueba[Código de REQ])</f>
        <v>INSPECCIÓN</v>
      </c>
    </row>
    <row r="204" spans="1:12" ht="30" hidden="1">
      <c r="A204" s="165" t="s">
        <v>571</v>
      </c>
      <c r="B204" s="34" t="s">
        <v>653</v>
      </c>
      <c r="C204" s="34" t="str">
        <f>VLOOKUP(Observaciones[Caso de Prueba],CasoPrueba[[#All],[Código CP]:[Prioridad]],7,TRUE)</f>
        <v>Alta</v>
      </c>
      <c r="D204" s="34" t="s">
        <v>30</v>
      </c>
      <c r="E204" s="34" t="s">
        <v>49</v>
      </c>
      <c r="F204" s="73">
        <v>40829</v>
      </c>
      <c r="G204" s="73">
        <v>40831</v>
      </c>
      <c r="H204" s="94" t="s">
        <v>132</v>
      </c>
      <c r="I204" s="34" t="s">
        <v>806</v>
      </c>
      <c r="J204" s="34" t="s">
        <v>863</v>
      </c>
      <c r="K204" s="34">
        <f>IF((Observaciones[[#This Row],[Fecha Levantamiento]]-Observaciones[[#This Row],[Fecha Detección]])&gt;=0,Observaciones[[#This Row],[Fecha Levantamiento]]-Observaciones[[#This Row],[Fecha Detección]]+1,0)</f>
        <v>3</v>
      </c>
      <c r="L204" s="34" t="str">
        <f>LOOKUP(Observaciones[[#This Row],[Caso de Prueba]],CasoPrueba[Código CP],CasoPrueba[Código de REQ])</f>
        <v>INSPECCIÓN</v>
      </c>
    </row>
    <row r="205" spans="1:12" ht="45" hidden="1">
      <c r="A205" s="165" t="s">
        <v>572</v>
      </c>
      <c r="B205" s="34" t="s">
        <v>653</v>
      </c>
      <c r="C205" s="34" t="str">
        <f>VLOOKUP(Observaciones[Caso de Prueba],CasoPrueba[[#All],[Código CP]:[Prioridad]],7,TRUE)</f>
        <v>Alta</v>
      </c>
      <c r="D205" s="34" t="s">
        <v>162</v>
      </c>
      <c r="E205" s="34" t="s">
        <v>49</v>
      </c>
      <c r="F205" s="73">
        <v>40829</v>
      </c>
      <c r="G205" s="73">
        <v>40831</v>
      </c>
      <c r="H205" s="94" t="s">
        <v>132</v>
      </c>
      <c r="I205" s="34" t="s">
        <v>807</v>
      </c>
      <c r="J205" s="34" t="s">
        <v>467</v>
      </c>
      <c r="K205" s="34">
        <f>IF((Observaciones[[#This Row],[Fecha Levantamiento]]-Observaciones[[#This Row],[Fecha Detección]])&gt;=0,Observaciones[[#This Row],[Fecha Levantamiento]]-Observaciones[[#This Row],[Fecha Detección]]+1,0)</f>
        <v>3</v>
      </c>
      <c r="L205" s="34" t="str">
        <f>LOOKUP(Observaciones[[#This Row],[Caso de Prueba]],CasoPrueba[Código CP],CasoPrueba[Código de REQ])</f>
        <v>INSPECCIÓN</v>
      </c>
    </row>
    <row r="206" spans="1:12" ht="45" hidden="1">
      <c r="A206" s="165" t="s">
        <v>573</v>
      </c>
      <c r="B206" s="34" t="s">
        <v>653</v>
      </c>
      <c r="C206" s="34" t="str">
        <f>VLOOKUP(Observaciones[Caso de Prueba],CasoPrueba[[#All],[Código CP]:[Prioridad]],7,TRUE)</f>
        <v>Alta</v>
      </c>
      <c r="D206" s="34" t="s">
        <v>29</v>
      </c>
      <c r="E206" s="34" t="s">
        <v>49</v>
      </c>
      <c r="F206" s="73">
        <v>40829</v>
      </c>
      <c r="G206" s="73">
        <v>40831</v>
      </c>
      <c r="H206" s="94" t="s">
        <v>132</v>
      </c>
      <c r="I206" s="34" t="s">
        <v>879</v>
      </c>
      <c r="J206" s="34" t="s">
        <v>864</v>
      </c>
      <c r="K206" s="34">
        <f>IF((Observaciones[[#This Row],[Fecha Levantamiento]]-Observaciones[[#This Row],[Fecha Detección]])&gt;=0,Observaciones[[#This Row],[Fecha Levantamiento]]-Observaciones[[#This Row],[Fecha Detección]]+1,0)</f>
        <v>3</v>
      </c>
      <c r="L206" s="34" t="str">
        <f>LOOKUP(Observaciones[[#This Row],[Caso de Prueba]],CasoPrueba[Código CP],CasoPrueba[Código de REQ])</f>
        <v>INSPECCIÓN</v>
      </c>
    </row>
    <row r="207" spans="1:12" ht="30" hidden="1">
      <c r="A207" s="165" t="s">
        <v>574</v>
      </c>
      <c r="B207" s="34" t="s">
        <v>653</v>
      </c>
      <c r="C207" s="34" t="str">
        <f>VLOOKUP(Observaciones[Caso de Prueba],CasoPrueba[[#All],[Código CP]:[Prioridad]],7,TRUE)</f>
        <v>Alta</v>
      </c>
      <c r="D207" s="34" t="s">
        <v>29</v>
      </c>
      <c r="E207" s="34" t="s">
        <v>49</v>
      </c>
      <c r="F207" s="73">
        <v>40829</v>
      </c>
      <c r="G207" s="73">
        <v>40831</v>
      </c>
      <c r="H207" s="94" t="s">
        <v>132</v>
      </c>
      <c r="I207" s="34" t="s">
        <v>808</v>
      </c>
      <c r="J207" s="34" t="s">
        <v>865</v>
      </c>
      <c r="K207" s="34">
        <f>IF((Observaciones[[#This Row],[Fecha Levantamiento]]-Observaciones[[#This Row],[Fecha Detección]])&gt;=0,Observaciones[[#This Row],[Fecha Levantamiento]]-Observaciones[[#This Row],[Fecha Detección]]+1,0)</f>
        <v>3</v>
      </c>
      <c r="L207" s="34" t="str">
        <f>LOOKUP(Observaciones[[#This Row],[Caso de Prueba]],CasoPrueba[Código CP],CasoPrueba[Código de REQ])</f>
        <v>INSPECCIÓN</v>
      </c>
    </row>
    <row r="208" spans="1:12" ht="30" hidden="1">
      <c r="A208" s="165" t="s">
        <v>575</v>
      </c>
      <c r="B208" s="34" t="s">
        <v>653</v>
      </c>
      <c r="C208" s="34" t="str">
        <f>VLOOKUP(Observaciones[Caso de Prueba],CasoPrueba[[#All],[Código CP]:[Prioridad]],7,TRUE)</f>
        <v>Alta</v>
      </c>
      <c r="D208" s="34" t="s">
        <v>162</v>
      </c>
      <c r="E208" s="34" t="s">
        <v>49</v>
      </c>
      <c r="F208" s="73">
        <v>40829</v>
      </c>
      <c r="G208" s="73">
        <v>40831</v>
      </c>
      <c r="H208" s="94" t="s">
        <v>132</v>
      </c>
      <c r="I208" s="34" t="s">
        <v>809</v>
      </c>
      <c r="J208" s="34" t="s">
        <v>467</v>
      </c>
      <c r="K208" s="34">
        <f>IF((Observaciones[[#This Row],[Fecha Levantamiento]]-Observaciones[[#This Row],[Fecha Detección]])&gt;=0,Observaciones[[#This Row],[Fecha Levantamiento]]-Observaciones[[#This Row],[Fecha Detección]]+1,0)</f>
        <v>3</v>
      </c>
      <c r="L208" s="34" t="str">
        <f>LOOKUP(Observaciones[[#This Row],[Caso de Prueba]],CasoPrueba[Código CP],CasoPrueba[Código de REQ])</f>
        <v>INSPECCIÓN</v>
      </c>
    </row>
    <row r="209" spans="1:12" ht="60" hidden="1">
      <c r="A209" s="165" t="s">
        <v>576</v>
      </c>
      <c r="B209" s="34" t="s">
        <v>653</v>
      </c>
      <c r="C209" s="34" t="str">
        <f>VLOOKUP(Observaciones[Caso de Prueba],CasoPrueba[[#All],[Código CP]:[Prioridad]],7,TRUE)</f>
        <v>Alta</v>
      </c>
      <c r="D209" s="34" t="s">
        <v>30</v>
      </c>
      <c r="E209" s="34" t="s">
        <v>49</v>
      </c>
      <c r="F209" s="73">
        <v>40829</v>
      </c>
      <c r="G209" s="73">
        <v>40831</v>
      </c>
      <c r="H209" s="94" t="s">
        <v>132</v>
      </c>
      <c r="I209" s="34" t="s">
        <v>880</v>
      </c>
      <c r="J209" s="34" t="s">
        <v>866</v>
      </c>
      <c r="K209" s="34">
        <f>IF((Observaciones[[#This Row],[Fecha Levantamiento]]-Observaciones[[#This Row],[Fecha Detección]])&gt;=0,Observaciones[[#This Row],[Fecha Levantamiento]]-Observaciones[[#This Row],[Fecha Detección]]+1,0)</f>
        <v>3</v>
      </c>
      <c r="L209" s="34" t="str">
        <f>LOOKUP(Observaciones[[#This Row],[Caso de Prueba]],CasoPrueba[Código CP],CasoPrueba[Código de REQ])</f>
        <v>INSPECCIÓN</v>
      </c>
    </row>
    <row r="210" spans="1:12" ht="30" hidden="1">
      <c r="A210" s="165" t="s">
        <v>577</v>
      </c>
      <c r="B210" s="34" t="s">
        <v>653</v>
      </c>
      <c r="C210" s="34" t="str">
        <f>VLOOKUP(Observaciones[Caso de Prueba],CasoPrueba[[#All],[Código CP]:[Prioridad]],7,TRUE)</f>
        <v>Alta</v>
      </c>
      <c r="D210" s="34" t="s">
        <v>30</v>
      </c>
      <c r="E210" s="34" t="s">
        <v>49</v>
      </c>
      <c r="F210" s="73">
        <v>40829</v>
      </c>
      <c r="G210" s="73">
        <v>40831</v>
      </c>
      <c r="H210" s="94" t="s">
        <v>132</v>
      </c>
      <c r="I210" s="34" t="s">
        <v>810</v>
      </c>
      <c r="J210" s="34" t="s">
        <v>867</v>
      </c>
      <c r="K210" s="34">
        <f>IF((Observaciones[[#This Row],[Fecha Levantamiento]]-Observaciones[[#This Row],[Fecha Detección]])&gt;=0,Observaciones[[#This Row],[Fecha Levantamiento]]-Observaciones[[#This Row],[Fecha Detección]]+1,0)</f>
        <v>3</v>
      </c>
      <c r="L210" s="34" t="str">
        <f>LOOKUP(Observaciones[[#This Row],[Caso de Prueba]],CasoPrueba[Código CP],CasoPrueba[Código de REQ])</f>
        <v>INSPECCIÓN</v>
      </c>
    </row>
    <row r="211" spans="1:12" ht="30" hidden="1">
      <c r="A211" s="165" t="s">
        <v>578</v>
      </c>
      <c r="B211" s="34" t="s">
        <v>653</v>
      </c>
      <c r="C211" s="34" t="str">
        <f>VLOOKUP(Observaciones[Caso de Prueba],CasoPrueba[[#All],[Código CP]:[Prioridad]],7,TRUE)</f>
        <v>Alta</v>
      </c>
      <c r="D211" s="34" t="s">
        <v>162</v>
      </c>
      <c r="E211" s="34" t="s">
        <v>49</v>
      </c>
      <c r="F211" s="73">
        <v>40829</v>
      </c>
      <c r="G211" s="73">
        <v>40831</v>
      </c>
      <c r="H211" s="94" t="s">
        <v>132</v>
      </c>
      <c r="I211" s="34" t="s">
        <v>811</v>
      </c>
      <c r="J211" s="34" t="s">
        <v>467</v>
      </c>
      <c r="K211" s="34">
        <f>IF((Observaciones[[#This Row],[Fecha Levantamiento]]-Observaciones[[#This Row],[Fecha Detección]])&gt;=0,Observaciones[[#This Row],[Fecha Levantamiento]]-Observaciones[[#This Row],[Fecha Detección]]+1,0)</f>
        <v>3</v>
      </c>
      <c r="L211" s="34" t="str">
        <f>LOOKUP(Observaciones[[#This Row],[Caso de Prueba]],CasoPrueba[Código CP],CasoPrueba[Código de REQ])</f>
        <v>INSPECCIÓN</v>
      </c>
    </row>
    <row r="212" spans="1:12" ht="45" hidden="1">
      <c r="A212" s="165" t="s">
        <v>579</v>
      </c>
      <c r="B212" s="34" t="s">
        <v>654</v>
      </c>
      <c r="C212" s="34" t="str">
        <f>VLOOKUP(Observaciones[Caso de Prueba],CasoPrueba[[#All],[Código CP]:[Prioridad]],7,TRUE)</f>
        <v>Alta</v>
      </c>
      <c r="D212" s="34" t="s">
        <v>29</v>
      </c>
      <c r="E212" s="34" t="s">
        <v>49</v>
      </c>
      <c r="F212" s="73">
        <v>40830</v>
      </c>
      <c r="G212" s="73">
        <v>40831</v>
      </c>
      <c r="H212" s="94" t="s">
        <v>132</v>
      </c>
      <c r="I212" s="34" t="s">
        <v>597</v>
      </c>
      <c r="J212" s="34" t="s">
        <v>830</v>
      </c>
      <c r="K212" s="34">
        <f>IF((Observaciones[[#This Row],[Fecha Levantamiento]]-Observaciones[[#This Row],[Fecha Detección]])&gt;=0,Observaciones[[#This Row],[Fecha Levantamiento]]-Observaciones[[#This Row],[Fecha Detección]]+1,0)</f>
        <v>2</v>
      </c>
      <c r="L212" s="34" t="str">
        <f>LOOKUP(Observaciones[[#This Row],[Caso de Prueba]],CasoPrueba[Código CP],CasoPrueba[Código de REQ])</f>
        <v>INSPECCIÓN</v>
      </c>
    </row>
    <row r="213" spans="1:12" ht="30" hidden="1">
      <c r="A213" s="165" t="s">
        <v>580</v>
      </c>
      <c r="B213" s="34" t="s">
        <v>654</v>
      </c>
      <c r="C213" s="34" t="str">
        <f>VLOOKUP(Observaciones[Caso de Prueba],CasoPrueba[[#All],[Código CP]:[Prioridad]],7,TRUE)</f>
        <v>Alta</v>
      </c>
      <c r="D213" s="34" t="s">
        <v>28</v>
      </c>
      <c r="E213" s="34" t="s">
        <v>49</v>
      </c>
      <c r="F213" s="73">
        <v>40830</v>
      </c>
      <c r="G213" s="73">
        <v>40831</v>
      </c>
      <c r="H213" s="94" t="s">
        <v>132</v>
      </c>
      <c r="I213" s="34" t="s">
        <v>584</v>
      </c>
      <c r="J213" s="34" t="s">
        <v>832</v>
      </c>
      <c r="K213" s="34">
        <f>IF((Observaciones[[#This Row],[Fecha Levantamiento]]-Observaciones[[#This Row],[Fecha Detección]])&gt;=0,Observaciones[[#This Row],[Fecha Levantamiento]]-Observaciones[[#This Row],[Fecha Detección]]+1,0)</f>
        <v>2</v>
      </c>
      <c r="L213" s="34" t="str">
        <f>LOOKUP(Observaciones[[#This Row],[Caso de Prueba]],CasoPrueba[Código CP],CasoPrueba[Código de REQ])</f>
        <v>INSPECCIÓN</v>
      </c>
    </row>
    <row r="214" spans="1:12" ht="45" hidden="1">
      <c r="A214" s="165" t="s">
        <v>581</v>
      </c>
      <c r="B214" s="34" t="s">
        <v>654</v>
      </c>
      <c r="C214" s="34" t="str">
        <f>VLOOKUP(Observaciones[Caso de Prueba],CasoPrueba[[#All],[Código CP]:[Prioridad]],7,TRUE)</f>
        <v>Alta</v>
      </c>
      <c r="D214" s="34" t="s">
        <v>29</v>
      </c>
      <c r="E214" s="34" t="s">
        <v>49</v>
      </c>
      <c r="F214" s="73">
        <v>40830</v>
      </c>
      <c r="G214" s="73">
        <v>40831</v>
      </c>
      <c r="H214" s="94" t="s">
        <v>132</v>
      </c>
      <c r="I214" s="34" t="s">
        <v>812</v>
      </c>
      <c r="J214" s="34" t="s">
        <v>868</v>
      </c>
      <c r="K214" s="34">
        <f>IF((Observaciones[[#This Row],[Fecha Levantamiento]]-Observaciones[[#This Row],[Fecha Detección]])&gt;=0,Observaciones[[#This Row],[Fecha Levantamiento]]-Observaciones[[#This Row],[Fecha Detección]]+1,0)</f>
        <v>2</v>
      </c>
      <c r="L214" s="34" t="str">
        <f>LOOKUP(Observaciones[[#This Row],[Caso de Prueba]],CasoPrueba[Código CP],CasoPrueba[Código de REQ])</f>
        <v>INSPECCIÓN</v>
      </c>
    </row>
    <row r="215" spans="1:12" ht="30" hidden="1">
      <c r="A215" s="165" t="s">
        <v>582</v>
      </c>
      <c r="B215" s="34" t="s">
        <v>654</v>
      </c>
      <c r="C215" s="34" t="str">
        <f>VLOOKUP(Observaciones[Caso de Prueba],CasoPrueba[[#All],[Código CP]:[Prioridad]],7,TRUE)</f>
        <v>Alta</v>
      </c>
      <c r="D215" s="34" t="s">
        <v>29</v>
      </c>
      <c r="E215" s="34" t="s">
        <v>49</v>
      </c>
      <c r="F215" s="73">
        <v>40830</v>
      </c>
      <c r="G215" s="73">
        <v>40831</v>
      </c>
      <c r="H215" s="94" t="s">
        <v>132</v>
      </c>
      <c r="I215" s="34" t="s">
        <v>813</v>
      </c>
      <c r="J215" s="34" t="s">
        <v>869</v>
      </c>
      <c r="K215" s="34">
        <f>IF((Observaciones[[#This Row],[Fecha Levantamiento]]-Observaciones[[#This Row],[Fecha Detección]])&gt;=0,Observaciones[[#This Row],[Fecha Levantamiento]]-Observaciones[[#This Row],[Fecha Detección]]+1,0)</f>
        <v>2</v>
      </c>
      <c r="L215" s="34" t="str">
        <f>LOOKUP(Observaciones[[#This Row],[Caso de Prueba]],CasoPrueba[Código CP],CasoPrueba[Código de REQ])</f>
        <v>INSPECCIÓN</v>
      </c>
    </row>
    <row r="216" spans="1:12" ht="45" hidden="1">
      <c r="A216" s="165" t="s">
        <v>657</v>
      </c>
      <c r="B216" s="34" t="s">
        <v>654</v>
      </c>
      <c r="C216" s="34" t="str">
        <f>VLOOKUP(Observaciones[Caso de Prueba],CasoPrueba[[#All],[Código CP]:[Prioridad]],7,TRUE)</f>
        <v>Alta</v>
      </c>
      <c r="D216" s="34" t="s">
        <v>162</v>
      </c>
      <c r="E216" s="34" t="s">
        <v>49</v>
      </c>
      <c r="F216" s="73">
        <v>40830</v>
      </c>
      <c r="G216" s="73">
        <v>40831</v>
      </c>
      <c r="H216" s="94" t="s">
        <v>132</v>
      </c>
      <c r="I216" s="34" t="s">
        <v>814</v>
      </c>
      <c r="J216" s="34" t="s">
        <v>199</v>
      </c>
      <c r="K216" s="34">
        <f>IF((Observaciones[[#This Row],[Fecha Levantamiento]]-Observaciones[[#This Row],[Fecha Detección]])&gt;=0,Observaciones[[#This Row],[Fecha Levantamiento]]-Observaciones[[#This Row],[Fecha Detección]]+1,0)</f>
        <v>2</v>
      </c>
      <c r="L216" s="34" t="str">
        <f>LOOKUP(Observaciones[[#This Row],[Caso de Prueba]],CasoPrueba[Código CP],CasoPrueba[Código de REQ])</f>
        <v>INSPECCIÓN</v>
      </c>
    </row>
    <row r="217" spans="1:12" ht="30" hidden="1">
      <c r="A217" s="165" t="s">
        <v>658</v>
      </c>
      <c r="B217" s="34" t="s">
        <v>654</v>
      </c>
      <c r="C217" s="34" t="str">
        <f>VLOOKUP(Observaciones[Caso de Prueba],CasoPrueba[[#All],[Código CP]:[Prioridad]],7,TRUE)</f>
        <v>Alta</v>
      </c>
      <c r="D217" s="34" t="s">
        <v>162</v>
      </c>
      <c r="E217" s="34" t="s">
        <v>49</v>
      </c>
      <c r="F217" s="73">
        <v>40830</v>
      </c>
      <c r="G217" s="73">
        <v>40831</v>
      </c>
      <c r="H217" s="94" t="s">
        <v>132</v>
      </c>
      <c r="I217" s="34" t="s">
        <v>815</v>
      </c>
      <c r="J217" s="34" t="s">
        <v>196</v>
      </c>
      <c r="K217" s="34">
        <f>IF((Observaciones[[#This Row],[Fecha Levantamiento]]-Observaciones[[#This Row],[Fecha Detección]])&gt;=0,Observaciones[[#This Row],[Fecha Levantamiento]]-Observaciones[[#This Row],[Fecha Detección]]+1,0)</f>
        <v>2</v>
      </c>
      <c r="L217" s="34" t="str">
        <f>LOOKUP(Observaciones[[#This Row],[Caso de Prueba]],CasoPrueba[Código CP],CasoPrueba[Código de REQ])</f>
        <v>INSPECCIÓN</v>
      </c>
    </row>
    <row r="218" spans="1:12" ht="90" hidden="1">
      <c r="A218" s="165" t="s">
        <v>659</v>
      </c>
      <c r="B218" s="34" t="s">
        <v>487</v>
      </c>
      <c r="C218" s="34" t="str">
        <f>VLOOKUP(Observaciones[Caso de Prueba],CasoPrueba[[#All],[Código CP]:[Prioridad]],7,TRUE)</f>
        <v>Alta</v>
      </c>
      <c r="D218" s="34" t="s">
        <v>28</v>
      </c>
      <c r="E218" s="34" t="s">
        <v>49</v>
      </c>
      <c r="F218" s="73">
        <v>40835</v>
      </c>
      <c r="G218" s="73">
        <v>40843</v>
      </c>
      <c r="H218" s="94" t="s">
        <v>132</v>
      </c>
      <c r="I218" s="34" t="s">
        <v>870</v>
      </c>
      <c r="J218" s="34" t="s">
        <v>955</v>
      </c>
      <c r="K218" s="34">
        <f>IF((Observaciones[[#This Row],[Fecha Levantamiento]]-Observaciones[[#This Row],[Fecha Detección]])&gt;=0,Observaciones[[#This Row],[Fecha Levantamiento]]-Observaciones[[#This Row],[Fecha Detección]]+1,0)</f>
        <v>9</v>
      </c>
      <c r="L218" s="34" t="str">
        <f>LOOKUP(Observaciones[[#This Row],[Caso de Prueba]],CasoPrueba[Código CP],CasoPrueba[Código de REQ])</f>
        <v>INSPECCIÓN</v>
      </c>
    </row>
    <row r="219" spans="1:12" ht="66" hidden="1" customHeight="1">
      <c r="A219" s="165" t="s">
        <v>660</v>
      </c>
      <c r="B219" s="34" t="s">
        <v>488</v>
      </c>
      <c r="C219" s="34" t="str">
        <f>VLOOKUP(Observaciones[Caso de Prueba],CasoPrueba[[#All],[Código CP]:[Prioridad]],7,TRUE)</f>
        <v>Alta</v>
      </c>
      <c r="D219" s="34" t="s">
        <v>28</v>
      </c>
      <c r="E219" s="34" t="s">
        <v>49</v>
      </c>
      <c r="F219" s="73">
        <v>40835</v>
      </c>
      <c r="G219" s="73">
        <v>40843</v>
      </c>
      <c r="H219" s="94" t="s">
        <v>132</v>
      </c>
      <c r="I219" s="34" t="s">
        <v>597</v>
      </c>
      <c r="J219" s="34" t="s">
        <v>956</v>
      </c>
      <c r="K219" s="34">
        <f>IF((Observaciones[[#This Row],[Fecha Levantamiento]]-Observaciones[[#This Row],[Fecha Detección]])&gt;=0,Observaciones[[#This Row],[Fecha Levantamiento]]-Observaciones[[#This Row],[Fecha Detección]]+1,0)</f>
        <v>9</v>
      </c>
      <c r="L219" s="34" t="str">
        <f>LOOKUP(Observaciones[[#This Row],[Caso de Prueba]],CasoPrueba[Código CP],CasoPrueba[Código de REQ])</f>
        <v>INSPECCIÓN</v>
      </c>
    </row>
    <row r="220" spans="1:12" ht="45" hidden="1">
      <c r="A220" s="165" t="s">
        <v>661</v>
      </c>
      <c r="B220" s="34" t="s">
        <v>488</v>
      </c>
      <c r="C220" s="34" t="str">
        <f>VLOOKUP(Observaciones[Caso de Prueba],CasoPrueba[[#All],[Código CP]:[Prioridad]],7,TRUE)</f>
        <v>Alta</v>
      </c>
      <c r="D220" s="34" t="s">
        <v>28</v>
      </c>
      <c r="E220" s="34" t="s">
        <v>49</v>
      </c>
      <c r="F220" s="73">
        <v>40835</v>
      </c>
      <c r="G220" s="73">
        <v>40843</v>
      </c>
      <c r="H220" s="94" t="s">
        <v>132</v>
      </c>
      <c r="I220" s="34" t="s">
        <v>871</v>
      </c>
      <c r="J220" s="34" t="s">
        <v>955</v>
      </c>
      <c r="K220" s="34">
        <f>IF((Observaciones[[#This Row],[Fecha Levantamiento]]-Observaciones[[#This Row],[Fecha Detección]])&gt;=0,Observaciones[[#This Row],[Fecha Levantamiento]]-Observaciones[[#This Row],[Fecha Detección]]+1,0)</f>
        <v>9</v>
      </c>
      <c r="L220" s="34" t="str">
        <f>LOOKUP(Observaciones[[#This Row],[Caso de Prueba]],CasoPrueba[Código CP],CasoPrueba[Código de REQ])</f>
        <v>INSPECCIÓN</v>
      </c>
    </row>
    <row r="221" spans="1:12" ht="45" hidden="1">
      <c r="A221" s="165" t="s">
        <v>662</v>
      </c>
      <c r="B221" s="34" t="s">
        <v>489</v>
      </c>
      <c r="C221" s="34" t="str">
        <f>VLOOKUP(Observaciones[Caso de Prueba],CasoPrueba[[#All],[Código CP]:[Prioridad]],7,TRUE)</f>
        <v>Alta</v>
      </c>
      <c r="D221" s="34" t="s">
        <v>28</v>
      </c>
      <c r="E221" s="34" t="s">
        <v>49</v>
      </c>
      <c r="F221" s="73">
        <v>40835</v>
      </c>
      <c r="G221" s="73">
        <v>40843</v>
      </c>
      <c r="H221" s="94" t="s">
        <v>132</v>
      </c>
      <c r="I221" s="34" t="s">
        <v>597</v>
      </c>
      <c r="J221" s="34" t="s">
        <v>957</v>
      </c>
      <c r="K221" s="34">
        <f>IF((Observaciones[[#This Row],[Fecha Levantamiento]]-Observaciones[[#This Row],[Fecha Detección]])&gt;=0,Observaciones[[#This Row],[Fecha Levantamiento]]-Observaciones[[#This Row],[Fecha Detección]]+1,0)</f>
        <v>9</v>
      </c>
      <c r="L221" s="34" t="str">
        <f>LOOKUP(Observaciones[[#This Row],[Caso de Prueba]],CasoPrueba[Código CP],CasoPrueba[Código de REQ])</f>
        <v>INSPECCIÓN</v>
      </c>
    </row>
    <row r="222" spans="1:12" ht="45" hidden="1">
      <c r="A222" s="165" t="s">
        <v>663</v>
      </c>
      <c r="B222" s="34" t="s">
        <v>489</v>
      </c>
      <c r="C222" s="34" t="str">
        <f>VLOOKUP(Observaciones[Caso de Prueba],CasoPrueba[[#All],[Código CP]:[Prioridad]],7,TRUE)</f>
        <v>Alta</v>
      </c>
      <c r="D222" s="34" t="s">
        <v>28</v>
      </c>
      <c r="E222" s="34" t="s">
        <v>49</v>
      </c>
      <c r="F222" s="73">
        <v>40835</v>
      </c>
      <c r="G222" s="73">
        <v>40843</v>
      </c>
      <c r="H222" s="94" t="s">
        <v>132</v>
      </c>
      <c r="I222" s="34" t="s">
        <v>871</v>
      </c>
      <c r="J222" s="34" t="s">
        <v>955</v>
      </c>
      <c r="K222" s="34">
        <f>IF((Observaciones[[#This Row],[Fecha Levantamiento]]-Observaciones[[#This Row],[Fecha Detección]])&gt;=0,Observaciones[[#This Row],[Fecha Levantamiento]]-Observaciones[[#This Row],[Fecha Detección]]+1,0)</f>
        <v>9</v>
      </c>
      <c r="L222" s="34" t="str">
        <f>LOOKUP(Observaciones[[#This Row],[Caso de Prueba]],CasoPrueba[Código CP],CasoPrueba[Código de REQ])</f>
        <v>INSPECCIÓN</v>
      </c>
    </row>
    <row r="223" spans="1:12" ht="45" hidden="1">
      <c r="A223" s="165" t="s">
        <v>664</v>
      </c>
      <c r="B223" s="34" t="s">
        <v>614</v>
      </c>
      <c r="C223" s="34" t="str">
        <f>VLOOKUP(Observaciones[Caso de Prueba],CasoPrueba[[#All],[Código CP]:[Prioridad]],7,TRUE)</f>
        <v>Alta</v>
      </c>
      <c r="D223" s="34" t="s">
        <v>28</v>
      </c>
      <c r="E223" s="34" t="s">
        <v>49</v>
      </c>
      <c r="F223" s="73">
        <v>40835</v>
      </c>
      <c r="G223" s="73">
        <v>40843</v>
      </c>
      <c r="H223" s="94" t="s">
        <v>132</v>
      </c>
      <c r="I223" s="34" t="s">
        <v>871</v>
      </c>
      <c r="J223" s="34" t="s">
        <v>986</v>
      </c>
      <c r="K223" s="34">
        <f>IF((Observaciones[[#This Row],[Fecha Levantamiento]]-Observaciones[[#This Row],[Fecha Detección]])&gt;=0,Observaciones[[#This Row],[Fecha Levantamiento]]-Observaciones[[#This Row],[Fecha Detección]]+1,0)</f>
        <v>9</v>
      </c>
      <c r="L223" s="34" t="str">
        <f>LOOKUP(Observaciones[[#This Row],[Caso de Prueba]],CasoPrueba[Código CP],CasoPrueba[Código de REQ])</f>
        <v>INSPECCIÓN</v>
      </c>
    </row>
    <row r="224" spans="1:12" ht="45" hidden="1">
      <c r="A224" s="165" t="s">
        <v>665</v>
      </c>
      <c r="B224" s="34" t="s">
        <v>616</v>
      </c>
      <c r="C224" s="34" t="str">
        <f>VLOOKUP(Observaciones[Caso de Prueba],CasoPrueba[[#All],[Código CP]:[Prioridad]],7,TRUE)</f>
        <v>Alta</v>
      </c>
      <c r="D224" s="34" t="s">
        <v>28</v>
      </c>
      <c r="E224" s="34" t="s">
        <v>49</v>
      </c>
      <c r="F224" s="73">
        <v>40835</v>
      </c>
      <c r="G224" s="73">
        <v>40843</v>
      </c>
      <c r="H224" s="94" t="s">
        <v>132</v>
      </c>
      <c r="I224" s="34" t="s">
        <v>871</v>
      </c>
      <c r="J224" s="34" t="s">
        <v>986</v>
      </c>
      <c r="K224" s="34">
        <f>IF((Observaciones[[#This Row],[Fecha Levantamiento]]-Observaciones[[#This Row],[Fecha Detección]])&gt;=0,Observaciones[[#This Row],[Fecha Levantamiento]]-Observaciones[[#This Row],[Fecha Detección]]+1,0)</f>
        <v>9</v>
      </c>
      <c r="L224" s="34" t="str">
        <f>LOOKUP(Observaciones[[#This Row],[Caso de Prueba]],CasoPrueba[Código CP],CasoPrueba[Código de REQ])</f>
        <v>INSPECCIÓN</v>
      </c>
    </row>
    <row r="225" spans="1:12" ht="88.5" hidden="1" customHeight="1">
      <c r="A225" s="165" t="s">
        <v>666</v>
      </c>
      <c r="B225" s="34" t="s">
        <v>616</v>
      </c>
      <c r="C225" s="34" t="str">
        <f>VLOOKUP(Observaciones[Caso de Prueba],CasoPrueba[[#All],[Código CP]:[Prioridad]],7,TRUE)</f>
        <v>Alta</v>
      </c>
      <c r="D225" s="34" t="s">
        <v>28</v>
      </c>
      <c r="E225" s="34" t="s">
        <v>49</v>
      </c>
      <c r="F225" s="73">
        <v>40835</v>
      </c>
      <c r="G225" s="73">
        <v>40843</v>
      </c>
      <c r="H225" s="94" t="s">
        <v>132</v>
      </c>
      <c r="I225" s="34" t="s">
        <v>872</v>
      </c>
      <c r="J225" s="34" t="str">
        <f>VLOOKUP(Observaciones[[#This Row],[Cod. Obs.]],[1]Observaciones!$A$223:$J$238,10,0)</f>
        <v>Se cambió de evento.</v>
      </c>
      <c r="K225" s="34">
        <f>IF((Observaciones[[#This Row],[Fecha Levantamiento]]-Observaciones[[#This Row],[Fecha Detección]])&gt;=0,Observaciones[[#This Row],[Fecha Levantamiento]]-Observaciones[[#This Row],[Fecha Detección]]+1,0)</f>
        <v>9</v>
      </c>
      <c r="L225" s="34" t="str">
        <f>LOOKUP(Observaciones[[#This Row],[Caso de Prueba]],CasoPrueba[Código CP],CasoPrueba[Código de REQ])</f>
        <v>INSPECCIÓN</v>
      </c>
    </row>
    <row r="226" spans="1:12" ht="90" hidden="1">
      <c r="A226" s="165" t="s">
        <v>667</v>
      </c>
      <c r="B226" s="34" t="s">
        <v>616</v>
      </c>
      <c r="C226" s="34" t="str">
        <f>VLOOKUP(Observaciones[Caso de Prueba],CasoPrueba[[#All],[Código CP]:[Prioridad]],7,TRUE)</f>
        <v>Alta</v>
      </c>
      <c r="D226" s="34" t="s">
        <v>29</v>
      </c>
      <c r="E226" s="34" t="s">
        <v>49</v>
      </c>
      <c r="F226" s="73">
        <v>40835</v>
      </c>
      <c r="G226" s="73">
        <v>40843</v>
      </c>
      <c r="H226" s="94" t="s">
        <v>132</v>
      </c>
      <c r="I226" s="34" t="s">
        <v>599</v>
      </c>
      <c r="J226" s="34" t="str">
        <f>VLOOKUP(Observaciones[[#This Row],[Cod. Obs.]],[1]Observaciones!$A$223:$J$238,10,0)</f>
        <v>Se corrigió la enumeración.</v>
      </c>
      <c r="K226" s="34">
        <f>IF((Observaciones[[#This Row],[Fecha Levantamiento]]-Observaciones[[#This Row],[Fecha Detección]])&gt;=0,Observaciones[[#This Row],[Fecha Levantamiento]]-Observaciones[[#This Row],[Fecha Detección]]+1,0)</f>
        <v>9</v>
      </c>
      <c r="L226" s="34" t="str">
        <f>LOOKUP(Observaciones[[#This Row],[Caso de Prueba]],CasoPrueba[Código CP],CasoPrueba[Código de REQ])</f>
        <v>INSPECCIÓN</v>
      </c>
    </row>
    <row r="227" spans="1:12" ht="45" hidden="1">
      <c r="A227" s="165" t="s">
        <v>668</v>
      </c>
      <c r="B227" s="34" t="s">
        <v>617</v>
      </c>
      <c r="C227" s="34" t="str">
        <f>VLOOKUP(Observaciones[Caso de Prueba],CasoPrueba[[#All],[Código CP]:[Prioridad]],7,TRUE)</f>
        <v>Alta</v>
      </c>
      <c r="D227" s="34" t="s">
        <v>28</v>
      </c>
      <c r="E227" s="34" t="s">
        <v>49</v>
      </c>
      <c r="F227" s="73">
        <v>40835</v>
      </c>
      <c r="G227" s="73">
        <v>40843</v>
      </c>
      <c r="H227" s="94" t="s">
        <v>132</v>
      </c>
      <c r="I227" s="34" t="s">
        <v>597</v>
      </c>
      <c r="J227" s="34" t="s">
        <v>964</v>
      </c>
      <c r="K227" s="34">
        <f>IF((Observaciones[[#This Row],[Fecha Levantamiento]]-Observaciones[[#This Row],[Fecha Detección]])&gt;=0,Observaciones[[#This Row],[Fecha Levantamiento]]-Observaciones[[#This Row],[Fecha Detección]]+1,0)</f>
        <v>9</v>
      </c>
      <c r="L227" s="34" t="str">
        <f>LOOKUP(Observaciones[[#This Row],[Caso de Prueba]],CasoPrueba[Código CP],CasoPrueba[Código de REQ])</f>
        <v>INSPECCIÓN</v>
      </c>
    </row>
    <row r="228" spans="1:12" ht="45" hidden="1">
      <c r="A228" s="165" t="s">
        <v>669</v>
      </c>
      <c r="B228" s="34" t="s">
        <v>618</v>
      </c>
      <c r="C228" s="34" t="str">
        <f>VLOOKUP(Observaciones[Caso de Prueba],CasoPrueba[[#All],[Código CP]:[Prioridad]],7,TRUE)</f>
        <v>Alta</v>
      </c>
      <c r="D228" s="34" t="s">
        <v>28</v>
      </c>
      <c r="E228" s="34" t="s">
        <v>49</v>
      </c>
      <c r="F228" s="73">
        <v>40835</v>
      </c>
      <c r="G228" s="73">
        <v>40843</v>
      </c>
      <c r="H228" s="94" t="s">
        <v>132</v>
      </c>
      <c r="I228" s="34" t="s">
        <v>597</v>
      </c>
      <c r="J228" s="34" t="s">
        <v>965</v>
      </c>
      <c r="K228" s="34">
        <f>IF((Observaciones[[#This Row],[Fecha Levantamiento]]-Observaciones[[#This Row],[Fecha Detección]])&gt;=0,Observaciones[[#This Row],[Fecha Levantamiento]]-Observaciones[[#This Row],[Fecha Detección]]+1,0)</f>
        <v>9</v>
      </c>
      <c r="L228" s="34" t="str">
        <f>LOOKUP(Observaciones[[#This Row],[Caso de Prueba]],CasoPrueba[Código CP],CasoPrueba[Código de REQ])</f>
        <v>INSPECCIÓN</v>
      </c>
    </row>
    <row r="229" spans="1:12" ht="45" hidden="1">
      <c r="A229" s="165" t="s">
        <v>670</v>
      </c>
      <c r="B229" s="34" t="s">
        <v>619</v>
      </c>
      <c r="C229" s="34" t="str">
        <f>VLOOKUP(Observaciones[Caso de Prueba],CasoPrueba[[#All],[Código CP]:[Prioridad]],7,TRUE)</f>
        <v>Alta</v>
      </c>
      <c r="D229" s="34" t="s">
        <v>28</v>
      </c>
      <c r="E229" s="34" t="s">
        <v>49</v>
      </c>
      <c r="F229" s="73">
        <v>40835</v>
      </c>
      <c r="G229" s="73">
        <v>40843</v>
      </c>
      <c r="H229" s="94" t="s">
        <v>132</v>
      </c>
      <c r="I229" s="34" t="s">
        <v>597</v>
      </c>
      <c r="J229" s="34" t="s">
        <v>963</v>
      </c>
      <c r="K229" s="34">
        <f>IF((Observaciones[[#This Row],[Fecha Levantamiento]]-Observaciones[[#This Row],[Fecha Detección]])&gt;=0,Observaciones[[#This Row],[Fecha Levantamiento]]-Observaciones[[#This Row],[Fecha Detección]]+1,0)</f>
        <v>9</v>
      </c>
      <c r="L229" s="34" t="str">
        <f>LOOKUP(Observaciones[[#This Row],[Caso de Prueba]],CasoPrueba[Código CP],CasoPrueba[Código de REQ])</f>
        <v>INSPECCIÓN</v>
      </c>
    </row>
    <row r="230" spans="1:12" ht="30" hidden="1">
      <c r="A230" s="165" t="s">
        <v>671</v>
      </c>
      <c r="B230" s="34" t="s">
        <v>619</v>
      </c>
      <c r="C230" s="34" t="str">
        <f>VLOOKUP(Observaciones[Caso de Prueba],CasoPrueba[[#All],[Código CP]:[Prioridad]],7,TRUE)</f>
        <v>Alta</v>
      </c>
      <c r="D230" s="34" t="s">
        <v>29</v>
      </c>
      <c r="E230" s="34" t="s">
        <v>49</v>
      </c>
      <c r="F230" s="73">
        <v>40835</v>
      </c>
      <c r="G230" s="73">
        <v>40843</v>
      </c>
      <c r="H230" s="94" t="s">
        <v>132</v>
      </c>
      <c r="I230" s="34" t="s">
        <v>873</v>
      </c>
      <c r="J230" s="34" t="s">
        <v>958</v>
      </c>
      <c r="K230" s="34">
        <f>IF((Observaciones[[#This Row],[Fecha Levantamiento]]-Observaciones[[#This Row],[Fecha Detección]])&gt;=0,Observaciones[[#This Row],[Fecha Levantamiento]]-Observaciones[[#This Row],[Fecha Detección]]+1,0)</f>
        <v>9</v>
      </c>
      <c r="L230" s="34" t="str">
        <f>LOOKUP(Observaciones[[#This Row],[Caso de Prueba]],CasoPrueba[Código CP],CasoPrueba[Código de REQ])</f>
        <v>INSPECCIÓN</v>
      </c>
    </row>
    <row r="231" spans="1:12" ht="60" hidden="1">
      <c r="A231" s="165" t="s">
        <v>672</v>
      </c>
      <c r="B231" s="34" t="s">
        <v>619</v>
      </c>
      <c r="C231" s="34" t="str">
        <f>VLOOKUP(Observaciones[Caso de Prueba],CasoPrueba[[#All],[Código CP]:[Prioridad]],7,TRUE)</f>
        <v>Alta</v>
      </c>
      <c r="D231" s="34" t="s">
        <v>29</v>
      </c>
      <c r="E231" s="34" t="s">
        <v>49</v>
      </c>
      <c r="F231" s="73">
        <v>40835</v>
      </c>
      <c r="G231" s="73">
        <v>40843</v>
      </c>
      <c r="H231" s="94" t="s">
        <v>132</v>
      </c>
      <c r="I231" s="34" t="s">
        <v>874</v>
      </c>
      <c r="J231" s="34" t="s">
        <v>959</v>
      </c>
      <c r="K231" s="34">
        <f>IF((Observaciones[[#This Row],[Fecha Levantamiento]]-Observaciones[[#This Row],[Fecha Detección]])&gt;=0,Observaciones[[#This Row],[Fecha Levantamiento]]-Observaciones[[#This Row],[Fecha Detección]]+1,0)</f>
        <v>9</v>
      </c>
      <c r="L231" s="34" t="str">
        <f>LOOKUP(Observaciones[[#This Row],[Caso de Prueba]],CasoPrueba[Código CP],CasoPrueba[Código de REQ])</f>
        <v>INSPECCIÓN</v>
      </c>
    </row>
    <row r="232" spans="1:12" ht="30" hidden="1">
      <c r="A232" s="165" t="s">
        <v>673</v>
      </c>
      <c r="B232" s="34" t="s">
        <v>619</v>
      </c>
      <c r="C232" s="34" t="str">
        <f>VLOOKUP(Observaciones[Caso de Prueba],CasoPrueba[[#All],[Código CP]:[Prioridad]],7,TRUE)</f>
        <v>Alta</v>
      </c>
      <c r="D232" s="34" t="s">
        <v>29</v>
      </c>
      <c r="E232" s="34" t="s">
        <v>49</v>
      </c>
      <c r="F232" s="73">
        <v>40835</v>
      </c>
      <c r="G232" s="73">
        <v>40843</v>
      </c>
      <c r="H232" s="94" t="s">
        <v>132</v>
      </c>
      <c r="I232" s="34" t="s">
        <v>875</v>
      </c>
      <c r="J232" s="34" t="s">
        <v>397</v>
      </c>
      <c r="K232" s="34">
        <f>IF((Observaciones[[#This Row],[Fecha Levantamiento]]-Observaciones[[#This Row],[Fecha Detección]])&gt;=0,Observaciones[[#This Row],[Fecha Levantamiento]]-Observaciones[[#This Row],[Fecha Detección]]+1,0)</f>
        <v>9</v>
      </c>
      <c r="L232" s="34" t="str">
        <f>LOOKUP(Observaciones[[#This Row],[Caso de Prueba]],CasoPrueba[Código CP],CasoPrueba[Código de REQ])</f>
        <v>INSPECCIÓN</v>
      </c>
    </row>
    <row r="233" spans="1:12" ht="30" hidden="1">
      <c r="A233" s="165" t="s">
        <v>674</v>
      </c>
      <c r="B233" s="34" t="s">
        <v>619</v>
      </c>
      <c r="C233" s="34" t="str">
        <f>VLOOKUP(Observaciones[Caso de Prueba],CasoPrueba[[#All],[Código CP]:[Prioridad]],7,TRUE)</f>
        <v>Alta</v>
      </c>
      <c r="D233" s="34" t="s">
        <v>29</v>
      </c>
      <c r="E233" s="34" t="s">
        <v>49</v>
      </c>
      <c r="F233" s="73">
        <v>40835</v>
      </c>
      <c r="G233" s="73">
        <v>40843</v>
      </c>
      <c r="H233" s="94" t="s">
        <v>132</v>
      </c>
      <c r="I233" s="34" t="s">
        <v>876</v>
      </c>
      <c r="J233" s="34" t="s">
        <v>960</v>
      </c>
      <c r="K233" s="34">
        <f>IF((Observaciones[[#This Row],[Fecha Levantamiento]]-Observaciones[[#This Row],[Fecha Detección]])&gt;=0,Observaciones[[#This Row],[Fecha Levantamiento]]-Observaciones[[#This Row],[Fecha Detección]]+1,0)</f>
        <v>9</v>
      </c>
      <c r="L233" s="34" t="str">
        <f>LOOKUP(Observaciones[[#This Row],[Caso de Prueba]],CasoPrueba[Código CP],CasoPrueba[Código de REQ])</f>
        <v>INSPECCIÓN</v>
      </c>
    </row>
    <row r="234" spans="1:12" ht="30.75" hidden="1" customHeight="1">
      <c r="A234" s="165" t="s">
        <v>675</v>
      </c>
      <c r="B234" s="34" t="s">
        <v>619</v>
      </c>
      <c r="C234" s="34" t="str">
        <f>VLOOKUP(Observaciones[Caso de Prueba],CasoPrueba[[#All],[Código CP]:[Prioridad]],7,TRUE)</f>
        <v>Alta</v>
      </c>
      <c r="D234" s="34" t="s">
        <v>29</v>
      </c>
      <c r="E234" s="34" t="s">
        <v>49</v>
      </c>
      <c r="F234" s="73">
        <v>40835</v>
      </c>
      <c r="G234" s="73">
        <v>40843</v>
      </c>
      <c r="H234" s="94" t="s">
        <v>132</v>
      </c>
      <c r="I234" s="34" t="s">
        <v>877</v>
      </c>
      <c r="J234" s="34" t="s">
        <v>961</v>
      </c>
      <c r="K234" s="34">
        <f>IF((Observaciones[[#This Row],[Fecha Levantamiento]]-Observaciones[[#This Row],[Fecha Detección]])&gt;=0,Observaciones[[#This Row],[Fecha Levantamiento]]-Observaciones[[#This Row],[Fecha Detección]]+1,0)</f>
        <v>9</v>
      </c>
      <c r="L234" s="34" t="str">
        <f>LOOKUP(Observaciones[[#This Row],[Caso de Prueba]],CasoPrueba[Código CP],CasoPrueba[Código de REQ])</f>
        <v>INSPECCIÓN</v>
      </c>
    </row>
    <row r="235" spans="1:12" ht="90" hidden="1">
      <c r="A235" s="165" t="s">
        <v>676</v>
      </c>
      <c r="B235" s="34" t="s">
        <v>619</v>
      </c>
      <c r="C235" s="34" t="str">
        <f>VLOOKUP(Observaciones[Caso de Prueba],CasoPrueba[[#All],[Código CP]:[Prioridad]],7,TRUE)</f>
        <v>Alta</v>
      </c>
      <c r="D235" s="34" t="s">
        <v>29</v>
      </c>
      <c r="E235" s="34" t="s">
        <v>49</v>
      </c>
      <c r="F235" s="73">
        <v>40835</v>
      </c>
      <c r="G235" s="73">
        <v>40843</v>
      </c>
      <c r="H235" s="94" t="s">
        <v>132</v>
      </c>
      <c r="I235" s="34" t="s">
        <v>878</v>
      </c>
      <c r="J235" s="34" t="s">
        <v>962</v>
      </c>
      <c r="K235" s="34">
        <f>IF((Observaciones[[#This Row],[Fecha Levantamiento]]-Observaciones[[#This Row],[Fecha Detección]])&gt;=0,Observaciones[[#This Row],[Fecha Levantamiento]]-Observaciones[[#This Row],[Fecha Detección]]+1,0)</f>
        <v>9</v>
      </c>
      <c r="L235" s="34" t="str">
        <f>LOOKUP(Observaciones[[#This Row],[Caso de Prueba]],CasoPrueba[Código CP],CasoPrueba[Código de REQ])</f>
        <v>INSPECCIÓN</v>
      </c>
    </row>
    <row r="236" spans="1:12" ht="45" hidden="1">
      <c r="A236" s="165" t="s">
        <v>677</v>
      </c>
      <c r="B236" s="34" t="s">
        <v>653</v>
      </c>
      <c r="C236" s="34" t="str">
        <f>VLOOKUP(Observaciones[Caso de Prueba],CasoPrueba[[#All],[Código CP]:[Prioridad]],7,TRUE)</f>
        <v>Alta</v>
      </c>
      <c r="D236" s="34" t="s">
        <v>28</v>
      </c>
      <c r="E236" s="34" t="s">
        <v>49</v>
      </c>
      <c r="F236" s="73">
        <v>40835</v>
      </c>
      <c r="G236" s="73">
        <v>40843</v>
      </c>
      <c r="H236" s="94" t="s">
        <v>132</v>
      </c>
      <c r="I236" s="34" t="s">
        <v>871</v>
      </c>
      <c r="J236" s="34" t="s">
        <v>986</v>
      </c>
      <c r="K236" s="34">
        <f>IF((Observaciones[[#This Row],[Fecha Levantamiento]]-Observaciones[[#This Row],[Fecha Detección]])&gt;=0,Observaciones[[#This Row],[Fecha Levantamiento]]-Observaciones[[#This Row],[Fecha Detección]]+1,0)</f>
        <v>9</v>
      </c>
      <c r="L236" s="34" t="str">
        <f>LOOKUP(Observaciones[[#This Row],[Caso de Prueba]],CasoPrueba[Código CP],CasoPrueba[Código de REQ])</f>
        <v>INSPECCIÓN</v>
      </c>
    </row>
    <row r="237" spans="1:12" ht="45" hidden="1">
      <c r="A237" s="165" t="s">
        <v>678</v>
      </c>
      <c r="B237" s="34" t="s">
        <v>654</v>
      </c>
      <c r="C237" s="34" t="str">
        <f>VLOOKUP(Observaciones[Caso de Prueba],CasoPrueba[[#All],[Código CP]:[Prioridad]],7,TRUE)</f>
        <v>Alta</v>
      </c>
      <c r="D237" s="34" t="s">
        <v>28</v>
      </c>
      <c r="E237" s="34" t="s">
        <v>49</v>
      </c>
      <c r="F237" s="73">
        <v>40835</v>
      </c>
      <c r="G237" s="73">
        <v>40843</v>
      </c>
      <c r="H237" s="94" t="s">
        <v>132</v>
      </c>
      <c r="I237" s="34" t="s">
        <v>597</v>
      </c>
      <c r="J237" s="34" t="s">
        <v>986</v>
      </c>
      <c r="K237" s="34">
        <f>IF((Observaciones[[#This Row],[Fecha Levantamiento]]-Observaciones[[#This Row],[Fecha Detección]])&gt;=0,Observaciones[[#This Row],[Fecha Levantamiento]]-Observaciones[[#This Row],[Fecha Detección]]+1,0)</f>
        <v>9</v>
      </c>
      <c r="L237" s="34" t="str">
        <f>LOOKUP(Observaciones[[#This Row],[Caso de Prueba]],CasoPrueba[Código CP],CasoPrueba[Código de REQ])</f>
        <v>INSPECCIÓN</v>
      </c>
    </row>
    <row r="238" spans="1:12" ht="45" hidden="1">
      <c r="A238" s="165" t="s">
        <v>679</v>
      </c>
      <c r="B238" s="34" t="s">
        <v>654</v>
      </c>
      <c r="C238" s="34" t="str">
        <f>VLOOKUP(Observaciones[Caso de Prueba],CasoPrueba[[#All],[Código CP]:[Prioridad]],7,TRUE)</f>
        <v>Alta</v>
      </c>
      <c r="D238" s="34" t="s">
        <v>28</v>
      </c>
      <c r="E238" s="34" t="s">
        <v>49</v>
      </c>
      <c r="F238" s="73">
        <v>40835</v>
      </c>
      <c r="G238" s="73">
        <v>40843</v>
      </c>
      <c r="H238" s="94" t="s">
        <v>132</v>
      </c>
      <c r="I238" s="34" t="s">
        <v>871</v>
      </c>
      <c r="J238" s="34" t="s">
        <v>986</v>
      </c>
      <c r="K238" s="34">
        <f>IF((Observaciones[[#This Row],[Fecha Levantamiento]]-Observaciones[[#This Row],[Fecha Detección]])&gt;=0,Observaciones[[#This Row],[Fecha Levantamiento]]-Observaciones[[#This Row],[Fecha Detección]]+1,0)</f>
        <v>9</v>
      </c>
      <c r="L238" s="34" t="str">
        <f>LOOKUP(Observaciones[[#This Row],[Caso de Prueba]],CasoPrueba[Código CP],CasoPrueba[Código de REQ])</f>
        <v>INSPECCIÓN</v>
      </c>
    </row>
    <row r="239" spans="1:12" ht="60" hidden="1">
      <c r="A239" s="165" t="s">
        <v>680</v>
      </c>
      <c r="B239" s="34" t="s">
        <v>887</v>
      </c>
      <c r="C239" s="34" t="str">
        <f>VLOOKUP(Observaciones[Caso de Prueba],CasoPrueba[[#All],[Código CP]:[Prioridad]],7,TRUE)</f>
        <v>Alta</v>
      </c>
      <c r="D239" s="34" t="s">
        <v>162</v>
      </c>
      <c r="E239" s="34" t="s">
        <v>49</v>
      </c>
      <c r="F239" s="73">
        <v>40838</v>
      </c>
      <c r="G239" s="73">
        <v>40843</v>
      </c>
      <c r="H239" s="94" t="s">
        <v>132</v>
      </c>
      <c r="I239" s="34" t="s">
        <v>907</v>
      </c>
      <c r="J239" s="34" t="s">
        <v>966</v>
      </c>
      <c r="K239" s="34">
        <f>IF((Observaciones[[#This Row],[Fecha Levantamiento]]-Observaciones[[#This Row],[Fecha Detección]])&gt;=0,Observaciones[[#This Row],[Fecha Levantamiento]]-Observaciones[[#This Row],[Fecha Detección]]+1,0)</f>
        <v>6</v>
      </c>
      <c r="L239" s="34" t="str">
        <f>LOOKUP(Observaciones[[#This Row],[Caso de Prueba]],CasoPrueba[Código CP],CasoPrueba[Código de REQ])</f>
        <v>INSPECCIÓN</v>
      </c>
    </row>
    <row r="240" spans="1:12" ht="46.5" hidden="1" customHeight="1">
      <c r="A240" s="165" t="s">
        <v>681</v>
      </c>
      <c r="B240" s="34" t="s">
        <v>887</v>
      </c>
      <c r="C240" s="34" t="str">
        <f>VLOOKUP(Observaciones[Caso de Prueba],CasoPrueba[[#All],[Código CP]:[Prioridad]],7,TRUE)</f>
        <v>Alta</v>
      </c>
      <c r="D240" s="34" t="s">
        <v>162</v>
      </c>
      <c r="E240" s="34" t="s">
        <v>49</v>
      </c>
      <c r="F240" s="73">
        <v>40838</v>
      </c>
      <c r="G240" s="73">
        <v>40843</v>
      </c>
      <c r="H240" s="94" t="s">
        <v>132</v>
      </c>
      <c r="I240" s="34" t="s">
        <v>908</v>
      </c>
      <c r="J240" s="34" t="s">
        <v>967</v>
      </c>
      <c r="K240" s="34">
        <f>IF((Observaciones[[#This Row],[Fecha Levantamiento]]-Observaciones[[#This Row],[Fecha Detección]])&gt;=0,Observaciones[[#This Row],[Fecha Levantamiento]]-Observaciones[[#This Row],[Fecha Detección]]+1,0)</f>
        <v>6</v>
      </c>
      <c r="L240" s="34" t="str">
        <f>LOOKUP(Observaciones[[#This Row],[Caso de Prueba]],CasoPrueba[Código CP],CasoPrueba[Código de REQ])</f>
        <v>INSPECCIÓN</v>
      </c>
    </row>
    <row r="241" spans="1:12" ht="45" hidden="1">
      <c r="A241" s="165" t="s">
        <v>682</v>
      </c>
      <c r="B241" s="34" t="s">
        <v>887</v>
      </c>
      <c r="C241" s="34" t="str">
        <f>VLOOKUP(Observaciones[Caso de Prueba],CasoPrueba[[#All],[Código CP]:[Prioridad]],7,TRUE)</f>
        <v>Alta</v>
      </c>
      <c r="D241" s="34" t="s">
        <v>162</v>
      </c>
      <c r="E241" s="34" t="s">
        <v>49</v>
      </c>
      <c r="F241" s="73">
        <v>40838</v>
      </c>
      <c r="G241" s="73">
        <v>40843</v>
      </c>
      <c r="H241" s="94" t="s">
        <v>132</v>
      </c>
      <c r="I241" s="34" t="s">
        <v>909</v>
      </c>
      <c r="J241" s="34" t="s">
        <v>968</v>
      </c>
      <c r="K241" s="34">
        <f>IF((Observaciones[[#This Row],[Fecha Levantamiento]]-Observaciones[[#This Row],[Fecha Detección]])&gt;=0,Observaciones[[#This Row],[Fecha Levantamiento]]-Observaciones[[#This Row],[Fecha Detección]]+1,0)</f>
        <v>6</v>
      </c>
      <c r="L241" s="34" t="str">
        <f>LOOKUP(Observaciones[[#This Row],[Caso de Prueba]],CasoPrueba[Código CP],CasoPrueba[Código de REQ])</f>
        <v>INSPECCIÓN</v>
      </c>
    </row>
    <row r="242" spans="1:12" ht="105" hidden="1">
      <c r="A242" s="165" t="s">
        <v>683</v>
      </c>
      <c r="B242" s="34" t="s">
        <v>887</v>
      </c>
      <c r="C242" s="34" t="str">
        <f>VLOOKUP(Observaciones[Caso de Prueba],CasoPrueba[[#All],[Código CP]:[Prioridad]],7,TRUE)</f>
        <v>Alta</v>
      </c>
      <c r="D242" s="34" t="s">
        <v>162</v>
      </c>
      <c r="E242" s="34" t="s">
        <v>49</v>
      </c>
      <c r="F242" s="73">
        <v>40838</v>
      </c>
      <c r="G242" s="73">
        <v>40843</v>
      </c>
      <c r="H242" s="94" t="s">
        <v>132</v>
      </c>
      <c r="I242" s="34" t="s">
        <v>917</v>
      </c>
      <c r="J242" s="34" t="s">
        <v>969</v>
      </c>
      <c r="K242" s="34">
        <f>IF((Observaciones[[#This Row],[Fecha Levantamiento]]-Observaciones[[#This Row],[Fecha Detección]])&gt;=0,Observaciones[[#This Row],[Fecha Levantamiento]]-Observaciones[[#This Row],[Fecha Detección]]+1,0)</f>
        <v>6</v>
      </c>
      <c r="L242" s="34" t="str">
        <f>LOOKUP(Observaciones[[#This Row],[Caso de Prueba]],CasoPrueba[Código CP],CasoPrueba[Código de REQ])</f>
        <v>INSPECCIÓN</v>
      </c>
    </row>
    <row r="243" spans="1:12" ht="45" hidden="1">
      <c r="A243" s="165" t="s">
        <v>684</v>
      </c>
      <c r="B243" s="34" t="s">
        <v>887</v>
      </c>
      <c r="C243" s="34" t="str">
        <f>VLOOKUP(Observaciones[Caso de Prueba],CasoPrueba[[#All],[Código CP]:[Prioridad]],7,TRUE)</f>
        <v>Alta</v>
      </c>
      <c r="D243" s="34" t="s">
        <v>28</v>
      </c>
      <c r="E243" s="34" t="s">
        <v>49</v>
      </c>
      <c r="F243" s="73">
        <v>40838</v>
      </c>
      <c r="G243" s="73">
        <v>40843</v>
      </c>
      <c r="H243" s="94" t="s">
        <v>132</v>
      </c>
      <c r="I243" s="34" t="s">
        <v>597</v>
      </c>
      <c r="J243" s="34" t="s">
        <v>970</v>
      </c>
      <c r="K243" s="34">
        <f>IF((Observaciones[[#This Row],[Fecha Levantamiento]]-Observaciones[[#This Row],[Fecha Detección]])&gt;=0,Observaciones[[#This Row],[Fecha Levantamiento]]-Observaciones[[#This Row],[Fecha Detección]]+1,0)</f>
        <v>6</v>
      </c>
      <c r="L243" s="34" t="str">
        <f>LOOKUP(Observaciones[[#This Row],[Caso de Prueba]],CasoPrueba[Código CP],CasoPrueba[Código de REQ])</f>
        <v>INSPECCIÓN</v>
      </c>
    </row>
    <row r="244" spans="1:12" ht="90" hidden="1">
      <c r="A244" s="165" t="s">
        <v>685</v>
      </c>
      <c r="B244" s="34" t="s">
        <v>887</v>
      </c>
      <c r="C244" s="34" t="str">
        <f>VLOOKUP(Observaciones[Caso de Prueba],CasoPrueba[[#All],[Código CP]:[Prioridad]],7,TRUE)</f>
        <v>Alta</v>
      </c>
      <c r="D244" s="34" t="s">
        <v>29</v>
      </c>
      <c r="E244" s="34" t="s">
        <v>49</v>
      </c>
      <c r="F244" s="73">
        <v>40838</v>
      </c>
      <c r="G244" s="73">
        <v>40843</v>
      </c>
      <c r="H244" s="94" t="s">
        <v>132</v>
      </c>
      <c r="I244" s="34" t="s">
        <v>599</v>
      </c>
      <c r="J244" s="34" t="s">
        <v>817</v>
      </c>
      <c r="K244" s="34">
        <f>IF((Observaciones[[#This Row],[Fecha Levantamiento]]-Observaciones[[#This Row],[Fecha Detección]])&gt;=0,Observaciones[[#This Row],[Fecha Levantamiento]]-Observaciones[[#This Row],[Fecha Detección]]+1,0)</f>
        <v>6</v>
      </c>
      <c r="L244" s="34" t="str">
        <f>LOOKUP(Observaciones[[#This Row],[Caso de Prueba]],CasoPrueba[Código CP],CasoPrueba[Código de REQ])</f>
        <v>INSPECCIÓN</v>
      </c>
    </row>
    <row r="245" spans="1:12" ht="60" hidden="1">
      <c r="A245" s="165" t="s">
        <v>686</v>
      </c>
      <c r="B245" s="34" t="s">
        <v>887</v>
      </c>
      <c r="C245" s="34" t="str">
        <f>VLOOKUP(Observaciones[Caso de Prueba],CasoPrueba[[#All],[Código CP]:[Prioridad]],7,TRUE)</f>
        <v>Alta</v>
      </c>
      <c r="D245" s="34" t="s">
        <v>162</v>
      </c>
      <c r="E245" s="34" t="s">
        <v>49</v>
      </c>
      <c r="F245" s="73">
        <v>40838</v>
      </c>
      <c r="G245" s="73">
        <v>40843</v>
      </c>
      <c r="H245" s="94" t="s">
        <v>132</v>
      </c>
      <c r="I245" s="34" t="s">
        <v>910</v>
      </c>
      <c r="J245" s="34" t="s">
        <v>971</v>
      </c>
      <c r="K245" s="34">
        <f>IF((Observaciones[[#This Row],[Fecha Levantamiento]]-Observaciones[[#This Row],[Fecha Detección]])&gt;=0,Observaciones[[#This Row],[Fecha Levantamiento]]-Observaciones[[#This Row],[Fecha Detección]]+1,0)</f>
        <v>6</v>
      </c>
      <c r="L245" s="34" t="str">
        <f>LOOKUP(Observaciones[[#This Row],[Caso de Prueba]],CasoPrueba[Código CP],CasoPrueba[Código de REQ])</f>
        <v>INSPECCIÓN</v>
      </c>
    </row>
    <row r="246" spans="1:12" ht="75" hidden="1">
      <c r="A246" s="165" t="s">
        <v>687</v>
      </c>
      <c r="B246" s="34" t="s">
        <v>887</v>
      </c>
      <c r="C246" s="34" t="str">
        <f>VLOOKUP(Observaciones[Caso de Prueba],CasoPrueba[[#All],[Código CP]:[Prioridad]],7,TRUE)</f>
        <v>Alta</v>
      </c>
      <c r="D246" s="34" t="s">
        <v>29</v>
      </c>
      <c r="E246" s="34" t="s">
        <v>49</v>
      </c>
      <c r="F246" s="73">
        <v>40838</v>
      </c>
      <c r="G246" s="73">
        <v>40843</v>
      </c>
      <c r="H246" s="94" t="s">
        <v>132</v>
      </c>
      <c r="I246" s="34" t="s">
        <v>911</v>
      </c>
      <c r="J246" s="34" t="s">
        <v>972</v>
      </c>
      <c r="K246" s="34">
        <f>IF((Observaciones[[#This Row],[Fecha Levantamiento]]-Observaciones[[#This Row],[Fecha Detección]])&gt;=0,Observaciones[[#This Row],[Fecha Levantamiento]]-Observaciones[[#This Row],[Fecha Detección]]+1,0)</f>
        <v>6</v>
      </c>
      <c r="L246" s="34" t="str">
        <f>LOOKUP(Observaciones[[#This Row],[Caso de Prueba]],CasoPrueba[Código CP],CasoPrueba[Código de REQ])</f>
        <v>INSPECCIÓN</v>
      </c>
    </row>
    <row r="247" spans="1:12" ht="45" hidden="1">
      <c r="A247" s="165" t="s">
        <v>688</v>
      </c>
      <c r="B247" s="34" t="s">
        <v>887</v>
      </c>
      <c r="C247" s="34" t="str">
        <f>VLOOKUP(Observaciones[Caso de Prueba],CasoPrueba[[#All],[Código CP]:[Prioridad]],7,TRUE)</f>
        <v>Alta</v>
      </c>
      <c r="D247" s="34" t="s">
        <v>162</v>
      </c>
      <c r="E247" s="34" t="s">
        <v>49</v>
      </c>
      <c r="F247" s="73">
        <v>40838</v>
      </c>
      <c r="G247" s="73">
        <v>40843</v>
      </c>
      <c r="H247" s="94" t="s">
        <v>132</v>
      </c>
      <c r="I247" s="34" t="s">
        <v>912</v>
      </c>
      <c r="J247" s="34" t="s">
        <v>968</v>
      </c>
      <c r="K247" s="34">
        <f>IF((Observaciones[[#This Row],[Fecha Levantamiento]]-Observaciones[[#This Row],[Fecha Detección]])&gt;=0,Observaciones[[#This Row],[Fecha Levantamiento]]-Observaciones[[#This Row],[Fecha Detección]]+1,0)</f>
        <v>6</v>
      </c>
      <c r="L247" s="34" t="str">
        <f>LOOKUP(Observaciones[[#This Row],[Caso de Prueba]],CasoPrueba[Código CP],CasoPrueba[Código de REQ])</f>
        <v>INSPECCIÓN</v>
      </c>
    </row>
    <row r="248" spans="1:12" ht="30" hidden="1">
      <c r="A248" s="165" t="s">
        <v>689</v>
      </c>
      <c r="B248" s="34" t="s">
        <v>887</v>
      </c>
      <c r="C248" s="34" t="str">
        <f>VLOOKUP(Observaciones[Caso de Prueba],CasoPrueba[[#All],[Código CP]:[Prioridad]],7,TRUE)</f>
        <v>Alta</v>
      </c>
      <c r="D248" s="34" t="s">
        <v>29</v>
      </c>
      <c r="E248" s="34" t="s">
        <v>49</v>
      </c>
      <c r="F248" s="73">
        <v>40838</v>
      </c>
      <c r="G248" s="73">
        <v>40843</v>
      </c>
      <c r="H248" s="94" t="s">
        <v>132</v>
      </c>
      <c r="I248" s="34" t="s">
        <v>913</v>
      </c>
      <c r="J248" s="34" t="s">
        <v>835</v>
      </c>
      <c r="K248" s="34">
        <f>IF((Observaciones[[#This Row],[Fecha Levantamiento]]-Observaciones[[#This Row],[Fecha Detección]])&gt;=0,Observaciones[[#This Row],[Fecha Levantamiento]]-Observaciones[[#This Row],[Fecha Detección]]+1,0)</f>
        <v>6</v>
      </c>
      <c r="L248" s="34" t="str">
        <f>LOOKUP(Observaciones[[#This Row],[Caso de Prueba]],CasoPrueba[Código CP],CasoPrueba[Código de REQ])</f>
        <v>INSPECCIÓN</v>
      </c>
    </row>
    <row r="249" spans="1:12" ht="75.75" hidden="1" customHeight="1">
      <c r="A249" s="165" t="s">
        <v>690</v>
      </c>
      <c r="B249" s="34" t="s">
        <v>887</v>
      </c>
      <c r="C249" s="34" t="str">
        <f>VLOOKUP(Observaciones[Caso de Prueba],CasoPrueba[[#All],[Código CP]:[Prioridad]],7,TRUE)</f>
        <v>Alta</v>
      </c>
      <c r="D249" s="34" t="s">
        <v>29</v>
      </c>
      <c r="E249" s="34" t="s">
        <v>49</v>
      </c>
      <c r="F249" s="73">
        <v>40838</v>
      </c>
      <c r="G249" s="73">
        <v>40843</v>
      </c>
      <c r="H249" s="94" t="s">
        <v>132</v>
      </c>
      <c r="I249" s="34" t="s">
        <v>1037</v>
      </c>
      <c r="J249" s="34" t="s">
        <v>973</v>
      </c>
      <c r="K249" s="34">
        <f>IF((Observaciones[[#This Row],[Fecha Levantamiento]]-Observaciones[[#This Row],[Fecha Detección]])&gt;=0,Observaciones[[#This Row],[Fecha Levantamiento]]-Observaciones[[#This Row],[Fecha Detección]]+1,0)</f>
        <v>6</v>
      </c>
      <c r="L249" s="34" t="str">
        <f>LOOKUP(Observaciones[[#This Row],[Caso de Prueba]],CasoPrueba[Código CP],CasoPrueba[Código de REQ])</f>
        <v>INSPECCIÓN</v>
      </c>
    </row>
    <row r="250" spans="1:12" ht="75" hidden="1">
      <c r="A250" s="165" t="s">
        <v>691</v>
      </c>
      <c r="B250" s="34" t="s">
        <v>887</v>
      </c>
      <c r="C250" s="34" t="str">
        <f>VLOOKUP(Observaciones[Caso de Prueba],CasoPrueba[[#All],[Código CP]:[Prioridad]],7,TRUE)</f>
        <v>Alta</v>
      </c>
      <c r="D250" s="34" t="s">
        <v>162</v>
      </c>
      <c r="E250" s="34" t="s">
        <v>49</v>
      </c>
      <c r="F250" s="73">
        <v>40838</v>
      </c>
      <c r="G250" s="73">
        <v>40843</v>
      </c>
      <c r="H250" s="94" t="s">
        <v>132</v>
      </c>
      <c r="I250" s="34" t="s">
        <v>914</v>
      </c>
      <c r="J250" s="34" t="s">
        <v>968</v>
      </c>
      <c r="K250" s="34">
        <f>IF((Observaciones[[#This Row],[Fecha Levantamiento]]-Observaciones[[#This Row],[Fecha Detección]])&gt;=0,Observaciones[[#This Row],[Fecha Levantamiento]]-Observaciones[[#This Row],[Fecha Detección]]+1,0)</f>
        <v>6</v>
      </c>
      <c r="L250" s="34" t="str">
        <f>LOOKUP(Observaciones[[#This Row],[Caso de Prueba]],CasoPrueba[Código CP],CasoPrueba[Código de REQ])</f>
        <v>INSPECCIÓN</v>
      </c>
    </row>
    <row r="251" spans="1:12" ht="30" hidden="1">
      <c r="A251" s="165" t="s">
        <v>692</v>
      </c>
      <c r="B251" s="34" t="s">
        <v>887</v>
      </c>
      <c r="C251" s="34" t="str">
        <f>VLOOKUP(Observaciones[Caso de Prueba],CasoPrueba[[#All],[Código CP]:[Prioridad]],7,TRUE)</f>
        <v>Alta</v>
      </c>
      <c r="D251" s="34" t="s">
        <v>162</v>
      </c>
      <c r="E251" s="34" t="s">
        <v>49</v>
      </c>
      <c r="F251" s="73">
        <v>40838</v>
      </c>
      <c r="G251" s="73">
        <v>40843</v>
      </c>
      <c r="H251" s="94" t="s">
        <v>132</v>
      </c>
      <c r="I251" s="34" t="s">
        <v>915</v>
      </c>
      <c r="J251" s="34" t="s">
        <v>968</v>
      </c>
      <c r="K251" s="34">
        <f>IF((Observaciones[[#This Row],[Fecha Levantamiento]]-Observaciones[[#This Row],[Fecha Detección]])&gt;=0,Observaciones[[#This Row],[Fecha Levantamiento]]-Observaciones[[#This Row],[Fecha Detección]]+1,0)</f>
        <v>6</v>
      </c>
      <c r="L251" s="34" t="str">
        <f>LOOKUP(Observaciones[[#This Row],[Caso de Prueba]],CasoPrueba[Código CP],CasoPrueba[Código de REQ])</f>
        <v>INSPECCIÓN</v>
      </c>
    </row>
    <row r="252" spans="1:12" ht="45" hidden="1">
      <c r="A252" s="165" t="s">
        <v>693</v>
      </c>
      <c r="B252" s="34" t="s">
        <v>887</v>
      </c>
      <c r="C252" s="34" t="str">
        <f>VLOOKUP(Observaciones[Caso de Prueba],CasoPrueba[[#All],[Código CP]:[Prioridad]],7,TRUE)</f>
        <v>Alta</v>
      </c>
      <c r="D252" s="34" t="s">
        <v>29</v>
      </c>
      <c r="E252" s="34" t="s">
        <v>49</v>
      </c>
      <c r="F252" s="73">
        <v>40838</v>
      </c>
      <c r="G252" s="73">
        <v>40843</v>
      </c>
      <c r="H252" s="94" t="s">
        <v>132</v>
      </c>
      <c r="I252" s="34" t="s">
        <v>916</v>
      </c>
      <c r="J252" s="34" t="s">
        <v>974</v>
      </c>
      <c r="K252" s="34">
        <f>IF((Observaciones[[#This Row],[Fecha Levantamiento]]-Observaciones[[#This Row],[Fecha Detección]])&gt;=0,Observaciones[[#This Row],[Fecha Levantamiento]]-Observaciones[[#This Row],[Fecha Detección]]+1,0)</f>
        <v>6</v>
      </c>
      <c r="L252" s="34" t="str">
        <f>LOOKUP(Observaciones[[#This Row],[Caso de Prueba]],CasoPrueba[Código CP],CasoPrueba[Código de REQ])</f>
        <v>INSPECCIÓN</v>
      </c>
    </row>
    <row r="253" spans="1:12" ht="45" hidden="1">
      <c r="A253" s="165" t="s">
        <v>694</v>
      </c>
      <c r="B253" s="34" t="s">
        <v>888</v>
      </c>
      <c r="C253" s="34" t="str">
        <f>VLOOKUP(Observaciones[Caso de Prueba],CasoPrueba[[#All],[Código CP]:[Prioridad]],7,TRUE)</f>
        <v>Alta</v>
      </c>
      <c r="D253" s="34" t="s">
        <v>28</v>
      </c>
      <c r="E253" s="34" t="s">
        <v>49</v>
      </c>
      <c r="F253" s="73">
        <v>40838</v>
      </c>
      <c r="G253" s="73">
        <v>40843</v>
      </c>
      <c r="H253" s="94" t="s">
        <v>132</v>
      </c>
      <c r="I253" s="34" t="s">
        <v>597</v>
      </c>
      <c r="J253" s="34" t="s">
        <v>975</v>
      </c>
      <c r="K253" s="34">
        <f>IF((Observaciones[[#This Row],[Fecha Levantamiento]]-Observaciones[[#This Row],[Fecha Detección]])&gt;=0,Observaciones[[#This Row],[Fecha Levantamiento]]-Observaciones[[#This Row],[Fecha Detección]]+1,0)</f>
        <v>6</v>
      </c>
      <c r="L253" s="34" t="str">
        <f>LOOKUP(Observaciones[[#This Row],[Caso de Prueba]],CasoPrueba[Código CP],CasoPrueba[Código de REQ])</f>
        <v>INSPECCIÓN</v>
      </c>
    </row>
    <row r="254" spans="1:12" ht="60" hidden="1">
      <c r="A254" s="165" t="s">
        <v>695</v>
      </c>
      <c r="B254" s="34" t="s">
        <v>888</v>
      </c>
      <c r="C254" s="34" t="str">
        <f>VLOOKUP(Observaciones[Caso de Prueba],CasoPrueba[[#All],[Código CP]:[Prioridad]],7,TRUE)</f>
        <v>Alta</v>
      </c>
      <c r="D254" s="34" t="s">
        <v>162</v>
      </c>
      <c r="E254" s="34" t="s">
        <v>49</v>
      </c>
      <c r="F254" s="73">
        <v>40838</v>
      </c>
      <c r="G254" s="73">
        <v>40843</v>
      </c>
      <c r="H254" s="94" t="s">
        <v>132</v>
      </c>
      <c r="I254" s="34" t="s">
        <v>918</v>
      </c>
      <c r="J254" s="34" t="s">
        <v>234</v>
      </c>
      <c r="K254" s="34">
        <f>IF((Observaciones[[#This Row],[Fecha Levantamiento]]-Observaciones[[#This Row],[Fecha Detección]])&gt;=0,Observaciones[[#This Row],[Fecha Levantamiento]]-Observaciones[[#This Row],[Fecha Detección]]+1,0)</f>
        <v>6</v>
      </c>
      <c r="L254" s="34" t="str">
        <f>LOOKUP(Observaciones[[#This Row],[Caso de Prueba]],CasoPrueba[Código CP],CasoPrueba[Código de REQ])</f>
        <v>INSPECCIÓN</v>
      </c>
    </row>
    <row r="255" spans="1:12" ht="30" hidden="1">
      <c r="A255" s="165" t="s">
        <v>696</v>
      </c>
      <c r="B255" s="34" t="s">
        <v>888</v>
      </c>
      <c r="C255" s="34" t="str">
        <f>VLOOKUP(Observaciones[Caso de Prueba],CasoPrueba[[#All],[Código CP]:[Prioridad]],7,TRUE)</f>
        <v>Alta</v>
      </c>
      <c r="D255" s="34" t="s">
        <v>162</v>
      </c>
      <c r="E255" s="34" t="s">
        <v>49</v>
      </c>
      <c r="F255" s="73">
        <v>40838</v>
      </c>
      <c r="G255" s="73">
        <v>40843</v>
      </c>
      <c r="H255" s="94" t="s">
        <v>132</v>
      </c>
      <c r="I255" s="34" t="s">
        <v>919</v>
      </c>
      <c r="J255" s="34" t="s">
        <v>976</v>
      </c>
      <c r="K255" s="34">
        <f>IF((Observaciones[[#This Row],[Fecha Levantamiento]]-Observaciones[[#This Row],[Fecha Detección]])&gt;=0,Observaciones[[#This Row],[Fecha Levantamiento]]-Observaciones[[#This Row],[Fecha Detección]]+1,0)</f>
        <v>6</v>
      </c>
      <c r="L255" s="34" t="str">
        <f>LOOKUP(Observaciones[[#This Row],[Caso de Prueba]],CasoPrueba[Código CP],CasoPrueba[Código de REQ])</f>
        <v>INSPECCIÓN</v>
      </c>
    </row>
    <row r="256" spans="1:12" ht="90" hidden="1">
      <c r="A256" s="165" t="s">
        <v>697</v>
      </c>
      <c r="B256" s="34" t="s">
        <v>888</v>
      </c>
      <c r="C256" s="34" t="str">
        <f>VLOOKUP(Observaciones[Caso de Prueba],CasoPrueba[[#All],[Código CP]:[Prioridad]],7,TRUE)</f>
        <v>Alta</v>
      </c>
      <c r="D256" s="34" t="s">
        <v>29</v>
      </c>
      <c r="E256" s="34" t="s">
        <v>49</v>
      </c>
      <c r="F256" s="73">
        <v>40838</v>
      </c>
      <c r="G256" s="73">
        <v>40843</v>
      </c>
      <c r="H256" s="94" t="s">
        <v>132</v>
      </c>
      <c r="I256" s="34" t="s">
        <v>599</v>
      </c>
      <c r="J256" s="34" t="s">
        <v>981</v>
      </c>
      <c r="K256" s="34">
        <f>IF((Observaciones[[#This Row],[Fecha Levantamiento]]-Observaciones[[#This Row],[Fecha Detección]])&gt;=0,Observaciones[[#This Row],[Fecha Levantamiento]]-Observaciones[[#This Row],[Fecha Detección]]+1,0)</f>
        <v>6</v>
      </c>
      <c r="L256" s="34" t="str">
        <f>LOOKUP(Observaciones[[#This Row],[Caso de Prueba]],CasoPrueba[Código CP],CasoPrueba[Código de REQ])</f>
        <v>INSPECCIÓN</v>
      </c>
    </row>
    <row r="257" spans="1:12" ht="45" hidden="1">
      <c r="A257" s="165" t="s">
        <v>698</v>
      </c>
      <c r="B257" s="34" t="s">
        <v>888</v>
      </c>
      <c r="C257" s="34" t="str">
        <f>VLOOKUP(Observaciones[Caso de Prueba],CasoPrueba[[#All],[Código CP]:[Prioridad]],7,TRUE)</f>
        <v>Alta</v>
      </c>
      <c r="D257" s="34" t="s">
        <v>28</v>
      </c>
      <c r="E257" s="34" t="s">
        <v>49</v>
      </c>
      <c r="F257" s="73">
        <v>40838</v>
      </c>
      <c r="G257" s="73">
        <v>40843</v>
      </c>
      <c r="H257" s="94" t="s">
        <v>132</v>
      </c>
      <c r="I257" s="34" t="s">
        <v>871</v>
      </c>
      <c r="J257" s="34" t="s">
        <v>977</v>
      </c>
      <c r="K257" s="34">
        <f>IF((Observaciones[[#This Row],[Fecha Levantamiento]]-Observaciones[[#This Row],[Fecha Detección]])&gt;=0,Observaciones[[#This Row],[Fecha Levantamiento]]-Observaciones[[#This Row],[Fecha Detección]]+1,0)</f>
        <v>6</v>
      </c>
      <c r="L257" s="34" t="str">
        <f>LOOKUP(Observaciones[[#This Row],[Caso de Prueba]],CasoPrueba[Código CP],CasoPrueba[Código de REQ])</f>
        <v>INSPECCIÓN</v>
      </c>
    </row>
    <row r="258" spans="1:12" ht="90.75" hidden="1" customHeight="1">
      <c r="A258" s="165" t="s">
        <v>699</v>
      </c>
      <c r="B258" s="34" t="s">
        <v>888</v>
      </c>
      <c r="C258" s="34" t="str">
        <f>VLOOKUP(Observaciones[Caso de Prueba],CasoPrueba[[#All],[Código CP]:[Prioridad]],7,TRUE)</f>
        <v>Alta</v>
      </c>
      <c r="D258" s="34" t="s">
        <v>28</v>
      </c>
      <c r="E258" s="34" t="s">
        <v>49</v>
      </c>
      <c r="F258" s="73">
        <v>40838</v>
      </c>
      <c r="G258" s="73">
        <v>40843</v>
      </c>
      <c r="H258" s="94" t="s">
        <v>132</v>
      </c>
      <c r="I258" s="34" t="s">
        <v>920</v>
      </c>
      <c r="J258" s="34" t="s">
        <v>982</v>
      </c>
      <c r="K258" s="34">
        <f>IF((Observaciones[[#This Row],[Fecha Levantamiento]]-Observaciones[[#This Row],[Fecha Detección]])&gt;=0,Observaciones[[#This Row],[Fecha Levantamiento]]-Observaciones[[#This Row],[Fecha Detección]]+1,0)</f>
        <v>6</v>
      </c>
      <c r="L258" s="34" t="str">
        <f>LOOKUP(Observaciones[[#This Row],[Caso de Prueba]],CasoPrueba[Código CP],CasoPrueba[Código de REQ])</f>
        <v>INSPECCIÓN</v>
      </c>
    </row>
    <row r="259" spans="1:12" ht="30" hidden="1">
      <c r="A259" s="165" t="s">
        <v>700</v>
      </c>
      <c r="B259" s="34" t="s">
        <v>888</v>
      </c>
      <c r="C259" s="34" t="str">
        <f>VLOOKUP(Observaciones[Caso de Prueba],CasoPrueba[[#All],[Código CP]:[Prioridad]],7,TRUE)</f>
        <v>Alta</v>
      </c>
      <c r="D259" s="34" t="s">
        <v>29</v>
      </c>
      <c r="E259" s="34" t="s">
        <v>49</v>
      </c>
      <c r="F259" s="73">
        <v>40838</v>
      </c>
      <c r="G259" s="73">
        <v>40843</v>
      </c>
      <c r="H259" s="94" t="s">
        <v>132</v>
      </c>
      <c r="I259" s="34" t="s">
        <v>921</v>
      </c>
      <c r="J259" s="34" t="s">
        <v>978</v>
      </c>
      <c r="K259" s="34">
        <f>IF((Observaciones[[#This Row],[Fecha Levantamiento]]-Observaciones[[#This Row],[Fecha Detección]])&gt;=0,Observaciones[[#This Row],[Fecha Levantamiento]]-Observaciones[[#This Row],[Fecha Detección]]+1,0)</f>
        <v>6</v>
      </c>
      <c r="L259" s="34" t="str">
        <f>LOOKUP(Observaciones[[#This Row],[Caso de Prueba]],CasoPrueba[Código CP],CasoPrueba[Código de REQ])</f>
        <v>INSPECCIÓN</v>
      </c>
    </row>
    <row r="260" spans="1:12" ht="45" hidden="1">
      <c r="A260" s="165" t="s">
        <v>701</v>
      </c>
      <c r="B260" s="34" t="s">
        <v>888</v>
      </c>
      <c r="C260" s="34" t="str">
        <f>VLOOKUP(Observaciones[Caso de Prueba],CasoPrueba[[#All],[Código CP]:[Prioridad]],7,TRUE)</f>
        <v>Alta</v>
      </c>
      <c r="D260" s="34" t="s">
        <v>29</v>
      </c>
      <c r="E260" s="34" t="s">
        <v>49</v>
      </c>
      <c r="F260" s="73">
        <v>40838</v>
      </c>
      <c r="G260" s="73">
        <v>40843</v>
      </c>
      <c r="H260" s="94" t="s">
        <v>132</v>
      </c>
      <c r="I260" s="34" t="s">
        <v>922</v>
      </c>
      <c r="J260" s="34" t="s">
        <v>823</v>
      </c>
      <c r="K260" s="34">
        <f>IF((Observaciones[[#This Row],[Fecha Levantamiento]]-Observaciones[[#This Row],[Fecha Detección]])&gt;=0,Observaciones[[#This Row],[Fecha Levantamiento]]-Observaciones[[#This Row],[Fecha Detección]]+1,0)</f>
        <v>6</v>
      </c>
      <c r="L260" s="34" t="str">
        <f>LOOKUP(Observaciones[[#This Row],[Caso de Prueba]],CasoPrueba[Código CP],CasoPrueba[Código de REQ])</f>
        <v>INSPECCIÓN</v>
      </c>
    </row>
    <row r="261" spans="1:12" ht="41.25" hidden="1" customHeight="1">
      <c r="A261" s="165" t="s">
        <v>702</v>
      </c>
      <c r="B261" s="34" t="s">
        <v>888</v>
      </c>
      <c r="C261" s="34" t="str">
        <f>VLOOKUP(Observaciones[Caso de Prueba],CasoPrueba[[#All],[Código CP]:[Prioridad]],7,TRUE)</f>
        <v>Alta</v>
      </c>
      <c r="D261" s="34" t="s">
        <v>162</v>
      </c>
      <c r="E261" s="34" t="s">
        <v>49</v>
      </c>
      <c r="F261" s="73">
        <v>40838</v>
      </c>
      <c r="G261" s="73">
        <v>40843</v>
      </c>
      <c r="H261" s="94" t="s">
        <v>132</v>
      </c>
      <c r="I261" s="34" t="s">
        <v>923</v>
      </c>
      <c r="J261" s="34" t="s">
        <v>823</v>
      </c>
      <c r="K261" s="34">
        <f>IF((Observaciones[[#This Row],[Fecha Levantamiento]]-Observaciones[[#This Row],[Fecha Detección]])&gt;=0,Observaciones[[#This Row],[Fecha Levantamiento]]-Observaciones[[#This Row],[Fecha Detección]]+1,0)</f>
        <v>6</v>
      </c>
      <c r="L261" s="34" t="str">
        <f>LOOKUP(Observaciones[[#This Row],[Caso de Prueba]],CasoPrueba[Código CP],CasoPrueba[Código de REQ])</f>
        <v>INSPECCIÓN</v>
      </c>
    </row>
    <row r="262" spans="1:12" ht="30" hidden="1">
      <c r="A262" s="165" t="s">
        <v>703</v>
      </c>
      <c r="B262" s="34" t="s">
        <v>888</v>
      </c>
      <c r="C262" s="34" t="str">
        <f>VLOOKUP(Observaciones[Caso de Prueba],CasoPrueba[[#All],[Código CP]:[Prioridad]],7,TRUE)</f>
        <v>Alta</v>
      </c>
      <c r="D262" s="34" t="s">
        <v>29</v>
      </c>
      <c r="E262" s="34" t="s">
        <v>49</v>
      </c>
      <c r="F262" s="73">
        <v>40838</v>
      </c>
      <c r="G262" s="73">
        <v>40843</v>
      </c>
      <c r="H262" s="94" t="s">
        <v>132</v>
      </c>
      <c r="I262" s="34" t="s">
        <v>925</v>
      </c>
      <c r="J262" s="34" t="s">
        <v>979</v>
      </c>
      <c r="K262" s="34">
        <f>IF((Observaciones[[#This Row],[Fecha Levantamiento]]-Observaciones[[#This Row],[Fecha Detección]])&gt;=0,Observaciones[[#This Row],[Fecha Levantamiento]]-Observaciones[[#This Row],[Fecha Detección]]+1,0)</f>
        <v>6</v>
      </c>
      <c r="L262" s="34" t="str">
        <f>LOOKUP(Observaciones[[#This Row],[Caso de Prueba]],CasoPrueba[Código CP],CasoPrueba[Código de REQ])</f>
        <v>INSPECCIÓN</v>
      </c>
    </row>
    <row r="263" spans="1:12" ht="30" hidden="1">
      <c r="A263" s="165" t="s">
        <v>704</v>
      </c>
      <c r="B263" s="34" t="s">
        <v>888</v>
      </c>
      <c r="C263" s="34" t="str">
        <f>VLOOKUP(Observaciones[Caso de Prueba],CasoPrueba[[#All],[Código CP]:[Prioridad]],7,TRUE)</f>
        <v>Alta</v>
      </c>
      <c r="D263" s="34" t="s">
        <v>29</v>
      </c>
      <c r="E263" s="34" t="s">
        <v>49</v>
      </c>
      <c r="F263" s="73">
        <v>40838</v>
      </c>
      <c r="G263" s="73">
        <v>40843</v>
      </c>
      <c r="H263" s="94" t="s">
        <v>132</v>
      </c>
      <c r="I263" s="34" t="s">
        <v>924</v>
      </c>
      <c r="J263" s="34" t="s">
        <v>980</v>
      </c>
      <c r="K263" s="34">
        <f>IF((Observaciones[[#This Row],[Fecha Levantamiento]]-Observaciones[[#This Row],[Fecha Detección]])&gt;=0,Observaciones[[#This Row],[Fecha Levantamiento]]-Observaciones[[#This Row],[Fecha Detección]]+1,0)</f>
        <v>6</v>
      </c>
      <c r="L263" s="34" t="str">
        <f>LOOKUP(Observaciones[[#This Row],[Caso de Prueba]],CasoPrueba[Código CP],CasoPrueba[Código de REQ])</f>
        <v>INSPECCIÓN</v>
      </c>
    </row>
    <row r="264" spans="1:12" ht="45" hidden="1">
      <c r="A264" s="165" t="s">
        <v>705</v>
      </c>
      <c r="B264" s="34" t="s">
        <v>889</v>
      </c>
      <c r="C264" s="34" t="str">
        <f>VLOOKUP(Observaciones[Caso de Prueba],CasoPrueba[[#All],[Código CP]:[Prioridad]],7,TRUE)</f>
        <v>Alta</v>
      </c>
      <c r="D264" s="34" t="s">
        <v>162</v>
      </c>
      <c r="E264" s="34" t="s">
        <v>49</v>
      </c>
      <c r="F264" s="73">
        <v>40838</v>
      </c>
      <c r="G264" s="73">
        <v>40843</v>
      </c>
      <c r="H264" s="94" t="s">
        <v>132</v>
      </c>
      <c r="I264" s="34" t="s">
        <v>926</v>
      </c>
      <c r="J264" s="34" t="s">
        <v>987</v>
      </c>
      <c r="K264" s="34">
        <f>IF((Observaciones[[#This Row],[Fecha Levantamiento]]-Observaciones[[#This Row],[Fecha Detección]])&gt;=0,Observaciones[[#This Row],[Fecha Levantamiento]]-Observaciones[[#This Row],[Fecha Detección]]+1,0)</f>
        <v>6</v>
      </c>
      <c r="L264" s="34" t="str">
        <f>LOOKUP(Observaciones[[#This Row],[Caso de Prueba]],CasoPrueba[Código CP],CasoPrueba[Código de REQ])</f>
        <v>INSPECCIÓN</v>
      </c>
    </row>
    <row r="265" spans="1:12" ht="45" hidden="1">
      <c r="A265" s="165" t="s">
        <v>706</v>
      </c>
      <c r="B265" s="34" t="s">
        <v>889</v>
      </c>
      <c r="C265" s="34" t="str">
        <f>VLOOKUP(Observaciones[Caso de Prueba],CasoPrueba[[#All],[Código CP]:[Prioridad]],7,TRUE)</f>
        <v>Alta</v>
      </c>
      <c r="D265" s="34" t="s">
        <v>162</v>
      </c>
      <c r="E265" s="34" t="s">
        <v>49</v>
      </c>
      <c r="F265" s="73">
        <v>40838</v>
      </c>
      <c r="G265" s="73">
        <v>40843</v>
      </c>
      <c r="H265" s="94" t="s">
        <v>132</v>
      </c>
      <c r="I265" s="34" t="s">
        <v>931</v>
      </c>
      <c r="J265" s="34" t="s">
        <v>199</v>
      </c>
      <c r="K265" s="34">
        <f>IF((Observaciones[[#This Row],[Fecha Levantamiento]]-Observaciones[[#This Row],[Fecha Detección]])&gt;=0,Observaciones[[#This Row],[Fecha Levantamiento]]-Observaciones[[#This Row],[Fecha Detección]]+1,0)</f>
        <v>6</v>
      </c>
      <c r="L265" s="34" t="str">
        <f>LOOKUP(Observaciones[[#This Row],[Caso de Prueba]],CasoPrueba[Código CP],CasoPrueba[Código de REQ])</f>
        <v>INSPECCIÓN</v>
      </c>
    </row>
    <row r="266" spans="1:12" ht="45" hidden="1">
      <c r="A266" s="165" t="s">
        <v>707</v>
      </c>
      <c r="B266" s="34" t="s">
        <v>889</v>
      </c>
      <c r="C266" s="34" t="str">
        <f>VLOOKUP(Observaciones[Caso de Prueba],CasoPrueba[[#All],[Código CP]:[Prioridad]],7,TRUE)</f>
        <v>Alta</v>
      </c>
      <c r="D266" s="34" t="s">
        <v>30</v>
      </c>
      <c r="E266" s="34" t="s">
        <v>49</v>
      </c>
      <c r="F266" s="73">
        <v>40838</v>
      </c>
      <c r="G266" s="73">
        <v>40843</v>
      </c>
      <c r="H266" s="94" t="s">
        <v>132</v>
      </c>
      <c r="I266" s="34" t="s">
        <v>932</v>
      </c>
      <c r="J266" s="34" t="s">
        <v>990</v>
      </c>
      <c r="K266" s="34">
        <f>IF((Observaciones[[#This Row],[Fecha Levantamiento]]-Observaciones[[#This Row],[Fecha Detección]])&gt;=0,Observaciones[[#This Row],[Fecha Levantamiento]]-Observaciones[[#This Row],[Fecha Detección]]+1,0)</f>
        <v>6</v>
      </c>
      <c r="L266" s="34" t="str">
        <f>LOOKUP(Observaciones[[#This Row],[Caso de Prueba]],CasoPrueba[Código CP],CasoPrueba[Código de REQ])</f>
        <v>INSPECCIÓN</v>
      </c>
    </row>
    <row r="267" spans="1:12" ht="45" hidden="1">
      <c r="A267" s="165" t="s">
        <v>708</v>
      </c>
      <c r="B267" s="34" t="s">
        <v>889</v>
      </c>
      <c r="C267" s="34" t="str">
        <f>VLOOKUP(Observaciones[Caso de Prueba],CasoPrueba[[#All],[Código CP]:[Prioridad]],7,TRUE)</f>
        <v>Alta</v>
      </c>
      <c r="D267" s="34" t="s">
        <v>162</v>
      </c>
      <c r="E267" s="34" t="s">
        <v>49</v>
      </c>
      <c r="F267" s="73">
        <v>40838</v>
      </c>
      <c r="G267" s="73">
        <v>40843</v>
      </c>
      <c r="H267" s="94" t="s">
        <v>132</v>
      </c>
      <c r="I267" s="34" t="s">
        <v>927</v>
      </c>
      <c r="J267" s="34" t="s">
        <v>988</v>
      </c>
      <c r="K267" s="34">
        <f>IF((Observaciones[[#This Row],[Fecha Levantamiento]]-Observaciones[[#This Row],[Fecha Detección]])&gt;=0,Observaciones[[#This Row],[Fecha Levantamiento]]-Observaciones[[#This Row],[Fecha Detección]]+1,0)</f>
        <v>6</v>
      </c>
      <c r="L267" s="34" t="str">
        <f>LOOKUP(Observaciones[[#This Row],[Caso de Prueba]],CasoPrueba[Código CP],CasoPrueba[Código de REQ])</f>
        <v>INSPECCIÓN</v>
      </c>
    </row>
    <row r="268" spans="1:12" ht="90" hidden="1">
      <c r="A268" s="165" t="s">
        <v>709</v>
      </c>
      <c r="B268" s="34" t="s">
        <v>889</v>
      </c>
      <c r="C268" s="34" t="str">
        <f>VLOOKUP(Observaciones[Caso de Prueba],CasoPrueba[[#All],[Código CP]:[Prioridad]],7,TRUE)</f>
        <v>Alta</v>
      </c>
      <c r="D268" s="34" t="s">
        <v>29</v>
      </c>
      <c r="E268" s="34" t="s">
        <v>49</v>
      </c>
      <c r="F268" s="73">
        <v>40838</v>
      </c>
      <c r="G268" s="73">
        <v>40843</v>
      </c>
      <c r="H268" s="94" t="s">
        <v>132</v>
      </c>
      <c r="I268" s="34" t="s">
        <v>599</v>
      </c>
      <c r="J268" s="34" t="s">
        <v>840</v>
      </c>
      <c r="K268" s="34">
        <f>IF((Observaciones[[#This Row],[Fecha Levantamiento]]-Observaciones[[#This Row],[Fecha Detección]])&gt;=0,Observaciones[[#This Row],[Fecha Levantamiento]]-Observaciones[[#This Row],[Fecha Detección]]+1,0)</f>
        <v>6</v>
      </c>
      <c r="L268" s="34" t="str">
        <f>LOOKUP(Observaciones[[#This Row],[Caso de Prueba]],CasoPrueba[Código CP],CasoPrueba[Código de REQ])</f>
        <v>INSPECCIÓN</v>
      </c>
    </row>
    <row r="269" spans="1:12" ht="45" hidden="1">
      <c r="A269" s="165" t="s">
        <v>710</v>
      </c>
      <c r="B269" s="34" t="s">
        <v>889</v>
      </c>
      <c r="C269" s="34" t="str">
        <f>VLOOKUP(Observaciones[Caso de Prueba],CasoPrueba[[#All],[Código CP]:[Prioridad]],7,TRUE)</f>
        <v>Alta</v>
      </c>
      <c r="D269" s="34" t="s">
        <v>28</v>
      </c>
      <c r="E269" s="34" t="s">
        <v>49</v>
      </c>
      <c r="F269" s="73">
        <v>40838</v>
      </c>
      <c r="G269" s="73">
        <v>40843</v>
      </c>
      <c r="H269" s="94" t="s">
        <v>132</v>
      </c>
      <c r="I269" s="34" t="s">
        <v>871</v>
      </c>
      <c r="J269" s="34" t="s">
        <v>986</v>
      </c>
      <c r="K269" s="34">
        <f>IF((Observaciones[[#This Row],[Fecha Levantamiento]]-Observaciones[[#This Row],[Fecha Detección]])&gt;=0,Observaciones[[#This Row],[Fecha Levantamiento]]-Observaciones[[#This Row],[Fecha Detección]]+1,0)</f>
        <v>6</v>
      </c>
      <c r="L269" s="34" t="str">
        <f>LOOKUP(Observaciones[[#This Row],[Caso de Prueba]],CasoPrueba[Código CP],CasoPrueba[Código de REQ])</f>
        <v>INSPECCIÓN</v>
      </c>
    </row>
    <row r="270" spans="1:12" ht="45" hidden="1">
      <c r="A270" s="165" t="s">
        <v>711</v>
      </c>
      <c r="B270" s="34" t="s">
        <v>889</v>
      </c>
      <c r="C270" s="34" t="str">
        <f>VLOOKUP(Observaciones[Caso de Prueba],CasoPrueba[[#All],[Código CP]:[Prioridad]],7,TRUE)</f>
        <v>Alta</v>
      </c>
      <c r="D270" s="34" t="s">
        <v>28</v>
      </c>
      <c r="E270" s="34" t="s">
        <v>49</v>
      </c>
      <c r="F270" s="73">
        <v>40838</v>
      </c>
      <c r="G270" s="73">
        <v>40843</v>
      </c>
      <c r="H270" s="94" t="s">
        <v>132</v>
      </c>
      <c r="I270" s="34" t="s">
        <v>928</v>
      </c>
      <c r="J270" s="34" t="s">
        <v>995</v>
      </c>
      <c r="K270" s="34">
        <f>IF((Observaciones[[#This Row],[Fecha Levantamiento]]-Observaciones[[#This Row],[Fecha Detección]])&gt;=0,Observaciones[[#This Row],[Fecha Levantamiento]]-Observaciones[[#This Row],[Fecha Detección]]+1,0)</f>
        <v>6</v>
      </c>
      <c r="L270" s="34" t="str">
        <f>LOOKUP(Observaciones[[#This Row],[Caso de Prueba]],CasoPrueba[Código CP],CasoPrueba[Código de REQ])</f>
        <v>INSPECCIÓN</v>
      </c>
    </row>
    <row r="271" spans="1:12" ht="30" hidden="1">
      <c r="A271" s="165" t="s">
        <v>712</v>
      </c>
      <c r="B271" s="34" t="s">
        <v>889</v>
      </c>
      <c r="C271" s="34" t="str">
        <f>VLOOKUP(Observaciones[Caso de Prueba],CasoPrueba[[#All],[Código CP]:[Prioridad]],7,TRUE)</f>
        <v>Alta</v>
      </c>
      <c r="D271" s="34" t="s">
        <v>29</v>
      </c>
      <c r="E271" s="34" t="s">
        <v>49</v>
      </c>
      <c r="F271" s="73">
        <v>40838</v>
      </c>
      <c r="G271" s="73">
        <v>40843</v>
      </c>
      <c r="H271" s="94" t="s">
        <v>132</v>
      </c>
      <c r="I271" s="34" t="s">
        <v>929</v>
      </c>
      <c r="J271" s="34" t="s">
        <v>992</v>
      </c>
      <c r="K271" s="34">
        <f>IF((Observaciones[[#This Row],[Fecha Levantamiento]]-Observaciones[[#This Row],[Fecha Detección]])&gt;=0,Observaciones[[#This Row],[Fecha Levantamiento]]-Observaciones[[#This Row],[Fecha Detección]]+1,0)</f>
        <v>6</v>
      </c>
      <c r="L271" s="34" t="str">
        <f>LOOKUP(Observaciones[[#This Row],[Caso de Prueba]],CasoPrueba[Código CP],CasoPrueba[Código de REQ])</f>
        <v>INSPECCIÓN</v>
      </c>
    </row>
    <row r="272" spans="1:12" ht="45" hidden="1">
      <c r="A272" s="165" t="s">
        <v>713</v>
      </c>
      <c r="B272" s="34" t="s">
        <v>889</v>
      </c>
      <c r="C272" s="34" t="str">
        <f>VLOOKUP(Observaciones[Caso de Prueba],CasoPrueba[[#All],[Código CP]:[Prioridad]],7,TRUE)</f>
        <v>Alta</v>
      </c>
      <c r="D272" s="34" t="s">
        <v>29</v>
      </c>
      <c r="E272" s="34" t="s">
        <v>49</v>
      </c>
      <c r="F272" s="73">
        <v>40838</v>
      </c>
      <c r="G272" s="73">
        <v>40843</v>
      </c>
      <c r="H272" s="94" t="s">
        <v>132</v>
      </c>
      <c r="I272" s="34" t="s">
        <v>930</v>
      </c>
      <c r="J272" s="34" t="s">
        <v>993</v>
      </c>
      <c r="K272" s="34">
        <f>IF((Observaciones[[#This Row],[Fecha Levantamiento]]-Observaciones[[#This Row],[Fecha Detección]])&gt;=0,Observaciones[[#This Row],[Fecha Levantamiento]]-Observaciones[[#This Row],[Fecha Detección]]+1,0)</f>
        <v>6</v>
      </c>
      <c r="L272" s="34" t="str">
        <f>LOOKUP(Observaciones[[#This Row],[Caso de Prueba]],CasoPrueba[Código CP],CasoPrueba[Código de REQ])</f>
        <v>INSPECCIÓN</v>
      </c>
    </row>
    <row r="273" spans="1:12" ht="30" hidden="1">
      <c r="A273" s="165" t="s">
        <v>714</v>
      </c>
      <c r="B273" s="34" t="s">
        <v>889</v>
      </c>
      <c r="C273" s="34" t="str">
        <f>VLOOKUP(Observaciones[Caso de Prueba],CasoPrueba[[#All],[Código CP]:[Prioridad]],7,TRUE)</f>
        <v>Alta</v>
      </c>
      <c r="D273" s="34" t="s">
        <v>30</v>
      </c>
      <c r="E273" s="34" t="s">
        <v>49</v>
      </c>
      <c r="F273" s="73">
        <v>40838</v>
      </c>
      <c r="G273" s="73">
        <v>40843</v>
      </c>
      <c r="H273" s="94" t="s">
        <v>132</v>
      </c>
      <c r="I273" s="34" t="s">
        <v>933</v>
      </c>
      <c r="J273" s="34" t="s">
        <v>991</v>
      </c>
      <c r="K273" s="34">
        <f>IF((Observaciones[[#This Row],[Fecha Levantamiento]]-Observaciones[[#This Row],[Fecha Detección]])&gt;=0,Observaciones[[#This Row],[Fecha Levantamiento]]-Observaciones[[#This Row],[Fecha Detección]]+1,0)</f>
        <v>6</v>
      </c>
      <c r="L273" s="34" t="str">
        <f>LOOKUP(Observaciones[[#This Row],[Caso de Prueba]],CasoPrueba[Código CP],CasoPrueba[Código de REQ])</f>
        <v>INSPECCIÓN</v>
      </c>
    </row>
    <row r="274" spans="1:12" ht="30" hidden="1">
      <c r="A274" s="165" t="s">
        <v>715</v>
      </c>
      <c r="B274" s="34" t="s">
        <v>889</v>
      </c>
      <c r="C274" s="34" t="str">
        <f>VLOOKUP(Observaciones[Caso de Prueba],CasoPrueba[[#All],[Código CP]:[Prioridad]],7,TRUE)</f>
        <v>Alta</v>
      </c>
      <c r="D274" s="34" t="s">
        <v>29</v>
      </c>
      <c r="E274" s="34" t="s">
        <v>49</v>
      </c>
      <c r="F274" s="73">
        <v>40838</v>
      </c>
      <c r="G274" s="73">
        <v>40843</v>
      </c>
      <c r="H274" s="94" t="s">
        <v>132</v>
      </c>
      <c r="I274" s="34" t="s">
        <v>934</v>
      </c>
      <c r="J274" s="34" t="s">
        <v>994</v>
      </c>
      <c r="K274" s="34">
        <f>IF((Observaciones[[#This Row],[Fecha Levantamiento]]-Observaciones[[#This Row],[Fecha Detección]])&gt;=0,Observaciones[[#This Row],[Fecha Levantamiento]]-Observaciones[[#This Row],[Fecha Detección]]+1,0)</f>
        <v>6</v>
      </c>
      <c r="L274" s="34" t="str">
        <f>LOOKUP(Observaciones[[#This Row],[Caso de Prueba]],CasoPrueba[Código CP],CasoPrueba[Código de REQ])</f>
        <v>INSPECCIÓN</v>
      </c>
    </row>
    <row r="275" spans="1:12" ht="30" hidden="1">
      <c r="A275" s="165" t="s">
        <v>716</v>
      </c>
      <c r="B275" s="34" t="s">
        <v>889</v>
      </c>
      <c r="C275" s="34" t="str">
        <f>VLOOKUP(Observaciones[Caso de Prueba],CasoPrueba[[#All],[Código CP]:[Prioridad]],7,TRUE)</f>
        <v>Alta</v>
      </c>
      <c r="D275" s="34" t="s">
        <v>30</v>
      </c>
      <c r="E275" s="34" t="s">
        <v>49</v>
      </c>
      <c r="F275" s="73">
        <v>40838</v>
      </c>
      <c r="G275" s="73">
        <v>40843</v>
      </c>
      <c r="H275" s="94" t="s">
        <v>132</v>
      </c>
      <c r="I275" s="34" t="s">
        <v>935</v>
      </c>
      <c r="J275" s="34" t="s">
        <v>991</v>
      </c>
      <c r="K275" s="34">
        <f>IF((Observaciones[[#This Row],[Fecha Levantamiento]]-Observaciones[[#This Row],[Fecha Detección]])&gt;=0,Observaciones[[#This Row],[Fecha Levantamiento]]-Observaciones[[#This Row],[Fecha Detección]]+1,0)</f>
        <v>6</v>
      </c>
      <c r="L275" s="34" t="str">
        <f>LOOKUP(Observaciones[[#This Row],[Caso de Prueba]],CasoPrueba[Código CP],CasoPrueba[Código de REQ])</f>
        <v>INSPECCIÓN</v>
      </c>
    </row>
    <row r="276" spans="1:12" ht="45" hidden="1">
      <c r="A276" s="165" t="s">
        <v>717</v>
      </c>
      <c r="B276" s="34" t="s">
        <v>889</v>
      </c>
      <c r="C276" s="34" t="str">
        <f>VLOOKUP(Observaciones[Caso de Prueba],CasoPrueba[[#All],[Código CP]:[Prioridad]],7,TRUE)</f>
        <v>Alta</v>
      </c>
      <c r="D276" s="34" t="s">
        <v>162</v>
      </c>
      <c r="E276" s="34" t="s">
        <v>49</v>
      </c>
      <c r="F276" s="73">
        <v>40838</v>
      </c>
      <c r="G276" s="73">
        <v>40843</v>
      </c>
      <c r="H276" s="94" t="s">
        <v>132</v>
      </c>
      <c r="I276" s="34" t="s">
        <v>936</v>
      </c>
      <c r="J276" s="34" t="s">
        <v>989</v>
      </c>
      <c r="K276" s="34">
        <f>IF((Observaciones[[#This Row],[Fecha Levantamiento]]-Observaciones[[#This Row],[Fecha Detección]])&gt;=0,Observaciones[[#This Row],[Fecha Levantamiento]]-Observaciones[[#This Row],[Fecha Detección]]+1,0)</f>
        <v>6</v>
      </c>
      <c r="L276" s="34" t="str">
        <f>LOOKUP(Observaciones[[#This Row],[Caso de Prueba]],CasoPrueba[Código CP],CasoPrueba[Código de REQ])</f>
        <v>INSPECCIÓN</v>
      </c>
    </row>
    <row r="277" spans="1:12" ht="45" hidden="1">
      <c r="A277" s="165" t="s">
        <v>718</v>
      </c>
      <c r="B277" s="34" t="s">
        <v>890</v>
      </c>
      <c r="C277" s="34" t="str">
        <f>VLOOKUP(Observaciones[Caso de Prueba],CasoPrueba[[#All],[Código CP]:[Prioridad]],7,TRUE)</f>
        <v>Alta</v>
      </c>
      <c r="D277" s="34" t="s">
        <v>28</v>
      </c>
      <c r="E277" s="34" t="s">
        <v>49</v>
      </c>
      <c r="F277" s="73">
        <v>40838</v>
      </c>
      <c r="G277" s="73">
        <v>40843</v>
      </c>
      <c r="H277" s="94" t="s">
        <v>132</v>
      </c>
      <c r="I277" s="34" t="s">
        <v>597</v>
      </c>
      <c r="J277" s="34" t="s">
        <v>986</v>
      </c>
      <c r="K277" s="34">
        <f>IF((Observaciones[[#This Row],[Fecha Levantamiento]]-Observaciones[[#This Row],[Fecha Detección]])&gt;=0,Observaciones[[#This Row],[Fecha Levantamiento]]-Observaciones[[#This Row],[Fecha Detección]]+1,0)</f>
        <v>6</v>
      </c>
      <c r="L277" s="34" t="str">
        <f>LOOKUP(Observaciones[[#This Row],[Caso de Prueba]],CasoPrueba[Código CP],CasoPrueba[Código de REQ])</f>
        <v>INSPECCIÓN</v>
      </c>
    </row>
    <row r="278" spans="1:12" ht="45" hidden="1">
      <c r="A278" s="165" t="s">
        <v>719</v>
      </c>
      <c r="B278" s="34" t="s">
        <v>890</v>
      </c>
      <c r="C278" s="34" t="str">
        <f>VLOOKUP(Observaciones[Caso de Prueba],CasoPrueba[[#All],[Código CP]:[Prioridad]],7,TRUE)</f>
        <v>Alta</v>
      </c>
      <c r="D278" s="34" t="s">
        <v>162</v>
      </c>
      <c r="E278" s="34" t="s">
        <v>49</v>
      </c>
      <c r="F278" s="73">
        <v>40838</v>
      </c>
      <c r="G278" s="73">
        <v>40843</v>
      </c>
      <c r="H278" s="94" t="s">
        <v>132</v>
      </c>
      <c r="I278" s="34" t="s">
        <v>926</v>
      </c>
      <c r="J278" s="34" t="s">
        <v>987</v>
      </c>
      <c r="K278" s="34">
        <f>IF((Observaciones[[#This Row],[Fecha Levantamiento]]-Observaciones[[#This Row],[Fecha Detección]])&gt;=0,Observaciones[[#This Row],[Fecha Levantamiento]]-Observaciones[[#This Row],[Fecha Detección]]+1,0)</f>
        <v>6</v>
      </c>
      <c r="L278" s="34" t="str">
        <f>LOOKUP(Observaciones[[#This Row],[Caso de Prueba]],CasoPrueba[Código CP],CasoPrueba[Código de REQ])</f>
        <v>INSPECCIÓN</v>
      </c>
    </row>
    <row r="279" spans="1:12" ht="90" hidden="1">
      <c r="A279" s="165" t="s">
        <v>720</v>
      </c>
      <c r="B279" s="34" t="s">
        <v>890</v>
      </c>
      <c r="C279" s="34" t="str">
        <f>VLOOKUP(Observaciones[Caso de Prueba],CasoPrueba[[#All],[Código CP]:[Prioridad]],7,TRUE)</f>
        <v>Alta</v>
      </c>
      <c r="D279" s="34" t="s">
        <v>29</v>
      </c>
      <c r="E279" s="34" t="s">
        <v>49</v>
      </c>
      <c r="F279" s="73">
        <v>40838</v>
      </c>
      <c r="G279" s="73">
        <v>40843</v>
      </c>
      <c r="H279" s="94" t="s">
        <v>132</v>
      </c>
      <c r="I279" s="34" t="s">
        <v>599</v>
      </c>
      <c r="J279" s="34" t="s">
        <v>996</v>
      </c>
      <c r="K279" s="34">
        <f>IF((Observaciones[[#This Row],[Fecha Levantamiento]]-Observaciones[[#This Row],[Fecha Detección]])&gt;=0,Observaciones[[#This Row],[Fecha Levantamiento]]-Observaciones[[#This Row],[Fecha Detección]]+1,0)</f>
        <v>6</v>
      </c>
      <c r="L279" s="34" t="str">
        <f>LOOKUP(Observaciones[[#This Row],[Caso de Prueba]],CasoPrueba[Código CP],CasoPrueba[Código de REQ])</f>
        <v>INSPECCIÓN</v>
      </c>
    </row>
    <row r="280" spans="1:12" ht="45" hidden="1">
      <c r="A280" s="165" t="s">
        <v>721</v>
      </c>
      <c r="B280" s="34" t="s">
        <v>890</v>
      </c>
      <c r="C280" s="34" t="str">
        <f>VLOOKUP(Observaciones[Caso de Prueba],CasoPrueba[[#All],[Código CP]:[Prioridad]],7,TRUE)</f>
        <v>Alta</v>
      </c>
      <c r="D280" s="34" t="s">
        <v>28</v>
      </c>
      <c r="E280" s="34" t="s">
        <v>49</v>
      </c>
      <c r="F280" s="73">
        <v>40838</v>
      </c>
      <c r="G280" s="73">
        <v>40843</v>
      </c>
      <c r="H280" s="94" t="s">
        <v>132</v>
      </c>
      <c r="I280" s="34" t="s">
        <v>871</v>
      </c>
      <c r="J280" s="34" t="s">
        <v>998</v>
      </c>
      <c r="K280" s="34">
        <f>IF((Observaciones[[#This Row],[Fecha Levantamiento]]-Observaciones[[#This Row],[Fecha Detección]])&gt;=0,Observaciones[[#This Row],[Fecha Levantamiento]]-Observaciones[[#This Row],[Fecha Detección]]+1,0)</f>
        <v>6</v>
      </c>
      <c r="L280" s="34" t="str">
        <f>LOOKUP(Observaciones[[#This Row],[Caso de Prueba]],CasoPrueba[Código CP],CasoPrueba[Código de REQ])</f>
        <v>INSPECCIÓN</v>
      </c>
    </row>
    <row r="281" spans="1:12" ht="30" hidden="1">
      <c r="A281" s="165" t="s">
        <v>722</v>
      </c>
      <c r="B281" s="34" t="s">
        <v>890</v>
      </c>
      <c r="C281" s="34" t="str">
        <f>VLOOKUP(Observaciones[Caso de Prueba],CasoPrueba[[#All],[Código CP]:[Prioridad]],7,TRUE)</f>
        <v>Alta</v>
      </c>
      <c r="D281" s="34" t="s">
        <v>162</v>
      </c>
      <c r="E281" s="34" t="s">
        <v>49</v>
      </c>
      <c r="F281" s="73">
        <v>40840</v>
      </c>
      <c r="G281" s="73">
        <v>40843</v>
      </c>
      <c r="H281" s="94" t="s">
        <v>132</v>
      </c>
      <c r="I281" s="34" t="s">
        <v>937</v>
      </c>
      <c r="J281" s="34" t="s">
        <v>283</v>
      </c>
      <c r="K281" s="34">
        <f>IF((Observaciones[[#This Row],[Fecha Levantamiento]]-Observaciones[[#This Row],[Fecha Detección]])&gt;=0,Observaciones[[#This Row],[Fecha Levantamiento]]-Observaciones[[#This Row],[Fecha Detección]]+1,0)</f>
        <v>4</v>
      </c>
      <c r="L281" s="34" t="str">
        <f>LOOKUP(Observaciones[[#This Row],[Caso de Prueba]],CasoPrueba[Código CP],CasoPrueba[Código de REQ])</f>
        <v>INSPECCIÓN</v>
      </c>
    </row>
    <row r="282" spans="1:12" ht="45" hidden="1">
      <c r="A282" s="165" t="s">
        <v>723</v>
      </c>
      <c r="B282" s="34" t="s">
        <v>890</v>
      </c>
      <c r="C282" s="34" t="str">
        <f>VLOOKUP(Observaciones[Caso de Prueba],CasoPrueba[[#All],[Código CP]:[Prioridad]],7,TRUE)</f>
        <v>Alta</v>
      </c>
      <c r="D282" s="34" t="s">
        <v>29</v>
      </c>
      <c r="E282" s="34" t="s">
        <v>49</v>
      </c>
      <c r="F282" s="73">
        <v>40840</v>
      </c>
      <c r="G282" s="73">
        <v>40843</v>
      </c>
      <c r="H282" s="94" t="s">
        <v>132</v>
      </c>
      <c r="I282" s="34" t="s">
        <v>938</v>
      </c>
      <c r="J282" s="34" t="s">
        <v>997</v>
      </c>
      <c r="K282" s="34">
        <f>IF((Observaciones[[#This Row],[Fecha Levantamiento]]-Observaciones[[#This Row],[Fecha Detección]])&gt;=0,Observaciones[[#This Row],[Fecha Levantamiento]]-Observaciones[[#This Row],[Fecha Detección]]+1,0)</f>
        <v>4</v>
      </c>
      <c r="L282" s="34" t="str">
        <f>LOOKUP(Observaciones[[#This Row],[Caso de Prueba]],CasoPrueba[Código CP],CasoPrueba[Código de REQ])</f>
        <v>INSPECCIÓN</v>
      </c>
    </row>
    <row r="283" spans="1:12" ht="45" hidden="1">
      <c r="A283" s="165" t="s">
        <v>724</v>
      </c>
      <c r="B283" s="34" t="s">
        <v>891</v>
      </c>
      <c r="C283" s="34" t="str">
        <f>VLOOKUP(Observaciones[Caso de Prueba],CasoPrueba[[#All],[Código CP]:[Prioridad]],7,TRUE)</f>
        <v>Alta</v>
      </c>
      <c r="D283" s="34" t="s">
        <v>28</v>
      </c>
      <c r="E283" s="34" t="s">
        <v>49</v>
      </c>
      <c r="F283" s="73">
        <v>40840</v>
      </c>
      <c r="G283" s="73">
        <v>40843</v>
      </c>
      <c r="H283" s="94" t="s">
        <v>132</v>
      </c>
      <c r="I283" s="34" t="s">
        <v>597</v>
      </c>
      <c r="J283" s="34" t="s">
        <v>1002</v>
      </c>
      <c r="K283" s="34">
        <f>IF((Observaciones[[#This Row],[Fecha Levantamiento]]-Observaciones[[#This Row],[Fecha Detección]])&gt;=0,Observaciones[[#This Row],[Fecha Levantamiento]]-Observaciones[[#This Row],[Fecha Detección]]+1,0)</f>
        <v>4</v>
      </c>
      <c r="L283" s="34" t="str">
        <f>LOOKUP(Observaciones[[#This Row],[Caso de Prueba]],CasoPrueba[Código CP],CasoPrueba[Código de REQ])</f>
        <v>INSPECCIÓN</v>
      </c>
    </row>
    <row r="284" spans="1:12" ht="45" hidden="1">
      <c r="A284" s="165" t="s">
        <v>725</v>
      </c>
      <c r="B284" s="34" t="s">
        <v>891</v>
      </c>
      <c r="C284" s="34" t="str">
        <f>VLOOKUP(Observaciones[Caso de Prueba],CasoPrueba[[#All],[Código CP]:[Prioridad]],7,TRUE)</f>
        <v>Alta</v>
      </c>
      <c r="D284" s="34" t="s">
        <v>162</v>
      </c>
      <c r="E284" s="34" t="s">
        <v>49</v>
      </c>
      <c r="F284" s="73">
        <v>40840</v>
      </c>
      <c r="G284" s="73">
        <v>40843</v>
      </c>
      <c r="H284" s="94" t="s">
        <v>132</v>
      </c>
      <c r="I284" s="34" t="s">
        <v>926</v>
      </c>
      <c r="J284" s="34" t="s">
        <v>987</v>
      </c>
      <c r="K284" s="34">
        <f>IF((Observaciones[[#This Row],[Fecha Levantamiento]]-Observaciones[[#This Row],[Fecha Detección]])&gt;=0,Observaciones[[#This Row],[Fecha Levantamiento]]-Observaciones[[#This Row],[Fecha Detección]]+1,0)</f>
        <v>4</v>
      </c>
      <c r="L284" s="34" t="str">
        <f>LOOKUP(Observaciones[[#This Row],[Caso de Prueba]],CasoPrueba[Código CP],CasoPrueba[Código de REQ])</f>
        <v>INSPECCIÓN</v>
      </c>
    </row>
    <row r="285" spans="1:12" ht="90" hidden="1">
      <c r="A285" s="165" t="s">
        <v>726</v>
      </c>
      <c r="B285" s="34" t="s">
        <v>891</v>
      </c>
      <c r="C285" s="34" t="str">
        <f>VLOOKUP(Observaciones[Caso de Prueba],CasoPrueba[[#All],[Código CP]:[Prioridad]],7,TRUE)</f>
        <v>Alta</v>
      </c>
      <c r="D285" s="34" t="s">
        <v>29</v>
      </c>
      <c r="E285" s="34" t="s">
        <v>49</v>
      </c>
      <c r="F285" s="73">
        <v>40840</v>
      </c>
      <c r="G285" s="73">
        <v>40843</v>
      </c>
      <c r="H285" s="94" t="s">
        <v>132</v>
      </c>
      <c r="I285" s="34" t="s">
        <v>599</v>
      </c>
      <c r="J285" s="34" t="s">
        <v>996</v>
      </c>
      <c r="K285" s="34">
        <f>IF((Observaciones[[#This Row],[Fecha Levantamiento]]-Observaciones[[#This Row],[Fecha Detección]])&gt;=0,Observaciones[[#This Row],[Fecha Levantamiento]]-Observaciones[[#This Row],[Fecha Detección]]+1,0)</f>
        <v>4</v>
      </c>
      <c r="L285" s="34" t="str">
        <f>LOOKUP(Observaciones[[#This Row],[Caso de Prueba]],CasoPrueba[Código CP],CasoPrueba[Código de REQ])</f>
        <v>INSPECCIÓN</v>
      </c>
    </row>
    <row r="286" spans="1:12" ht="45" hidden="1">
      <c r="A286" s="165" t="s">
        <v>727</v>
      </c>
      <c r="B286" s="34" t="s">
        <v>891</v>
      </c>
      <c r="C286" s="34" t="str">
        <f>VLOOKUP(Observaciones[Caso de Prueba],CasoPrueba[[#All],[Código CP]:[Prioridad]],7,TRUE)</f>
        <v>Alta</v>
      </c>
      <c r="D286" s="34" t="s">
        <v>28</v>
      </c>
      <c r="E286" s="34" t="s">
        <v>49</v>
      </c>
      <c r="F286" s="73">
        <v>40840</v>
      </c>
      <c r="G286" s="73">
        <v>40843</v>
      </c>
      <c r="H286" s="94" t="s">
        <v>132</v>
      </c>
      <c r="I286" s="34" t="s">
        <v>871</v>
      </c>
      <c r="J286" s="34" t="s">
        <v>1001</v>
      </c>
      <c r="K286" s="34">
        <f>IF((Observaciones[[#This Row],[Fecha Levantamiento]]-Observaciones[[#This Row],[Fecha Detección]])&gt;=0,Observaciones[[#This Row],[Fecha Levantamiento]]-Observaciones[[#This Row],[Fecha Detección]]+1,0)</f>
        <v>4</v>
      </c>
      <c r="L286" s="34" t="str">
        <f>LOOKUP(Observaciones[[#This Row],[Caso de Prueba]],CasoPrueba[Código CP],CasoPrueba[Código de REQ])</f>
        <v>INSPECCIÓN</v>
      </c>
    </row>
    <row r="287" spans="1:12" ht="30" hidden="1">
      <c r="A287" s="165" t="s">
        <v>728</v>
      </c>
      <c r="B287" s="34" t="s">
        <v>891</v>
      </c>
      <c r="C287" s="34" t="str">
        <f>VLOOKUP(Observaciones[Caso de Prueba],CasoPrueba[[#All],[Código CP]:[Prioridad]],7,TRUE)</f>
        <v>Alta</v>
      </c>
      <c r="D287" s="34" t="s">
        <v>162</v>
      </c>
      <c r="E287" s="34" t="s">
        <v>49</v>
      </c>
      <c r="F287" s="73">
        <v>40840</v>
      </c>
      <c r="G287" s="73">
        <v>40843</v>
      </c>
      <c r="H287" s="94" t="s">
        <v>132</v>
      </c>
      <c r="I287" s="34" t="s">
        <v>939</v>
      </c>
      <c r="J287" s="34" t="s">
        <v>234</v>
      </c>
      <c r="K287" s="34">
        <f>IF((Observaciones[[#This Row],[Fecha Levantamiento]]-Observaciones[[#This Row],[Fecha Detección]])&gt;=0,Observaciones[[#This Row],[Fecha Levantamiento]]-Observaciones[[#This Row],[Fecha Detección]]+1,0)</f>
        <v>4</v>
      </c>
      <c r="L287" s="34" t="str">
        <f>LOOKUP(Observaciones[[#This Row],[Caso de Prueba]],CasoPrueba[Código CP],CasoPrueba[Código de REQ])</f>
        <v>INSPECCIÓN</v>
      </c>
    </row>
    <row r="288" spans="1:12" ht="45" hidden="1">
      <c r="A288" s="165" t="s">
        <v>729</v>
      </c>
      <c r="B288" s="34" t="s">
        <v>891</v>
      </c>
      <c r="C288" s="34" t="str">
        <f>VLOOKUP(Observaciones[Caso de Prueba],CasoPrueba[[#All],[Código CP]:[Prioridad]],7,TRUE)</f>
        <v>Alta</v>
      </c>
      <c r="D288" s="34" t="s">
        <v>162</v>
      </c>
      <c r="E288" s="34" t="s">
        <v>49</v>
      </c>
      <c r="F288" s="73">
        <v>40840</v>
      </c>
      <c r="G288" s="73">
        <v>40843</v>
      </c>
      <c r="H288" s="94" t="s">
        <v>132</v>
      </c>
      <c r="I288" s="34" t="s">
        <v>940</v>
      </c>
      <c r="J288" s="34" t="s">
        <v>982</v>
      </c>
      <c r="K288" s="34">
        <f>IF((Observaciones[[#This Row],[Fecha Levantamiento]]-Observaciones[[#This Row],[Fecha Detección]])&gt;=0,Observaciones[[#This Row],[Fecha Levantamiento]]-Observaciones[[#This Row],[Fecha Detección]]+1,0)</f>
        <v>4</v>
      </c>
      <c r="L288" s="34" t="str">
        <f>LOOKUP(Observaciones[[#This Row],[Caso de Prueba]],CasoPrueba[Código CP],CasoPrueba[Código de REQ])</f>
        <v>INSPECCIÓN</v>
      </c>
    </row>
    <row r="289" spans="1:12" ht="30" hidden="1">
      <c r="A289" s="165" t="s">
        <v>730</v>
      </c>
      <c r="B289" s="34" t="s">
        <v>891</v>
      </c>
      <c r="C289" s="34" t="str">
        <f>VLOOKUP(Observaciones[Caso de Prueba],CasoPrueba[[#All],[Código CP]:[Prioridad]],7,TRUE)</f>
        <v>Alta</v>
      </c>
      <c r="D289" s="34" t="s">
        <v>162</v>
      </c>
      <c r="E289" s="34" t="s">
        <v>49</v>
      </c>
      <c r="F289" s="73">
        <v>40840</v>
      </c>
      <c r="G289" s="73">
        <v>40843</v>
      </c>
      <c r="H289" s="94" t="s">
        <v>132</v>
      </c>
      <c r="I289" s="34" t="s">
        <v>941</v>
      </c>
      <c r="J289" s="34" t="s">
        <v>999</v>
      </c>
      <c r="K289" s="34">
        <f>IF((Observaciones[[#This Row],[Fecha Levantamiento]]-Observaciones[[#This Row],[Fecha Detección]])&gt;=0,Observaciones[[#This Row],[Fecha Levantamiento]]-Observaciones[[#This Row],[Fecha Detección]]+1,0)</f>
        <v>4</v>
      </c>
      <c r="L289" s="34" t="str">
        <f>LOOKUP(Observaciones[[#This Row],[Caso de Prueba]],CasoPrueba[Código CP],CasoPrueba[Código de REQ])</f>
        <v>INSPECCIÓN</v>
      </c>
    </row>
    <row r="290" spans="1:12" ht="45" hidden="1">
      <c r="A290" s="165" t="s">
        <v>731</v>
      </c>
      <c r="B290" s="34" t="s">
        <v>891</v>
      </c>
      <c r="C290" s="34" t="str">
        <f>VLOOKUP(Observaciones[Caso de Prueba],CasoPrueba[[#All],[Código CP]:[Prioridad]],7,TRUE)</f>
        <v>Alta</v>
      </c>
      <c r="D290" s="34" t="s">
        <v>29</v>
      </c>
      <c r="E290" s="34" t="s">
        <v>49</v>
      </c>
      <c r="F290" s="73">
        <v>40840</v>
      </c>
      <c r="G290" s="73">
        <v>40843</v>
      </c>
      <c r="H290" s="94" t="s">
        <v>132</v>
      </c>
      <c r="I290" s="34" t="s">
        <v>942</v>
      </c>
      <c r="J290" s="34" t="s">
        <v>1000</v>
      </c>
      <c r="K290" s="34">
        <f>IF((Observaciones[[#This Row],[Fecha Levantamiento]]-Observaciones[[#This Row],[Fecha Detección]])&gt;=0,Observaciones[[#This Row],[Fecha Levantamiento]]-Observaciones[[#This Row],[Fecha Detección]]+1,0)</f>
        <v>4</v>
      </c>
      <c r="L290" s="34" t="str">
        <f>LOOKUP(Observaciones[[#This Row],[Caso de Prueba]],CasoPrueba[Código CP],CasoPrueba[Código de REQ])</f>
        <v>INSPECCIÓN</v>
      </c>
    </row>
    <row r="291" spans="1:12" ht="30" hidden="1">
      <c r="A291" s="165" t="s">
        <v>732</v>
      </c>
      <c r="B291" s="34" t="s">
        <v>892</v>
      </c>
      <c r="C291" s="34" t="str">
        <f>VLOOKUP(Observaciones[Caso de Prueba],CasoPrueba[[#All],[Código CP]:[Prioridad]],7,TRUE)</f>
        <v>Alta</v>
      </c>
      <c r="D291" s="34" t="s">
        <v>162</v>
      </c>
      <c r="E291" s="34" t="s">
        <v>49</v>
      </c>
      <c r="F291" s="73">
        <v>40840</v>
      </c>
      <c r="G291" s="73">
        <v>40843</v>
      </c>
      <c r="H291" s="94" t="s">
        <v>132</v>
      </c>
      <c r="I291" s="34" t="s">
        <v>943</v>
      </c>
      <c r="J291" s="34" t="s">
        <v>976</v>
      </c>
      <c r="K291" s="34">
        <f>IF((Observaciones[[#This Row],[Fecha Levantamiento]]-Observaciones[[#This Row],[Fecha Detección]])&gt;=0,Observaciones[[#This Row],[Fecha Levantamiento]]-Observaciones[[#This Row],[Fecha Detección]]+1,0)</f>
        <v>4</v>
      </c>
      <c r="L291" s="34" t="str">
        <f>LOOKUP(Observaciones[[#This Row],[Caso de Prueba]],CasoPrueba[Código CP],CasoPrueba[Código de REQ])</f>
        <v>INSPECCIÓN</v>
      </c>
    </row>
    <row r="292" spans="1:12" ht="30" hidden="1">
      <c r="A292" s="165" t="s">
        <v>733</v>
      </c>
      <c r="B292" s="34" t="s">
        <v>892</v>
      </c>
      <c r="C292" s="34" t="str">
        <f>VLOOKUP(Observaciones[Caso de Prueba],CasoPrueba[[#All],[Código CP]:[Prioridad]],7,TRUE)</f>
        <v>Alta</v>
      </c>
      <c r="D292" s="34" t="s">
        <v>162</v>
      </c>
      <c r="E292" s="34" t="s">
        <v>49</v>
      </c>
      <c r="F292" s="73">
        <v>40840</v>
      </c>
      <c r="G292" s="73">
        <v>40843</v>
      </c>
      <c r="H292" s="94" t="s">
        <v>132</v>
      </c>
      <c r="I292" s="34" t="s">
        <v>944</v>
      </c>
      <c r="J292" s="34" t="s">
        <v>976</v>
      </c>
      <c r="K292" s="34">
        <f>IF((Observaciones[[#This Row],[Fecha Levantamiento]]-Observaciones[[#This Row],[Fecha Detección]])&gt;=0,Observaciones[[#This Row],[Fecha Levantamiento]]-Observaciones[[#This Row],[Fecha Detección]]+1,0)</f>
        <v>4</v>
      </c>
      <c r="L292" s="34" t="str">
        <f>LOOKUP(Observaciones[[#This Row],[Caso de Prueba]],CasoPrueba[Código CP],CasoPrueba[Código de REQ])</f>
        <v>INSPECCIÓN</v>
      </c>
    </row>
    <row r="293" spans="1:12" ht="90" hidden="1">
      <c r="A293" s="165" t="s">
        <v>734</v>
      </c>
      <c r="B293" s="34" t="s">
        <v>892</v>
      </c>
      <c r="C293" s="34" t="str">
        <f>VLOOKUP(Observaciones[Caso de Prueba],CasoPrueba[[#All],[Código CP]:[Prioridad]],7,TRUE)</f>
        <v>Alta</v>
      </c>
      <c r="D293" s="34" t="s">
        <v>29</v>
      </c>
      <c r="E293" s="34" t="s">
        <v>49</v>
      </c>
      <c r="F293" s="73">
        <v>40840</v>
      </c>
      <c r="G293" s="73">
        <v>40843</v>
      </c>
      <c r="H293" s="94" t="s">
        <v>132</v>
      </c>
      <c r="I293" s="34" t="s">
        <v>599</v>
      </c>
      <c r="J293" s="34" t="s">
        <v>817</v>
      </c>
      <c r="K293" s="34">
        <f>IF((Observaciones[[#This Row],[Fecha Levantamiento]]-Observaciones[[#This Row],[Fecha Detección]])&gt;=0,Observaciones[[#This Row],[Fecha Levantamiento]]-Observaciones[[#This Row],[Fecha Detección]]+1,0)</f>
        <v>4</v>
      </c>
      <c r="L293" s="34" t="str">
        <f>LOOKUP(Observaciones[[#This Row],[Caso de Prueba]],CasoPrueba[Código CP],CasoPrueba[Código de REQ])</f>
        <v>INSPECCIÓN</v>
      </c>
    </row>
    <row r="294" spans="1:12" ht="45" hidden="1">
      <c r="A294" s="165" t="s">
        <v>735</v>
      </c>
      <c r="B294" s="34" t="s">
        <v>892</v>
      </c>
      <c r="C294" s="34" t="str">
        <f>VLOOKUP(Observaciones[Caso de Prueba],CasoPrueba[[#All],[Código CP]:[Prioridad]],7,TRUE)</f>
        <v>Alta</v>
      </c>
      <c r="D294" s="34" t="s">
        <v>28</v>
      </c>
      <c r="E294" s="34" t="s">
        <v>49</v>
      </c>
      <c r="F294" s="73">
        <v>40840</v>
      </c>
      <c r="G294" s="73">
        <v>40843</v>
      </c>
      <c r="H294" s="94" t="s">
        <v>132</v>
      </c>
      <c r="I294" s="34" t="s">
        <v>871</v>
      </c>
      <c r="J294" s="34" t="s">
        <v>977</v>
      </c>
      <c r="K294" s="34">
        <f>IF((Observaciones[[#This Row],[Fecha Levantamiento]]-Observaciones[[#This Row],[Fecha Detección]])&gt;=0,Observaciones[[#This Row],[Fecha Levantamiento]]-Observaciones[[#This Row],[Fecha Detección]]+1,0)</f>
        <v>4</v>
      </c>
      <c r="L294" s="34" t="str">
        <f>LOOKUP(Observaciones[[#This Row],[Caso de Prueba]],CasoPrueba[Código CP],CasoPrueba[Código de REQ])</f>
        <v>INSPECCIÓN</v>
      </c>
    </row>
    <row r="295" spans="1:12" ht="30" hidden="1">
      <c r="A295" s="165" t="s">
        <v>736</v>
      </c>
      <c r="B295" s="34" t="s">
        <v>892</v>
      </c>
      <c r="C295" s="34" t="str">
        <f>VLOOKUP(Observaciones[Caso de Prueba],CasoPrueba[[#All],[Código CP]:[Prioridad]],7,TRUE)</f>
        <v>Alta</v>
      </c>
      <c r="D295" s="34" t="s">
        <v>30</v>
      </c>
      <c r="E295" s="34" t="s">
        <v>49</v>
      </c>
      <c r="F295" s="73">
        <v>40840</v>
      </c>
      <c r="G295" s="73">
        <v>40843</v>
      </c>
      <c r="H295" s="94" t="s">
        <v>132</v>
      </c>
      <c r="I295" s="34" t="s">
        <v>945</v>
      </c>
      <c r="J295" s="34" t="s">
        <v>261</v>
      </c>
      <c r="K295" s="34">
        <f>IF((Observaciones[[#This Row],[Fecha Levantamiento]]-Observaciones[[#This Row],[Fecha Detección]])&gt;=0,Observaciones[[#This Row],[Fecha Levantamiento]]-Observaciones[[#This Row],[Fecha Detección]]+1,0)</f>
        <v>4</v>
      </c>
      <c r="L295" s="34" t="str">
        <f>LOOKUP(Observaciones[[#This Row],[Caso de Prueba]],CasoPrueba[Código CP],CasoPrueba[Código de REQ])</f>
        <v>INSPECCIÓN</v>
      </c>
    </row>
    <row r="296" spans="1:12" ht="45" hidden="1">
      <c r="A296" s="165" t="s">
        <v>737</v>
      </c>
      <c r="B296" s="34" t="s">
        <v>892</v>
      </c>
      <c r="C296" s="34" t="str">
        <f>VLOOKUP(Observaciones[Caso de Prueba],CasoPrueba[[#All],[Código CP]:[Prioridad]],7,TRUE)</f>
        <v>Alta</v>
      </c>
      <c r="D296" s="34" t="s">
        <v>28</v>
      </c>
      <c r="E296" s="34" t="s">
        <v>49</v>
      </c>
      <c r="F296" s="73">
        <v>40840</v>
      </c>
      <c r="G296" s="73">
        <v>40843</v>
      </c>
      <c r="H296" s="94" t="s">
        <v>132</v>
      </c>
      <c r="I296" s="34" t="s">
        <v>946</v>
      </c>
      <c r="J296" s="34" t="s">
        <v>983</v>
      </c>
      <c r="K296" s="34">
        <f>IF((Observaciones[[#This Row],[Fecha Levantamiento]]-Observaciones[[#This Row],[Fecha Detección]])&gt;=0,Observaciones[[#This Row],[Fecha Levantamiento]]-Observaciones[[#This Row],[Fecha Detección]]+1,0)</f>
        <v>4</v>
      </c>
      <c r="L296" s="34" t="str">
        <f>LOOKUP(Observaciones[[#This Row],[Caso de Prueba]],CasoPrueba[Código CP],CasoPrueba[Código de REQ])</f>
        <v>INSPECCIÓN</v>
      </c>
    </row>
    <row r="297" spans="1:12" ht="30" hidden="1">
      <c r="A297" s="165" t="s">
        <v>738</v>
      </c>
      <c r="B297" s="34" t="s">
        <v>892</v>
      </c>
      <c r="C297" s="34" t="str">
        <f>VLOOKUP(Observaciones[Caso de Prueba],CasoPrueba[[#All],[Código CP]:[Prioridad]],7,TRUE)</f>
        <v>Alta</v>
      </c>
      <c r="D297" s="34" t="s">
        <v>162</v>
      </c>
      <c r="E297" s="34" t="s">
        <v>49</v>
      </c>
      <c r="F297" s="73">
        <v>40840</v>
      </c>
      <c r="G297" s="73">
        <v>40843</v>
      </c>
      <c r="H297" s="94" t="s">
        <v>132</v>
      </c>
      <c r="I297" s="34" t="s">
        <v>947</v>
      </c>
      <c r="J297" s="34" t="s">
        <v>968</v>
      </c>
      <c r="K297" s="34">
        <f>IF((Observaciones[[#This Row],[Fecha Levantamiento]]-Observaciones[[#This Row],[Fecha Detección]])&gt;=0,Observaciones[[#This Row],[Fecha Levantamiento]]-Observaciones[[#This Row],[Fecha Detección]]+1,0)</f>
        <v>4</v>
      </c>
      <c r="L297" s="34" t="str">
        <f>LOOKUP(Observaciones[[#This Row],[Caso de Prueba]],CasoPrueba[Código CP],CasoPrueba[Código de REQ])</f>
        <v>INSPECCIÓN</v>
      </c>
    </row>
    <row r="298" spans="1:12" ht="30" hidden="1">
      <c r="A298" s="165" t="s">
        <v>739</v>
      </c>
      <c r="B298" s="34" t="s">
        <v>892</v>
      </c>
      <c r="C298" s="34" t="str">
        <f>VLOOKUP(Observaciones[Caso de Prueba],CasoPrueba[[#All],[Código CP]:[Prioridad]],7,TRUE)</f>
        <v>Alta</v>
      </c>
      <c r="D298" s="34" t="s">
        <v>162</v>
      </c>
      <c r="E298" s="34" t="s">
        <v>49</v>
      </c>
      <c r="F298" s="73">
        <v>40840</v>
      </c>
      <c r="G298" s="73">
        <v>40843</v>
      </c>
      <c r="H298" s="94" t="s">
        <v>132</v>
      </c>
      <c r="I298" s="34" t="s">
        <v>948</v>
      </c>
      <c r="J298" s="34" t="s">
        <v>968</v>
      </c>
      <c r="K298" s="34">
        <f>IF((Observaciones[[#This Row],[Fecha Levantamiento]]-Observaciones[[#This Row],[Fecha Detección]])&gt;=0,Observaciones[[#This Row],[Fecha Levantamiento]]-Observaciones[[#This Row],[Fecha Detección]]+1,0)</f>
        <v>4</v>
      </c>
      <c r="L298" s="34" t="str">
        <f>LOOKUP(Observaciones[[#This Row],[Caso de Prueba]],CasoPrueba[Código CP],CasoPrueba[Código de REQ])</f>
        <v>INSPECCIÓN</v>
      </c>
    </row>
    <row r="299" spans="1:12" ht="45" hidden="1">
      <c r="A299" s="165" t="s">
        <v>740</v>
      </c>
      <c r="B299" s="34" t="s">
        <v>893</v>
      </c>
      <c r="C299" s="34" t="str">
        <f>VLOOKUP(Observaciones[Caso de Prueba],CasoPrueba[[#All],[Código CP]:[Prioridad]],7,TRUE)</f>
        <v>Alta</v>
      </c>
      <c r="D299" s="34" t="s">
        <v>28</v>
      </c>
      <c r="E299" s="34" t="s">
        <v>49</v>
      </c>
      <c r="F299" s="73">
        <v>40838</v>
      </c>
      <c r="G299" s="73">
        <v>40843</v>
      </c>
      <c r="H299" s="94" t="s">
        <v>132</v>
      </c>
      <c r="I299" s="34" t="s">
        <v>597</v>
      </c>
      <c r="J299" s="34" t="s">
        <v>984</v>
      </c>
      <c r="K299" s="34">
        <f>IF((Observaciones[[#This Row],[Fecha Levantamiento]]-Observaciones[[#This Row],[Fecha Detección]])&gt;=0,Observaciones[[#This Row],[Fecha Levantamiento]]-Observaciones[[#This Row],[Fecha Detección]]+1,0)</f>
        <v>6</v>
      </c>
      <c r="L299" s="34" t="str">
        <f>LOOKUP(Observaciones[[#This Row],[Caso de Prueba]],CasoPrueba[Código CP],CasoPrueba[Código de REQ])</f>
        <v>INSPECCIÓN</v>
      </c>
    </row>
    <row r="300" spans="1:12" ht="60" hidden="1">
      <c r="A300" s="165" t="s">
        <v>741</v>
      </c>
      <c r="B300" s="34" t="s">
        <v>893</v>
      </c>
      <c r="C300" s="34" t="str">
        <f>VLOOKUP(Observaciones[Caso de Prueba],CasoPrueba[[#All],[Código CP]:[Prioridad]],7,TRUE)</f>
        <v>Alta</v>
      </c>
      <c r="D300" s="34" t="s">
        <v>30</v>
      </c>
      <c r="E300" s="34" t="s">
        <v>49</v>
      </c>
      <c r="F300" s="73">
        <v>40838</v>
      </c>
      <c r="G300" s="73">
        <v>40843</v>
      </c>
      <c r="H300" s="94" t="s">
        <v>132</v>
      </c>
      <c r="I300" s="34" t="s">
        <v>949</v>
      </c>
      <c r="J300" s="34" t="s">
        <v>969</v>
      </c>
      <c r="K300" s="34">
        <f>IF((Observaciones[[#This Row],[Fecha Levantamiento]]-Observaciones[[#This Row],[Fecha Detección]])&gt;=0,Observaciones[[#This Row],[Fecha Levantamiento]]-Observaciones[[#This Row],[Fecha Detección]]+1,0)</f>
        <v>6</v>
      </c>
      <c r="L300" s="34" t="str">
        <f>LOOKUP(Observaciones[[#This Row],[Caso de Prueba]],CasoPrueba[Código CP],CasoPrueba[Código de REQ])</f>
        <v>INSPECCIÓN</v>
      </c>
    </row>
    <row r="301" spans="1:12" ht="90" hidden="1">
      <c r="A301" s="165" t="s">
        <v>742</v>
      </c>
      <c r="B301" s="34" t="s">
        <v>893</v>
      </c>
      <c r="C301" s="34" t="str">
        <f>VLOOKUP(Observaciones[Caso de Prueba],CasoPrueba[[#All],[Código CP]:[Prioridad]],7,TRUE)</f>
        <v>Alta</v>
      </c>
      <c r="D301" s="34" t="s">
        <v>29</v>
      </c>
      <c r="E301" s="34" t="s">
        <v>49</v>
      </c>
      <c r="F301" s="73">
        <v>40840</v>
      </c>
      <c r="G301" s="73">
        <v>40843</v>
      </c>
      <c r="H301" s="94" t="s">
        <v>132</v>
      </c>
      <c r="I301" s="34" t="s">
        <v>599</v>
      </c>
      <c r="J301" s="34" t="s">
        <v>981</v>
      </c>
      <c r="K301" s="34">
        <f>IF((Observaciones[[#This Row],[Fecha Levantamiento]]-Observaciones[[#This Row],[Fecha Detección]])&gt;=0,Observaciones[[#This Row],[Fecha Levantamiento]]-Observaciones[[#This Row],[Fecha Detección]]+1,0)</f>
        <v>4</v>
      </c>
      <c r="L301" s="34" t="str">
        <f>LOOKUP(Observaciones[[#This Row],[Caso de Prueba]],CasoPrueba[Código CP],CasoPrueba[Código de REQ])</f>
        <v>INSPECCIÓN</v>
      </c>
    </row>
    <row r="302" spans="1:12" ht="45" hidden="1">
      <c r="A302" s="165" t="s">
        <v>743</v>
      </c>
      <c r="B302" s="34" t="s">
        <v>893</v>
      </c>
      <c r="C302" s="34" t="str">
        <f>VLOOKUP(Observaciones[Caso de Prueba],CasoPrueba[[#All],[Código CP]:[Prioridad]],7,TRUE)</f>
        <v>Alta</v>
      </c>
      <c r="D302" s="34" t="s">
        <v>28</v>
      </c>
      <c r="E302" s="34" t="s">
        <v>49</v>
      </c>
      <c r="F302" s="73">
        <v>40840</v>
      </c>
      <c r="G302" s="73">
        <v>40843</v>
      </c>
      <c r="H302" s="94" t="s">
        <v>132</v>
      </c>
      <c r="I302" s="34" t="s">
        <v>871</v>
      </c>
      <c r="J302" s="34" t="s">
        <v>977</v>
      </c>
      <c r="K302" s="34">
        <f>IF((Observaciones[[#This Row],[Fecha Levantamiento]]-Observaciones[[#This Row],[Fecha Detección]])&gt;=0,Observaciones[[#This Row],[Fecha Levantamiento]]-Observaciones[[#This Row],[Fecha Detección]]+1,0)</f>
        <v>4</v>
      </c>
      <c r="L302" s="34" t="str">
        <f>LOOKUP(Observaciones[[#This Row],[Caso de Prueba]],CasoPrueba[Código CP],CasoPrueba[Código de REQ])</f>
        <v>INSPECCIÓN</v>
      </c>
    </row>
    <row r="303" spans="1:12" hidden="1">
      <c r="A303" s="165" t="s">
        <v>744</v>
      </c>
      <c r="B303" s="34" t="s">
        <v>893</v>
      </c>
      <c r="C303" s="34" t="str">
        <f>VLOOKUP(Observaciones[Caso de Prueba],CasoPrueba[[#All],[Código CP]:[Prioridad]],7,TRUE)</f>
        <v>Alta</v>
      </c>
      <c r="D303" s="34" t="s">
        <v>30</v>
      </c>
      <c r="E303" s="34" t="s">
        <v>49</v>
      </c>
      <c r="F303" s="73">
        <v>40840</v>
      </c>
      <c r="G303" s="73">
        <v>40843</v>
      </c>
      <c r="H303" s="94" t="s">
        <v>132</v>
      </c>
      <c r="I303" s="34" t="s">
        <v>950</v>
      </c>
      <c r="J303" s="34" t="s">
        <v>985</v>
      </c>
      <c r="K303" s="34">
        <f>IF((Observaciones[[#This Row],[Fecha Levantamiento]]-Observaciones[[#This Row],[Fecha Detección]])&gt;=0,Observaciones[[#This Row],[Fecha Levantamiento]]-Observaciones[[#This Row],[Fecha Detección]]+1,0)</f>
        <v>4</v>
      </c>
      <c r="L303" s="34" t="str">
        <f>LOOKUP(Observaciones[[#This Row],[Caso de Prueba]],CasoPrueba[Código CP],CasoPrueba[Código de REQ])</f>
        <v>INSPECCIÓN</v>
      </c>
    </row>
    <row r="304" spans="1:12" ht="45" hidden="1">
      <c r="A304" s="165" t="s">
        <v>745</v>
      </c>
      <c r="B304" s="34" t="s">
        <v>893</v>
      </c>
      <c r="C304" s="34" t="str">
        <f>VLOOKUP(Observaciones[Caso de Prueba],CasoPrueba[[#All],[Código CP]:[Prioridad]],7,TRUE)</f>
        <v>Alta</v>
      </c>
      <c r="D304" s="34" t="s">
        <v>162</v>
      </c>
      <c r="E304" s="34" t="s">
        <v>49</v>
      </c>
      <c r="F304" s="73">
        <v>40840</v>
      </c>
      <c r="G304" s="73">
        <v>40843</v>
      </c>
      <c r="H304" s="94" t="s">
        <v>132</v>
      </c>
      <c r="I304" s="34" t="s">
        <v>951</v>
      </c>
      <c r="J304" s="34" t="s">
        <v>968</v>
      </c>
      <c r="K304" s="34">
        <f>IF((Observaciones[[#This Row],[Fecha Levantamiento]]-Observaciones[[#This Row],[Fecha Detección]])&gt;=0,Observaciones[[#This Row],[Fecha Levantamiento]]-Observaciones[[#This Row],[Fecha Detección]]+1,0)</f>
        <v>4</v>
      </c>
      <c r="L304" s="34" t="str">
        <f>LOOKUP(Observaciones[[#This Row],[Caso de Prueba]],CasoPrueba[Código CP],CasoPrueba[Código de REQ])</f>
        <v>INSPECCIÓN</v>
      </c>
    </row>
    <row r="305" spans="1:12" ht="30" hidden="1">
      <c r="A305" s="165" t="s">
        <v>746</v>
      </c>
      <c r="B305" s="163" t="s">
        <v>904</v>
      </c>
      <c r="C305" s="163" t="str">
        <f>VLOOKUP(Observaciones[Caso de Prueba],CasoPrueba[[#All],[Código CP]:[Prioridad]],7,TRUE)</f>
        <v>Alta</v>
      </c>
      <c r="D305" s="163" t="s">
        <v>162</v>
      </c>
      <c r="E305" s="34" t="s">
        <v>49</v>
      </c>
      <c r="F305" s="164">
        <v>40845</v>
      </c>
      <c r="G305" s="164">
        <v>40847</v>
      </c>
      <c r="H305" s="94" t="s">
        <v>132</v>
      </c>
      <c r="I305" s="163" t="s">
        <v>1003</v>
      </c>
      <c r="J305" s="163" t="s">
        <v>1042</v>
      </c>
      <c r="K305" s="163">
        <f>IF((Observaciones[[#This Row],[Fecha Levantamiento]]-Observaciones[[#This Row],[Fecha Detección]])&gt;=0,Observaciones[[#This Row],[Fecha Levantamiento]]-Observaciones[[#This Row],[Fecha Detección]]+1,0)</f>
        <v>3</v>
      </c>
      <c r="L305" s="163" t="str">
        <f>LOOKUP(Observaciones[[#This Row],[Caso de Prueba]],CasoPrueba[Código CP],CasoPrueba[Código de REQ])</f>
        <v>INSPECCIÓN</v>
      </c>
    </row>
    <row r="306" spans="1:12" ht="45" hidden="1">
      <c r="A306" s="165" t="s">
        <v>747</v>
      </c>
      <c r="B306" s="163" t="s">
        <v>904</v>
      </c>
      <c r="C306" s="163" t="str">
        <f>VLOOKUP(Observaciones[Caso de Prueba],CasoPrueba[[#All],[Código CP]:[Prioridad]],7,TRUE)</f>
        <v>Alta</v>
      </c>
      <c r="D306" s="34" t="s">
        <v>28</v>
      </c>
      <c r="E306" s="34" t="s">
        <v>49</v>
      </c>
      <c r="F306" s="164">
        <v>40845</v>
      </c>
      <c r="G306" s="164">
        <v>40847</v>
      </c>
      <c r="H306" s="94" t="s">
        <v>132</v>
      </c>
      <c r="I306" s="34" t="s">
        <v>871</v>
      </c>
      <c r="J306" s="163" t="s">
        <v>986</v>
      </c>
      <c r="K306" s="163">
        <f>IF((Observaciones[[#This Row],[Fecha Levantamiento]]-Observaciones[[#This Row],[Fecha Detección]])&gt;=0,Observaciones[[#This Row],[Fecha Levantamiento]]-Observaciones[[#This Row],[Fecha Detección]]+1,0)</f>
        <v>3</v>
      </c>
      <c r="L306" s="163" t="str">
        <f>LOOKUP(Observaciones[[#This Row],[Caso de Prueba]],CasoPrueba[Código CP],CasoPrueba[Código de REQ])</f>
        <v>INSPECCIÓN</v>
      </c>
    </row>
    <row r="307" spans="1:12" ht="45" hidden="1">
      <c r="A307" s="165" t="s">
        <v>748</v>
      </c>
      <c r="B307" s="163" t="s">
        <v>904</v>
      </c>
      <c r="C307" s="163" t="str">
        <f>VLOOKUP(Observaciones[Caso de Prueba],CasoPrueba[[#All],[Código CP]:[Prioridad]],7,TRUE)</f>
        <v>Alta</v>
      </c>
      <c r="D307" s="163" t="s">
        <v>29</v>
      </c>
      <c r="E307" s="34" t="s">
        <v>49</v>
      </c>
      <c r="F307" s="164">
        <v>40845</v>
      </c>
      <c r="G307" s="164">
        <v>40847</v>
      </c>
      <c r="H307" s="94" t="s">
        <v>132</v>
      </c>
      <c r="I307" s="163" t="s">
        <v>1004</v>
      </c>
      <c r="J307" s="163" t="s">
        <v>1043</v>
      </c>
      <c r="K307" s="163">
        <f>IF((Observaciones[[#This Row],[Fecha Levantamiento]]-Observaciones[[#This Row],[Fecha Detección]])&gt;=0,Observaciones[[#This Row],[Fecha Levantamiento]]-Observaciones[[#This Row],[Fecha Detección]]+1,0)</f>
        <v>3</v>
      </c>
      <c r="L307" s="163" t="str">
        <f>LOOKUP(Observaciones[[#This Row],[Caso de Prueba]],CasoPrueba[Código CP],CasoPrueba[Código de REQ])</f>
        <v>INSPECCIÓN</v>
      </c>
    </row>
    <row r="308" spans="1:12" ht="30" hidden="1">
      <c r="A308" s="165" t="s">
        <v>749</v>
      </c>
      <c r="B308" s="163" t="s">
        <v>904</v>
      </c>
      <c r="C308" s="163" t="str">
        <f>VLOOKUP(Observaciones[Caso de Prueba],CasoPrueba[[#All],[Código CP]:[Prioridad]],7,TRUE)</f>
        <v>Alta</v>
      </c>
      <c r="D308" s="163" t="s">
        <v>162</v>
      </c>
      <c r="E308" s="34" t="s">
        <v>49</v>
      </c>
      <c r="F308" s="164">
        <v>40845</v>
      </c>
      <c r="G308" s="164">
        <v>40847</v>
      </c>
      <c r="H308" s="94" t="s">
        <v>132</v>
      </c>
      <c r="I308" s="163" t="s">
        <v>1005</v>
      </c>
      <c r="J308" s="163" t="s">
        <v>1044</v>
      </c>
      <c r="K308" s="163">
        <f>IF((Observaciones[[#This Row],[Fecha Levantamiento]]-Observaciones[[#This Row],[Fecha Detección]])&gt;=0,Observaciones[[#This Row],[Fecha Levantamiento]]-Observaciones[[#This Row],[Fecha Detección]]+1,0)</f>
        <v>3</v>
      </c>
      <c r="L308" s="163" t="str">
        <f>LOOKUP(Observaciones[[#This Row],[Caso de Prueba]],CasoPrueba[Código CP],CasoPrueba[Código de REQ])</f>
        <v>INSPECCIÓN</v>
      </c>
    </row>
    <row r="309" spans="1:12" ht="60" hidden="1">
      <c r="A309" s="165" t="s">
        <v>750</v>
      </c>
      <c r="B309" s="163" t="s">
        <v>904</v>
      </c>
      <c r="C309" s="163" t="str">
        <f>VLOOKUP(Observaciones[Caso de Prueba],CasoPrueba[[#All],[Código CP]:[Prioridad]],7,TRUE)</f>
        <v>Alta</v>
      </c>
      <c r="D309" s="163" t="s">
        <v>30</v>
      </c>
      <c r="E309" s="34" t="s">
        <v>49</v>
      </c>
      <c r="F309" s="164">
        <v>40845</v>
      </c>
      <c r="G309" s="164">
        <v>40847</v>
      </c>
      <c r="H309" s="94" t="s">
        <v>132</v>
      </c>
      <c r="I309" s="163" t="s">
        <v>1006</v>
      </c>
      <c r="J309" s="163" t="s">
        <v>1045</v>
      </c>
      <c r="K309" s="163">
        <f>IF((Observaciones[[#This Row],[Fecha Levantamiento]]-Observaciones[[#This Row],[Fecha Detección]])&gt;=0,Observaciones[[#This Row],[Fecha Levantamiento]]-Observaciones[[#This Row],[Fecha Detección]]+1,0)</f>
        <v>3</v>
      </c>
      <c r="L309" s="163" t="str">
        <f>LOOKUP(Observaciones[[#This Row],[Caso de Prueba]],CasoPrueba[Código CP],CasoPrueba[Código de REQ])</f>
        <v>INSPECCIÓN</v>
      </c>
    </row>
    <row r="310" spans="1:12" ht="30" hidden="1">
      <c r="A310" s="165" t="s">
        <v>751</v>
      </c>
      <c r="B310" s="163" t="s">
        <v>904</v>
      </c>
      <c r="C310" s="163" t="str">
        <f>VLOOKUP(Observaciones[Caso de Prueba],CasoPrueba[[#All],[Código CP]:[Prioridad]],7,TRUE)</f>
        <v>Alta</v>
      </c>
      <c r="D310" s="163" t="s">
        <v>162</v>
      </c>
      <c r="E310" s="34" t="s">
        <v>49</v>
      </c>
      <c r="F310" s="164">
        <v>40845</v>
      </c>
      <c r="G310" s="164">
        <v>40847</v>
      </c>
      <c r="H310" s="94" t="s">
        <v>132</v>
      </c>
      <c r="I310" s="163" t="s">
        <v>1007</v>
      </c>
      <c r="J310" s="163" t="s">
        <v>823</v>
      </c>
      <c r="K310" s="163">
        <f>IF((Observaciones[[#This Row],[Fecha Levantamiento]]-Observaciones[[#This Row],[Fecha Detección]])&gt;=0,Observaciones[[#This Row],[Fecha Levantamiento]]-Observaciones[[#This Row],[Fecha Detección]]+1,0)</f>
        <v>3</v>
      </c>
      <c r="L310" s="163" t="str">
        <f>LOOKUP(Observaciones[[#This Row],[Caso de Prueba]],CasoPrueba[Código CP],CasoPrueba[Código de REQ])</f>
        <v>INSPECCIÓN</v>
      </c>
    </row>
    <row r="311" spans="1:12" ht="45" hidden="1">
      <c r="A311" s="165" t="s">
        <v>752</v>
      </c>
      <c r="B311" s="163" t="s">
        <v>904</v>
      </c>
      <c r="C311" s="163" t="str">
        <f>VLOOKUP(Observaciones[Caso de Prueba],CasoPrueba[[#All],[Código CP]:[Prioridad]],7,TRUE)</f>
        <v>Alta</v>
      </c>
      <c r="D311" s="163" t="s">
        <v>29</v>
      </c>
      <c r="E311" s="34" t="s">
        <v>49</v>
      </c>
      <c r="F311" s="164">
        <v>40845</v>
      </c>
      <c r="G311" s="164">
        <v>40847</v>
      </c>
      <c r="H311" s="94" t="s">
        <v>132</v>
      </c>
      <c r="I311" s="163" t="s">
        <v>1008</v>
      </c>
      <c r="J311" s="163" t="s">
        <v>1046</v>
      </c>
      <c r="K311" s="163">
        <f>IF((Observaciones[[#This Row],[Fecha Levantamiento]]-Observaciones[[#This Row],[Fecha Detección]])&gt;=0,Observaciones[[#This Row],[Fecha Levantamiento]]-Observaciones[[#This Row],[Fecha Detección]]+1,0)</f>
        <v>3</v>
      </c>
      <c r="L311" s="163" t="str">
        <f>LOOKUP(Observaciones[[#This Row],[Caso de Prueba]],CasoPrueba[Código CP],CasoPrueba[Código de REQ])</f>
        <v>INSPECCIÓN</v>
      </c>
    </row>
    <row r="312" spans="1:12" ht="30.75" hidden="1" customHeight="1">
      <c r="A312" s="165" t="s">
        <v>753</v>
      </c>
      <c r="B312" s="163" t="s">
        <v>904</v>
      </c>
      <c r="C312" s="163" t="str">
        <f>VLOOKUP(Observaciones[Caso de Prueba],CasoPrueba[[#All],[Código CP]:[Prioridad]],7,TRUE)</f>
        <v>Alta</v>
      </c>
      <c r="D312" s="163" t="s">
        <v>162</v>
      </c>
      <c r="E312" s="34" t="s">
        <v>49</v>
      </c>
      <c r="F312" s="164">
        <v>40845</v>
      </c>
      <c r="G312" s="164">
        <v>40847</v>
      </c>
      <c r="H312" s="94" t="s">
        <v>132</v>
      </c>
      <c r="I312" s="163" t="s">
        <v>1009</v>
      </c>
      <c r="J312" s="163" t="s">
        <v>1047</v>
      </c>
      <c r="K312" s="163">
        <f>IF((Observaciones[[#This Row],[Fecha Levantamiento]]-Observaciones[[#This Row],[Fecha Detección]])&gt;=0,Observaciones[[#This Row],[Fecha Levantamiento]]-Observaciones[[#This Row],[Fecha Detección]]+1,0)</f>
        <v>3</v>
      </c>
      <c r="L312" s="163" t="str">
        <f>LOOKUP(Observaciones[[#This Row],[Caso de Prueba]],CasoPrueba[Código CP],CasoPrueba[Código de REQ])</f>
        <v>INSPECCIÓN</v>
      </c>
    </row>
    <row r="313" spans="1:12" ht="45" hidden="1">
      <c r="A313" s="165" t="s">
        <v>754</v>
      </c>
      <c r="B313" s="163" t="s">
        <v>904</v>
      </c>
      <c r="C313" s="163" t="str">
        <f>VLOOKUP(Observaciones[Caso de Prueba],CasoPrueba[[#All],[Código CP]:[Prioridad]],7,TRUE)</f>
        <v>Alta</v>
      </c>
      <c r="D313" s="163" t="s">
        <v>162</v>
      </c>
      <c r="E313" s="34" t="s">
        <v>49</v>
      </c>
      <c r="F313" s="164">
        <v>40845</v>
      </c>
      <c r="G313" s="164">
        <v>40847</v>
      </c>
      <c r="H313" s="94" t="s">
        <v>132</v>
      </c>
      <c r="I313" s="163" t="s">
        <v>1010</v>
      </c>
      <c r="J313" s="163" t="s">
        <v>823</v>
      </c>
      <c r="K313" s="163">
        <f>IF((Observaciones[[#This Row],[Fecha Levantamiento]]-Observaciones[[#This Row],[Fecha Detección]])&gt;=0,Observaciones[[#This Row],[Fecha Levantamiento]]-Observaciones[[#This Row],[Fecha Detección]]+1,0)</f>
        <v>3</v>
      </c>
      <c r="L313" s="163" t="str">
        <f>LOOKUP(Observaciones[[#This Row],[Caso de Prueba]],CasoPrueba[Código CP],CasoPrueba[Código de REQ])</f>
        <v>INSPECCIÓN</v>
      </c>
    </row>
    <row r="314" spans="1:12" ht="30" hidden="1">
      <c r="A314" s="165" t="s">
        <v>755</v>
      </c>
      <c r="B314" s="163" t="s">
        <v>904</v>
      </c>
      <c r="C314" s="34" t="str">
        <f>VLOOKUP(Observaciones[Caso de Prueba],CasoPrueba[[#All],[Código CP]:[Prioridad]],7,TRUE)</f>
        <v>Alta</v>
      </c>
      <c r="D314" s="34" t="s">
        <v>30</v>
      </c>
      <c r="E314" s="34" t="s">
        <v>49</v>
      </c>
      <c r="F314" s="164">
        <v>40845</v>
      </c>
      <c r="G314" s="164">
        <v>40847</v>
      </c>
      <c r="H314" s="94" t="s">
        <v>132</v>
      </c>
      <c r="I314" s="34" t="s">
        <v>1011</v>
      </c>
      <c r="J314" s="34" t="s">
        <v>835</v>
      </c>
      <c r="K314" s="34">
        <f>IF((Observaciones[[#This Row],[Fecha Levantamiento]]-Observaciones[[#This Row],[Fecha Detección]])&gt;=0,Observaciones[[#This Row],[Fecha Levantamiento]]-Observaciones[[#This Row],[Fecha Detección]]+1,0)</f>
        <v>3</v>
      </c>
      <c r="L314" s="34" t="str">
        <f>LOOKUP(Observaciones[[#This Row],[Caso de Prueba]],CasoPrueba[Código CP],CasoPrueba[Código de REQ])</f>
        <v>INSPECCIÓN</v>
      </c>
    </row>
    <row r="315" spans="1:12" ht="45" hidden="1">
      <c r="A315" s="165" t="s">
        <v>756</v>
      </c>
      <c r="B315" s="163" t="s">
        <v>905</v>
      </c>
      <c r="C315" s="34" t="str">
        <f>VLOOKUP(Observaciones[Caso de Prueba],CasoPrueba[[#All],[Código CP]:[Prioridad]],7,TRUE)</f>
        <v>Alta</v>
      </c>
      <c r="D315" s="34" t="s">
        <v>28</v>
      </c>
      <c r="E315" s="34" t="s">
        <v>49</v>
      </c>
      <c r="F315" s="164">
        <v>40845</v>
      </c>
      <c r="G315" s="164">
        <v>40847</v>
      </c>
      <c r="H315" s="94" t="s">
        <v>132</v>
      </c>
      <c r="I315" s="34" t="s">
        <v>597</v>
      </c>
      <c r="J315" s="34" t="s">
        <v>1048</v>
      </c>
      <c r="K315" s="34">
        <f>IF((Observaciones[[#This Row],[Fecha Levantamiento]]-Observaciones[[#This Row],[Fecha Detección]])&gt;=0,Observaciones[[#This Row],[Fecha Levantamiento]]-Observaciones[[#This Row],[Fecha Detección]]+1,0)</f>
        <v>3</v>
      </c>
      <c r="L315" s="34" t="str">
        <f>LOOKUP(Observaciones[[#This Row],[Caso de Prueba]],CasoPrueba[Código CP],CasoPrueba[Código de REQ])</f>
        <v>INSPECCIÓN</v>
      </c>
    </row>
    <row r="316" spans="1:12" ht="30" hidden="1">
      <c r="A316" s="165" t="s">
        <v>757</v>
      </c>
      <c r="B316" s="163" t="s">
        <v>905</v>
      </c>
      <c r="C316" s="34" t="str">
        <f>VLOOKUP(Observaciones[Caso de Prueba],CasoPrueba[[#All],[Código CP]:[Prioridad]],7,TRUE)</f>
        <v>Alta</v>
      </c>
      <c r="D316" s="163" t="s">
        <v>162</v>
      </c>
      <c r="E316" s="34" t="s">
        <v>49</v>
      </c>
      <c r="F316" s="164">
        <v>40845</v>
      </c>
      <c r="G316" s="164">
        <v>40847</v>
      </c>
      <c r="H316" s="94" t="s">
        <v>132</v>
      </c>
      <c r="I316" s="34" t="s">
        <v>1012</v>
      </c>
      <c r="J316" s="34" t="s">
        <v>1049</v>
      </c>
      <c r="K316" s="34">
        <f>IF((Observaciones[[#This Row],[Fecha Levantamiento]]-Observaciones[[#This Row],[Fecha Detección]])&gt;=0,Observaciones[[#This Row],[Fecha Levantamiento]]-Observaciones[[#This Row],[Fecha Detección]]+1,0)</f>
        <v>3</v>
      </c>
      <c r="L316" s="34" t="str">
        <f>LOOKUP(Observaciones[[#This Row],[Caso de Prueba]],CasoPrueba[Código CP],CasoPrueba[Código de REQ])</f>
        <v>INSPECCIÓN</v>
      </c>
    </row>
    <row r="317" spans="1:12" ht="45" hidden="1">
      <c r="A317" s="165" t="s">
        <v>758</v>
      </c>
      <c r="B317" s="163" t="s">
        <v>905</v>
      </c>
      <c r="C317" s="34" t="str">
        <f>VLOOKUP(Observaciones[Caso de Prueba],CasoPrueba[[#All],[Código CP]:[Prioridad]],7,TRUE)</f>
        <v>Alta</v>
      </c>
      <c r="D317" s="34" t="s">
        <v>28</v>
      </c>
      <c r="E317" s="34" t="s">
        <v>49</v>
      </c>
      <c r="F317" s="164">
        <v>40845</v>
      </c>
      <c r="G317" s="164">
        <v>40847</v>
      </c>
      <c r="H317" s="94" t="s">
        <v>132</v>
      </c>
      <c r="I317" s="34" t="s">
        <v>1015</v>
      </c>
      <c r="J317" s="34" t="s">
        <v>1050</v>
      </c>
      <c r="K317" s="34">
        <f>IF((Observaciones[[#This Row],[Fecha Levantamiento]]-Observaciones[[#This Row],[Fecha Detección]])&gt;=0,Observaciones[[#This Row],[Fecha Levantamiento]]-Observaciones[[#This Row],[Fecha Detección]]+1,0)</f>
        <v>3</v>
      </c>
      <c r="L317" s="34" t="str">
        <f>LOOKUP(Observaciones[[#This Row],[Caso de Prueba]],CasoPrueba[Código CP],CasoPrueba[Código de REQ])</f>
        <v>INSPECCIÓN</v>
      </c>
    </row>
    <row r="318" spans="1:12" ht="75" hidden="1">
      <c r="A318" s="165" t="s">
        <v>759</v>
      </c>
      <c r="B318" s="163" t="s">
        <v>905</v>
      </c>
      <c r="C318" s="34" t="str">
        <f>VLOOKUP(Observaciones[Caso de Prueba],CasoPrueba[[#All],[Código CP]:[Prioridad]],7,TRUE)</f>
        <v>Alta</v>
      </c>
      <c r="D318" s="34" t="s">
        <v>29</v>
      </c>
      <c r="E318" s="34" t="s">
        <v>49</v>
      </c>
      <c r="F318" s="164">
        <v>40845</v>
      </c>
      <c r="G318" s="164">
        <v>40847</v>
      </c>
      <c r="H318" s="94" t="s">
        <v>132</v>
      </c>
      <c r="I318" s="34" t="s">
        <v>1019</v>
      </c>
      <c r="J318" s="34" t="s">
        <v>981</v>
      </c>
      <c r="K318" s="34">
        <f>IF((Observaciones[[#This Row],[Fecha Levantamiento]]-Observaciones[[#This Row],[Fecha Detección]])&gt;=0,Observaciones[[#This Row],[Fecha Levantamiento]]-Observaciones[[#This Row],[Fecha Detección]]+1,0)</f>
        <v>3</v>
      </c>
      <c r="L318" s="34" t="str">
        <f>LOOKUP(Observaciones[[#This Row],[Caso de Prueba]],CasoPrueba[Código CP],CasoPrueba[Código de REQ])</f>
        <v>INSPECCIÓN</v>
      </c>
    </row>
    <row r="319" spans="1:12" ht="60" hidden="1">
      <c r="A319" s="165" t="s">
        <v>760</v>
      </c>
      <c r="B319" s="163" t="s">
        <v>905</v>
      </c>
      <c r="C319" s="34" t="str">
        <f>VLOOKUP(Observaciones[Caso de Prueba],CasoPrueba[[#All],[Código CP]:[Prioridad]],7,TRUE)</f>
        <v>Alta</v>
      </c>
      <c r="D319" s="34" t="s">
        <v>28</v>
      </c>
      <c r="E319" s="34" t="s">
        <v>49</v>
      </c>
      <c r="F319" s="164">
        <v>40845</v>
      </c>
      <c r="G319" s="164">
        <v>40847</v>
      </c>
      <c r="H319" s="94" t="s">
        <v>132</v>
      </c>
      <c r="I319" s="34" t="s">
        <v>1013</v>
      </c>
      <c r="J319" s="34" t="s">
        <v>1051</v>
      </c>
      <c r="K319" s="34">
        <f>IF((Observaciones[[#This Row],[Fecha Levantamiento]]-Observaciones[[#This Row],[Fecha Detección]])&gt;=0,Observaciones[[#This Row],[Fecha Levantamiento]]-Observaciones[[#This Row],[Fecha Detección]]+1,0)</f>
        <v>3</v>
      </c>
      <c r="L319" s="34" t="str">
        <f>LOOKUP(Observaciones[[#This Row],[Caso de Prueba]],CasoPrueba[Código CP],CasoPrueba[Código de REQ])</f>
        <v>INSPECCIÓN</v>
      </c>
    </row>
    <row r="320" spans="1:12" ht="30" hidden="1">
      <c r="A320" s="165" t="s">
        <v>761</v>
      </c>
      <c r="B320" s="163" t="s">
        <v>905</v>
      </c>
      <c r="C320" s="34" t="str">
        <f>VLOOKUP(Observaciones[Caso de Prueba],CasoPrueba[[#All],[Código CP]:[Prioridad]],7,TRUE)</f>
        <v>Alta</v>
      </c>
      <c r="D320" s="34" t="s">
        <v>30</v>
      </c>
      <c r="E320" s="34" t="s">
        <v>49</v>
      </c>
      <c r="F320" s="164">
        <v>40845</v>
      </c>
      <c r="G320" s="164">
        <v>40847</v>
      </c>
      <c r="H320" s="94" t="s">
        <v>132</v>
      </c>
      <c r="I320" s="34" t="s">
        <v>1014</v>
      </c>
      <c r="J320" s="34" t="s">
        <v>1052</v>
      </c>
      <c r="K320" s="34">
        <f>IF((Observaciones[[#This Row],[Fecha Levantamiento]]-Observaciones[[#This Row],[Fecha Detección]])&gt;=0,Observaciones[[#This Row],[Fecha Levantamiento]]-Observaciones[[#This Row],[Fecha Detección]]+1,0)</f>
        <v>3</v>
      </c>
      <c r="L320" s="34" t="str">
        <f>LOOKUP(Observaciones[[#This Row],[Caso de Prueba]],CasoPrueba[Código CP],CasoPrueba[Código de REQ])</f>
        <v>INSPECCIÓN</v>
      </c>
    </row>
    <row r="321" spans="1:12" ht="30" hidden="1">
      <c r="A321" s="165" t="s">
        <v>762</v>
      </c>
      <c r="B321" s="163" t="s">
        <v>905</v>
      </c>
      <c r="C321" s="34" t="str">
        <f>VLOOKUP(Observaciones[Caso de Prueba],CasoPrueba[[#All],[Código CP]:[Prioridad]],7,TRUE)</f>
        <v>Alta</v>
      </c>
      <c r="D321" s="34" t="s">
        <v>162</v>
      </c>
      <c r="E321" s="34" t="s">
        <v>49</v>
      </c>
      <c r="F321" s="164">
        <v>40845</v>
      </c>
      <c r="G321" s="164">
        <v>40847</v>
      </c>
      <c r="H321" s="94" t="s">
        <v>132</v>
      </c>
      <c r="I321" s="34" t="s">
        <v>1059</v>
      </c>
      <c r="J321" s="34" t="s">
        <v>1053</v>
      </c>
      <c r="K321" s="34">
        <f>IF((Observaciones[[#This Row],[Fecha Levantamiento]]-Observaciones[[#This Row],[Fecha Detección]])&gt;=0,Observaciones[[#This Row],[Fecha Levantamiento]]-Observaciones[[#This Row],[Fecha Detección]]+1,0)</f>
        <v>3</v>
      </c>
      <c r="L321" s="34" t="str">
        <f>LOOKUP(Observaciones[[#This Row],[Caso de Prueba]],CasoPrueba[Código CP],CasoPrueba[Código de REQ])</f>
        <v>INSPECCIÓN</v>
      </c>
    </row>
    <row r="322" spans="1:12" ht="75" hidden="1">
      <c r="A322" s="165" t="s">
        <v>763</v>
      </c>
      <c r="B322" s="163" t="s">
        <v>905</v>
      </c>
      <c r="C322" s="34" t="str">
        <f>VLOOKUP(Observaciones[Caso de Prueba],CasoPrueba[[#All],[Código CP]:[Prioridad]],7,TRUE)</f>
        <v>Alta</v>
      </c>
      <c r="D322" s="34" t="s">
        <v>29</v>
      </c>
      <c r="E322" s="34" t="s">
        <v>49</v>
      </c>
      <c r="F322" s="164">
        <v>40845</v>
      </c>
      <c r="G322" s="164">
        <v>40847</v>
      </c>
      <c r="H322" s="94" t="s">
        <v>132</v>
      </c>
      <c r="I322" s="34" t="s">
        <v>1016</v>
      </c>
      <c r="J322" s="34" t="s">
        <v>1054</v>
      </c>
      <c r="K322" s="34">
        <f>IF((Observaciones[[#This Row],[Fecha Levantamiento]]-Observaciones[[#This Row],[Fecha Detección]])&gt;=0,Observaciones[[#This Row],[Fecha Levantamiento]]-Observaciones[[#This Row],[Fecha Detección]]+1,0)</f>
        <v>3</v>
      </c>
      <c r="L322" s="34" t="str">
        <f>LOOKUP(Observaciones[[#This Row],[Caso de Prueba]],CasoPrueba[Código CP],CasoPrueba[Código de REQ])</f>
        <v>INSPECCIÓN</v>
      </c>
    </row>
    <row r="323" spans="1:12" ht="30" hidden="1">
      <c r="A323" s="165" t="s">
        <v>764</v>
      </c>
      <c r="B323" s="163" t="s">
        <v>905</v>
      </c>
      <c r="C323" s="34" t="str">
        <f>VLOOKUP(Observaciones[Caso de Prueba],CasoPrueba[[#All],[Código CP]:[Prioridad]],7,TRUE)</f>
        <v>Alta</v>
      </c>
      <c r="D323" s="34" t="s">
        <v>162</v>
      </c>
      <c r="E323" s="34" t="s">
        <v>49</v>
      </c>
      <c r="F323" s="164">
        <v>40845</v>
      </c>
      <c r="G323" s="164">
        <v>40847</v>
      </c>
      <c r="H323" s="94" t="s">
        <v>132</v>
      </c>
      <c r="I323" s="34" t="s">
        <v>1017</v>
      </c>
      <c r="J323" s="34" t="s">
        <v>1055</v>
      </c>
      <c r="K323" s="34">
        <f>IF((Observaciones[[#This Row],[Fecha Levantamiento]]-Observaciones[[#This Row],[Fecha Detección]])&gt;=0,Observaciones[[#This Row],[Fecha Levantamiento]]-Observaciones[[#This Row],[Fecha Detección]]+1,0)</f>
        <v>3</v>
      </c>
      <c r="L323" s="34" t="str">
        <f>LOOKUP(Observaciones[[#This Row],[Caso de Prueba]],CasoPrueba[Código CP],CasoPrueba[Código de REQ])</f>
        <v>INSPECCIÓN</v>
      </c>
    </row>
    <row r="324" spans="1:12" ht="45" hidden="1">
      <c r="A324" s="165" t="s">
        <v>765</v>
      </c>
      <c r="B324" s="163" t="s">
        <v>906</v>
      </c>
      <c r="C324" s="34" t="str">
        <f>VLOOKUP(Observaciones[Caso de Prueba],CasoPrueba[[#All],[Código CP]:[Prioridad]],7,TRUE)</f>
        <v>Alta</v>
      </c>
      <c r="D324" s="34" t="s">
        <v>28</v>
      </c>
      <c r="E324" s="34" t="s">
        <v>49</v>
      </c>
      <c r="F324" s="164">
        <v>40845</v>
      </c>
      <c r="G324" s="164">
        <v>40847</v>
      </c>
      <c r="H324" s="94" t="s">
        <v>132</v>
      </c>
      <c r="I324" s="34" t="s">
        <v>597</v>
      </c>
      <c r="J324" s="34" t="s">
        <v>1056</v>
      </c>
      <c r="K324" s="34">
        <f>IF((Observaciones[[#This Row],[Fecha Levantamiento]]-Observaciones[[#This Row],[Fecha Detección]])&gt;=0,Observaciones[[#This Row],[Fecha Levantamiento]]-Observaciones[[#This Row],[Fecha Detección]]+1,0)</f>
        <v>3</v>
      </c>
      <c r="L324" s="34" t="str">
        <f>LOOKUP(Observaciones[[#This Row],[Caso de Prueba]],CasoPrueba[Código CP],CasoPrueba[Código de REQ])</f>
        <v>INSPECCIÓN</v>
      </c>
    </row>
    <row r="325" spans="1:12" ht="30" hidden="1">
      <c r="A325" s="165" t="s">
        <v>766</v>
      </c>
      <c r="B325" s="163" t="s">
        <v>906</v>
      </c>
      <c r="C325" s="34" t="str">
        <f>VLOOKUP(Observaciones[Caso de Prueba],CasoPrueba[[#All],[Código CP]:[Prioridad]],7,TRUE)</f>
        <v>Alta</v>
      </c>
      <c r="D325" s="163" t="s">
        <v>162</v>
      </c>
      <c r="E325" s="34" t="s">
        <v>49</v>
      </c>
      <c r="F325" s="164">
        <v>40845</v>
      </c>
      <c r="G325" s="164">
        <v>40847</v>
      </c>
      <c r="H325" s="94" t="s">
        <v>132</v>
      </c>
      <c r="I325" s="34" t="s">
        <v>1012</v>
      </c>
      <c r="J325" s="34" t="s">
        <v>1049</v>
      </c>
      <c r="K325" s="34">
        <f>IF((Observaciones[[#This Row],[Fecha Levantamiento]]-Observaciones[[#This Row],[Fecha Detección]])&gt;=0,Observaciones[[#This Row],[Fecha Levantamiento]]-Observaciones[[#This Row],[Fecha Detección]]+1,0)</f>
        <v>3</v>
      </c>
      <c r="L325" s="34" t="str">
        <f>LOOKUP(Observaciones[[#This Row],[Caso de Prueba]],CasoPrueba[Código CP],CasoPrueba[Código de REQ])</f>
        <v>INSPECCIÓN</v>
      </c>
    </row>
    <row r="326" spans="1:12" ht="60" hidden="1">
      <c r="A326" s="165" t="s">
        <v>767</v>
      </c>
      <c r="B326" s="163" t="s">
        <v>906</v>
      </c>
      <c r="C326" s="34" t="str">
        <f>VLOOKUP(Observaciones[Caso de Prueba],CasoPrueba[[#All],[Código CP]:[Prioridad]],7,TRUE)</f>
        <v>Alta</v>
      </c>
      <c r="D326" s="34" t="s">
        <v>28</v>
      </c>
      <c r="E326" s="34" t="s">
        <v>49</v>
      </c>
      <c r="F326" s="164">
        <v>40845</v>
      </c>
      <c r="G326" s="164">
        <v>40847</v>
      </c>
      <c r="H326" s="94" t="s">
        <v>132</v>
      </c>
      <c r="I326" s="34" t="s">
        <v>1018</v>
      </c>
      <c r="J326" s="34" t="s">
        <v>977</v>
      </c>
      <c r="K326" s="34">
        <f>IF((Observaciones[[#This Row],[Fecha Levantamiento]]-Observaciones[[#This Row],[Fecha Detección]])&gt;=0,Observaciones[[#This Row],[Fecha Levantamiento]]-Observaciones[[#This Row],[Fecha Detección]]+1,0)</f>
        <v>3</v>
      </c>
      <c r="L326" s="34" t="str">
        <f>LOOKUP(Observaciones[[#This Row],[Caso de Prueba]],CasoPrueba[Código CP],CasoPrueba[Código de REQ])</f>
        <v>INSPECCIÓN</v>
      </c>
    </row>
    <row r="327" spans="1:12" ht="30" hidden="1">
      <c r="A327" s="165" t="s">
        <v>768</v>
      </c>
      <c r="B327" s="163" t="s">
        <v>906</v>
      </c>
      <c r="C327" s="34" t="str">
        <f>VLOOKUP(Observaciones[Caso de Prueba],CasoPrueba[[#All],[Código CP]:[Prioridad]],7,TRUE)</f>
        <v>Alta</v>
      </c>
      <c r="D327" s="34" t="s">
        <v>162</v>
      </c>
      <c r="E327" s="34" t="s">
        <v>49</v>
      </c>
      <c r="F327" s="164">
        <v>40845</v>
      </c>
      <c r="G327" s="164">
        <v>40847</v>
      </c>
      <c r="H327" s="94" t="s">
        <v>132</v>
      </c>
      <c r="I327" s="34" t="s">
        <v>1020</v>
      </c>
      <c r="J327" s="34" t="s">
        <v>1057</v>
      </c>
      <c r="K327" s="34">
        <f>IF((Observaciones[[#This Row],[Fecha Levantamiento]]-Observaciones[[#This Row],[Fecha Detección]])&gt;=0,Observaciones[[#This Row],[Fecha Levantamiento]]-Observaciones[[#This Row],[Fecha Detección]]+1,0)</f>
        <v>3</v>
      </c>
      <c r="L327" s="34" t="str">
        <f>LOOKUP(Observaciones[[#This Row],[Caso de Prueba]],CasoPrueba[Código CP],CasoPrueba[Código de REQ])</f>
        <v>INSPECCIÓN</v>
      </c>
    </row>
    <row r="328" spans="1:12" ht="30" hidden="1">
      <c r="A328" s="165" t="s">
        <v>769</v>
      </c>
      <c r="B328" s="163" t="s">
        <v>906</v>
      </c>
      <c r="C328" s="34" t="str">
        <f>VLOOKUP(Observaciones[Caso de Prueba],CasoPrueba[[#All],[Código CP]:[Prioridad]],7,TRUE)</f>
        <v>Alta</v>
      </c>
      <c r="D328" s="34" t="s">
        <v>29</v>
      </c>
      <c r="E328" s="34" t="s">
        <v>49</v>
      </c>
      <c r="F328" s="164">
        <v>40845</v>
      </c>
      <c r="G328" s="164">
        <v>40847</v>
      </c>
      <c r="H328" s="94" t="s">
        <v>132</v>
      </c>
      <c r="I328" s="34" t="s">
        <v>1021</v>
      </c>
      <c r="J328" s="34" t="s">
        <v>1058</v>
      </c>
      <c r="K328" s="34">
        <f>IF((Observaciones[[#This Row],[Fecha Levantamiento]]-Observaciones[[#This Row],[Fecha Detección]])&gt;=0,Observaciones[[#This Row],[Fecha Levantamiento]]-Observaciones[[#This Row],[Fecha Detección]]+1,0)</f>
        <v>3</v>
      </c>
      <c r="L328" s="34" t="str">
        <f>LOOKUP(Observaciones[[#This Row],[Caso de Prueba]],CasoPrueba[Código CP],CasoPrueba[Código de REQ])</f>
        <v>INSPECCIÓN</v>
      </c>
    </row>
    <row r="329" spans="1:12" ht="30" hidden="1">
      <c r="A329" s="165" t="s">
        <v>770</v>
      </c>
      <c r="B329" s="163" t="s">
        <v>489</v>
      </c>
      <c r="C329" s="34" t="str">
        <f>VLOOKUP(Observaciones[Caso de Prueba],CasoPrueba[[#All],[Código CP]:[Prioridad]],7,TRUE)</f>
        <v>Alta</v>
      </c>
      <c r="D329" s="34" t="s">
        <v>30</v>
      </c>
      <c r="E329" s="34" t="s">
        <v>49</v>
      </c>
      <c r="F329" s="164">
        <v>40847</v>
      </c>
      <c r="G329" s="73">
        <v>40848</v>
      </c>
      <c r="H329" s="94" t="s">
        <v>132</v>
      </c>
      <c r="I329" s="34" t="s">
        <v>1014</v>
      </c>
      <c r="J329" s="34" t="s">
        <v>1032</v>
      </c>
      <c r="K329" s="34">
        <f>IF((Observaciones[[#This Row],[Fecha Levantamiento]]-Observaciones[[#This Row],[Fecha Detección]])&gt;=0,Observaciones[[#This Row],[Fecha Levantamiento]]-Observaciones[[#This Row],[Fecha Detección]]+1,0)</f>
        <v>2</v>
      </c>
      <c r="L329" s="34" t="str">
        <f>LOOKUP(Observaciones[[#This Row],[Caso de Prueba]],CasoPrueba[Código CP],CasoPrueba[Código de REQ])</f>
        <v>INSPECCIÓN</v>
      </c>
    </row>
    <row r="330" spans="1:12" ht="30" hidden="1">
      <c r="A330" s="165" t="s">
        <v>771</v>
      </c>
      <c r="B330" s="163" t="s">
        <v>489</v>
      </c>
      <c r="C330" s="34" t="str">
        <f>VLOOKUP(Observaciones[Caso de Prueba],CasoPrueba[[#All],[Código CP]:[Prioridad]],7,TRUE)</f>
        <v>Alta</v>
      </c>
      <c r="D330" s="34" t="s">
        <v>162</v>
      </c>
      <c r="E330" s="34" t="s">
        <v>49</v>
      </c>
      <c r="F330" s="164">
        <v>40847</v>
      </c>
      <c r="G330" s="73">
        <v>40848</v>
      </c>
      <c r="H330" s="94" t="s">
        <v>132</v>
      </c>
      <c r="I330" s="34" t="s">
        <v>1025</v>
      </c>
      <c r="J330" s="34" t="s">
        <v>199</v>
      </c>
      <c r="K330" s="34">
        <f>IF((Observaciones[[#This Row],[Fecha Levantamiento]]-Observaciones[[#This Row],[Fecha Detección]])&gt;=0,Observaciones[[#This Row],[Fecha Levantamiento]]-Observaciones[[#This Row],[Fecha Detección]]+1,0)</f>
        <v>2</v>
      </c>
      <c r="L330" s="34" t="str">
        <f>LOOKUP(Observaciones[[#This Row],[Caso de Prueba]],CasoPrueba[Código CP],CasoPrueba[Código de REQ])</f>
        <v>INSPECCIÓN</v>
      </c>
    </row>
    <row r="331" spans="1:12" ht="45" hidden="1">
      <c r="A331" s="163" t="s">
        <v>772</v>
      </c>
      <c r="B331" s="163" t="s">
        <v>614</v>
      </c>
      <c r="C331" s="34" t="str">
        <f>VLOOKUP(Observaciones[Caso de Prueba],CasoPrueba[[#All],[Código CP]:[Prioridad]],7,TRUE)</f>
        <v>Alta</v>
      </c>
      <c r="D331" s="34" t="s">
        <v>30</v>
      </c>
      <c r="E331" s="34" t="s">
        <v>49</v>
      </c>
      <c r="F331" s="164">
        <v>40847</v>
      </c>
      <c r="G331" s="73">
        <v>40848</v>
      </c>
      <c r="H331" s="94" t="s">
        <v>132</v>
      </c>
      <c r="I331" s="34" t="s">
        <v>1026</v>
      </c>
      <c r="J331" s="34" t="s">
        <v>818</v>
      </c>
      <c r="K331" s="34">
        <f>IF((Observaciones[[#This Row],[Fecha Levantamiento]]-Observaciones[[#This Row],[Fecha Detección]])&gt;=0,Observaciones[[#This Row],[Fecha Levantamiento]]-Observaciones[[#This Row],[Fecha Detección]]+1,0)</f>
        <v>2</v>
      </c>
      <c r="L331" s="34" t="str">
        <f>LOOKUP(Observaciones[[#This Row],[Caso de Prueba]],CasoPrueba[Código CP],CasoPrueba[Código de REQ])</f>
        <v>INSPECCIÓN</v>
      </c>
    </row>
    <row r="332" spans="1:12" ht="60" hidden="1">
      <c r="A332" s="165" t="s">
        <v>773</v>
      </c>
      <c r="B332" s="34" t="s">
        <v>619</v>
      </c>
      <c r="C332" s="34" t="str">
        <f>VLOOKUP(Observaciones[Caso de Prueba],CasoPrueba[[#All],[Código CP]:[Prioridad]],7,TRUE)</f>
        <v>Alta</v>
      </c>
      <c r="D332" s="34" t="s">
        <v>30</v>
      </c>
      <c r="E332" s="34" t="s">
        <v>49</v>
      </c>
      <c r="F332" s="164">
        <v>40847</v>
      </c>
      <c r="G332" s="73">
        <v>40848</v>
      </c>
      <c r="H332" s="94" t="s">
        <v>132</v>
      </c>
      <c r="I332" s="34" t="s">
        <v>1027</v>
      </c>
      <c r="J332" s="34" t="s">
        <v>1033</v>
      </c>
      <c r="K332" s="34">
        <f>IF((Observaciones[[#This Row],[Fecha Levantamiento]]-Observaciones[[#This Row],[Fecha Detección]])&gt;=0,Observaciones[[#This Row],[Fecha Levantamiento]]-Observaciones[[#This Row],[Fecha Detección]]+1,0)</f>
        <v>2</v>
      </c>
      <c r="L332" s="34" t="str">
        <f>LOOKUP(Observaciones[[#This Row],[Caso de Prueba]],CasoPrueba[Código CP],CasoPrueba[Código de REQ])</f>
        <v>INSPECCIÓN</v>
      </c>
    </row>
    <row r="333" spans="1:12" ht="30" hidden="1">
      <c r="A333" s="165" t="s">
        <v>774</v>
      </c>
      <c r="B333" s="34" t="s">
        <v>619</v>
      </c>
      <c r="C333" s="34" t="str">
        <f>VLOOKUP(Observaciones[Caso de Prueba],CasoPrueba[[#All],[Código CP]:[Prioridad]],7,TRUE)</f>
        <v>Alta</v>
      </c>
      <c r="D333" s="34" t="s">
        <v>162</v>
      </c>
      <c r="E333" s="34" t="s">
        <v>49</v>
      </c>
      <c r="F333" s="164">
        <v>40847</v>
      </c>
      <c r="G333" s="73">
        <v>40848</v>
      </c>
      <c r="H333" s="94" t="s">
        <v>132</v>
      </c>
      <c r="I333" s="34" t="s">
        <v>1028</v>
      </c>
      <c r="J333" s="34" t="s">
        <v>1034</v>
      </c>
      <c r="K333" s="34">
        <f>IF((Observaciones[[#This Row],[Fecha Levantamiento]]-Observaciones[[#This Row],[Fecha Detección]])&gt;=0,Observaciones[[#This Row],[Fecha Levantamiento]]-Observaciones[[#This Row],[Fecha Detección]]+1,0)</f>
        <v>2</v>
      </c>
      <c r="L333" s="34" t="str">
        <f>LOOKUP(Observaciones[[#This Row],[Caso de Prueba]],CasoPrueba[Código CP],CasoPrueba[Código de REQ])</f>
        <v>INSPECCIÓN</v>
      </c>
    </row>
    <row r="334" spans="1:12" ht="60" hidden="1">
      <c r="A334" s="165" t="s">
        <v>775</v>
      </c>
      <c r="B334" s="34" t="s">
        <v>653</v>
      </c>
      <c r="C334" s="34" t="str">
        <f>VLOOKUP(Observaciones[Caso de Prueba],CasoPrueba[[#All],[Código CP]:[Prioridad]],7,TRUE)</f>
        <v>Alta</v>
      </c>
      <c r="D334" s="34" t="s">
        <v>29</v>
      </c>
      <c r="E334" s="34" t="s">
        <v>49</v>
      </c>
      <c r="F334" s="164">
        <v>40847</v>
      </c>
      <c r="G334" s="73">
        <v>40848</v>
      </c>
      <c r="H334" s="94" t="s">
        <v>132</v>
      </c>
      <c r="I334" s="34" t="s">
        <v>1029</v>
      </c>
      <c r="J334" s="34" t="s">
        <v>266</v>
      </c>
      <c r="K334" s="34">
        <f>IF((Observaciones[[#This Row],[Fecha Levantamiento]]-Observaciones[[#This Row],[Fecha Detección]])&gt;=0,Observaciones[[#This Row],[Fecha Levantamiento]]-Observaciones[[#This Row],[Fecha Detección]]+1,0)</f>
        <v>2</v>
      </c>
      <c r="L334" s="34" t="str">
        <f>LOOKUP(Observaciones[[#This Row],[Caso de Prueba]],CasoPrueba[Código CP],CasoPrueba[Código de REQ])</f>
        <v>INSPECCIÓN</v>
      </c>
    </row>
    <row r="335" spans="1:12" ht="30" hidden="1">
      <c r="A335" s="165" t="s">
        <v>776</v>
      </c>
      <c r="B335" s="34" t="s">
        <v>653</v>
      </c>
      <c r="C335" s="34" t="str">
        <f>VLOOKUP(Observaciones[Caso de Prueba],CasoPrueba[[#All],[Código CP]:[Prioridad]],7,TRUE)</f>
        <v>Alta</v>
      </c>
      <c r="D335" s="34" t="s">
        <v>29</v>
      </c>
      <c r="E335" s="34" t="s">
        <v>49</v>
      </c>
      <c r="F335" s="164">
        <v>40847</v>
      </c>
      <c r="G335" s="73">
        <v>40848</v>
      </c>
      <c r="H335" s="94" t="s">
        <v>132</v>
      </c>
      <c r="I335" s="34" t="s">
        <v>1030</v>
      </c>
      <c r="J335" s="34" t="s">
        <v>266</v>
      </c>
      <c r="K335" s="34">
        <f>IF((Observaciones[[#This Row],[Fecha Levantamiento]]-Observaciones[[#This Row],[Fecha Detección]])&gt;=0,Observaciones[[#This Row],[Fecha Levantamiento]]-Observaciones[[#This Row],[Fecha Detección]]+1,0)</f>
        <v>2</v>
      </c>
      <c r="L335" s="34" t="str">
        <f>LOOKUP(Observaciones[[#This Row],[Caso de Prueba]],CasoPrueba[Código CP],CasoPrueba[Código de REQ])</f>
        <v>INSPECCIÓN</v>
      </c>
    </row>
    <row r="336" spans="1:12" ht="30" hidden="1">
      <c r="A336" s="165" t="s">
        <v>777</v>
      </c>
      <c r="B336" s="34" t="s">
        <v>887</v>
      </c>
      <c r="C336" s="34" t="str">
        <f>VLOOKUP(Observaciones[Caso de Prueba],CasoPrueba[[#All],[Código CP]:[Prioridad]],7,TRUE)</f>
        <v>Alta</v>
      </c>
      <c r="D336" s="34" t="s">
        <v>162</v>
      </c>
      <c r="E336" s="34" t="s">
        <v>47</v>
      </c>
      <c r="F336" s="73">
        <v>40848</v>
      </c>
      <c r="H336" s="94" t="s">
        <v>132</v>
      </c>
      <c r="I336" s="34" t="s">
        <v>1035</v>
      </c>
      <c r="J336" s="34" t="s">
        <v>851</v>
      </c>
      <c r="K336" s="34">
        <f>IF((Observaciones[[#This Row],[Fecha Levantamiento]]-Observaciones[[#This Row],[Fecha Detección]])&gt;=0,Observaciones[[#This Row],[Fecha Levantamiento]]-Observaciones[[#This Row],[Fecha Detección]]+1,0)</f>
        <v>0</v>
      </c>
      <c r="L336" s="34" t="str">
        <f>LOOKUP(Observaciones[[#This Row],[Caso de Prueba]],CasoPrueba[Código CP],CasoPrueba[Código de REQ])</f>
        <v>INSPECCIÓN</v>
      </c>
    </row>
    <row r="337" spans="1:12" ht="30" hidden="1">
      <c r="A337" s="165" t="s">
        <v>778</v>
      </c>
      <c r="B337" s="34" t="s">
        <v>887</v>
      </c>
      <c r="C337" s="34" t="str">
        <f>VLOOKUP(Observaciones[Caso de Prueba],CasoPrueba[[#All],[Código CP]:[Prioridad]],7,TRUE)</f>
        <v>Alta</v>
      </c>
      <c r="D337" s="34" t="s">
        <v>30</v>
      </c>
      <c r="E337" s="34" t="s">
        <v>47</v>
      </c>
      <c r="F337" s="73">
        <v>40848</v>
      </c>
      <c r="H337" s="94" t="s">
        <v>132</v>
      </c>
      <c r="I337" s="34" t="s">
        <v>1036</v>
      </c>
      <c r="J337" s="34" t="s">
        <v>1115</v>
      </c>
      <c r="K337" s="34">
        <f>IF((Observaciones[[#This Row],[Fecha Levantamiento]]-Observaciones[[#This Row],[Fecha Detección]])&gt;=0,Observaciones[[#This Row],[Fecha Levantamiento]]-Observaciones[[#This Row],[Fecha Detección]]+1,0)</f>
        <v>0</v>
      </c>
      <c r="L337" s="34" t="str">
        <f>LOOKUP(Observaciones[[#This Row],[Caso de Prueba]],CasoPrueba[Código CP],CasoPrueba[Código de REQ])</f>
        <v>INSPECCIÓN</v>
      </c>
    </row>
    <row r="338" spans="1:12" ht="30" hidden="1">
      <c r="A338" s="165" t="s">
        <v>779</v>
      </c>
      <c r="B338" s="34" t="s">
        <v>888</v>
      </c>
      <c r="C338" s="34" t="str">
        <f>VLOOKUP(Observaciones[Caso de Prueba],CasoPrueba[[#All],[Código CP]:[Prioridad]],7,TRUE)</f>
        <v>Alta</v>
      </c>
      <c r="D338" s="34" t="s">
        <v>30</v>
      </c>
      <c r="E338" s="34" t="s">
        <v>47</v>
      </c>
      <c r="F338" s="73">
        <v>40848</v>
      </c>
      <c r="H338" s="94" t="s">
        <v>132</v>
      </c>
      <c r="I338" s="34" t="s">
        <v>1014</v>
      </c>
      <c r="J338" s="34" t="s">
        <v>1116</v>
      </c>
      <c r="K338" s="34">
        <f>IF((Observaciones[[#This Row],[Fecha Levantamiento]]-Observaciones[[#This Row],[Fecha Detección]])&gt;=0,Observaciones[[#This Row],[Fecha Levantamiento]]-Observaciones[[#This Row],[Fecha Detección]]+1,0)</f>
        <v>0</v>
      </c>
      <c r="L338" s="34" t="str">
        <f>LOOKUP(Observaciones[[#This Row],[Caso de Prueba]],CasoPrueba[Código CP],CasoPrueba[Código de REQ])</f>
        <v>INSPECCIÓN</v>
      </c>
    </row>
    <row r="339" spans="1:12" ht="105">
      <c r="A339" s="163" t="s">
        <v>780</v>
      </c>
      <c r="B339" s="34" t="s">
        <v>889</v>
      </c>
      <c r="C339" s="34" t="str">
        <f>VLOOKUP(Observaciones[Caso de Prueba],CasoPrueba[[#All],[Código CP]:[Prioridad]],7,TRUE)</f>
        <v>Alta</v>
      </c>
      <c r="D339" s="34" t="s">
        <v>30</v>
      </c>
      <c r="E339" s="34" t="s">
        <v>47</v>
      </c>
      <c r="F339" s="73">
        <v>40848</v>
      </c>
      <c r="H339" s="94" t="s">
        <v>132</v>
      </c>
      <c r="I339" s="34" t="s">
        <v>1063</v>
      </c>
      <c r="K339" s="34">
        <f>IF((Observaciones[[#This Row],[Fecha Levantamiento]]-Observaciones[[#This Row],[Fecha Detección]])&gt;=0,Observaciones[[#This Row],[Fecha Levantamiento]]-Observaciones[[#This Row],[Fecha Detección]]+1,0)</f>
        <v>0</v>
      </c>
      <c r="L339" s="34" t="str">
        <f>LOOKUP(Observaciones[[#This Row],[Caso de Prueba]],CasoPrueba[Código CP],CasoPrueba[Código de REQ])</f>
        <v>INSPECCIÓN</v>
      </c>
    </row>
    <row r="340" spans="1:12" ht="30">
      <c r="A340" s="165" t="s">
        <v>781</v>
      </c>
      <c r="B340" s="34" t="s">
        <v>891</v>
      </c>
      <c r="C340" s="34" t="str">
        <f>VLOOKUP(Observaciones[Caso de Prueba],CasoPrueba[[#All],[Código CP]:[Prioridad]],7,TRUE)</f>
        <v>Alta</v>
      </c>
      <c r="D340" s="34" t="s">
        <v>162</v>
      </c>
      <c r="E340" s="34" t="s">
        <v>47</v>
      </c>
      <c r="F340" s="73">
        <v>40848</v>
      </c>
      <c r="H340" s="94" t="s">
        <v>132</v>
      </c>
      <c r="I340" s="34" t="s">
        <v>1038</v>
      </c>
      <c r="K340" s="34">
        <f>IF((Observaciones[[#This Row],[Fecha Levantamiento]]-Observaciones[[#This Row],[Fecha Detección]])&gt;=0,Observaciones[[#This Row],[Fecha Levantamiento]]-Observaciones[[#This Row],[Fecha Detección]]+1,0)</f>
        <v>0</v>
      </c>
      <c r="L340" s="34" t="str">
        <f>LOOKUP(Observaciones[[#This Row],[Caso de Prueba]],CasoPrueba[Código CP],CasoPrueba[Código de REQ])</f>
        <v>INSPECCIÓN</v>
      </c>
    </row>
    <row r="341" spans="1:12" ht="45" hidden="1">
      <c r="A341" s="165" t="s">
        <v>782</v>
      </c>
      <c r="B341" s="163" t="s">
        <v>614</v>
      </c>
      <c r="C341" s="34" t="str">
        <f>VLOOKUP(Observaciones[Caso de Prueba],CasoPrueba[[#All],[Código CP]:[Prioridad]],7,TRUE)</f>
        <v>Alta</v>
      </c>
      <c r="D341" s="34" t="s">
        <v>30</v>
      </c>
      <c r="E341" s="34" t="s">
        <v>47</v>
      </c>
      <c r="F341" s="73">
        <v>40848</v>
      </c>
      <c r="H341" s="94" t="s">
        <v>132</v>
      </c>
      <c r="I341" s="34" t="s">
        <v>1060</v>
      </c>
      <c r="J341" s="34" t="s">
        <v>858</v>
      </c>
      <c r="K341" s="34">
        <f>IF((Observaciones[[#This Row],[Fecha Levantamiento]]-Observaciones[[#This Row],[Fecha Detección]])&gt;=0,Observaciones[[#This Row],[Fecha Levantamiento]]-Observaciones[[#This Row],[Fecha Detección]]+1,0)</f>
        <v>0</v>
      </c>
      <c r="L341" s="34" t="str">
        <f>LOOKUP(Observaciones[[#This Row],[Caso de Prueba]],CasoPrueba[Código CP],CasoPrueba[Código de REQ])</f>
        <v>INSPECCIÓN</v>
      </c>
    </row>
    <row r="342" spans="1:12" ht="30" hidden="1">
      <c r="A342" s="165" t="s">
        <v>783</v>
      </c>
      <c r="B342" s="34" t="s">
        <v>619</v>
      </c>
      <c r="C342" s="34" t="str">
        <f>VLOOKUP(Observaciones[Caso de Prueba],CasoPrueba[[#All],[Código CP]:[Prioridad]],7,TRUE)</f>
        <v>Alta</v>
      </c>
      <c r="D342" s="34" t="s">
        <v>162</v>
      </c>
      <c r="E342" s="34" t="s">
        <v>47</v>
      </c>
      <c r="F342" s="73">
        <v>40848</v>
      </c>
      <c r="H342" s="94" t="s">
        <v>132</v>
      </c>
      <c r="I342" s="34" t="s">
        <v>1061</v>
      </c>
      <c r="J342" s="34" t="s">
        <v>1044</v>
      </c>
      <c r="K342" s="34">
        <f>IF((Observaciones[[#This Row],[Fecha Levantamiento]]-Observaciones[[#This Row],[Fecha Detección]])&gt;=0,Observaciones[[#This Row],[Fecha Levantamiento]]-Observaciones[[#This Row],[Fecha Detección]]+1,0)</f>
        <v>0</v>
      </c>
      <c r="L342" s="34" t="str">
        <f>LOOKUP(Observaciones[[#This Row],[Caso de Prueba]],CasoPrueba[Código CP],CasoPrueba[Código de REQ])</f>
        <v>INSPECCIÓN</v>
      </c>
    </row>
    <row r="343" spans="1:12" ht="30" hidden="1">
      <c r="A343" s="165" t="s">
        <v>784</v>
      </c>
      <c r="B343" s="34" t="s">
        <v>653</v>
      </c>
      <c r="C343" s="34" t="str">
        <f>VLOOKUP(Observaciones[Caso de Prueba],CasoPrueba[[#All],[Código CP]:[Prioridad]],7,TRUE)</f>
        <v>Alta</v>
      </c>
      <c r="D343" s="34" t="s">
        <v>162</v>
      </c>
      <c r="E343" s="34" t="s">
        <v>47</v>
      </c>
      <c r="F343" s="73">
        <v>40848</v>
      </c>
      <c r="H343" s="94" t="s">
        <v>132</v>
      </c>
      <c r="I343" s="34" t="s">
        <v>1062</v>
      </c>
      <c r="J343" s="34" t="s">
        <v>1117</v>
      </c>
      <c r="K343" s="34">
        <f>IF((Observaciones[[#This Row],[Fecha Levantamiento]]-Observaciones[[#This Row],[Fecha Detección]])&gt;=0,Observaciones[[#This Row],[Fecha Levantamiento]]-Observaciones[[#This Row],[Fecha Detección]]+1,0)</f>
        <v>0</v>
      </c>
      <c r="L343" s="34" t="str">
        <f>LOOKUP(Observaciones[[#This Row],[Caso de Prueba]],CasoPrueba[Código CP],CasoPrueba[Código de REQ])</f>
        <v>INSPECCIÓN</v>
      </c>
    </row>
    <row r="344" spans="1:12" ht="45" hidden="1">
      <c r="A344" s="165" t="s">
        <v>785</v>
      </c>
      <c r="B344" s="34" t="s">
        <v>88</v>
      </c>
      <c r="C344" s="34" t="str">
        <f>VLOOKUP(Observaciones[Caso de Prueba],CasoPrueba[[#All],[Código CP]:[Prioridad]],7,TRUE)</f>
        <v>Alta</v>
      </c>
      <c r="D344" s="34" t="s">
        <v>28</v>
      </c>
      <c r="E344" s="34" t="s">
        <v>47</v>
      </c>
      <c r="F344" s="73">
        <v>40848</v>
      </c>
      <c r="H344" s="94" t="s">
        <v>132</v>
      </c>
      <c r="I344" s="34" t="s">
        <v>871</v>
      </c>
      <c r="J344" s="34" t="s">
        <v>977</v>
      </c>
      <c r="K344" s="34">
        <f>IF((Observaciones[[#This Row],[Fecha Levantamiento]]-Observaciones[[#This Row],[Fecha Detección]])&gt;=0,Observaciones[[#This Row],[Fecha Levantamiento]]-Observaciones[[#This Row],[Fecha Detección]]+1,0)</f>
        <v>0</v>
      </c>
      <c r="L344" s="34" t="str">
        <f>LOOKUP(Observaciones[[#This Row],[Caso de Prueba]],CasoPrueba[Código CP],CasoPrueba[Código de REQ])</f>
        <v>INSPECCIÓN</v>
      </c>
    </row>
    <row r="345" spans="1:12" ht="45" hidden="1">
      <c r="A345" s="165" t="s">
        <v>786</v>
      </c>
      <c r="B345" s="34" t="s">
        <v>151</v>
      </c>
      <c r="C345" s="34" t="str">
        <f>VLOOKUP(Observaciones[Caso de Prueba],CasoPrueba[[#All],[Código CP]:[Prioridad]],7,TRUE)</f>
        <v>Alta</v>
      </c>
      <c r="D345" s="34" t="s">
        <v>28</v>
      </c>
      <c r="E345" s="34" t="s">
        <v>47</v>
      </c>
      <c r="F345" s="73">
        <v>40848</v>
      </c>
      <c r="H345" s="94" t="s">
        <v>132</v>
      </c>
      <c r="I345" s="34" t="s">
        <v>597</v>
      </c>
      <c r="J345" s="34" t="s">
        <v>1108</v>
      </c>
      <c r="K345" s="34">
        <f>IF((Observaciones[[#This Row],[Fecha Levantamiento]]-Observaciones[[#This Row],[Fecha Detección]])&gt;=0,Observaciones[[#This Row],[Fecha Levantamiento]]-Observaciones[[#This Row],[Fecha Detección]]+1,0)</f>
        <v>0</v>
      </c>
      <c r="L345" s="34" t="str">
        <f>LOOKUP(Observaciones[[#This Row],[Caso de Prueba]],CasoPrueba[Código CP],CasoPrueba[Código de REQ])</f>
        <v>INSPECCIÓN</v>
      </c>
    </row>
    <row r="346" spans="1:12" ht="45" hidden="1">
      <c r="A346" s="165" t="s">
        <v>787</v>
      </c>
      <c r="B346" s="34" t="s">
        <v>152</v>
      </c>
      <c r="C346" s="34" t="str">
        <f>VLOOKUP(Observaciones[Caso de Prueba],CasoPrueba[[#All],[Código CP]:[Prioridad]],7,TRUE)</f>
        <v>Alta</v>
      </c>
      <c r="D346" s="34" t="s">
        <v>28</v>
      </c>
      <c r="E346" s="34" t="s">
        <v>47</v>
      </c>
      <c r="F346" s="73">
        <v>40848</v>
      </c>
      <c r="H346" s="94" t="s">
        <v>132</v>
      </c>
      <c r="I346" s="34" t="s">
        <v>871</v>
      </c>
      <c r="J346" s="34" t="s">
        <v>955</v>
      </c>
      <c r="K346" s="34">
        <f>IF((Observaciones[[#This Row],[Fecha Levantamiento]]-Observaciones[[#This Row],[Fecha Detección]])&gt;=0,Observaciones[[#This Row],[Fecha Levantamiento]]-Observaciones[[#This Row],[Fecha Detección]]+1,0)</f>
        <v>0</v>
      </c>
      <c r="L346" s="34" t="str">
        <f>LOOKUP(Observaciones[[#This Row],[Caso de Prueba]],CasoPrueba[Código CP],CasoPrueba[Código de REQ])</f>
        <v>INSPECCIÓN</v>
      </c>
    </row>
    <row r="347" spans="1:12" ht="75" hidden="1">
      <c r="A347" s="165" t="s">
        <v>788</v>
      </c>
      <c r="B347" s="34" t="s">
        <v>152</v>
      </c>
      <c r="C347" s="34" t="str">
        <f>VLOOKUP(Observaciones[Caso de Prueba],CasoPrueba[[#All],[Código CP]:[Prioridad]],7,TRUE)</f>
        <v>Alta</v>
      </c>
      <c r="D347" s="34" t="s">
        <v>28</v>
      </c>
      <c r="E347" s="34" t="s">
        <v>47</v>
      </c>
      <c r="F347" s="73">
        <v>40848</v>
      </c>
      <c r="H347" s="94" t="s">
        <v>132</v>
      </c>
      <c r="I347" s="34" t="s">
        <v>1068</v>
      </c>
      <c r="J347" s="34" t="s">
        <v>817</v>
      </c>
      <c r="K347" s="34">
        <f>IF((Observaciones[[#This Row],[Fecha Levantamiento]]-Observaciones[[#This Row],[Fecha Detección]])&gt;=0,Observaciones[[#This Row],[Fecha Levantamiento]]-Observaciones[[#This Row],[Fecha Detección]]+1,0)</f>
        <v>0</v>
      </c>
      <c r="L347" s="34" t="str">
        <f>LOOKUP(Observaciones[[#This Row],[Caso de Prueba]],CasoPrueba[Código CP],CasoPrueba[Código de REQ])</f>
        <v>INSPECCIÓN</v>
      </c>
    </row>
    <row r="348" spans="1:12" hidden="1">
      <c r="A348" s="165" t="s">
        <v>789</v>
      </c>
      <c r="B348" s="34" t="s">
        <v>152</v>
      </c>
      <c r="C348" s="34" t="str">
        <f>VLOOKUP(Observaciones[Caso de Prueba],CasoPrueba[[#All],[Código CP]:[Prioridad]],7,TRUE)</f>
        <v>Alta</v>
      </c>
      <c r="D348" s="34" t="s">
        <v>28</v>
      </c>
      <c r="E348" s="34" t="s">
        <v>47</v>
      </c>
      <c r="F348" s="73">
        <v>40848</v>
      </c>
      <c r="H348" s="94" t="s">
        <v>132</v>
      </c>
      <c r="I348" s="34" t="s">
        <v>645</v>
      </c>
      <c r="J348" s="34" t="s">
        <v>1106</v>
      </c>
      <c r="K348" s="34">
        <f>IF((Observaciones[[#This Row],[Fecha Levantamiento]]-Observaciones[[#This Row],[Fecha Detección]])&gt;=0,Observaciones[[#This Row],[Fecha Levantamiento]]-Observaciones[[#This Row],[Fecha Detección]]+1,0)</f>
        <v>0</v>
      </c>
      <c r="L348" s="34" t="str">
        <f>LOOKUP(Observaciones[[#This Row],[Caso de Prueba]],CasoPrueba[Código CP],CasoPrueba[Código de REQ])</f>
        <v>INSPECCIÓN</v>
      </c>
    </row>
    <row r="349" spans="1:12" ht="45" hidden="1">
      <c r="A349" s="165" t="s">
        <v>790</v>
      </c>
      <c r="B349" s="34" t="s">
        <v>153</v>
      </c>
      <c r="C349" s="34" t="str">
        <f>VLOOKUP(Observaciones[Caso de Prueba],CasoPrueba[[#All],[Código CP]:[Prioridad]],7,TRUE)</f>
        <v>Alta</v>
      </c>
      <c r="D349" s="34" t="s">
        <v>28</v>
      </c>
      <c r="E349" s="34" t="s">
        <v>47</v>
      </c>
      <c r="F349" s="73">
        <v>40848</v>
      </c>
      <c r="H349" s="94" t="s">
        <v>132</v>
      </c>
      <c r="I349" s="34" t="s">
        <v>597</v>
      </c>
      <c r="J349" s="34" t="s">
        <v>1107</v>
      </c>
      <c r="K349" s="34">
        <f>IF((Observaciones[[#This Row],[Fecha Levantamiento]]-Observaciones[[#This Row],[Fecha Detección]])&gt;=0,Observaciones[[#This Row],[Fecha Levantamiento]]-Observaciones[[#This Row],[Fecha Detección]]+1,0)</f>
        <v>0</v>
      </c>
      <c r="L349" s="34" t="str">
        <f>LOOKUP(Observaciones[[#This Row],[Caso de Prueba]],CasoPrueba[Código CP],CasoPrueba[Código de REQ])</f>
        <v>INSPECCIÓN</v>
      </c>
    </row>
    <row r="350" spans="1:12" ht="45" hidden="1">
      <c r="A350" s="165" t="s">
        <v>791</v>
      </c>
      <c r="B350" s="34" t="s">
        <v>153</v>
      </c>
      <c r="C350" s="34" t="str">
        <f>VLOOKUP(Observaciones[Caso de Prueba],CasoPrueba[[#All],[Código CP]:[Prioridad]],7,TRUE)</f>
        <v>Alta</v>
      </c>
      <c r="D350" s="34" t="s">
        <v>30</v>
      </c>
      <c r="E350" s="34" t="s">
        <v>47</v>
      </c>
      <c r="F350" s="73">
        <v>40848</v>
      </c>
      <c r="H350" s="94" t="s">
        <v>132</v>
      </c>
      <c r="I350" s="34" t="s">
        <v>1069</v>
      </c>
      <c r="J350" s="34" t="s">
        <v>955</v>
      </c>
      <c r="K350" s="34">
        <f>IF((Observaciones[[#This Row],[Fecha Levantamiento]]-Observaciones[[#This Row],[Fecha Detección]])&gt;=0,Observaciones[[#This Row],[Fecha Levantamiento]]-Observaciones[[#This Row],[Fecha Detección]]+1,0)</f>
        <v>0</v>
      </c>
      <c r="L350" s="34" t="str">
        <f>LOOKUP(Observaciones[[#This Row],[Caso de Prueba]],CasoPrueba[Código CP],CasoPrueba[Código de REQ])</f>
        <v>INSPECCIÓN</v>
      </c>
    </row>
    <row r="351" spans="1:12" ht="45" hidden="1">
      <c r="A351" s="165" t="s">
        <v>792</v>
      </c>
      <c r="B351" s="34" t="s">
        <v>154</v>
      </c>
      <c r="C351" s="34" t="str">
        <f>VLOOKUP(Observaciones[Caso de Prueba],CasoPrueba[[#All],[Código CP]:[Prioridad]],7,TRUE)</f>
        <v>Alta</v>
      </c>
      <c r="D351" s="34" t="s">
        <v>28</v>
      </c>
      <c r="E351" s="34" t="s">
        <v>47</v>
      </c>
      <c r="F351" s="73">
        <v>40848</v>
      </c>
      <c r="H351" s="94" t="s">
        <v>132</v>
      </c>
      <c r="I351" s="34" t="s">
        <v>597</v>
      </c>
      <c r="J351" s="34" t="s">
        <v>1109</v>
      </c>
      <c r="K351" s="34">
        <f>IF((Observaciones[[#This Row],[Fecha Levantamiento]]-Observaciones[[#This Row],[Fecha Detección]])&gt;=0,Observaciones[[#This Row],[Fecha Levantamiento]]-Observaciones[[#This Row],[Fecha Detección]]+1,0)</f>
        <v>0</v>
      </c>
      <c r="L351" s="34" t="str">
        <f>LOOKUP(Observaciones[[#This Row],[Caso de Prueba]],CasoPrueba[Código CP],CasoPrueba[Código de REQ])</f>
        <v>INSPECCIÓN</v>
      </c>
    </row>
    <row r="352" spans="1:12" ht="45" hidden="1">
      <c r="A352" s="165" t="s">
        <v>793</v>
      </c>
      <c r="B352" s="34" t="s">
        <v>155</v>
      </c>
      <c r="C352" s="34" t="str">
        <f>VLOOKUP(Observaciones[Caso de Prueba],CasoPrueba[[#All],[Código CP]:[Prioridad]],7,TRUE)</f>
        <v>Alta</v>
      </c>
      <c r="D352" s="34" t="s">
        <v>28</v>
      </c>
      <c r="E352" s="34" t="s">
        <v>47</v>
      </c>
      <c r="F352" s="73">
        <v>40848</v>
      </c>
      <c r="H352" s="94" t="s">
        <v>132</v>
      </c>
      <c r="I352" s="34" t="s">
        <v>597</v>
      </c>
      <c r="J352" s="34" t="s">
        <v>1110</v>
      </c>
      <c r="K352" s="34">
        <f>IF((Observaciones[[#This Row],[Fecha Levantamiento]]-Observaciones[[#This Row],[Fecha Detección]])&gt;=0,Observaciones[[#This Row],[Fecha Levantamiento]]-Observaciones[[#This Row],[Fecha Detección]]+1,0)</f>
        <v>0</v>
      </c>
      <c r="L352" s="34" t="str">
        <f>LOOKUP(Observaciones[[#This Row],[Caso de Prueba]],CasoPrueba[Código CP],CasoPrueba[Código de REQ])</f>
        <v>INSPECCIÓN</v>
      </c>
    </row>
    <row r="353" spans="1:12" ht="45" hidden="1">
      <c r="A353" s="165" t="s">
        <v>794</v>
      </c>
      <c r="B353" s="34" t="s">
        <v>155</v>
      </c>
      <c r="C353" s="34" t="str">
        <f>VLOOKUP(Observaciones[Caso de Prueba],CasoPrueba[[#All],[Código CP]:[Prioridad]],7,TRUE)</f>
        <v>Alta</v>
      </c>
      <c r="D353" s="34" t="s">
        <v>28</v>
      </c>
      <c r="E353" s="34" t="s">
        <v>47</v>
      </c>
      <c r="F353" s="73">
        <v>40848</v>
      </c>
      <c r="H353" s="94" t="s">
        <v>132</v>
      </c>
      <c r="I353" s="34" t="s">
        <v>1085</v>
      </c>
      <c r="J353" s="34" t="s">
        <v>857</v>
      </c>
      <c r="K353" s="34">
        <f>IF((Observaciones[[#This Row],[Fecha Levantamiento]]-Observaciones[[#This Row],[Fecha Detección]])&gt;=0,Observaciones[[#This Row],[Fecha Levantamiento]]-Observaciones[[#This Row],[Fecha Detección]]+1,0)</f>
        <v>0</v>
      </c>
      <c r="L353" s="34" t="str">
        <f>LOOKUP(Observaciones[[#This Row],[Caso de Prueba]],CasoPrueba[Código CP],CasoPrueba[Código de REQ])</f>
        <v>INSPECCIÓN</v>
      </c>
    </row>
    <row r="354" spans="1:12" ht="75" hidden="1">
      <c r="A354" s="165" t="s">
        <v>795</v>
      </c>
      <c r="B354" s="34" t="s">
        <v>155</v>
      </c>
      <c r="C354" s="34" t="str">
        <f>VLOOKUP(Observaciones[Caso de Prueba],CasoPrueba[[#All],[Código CP]:[Prioridad]],7,TRUE)</f>
        <v>Alta</v>
      </c>
      <c r="D354" s="34" t="s">
        <v>28</v>
      </c>
      <c r="E354" s="34" t="s">
        <v>47</v>
      </c>
      <c r="F354" s="73">
        <v>40848</v>
      </c>
      <c r="H354" s="94" t="s">
        <v>132</v>
      </c>
      <c r="I354" s="34" t="s">
        <v>1081</v>
      </c>
      <c r="J354" s="34" t="s">
        <v>857</v>
      </c>
      <c r="K354" s="34">
        <f>IF((Observaciones[[#This Row],[Fecha Levantamiento]]-Observaciones[[#This Row],[Fecha Detección]])&gt;=0,Observaciones[[#This Row],[Fecha Levantamiento]]-Observaciones[[#This Row],[Fecha Detección]]+1,0)</f>
        <v>0</v>
      </c>
      <c r="L354" s="34" t="str">
        <f>LOOKUP(Observaciones[[#This Row],[Caso de Prueba]],CasoPrueba[Código CP],CasoPrueba[Código de REQ])</f>
        <v>INSPECCIÓN</v>
      </c>
    </row>
    <row r="355" spans="1:12" ht="45" hidden="1">
      <c r="A355" s="165" t="s">
        <v>796</v>
      </c>
      <c r="B355" s="34" t="s">
        <v>156</v>
      </c>
      <c r="C355" s="34" t="str">
        <f>VLOOKUP(Observaciones[Caso de Prueba],CasoPrueba[[#All],[Código CP]:[Prioridad]],7,TRUE)</f>
        <v>Alta</v>
      </c>
      <c r="D355" s="34" t="s">
        <v>28</v>
      </c>
      <c r="E355" s="34" t="s">
        <v>47</v>
      </c>
      <c r="F355" s="73">
        <v>40848</v>
      </c>
      <c r="H355" s="94" t="s">
        <v>132</v>
      </c>
      <c r="I355" s="34" t="s">
        <v>597</v>
      </c>
      <c r="J355" s="34" t="s">
        <v>1111</v>
      </c>
      <c r="K355" s="34">
        <f>IF((Observaciones[[#This Row],[Fecha Levantamiento]]-Observaciones[[#This Row],[Fecha Detección]])&gt;=0,Observaciones[[#This Row],[Fecha Levantamiento]]-Observaciones[[#This Row],[Fecha Detección]]+1,0)</f>
        <v>0</v>
      </c>
      <c r="L355" s="34" t="str">
        <f>LOOKUP(Observaciones[[#This Row],[Caso de Prueba]],CasoPrueba[Código CP],CasoPrueba[Código de REQ])</f>
        <v>INSPECCIÓN</v>
      </c>
    </row>
    <row r="356" spans="1:12" ht="45" hidden="1">
      <c r="A356" s="165" t="s">
        <v>797</v>
      </c>
      <c r="B356" s="34" t="s">
        <v>157</v>
      </c>
      <c r="C356" s="34" t="str">
        <f>VLOOKUP(Observaciones[Caso de Prueba],CasoPrueba[[#All],[Código CP]:[Prioridad]],7,TRUE)</f>
        <v>Alta</v>
      </c>
      <c r="D356" s="34" t="s">
        <v>28</v>
      </c>
      <c r="E356" s="34" t="s">
        <v>47</v>
      </c>
      <c r="F356" s="73">
        <v>40848</v>
      </c>
      <c r="H356" s="94" t="s">
        <v>132</v>
      </c>
      <c r="I356" s="34" t="s">
        <v>597</v>
      </c>
      <c r="J356" s="34" t="s">
        <v>1112</v>
      </c>
      <c r="K356" s="34">
        <f>IF((Observaciones[[#This Row],[Fecha Levantamiento]]-Observaciones[[#This Row],[Fecha Detección]])&gt;=0,Observaciones[[#This Row],[Fecha Levantamiento]]-Observaciones[[#This Row],[Fecha Detección]]+1,0)</f>
        <v>0</v>
      </c>
      <c r="L356" s="34" t="str">
        <f>LOOKUP(Observaciones[[#This Row],[Caso de Prueba]],CasoPrueba[Código CP],CasoPrueba[Código de REQ])</f>
        <v>INSPECCIÓN</v>
      </c>
    </row>
    <row r="357" spans="1:12" ht="45" hidden="1">
      <c r="A357" s="165" t="s">
        <v>798</v>
      </c>
      <c r="B357" s="34" t="s">
        <v>158</v>
      </c>
      <c r="C357" s="34" t="str">
        <f>VLOOKUP(Observaciones[Caso de Prueba],CasoPrueba[[#All],[Código CP]:[Prioridad]],7,TRUE)</f>
        <v>Alta</v>
      </c>
      <c r="D357" s="34" t="s">
        <v>28</v>
      </c>
      <c r="E357" s="34" t="s">
        <v>47</v>
      </c>
      <c r="F357" s="73">
        <v>40848</v>
      </c>
      <c r="H357" s="94" t="s">
        <v>132</v>
      </c>
      <c r="I357" s="34" t="s">
        <v>597</v>
      </c>
      <c r="J357" s="34" t="s">
        <v>1113</v>
      </c>
      <c r="K357" s="34">
        <f>IF((Observaciones[[#This Row],[Fecha Levantamiento]]-Observaciones[[#This Row],[Fecha Detección]])&gt;=0,Observaciones[[#This Row],[Fecha Levantamiento]]-Observaciones[[#This Row],[Fecha Detección]]+1,0)</f>
        <v>0</v>
      </c>
      <c r="L357" s="34" t="str">
        <f>LOOKUP(Observaciones[[#This Row],[Caso de Prueba]],CasoPrueba[Código CP],CasoPrueba[Código de REQ])</f>
        <v>INSPECCIÓN</v>
      </c>
    </row>
    <row r="358" spans="1:12" ht="45" hidden="1">
      <c r="A358" s="165" t="s">
        <v>799</v>
      </c>
      <c r="B358" s="34" t="s">
        <v>171</v>
      </c>
      <c r="C358" s="34" t="str">
        <f>VLOOKUP(Observaciones[Caso de Prueba],CasoPrueba[[#All],[Código CP]:[Prioridad]],7,TRUE)</f>
        <v>Alta</v>
      </c>
      <c r="D358" s="34" t="s">
        <v>28</v>
      </c>
      <c r="E358" s="34" t="s">
        <v>47</v>
      </c>
      <c r="F358" s="73">
        <v>40848</v>
      </c>
      <c r="H358" s="94" t="s">
        <v>132</v>
      </c>
      <c r="I358" s="34" t="s">
        <v>597</v>
      </c>
      <c r="J358" s="34" t="s">
        <v>1114</v>
      </c>
      <c r="K358" s="34">
        <f>IF((Observaciones[[#This Row],[Fecha Levantamiento]]-Observaciones[[#This Row],[Fecha Detección]])&gt;=0,Observaciones[[#This Row],[Fecha Levantamiento]]-Observaciones[[#This Row],[Fecha Detección]]+1,0)</f>
        <v>0</v>
      </c>
      <c r="L358" s="34" t="str">
        <f>LOOKUP(Observaciones[[#This Row],[Caso de Prueba]],CasoPrueba[Código CP],CasoPrueba[Código de REQ])</f>
        <v>INSPECCIÓN</v>
      </c>
    </row>
    <row r="359" spans="1:12" ht="45">
      <c r="A359" s="165" t="s">
        <v>800</v>
      </c>
      <c r="B359" s="34" t="s">
        <v>172</v>
      </c>
      <c r="C359" s="34" t="str">
        <f>VLOOKUP(Observaciones[Caso de Prueba],CasoPrueba[[#All],[Código CP]:[Prioridad]],7,TRUE)</f>
        <v>Alta</v>
      </c>
      <c r="D359" s="34" t="s">
        <v>28</v>
      </c>
      <c r="E359" s="34" t="s">
        <v>47</v>
      </c>
      <c r="F359" s="73">
        <v>40848</v>
      </c>
      <c r="H359" s="94" t="s">
        <v>132</v>
      </c>
      <c r="I359" s="34" t="s">
        <v>871</v>
      </c>
      <c r="K359" s="34">
        <f>IF((Observaciones[[#This Row],[Fecha Levantamiento]]-Observaciones[[#This Row],[Fecha Detección]])&gt;=0,Observaciones[[#This Row],[Fecha Levantamiento]]-Observaciones[[#This Row],[Fecha Detección]]+1,0)</f>
        <v>0</v>
      </c>
      <c r="L359" s="34" t="str">
        <f>LOOKUP(Observaciones[[#This Row],[Caso de Prueba]],CasoPrueba[Código CP],CasoPrueba[Código de REQ])</f>
        <v>INSPECCIÓN</v>
      </c>
    </row>
    <row r="360" spans="1:12" ht="45">
      <c r="A360" s="165" t="s">
        <v>801</v>
      </c>
      <c r="B360" s="34" t="s">
        <v>173</v>
      </c>
      <c r="C360" s="34" t="str">
        <f>VLOOKUP(Observaciones[Caso de Prueba],CasoPrueba[[#All],[Código CP]:[Prioridad]],7,TRUE)</f>
        <v>Alta</v>
      </c>
      <c r="D360" s="34" t="s">
        <v>28</v>
      </c>
      <c r="E360" s="34" t="s">
        <v>47</v>
      </c>
      <c r="F360" s="73">
        <v>40848</v>
      </c>
      <c r="H360" s="94" t="s">
        <v>132</v>
      </c>
      <c r="I360" s="34" t="s">
        <v>597</v>
      </c>
      <c r="K360" s="34">
        <f>IF((Observaciones[[#This Row],[Fecha Levantamiento]]-Observaciones[[#This Row],[Fecha Detección]])&gt;=0,Observaciones[[#This Row],[Fecha Levantamiento]]-Observaciones[[#This Row],[Fecha Detección]]+1,0)</f>
        <v>0</v>
      </c>
      <c r="L360" s="34" t="str">
        <f>LOOKUP(Observaciones[[#This Row],[Caso de Prueba]],CasoPrueba[Código CP],CasoPrueba[Código de REQ])</f>
        <v>INSPECCIÓN</v>
      </c>
    </row>
    <row r="361" spans="1:12" ht="60">
      <c r="A361" s="165" t="s">
        <v>802</v>
      </c>
      <c r="B361" s="34" t="s">
        <v>173</v>
      </c>
      <c r="C361" s="34" t="str">
        <f>VLOOKUP(Observaciones[Caso de Prueba],CasoPrueba[[#All],[Código CP]:[Prioridad]],7,TRUE)</f>
        <v>Alta</v>
      </c>
      <c r="D361" s="34" t="s">
        <v>28</v>
      </c>
      <c r="E361" s="34" t="s">
        <v>47</v>
      </c>
      <c r="F361" s="73">
        <v>40848</v>
      </c>
      <c r="H361" s="94" t="s">
        <v>132</v>
      </c>
      <c r="I361" s="34" t="s">
        <v>1082</v>
      </c>
      <c r="K361" s="34">
        <f>IF((Observaciones[[#This Row],[Fecha Levantamiento]]-Observaciones[[#This Row],[Fecha Detección]])&gt;=0,Observaciones[[#This Row],[Fecha Levantamiento]]-Observaciones[[#This Row],[Fecha Detección]]+1,0)</f>
        <v>0</v>
      </c>
      <c r="L361" s="34" t="str">
        <f>LOOKUP(Observaciones[[#This Row],[Caso de Prueba]],CasoPrueba[Código CP],CasoPrueba[Código de REQ])</f>
        <v>INSPECCIÓN</v>
      </c>
    </row>
    <row r="362" spans="1:12" ht="45">
      <c r="A362" s="165" t="s">
        <v>1070</v>
      </c>
      <c r="B362" s="34" t="s">
        <v>174</v>
      </c>
      <c r="C362" s="34" t="str">
        <f>VLOOKUP(Observaciones[Caso de Prueba],CasoPrueba[[#All],[Código CP]:[Prioridad]],7,TRUE)</f>
        <v>Alta</v>
      </c>
      <c r="D362" s="34" t="s">
        <v>28</v>
      </c>
      <c r="E362" s="34" t="s">
        <v>47</v>
      </c>
      <c r="F362" s="73">
        <v>40848</v>
      </c>
      <c r="H362" s="94" t="s">
        <v>132</v>
      </c>
      <c r="I362" s="34" t="s">
        <v>597</v>
      </c>
      <c r="J362" s="163"/>
      <c r="K362" s="163">
        <f>IF((Observaciones[[#This Row],[Fecha Levantamiento]]-Observaciones[[#This Row],[Fecha Detección]])&gt;=0,Observaciones[[#This Row],[Fecha Levantamiento]]-Observaciones[[#This Row],[Fecha Detección]]+1,0)</f>
        <v>0</v>
      </c>
      <c r="L362" s="163" t="str">
        <f>LOOKUP(Observaciones[[#This Row],[Caso de Prueba]],CasoPrueba[Código CP],CasoPrueba[Código de REQ])</f>
        <v>INSPECCIÓN</v>
      </c>
    </row>
    <row r="363" spans="1:12" ht="30">
      <c r="A363" s="165" t="s">
        <v>1071</v>
      </c>
      <c r="B363" s="34" t="s">
        <v>174</v>
      </c>
      <c r="C363" s="34" t="str">
        <f>VLOOKUP(Observaciones[Caso de Prueba],CasoPrueba[[#All],[Código CP]:[Prioridad]],7,TRUE)</f>
        <v>Alta</v>
      </c>
      <c r="D363" s="34" t="s">
        <v>28</v>
      </c>
      <c r="E363" s="34" t="s">
        <v>47</v>
      </c>
      <c r="F363" s="73">
        <v>40848</v>
      </c>
      <c r="H363" s="94" t="s">
        <v>132</v>
      </c>
      <c r="I363" s="34" t="s">
        <v>1083</v>
      </c>
      <c r="J363" s="163"/>
      <c r="K363" s="163">
        <f>IF((Observaciones[[#This Row],[Fecha Levantamiento]]-Observaciones[[#This Row],[Fecha Detección]])&gt;=0,Observaciones[[#This Row],[Fecha Levantamiento]]-Observaciones[[#This Row],[Fecha Detección]]+1,0)</f>
        <v>0</v>
      </c>
      <c r="L363" s="163" t="str">
        <f>LOOKUP(Observaciones[[#This Row],[Caso de Prueba]],CasoPrueba[Código CP],CasoPrueba[Código de REQ])</f>
        <v>INSPECCIÓN</v>
      </c>
    </row>
    <row r="364" spans="1:12" ht="45">
      <c r="A364" s="165" t="s">
        <v>1072</v>
      </c>
      <c r="B364" s="34" t="s">
        <v>174</v>
      </c>
      <c r="C364" s="34" t="str">
        <f>VLOOKUP(Observaciones[Caso de Prueba],CasoPrueba[[#All],[Código CP]:[Prioridad]],7,TRUE)</f>
        <v>Alta</v>
      </c>
      <c r="D364" s="34" t="s">
        <v>28</v>
      </c>
      <c r="E364" s="34" t="s">
        <v>47</v>
      </c>
      <c r="F364" s="73">
        <v>40848</v>
      </c>
      <c r="H364" s="94" t="s">
        <v>132</v>
      </c>
      <c r="I364" s="34" t="s">
        <v>1084</v>
      </c>
      <c r="K364" s="34">
        <f>IF((Observaciones[[#This Row],[Fecha Levantamiento]]-Observaciones[[#This Row],[Fecha Detección]])&gt;=0,Observaciones[[#This Row],[Fecha Levantamiento]]-Observaciones[[#This Row],[Fecha Detección]]+1,0)</f>
        <v>0</v>
      </c>
      <c r="L364" s="34" t="str">
        <f>LOOKUP(Observaciones[[#This Row],[Caso de Prueba]],CasoPrueba[Código CP],CasoPrueba[Código de REQ])</f>
        <v>INSPECCIÓN</v>
      </c>
    </row>
    <row r="365" spans="1:12" ht="45">
      <c r="A365" s="165" t="s">
        <v>1073</v>
      </c>
      <c r="B365" s="34" t="s">
        <v>175</v>
      </c>
      <c r="C365" s="34" t="str">
        <f>VLOOKUP(Observaciones[Caso de Prueba],CasoPrueba[[#All],[Código CP]:[Prioridad]],7,TRUE)</f>
        <v>Alta</v>
      </c>
      <c r="D365" s="34" t="s">
        <v>28</v>
      </c>
      <c r="E365" s="34" t="s">
        <v>47</v>
      </c>
      <c r="F365" s="73">
        <v>40848</v>
      </c>
      <c r="H365" s="94" t="s">
        <v>132</v>
      </c>
      <c r="I365" s="34" t="s">
        <v>597</v>
      </c>
      <c r="K365" s="34">
        <f>IF((Observaciones[[#This Row],[Fecha Levantamiento]]-Observaciones[[#This Row],[Fecha Detección]])&gt;=0,Observaciones[[#This Row],[Fecha Levantamiento]]-Observaciones[[#This Row],[Fecha Detección]]+1,0)</f>
        <v>0</v>
      </c>
      <c r="L365" s="34" t="str">
        <f>LOOKUP(Observaciones[[#This Row],[Caso de Prueba]],CasoPrueba[Código CP],CasoPrueba[Código de REQ])</f>
        <v>INSPECCIÓN</v>
      </c>
    </row>
    <row r="366" spans="1:12">
      <c r="A366" s="165" t="s">
        <v>1074</v>
      </c>
      <c r="B366" s="34" t="s">
        <v>175</v>
      </c>
      <c r="C366" s="34" t="str">
        <f>VLOOKUP(Observaciones[Caso de Prueba],CasoPrueba[[#All],[Código CP]:[Prioridad]],7,TRUE)</f>
        <v>Alta</v>
      </c>
      <c r="D366" s="34" t="s">
        <v>28</v>
      </c>
      <c r="E366" s="34" t="s">
        <v>47</v>
      </c>
      <c r="F366" s="73">
        <v>40848</v>
      </c>
      <c r="H366" s="94" t="s">
        <v>132</v>
      </c>
      <c r="I366" s="34" t="s">
        <v>1086</v>
      </c>
      <c r="K366" s="34">
        <f>IF((Observaciones[[#This Row],[Fecha Levantamiento]]-Observaciones[[#This Row],[Fecha Detección]])&gt;=0,Observaciones[[#This Row],[Fecha Levantamiento]]-Observaciones[[#This Row],[Fecha Detección]]+1,0)</f>
        <v>0</v>
      </c>
      <c r="L366" s="34" t="str">
        <f>LOOKUP(Observaciones[[#This Row],[Caso de Prueba]],CasoPrueba[Código CP],CasoPrueba[Código de REQ])</f>
        <v>INSPECCIÓN</v>
      </c>
    </row>
    <row r="367" spans="1:12" ht="45">
      <c r="A367" s="165" t="s">
        <v>1075</v>
      </c>
      <c r="B367" s="34" t="s">
        <v>175</v>
      </c>
      <c r="C367" s="34" t="str">
        <f>VLOOKUP(Observaciones[Caso de Prueba],CasoPrueba[[#All],[Código CP]:[Prioridad]],7,TRUE)</f>
        <v>Alta</v>
      </c>
      <c r="D367" s="34" t="s">
        <v>28</v>
      </c>
      <c r="E367" s="34" t="s">
        <v>47</v>
      </c>
      <c r="F367" s="73">
        <v>40848</v>
      </c>
      <c r="H367" s="94" t="s">
        <v>132</v>
      </c>
      <c r="I367" s="34" t="s">
        <v>1087</v>
      </c>
      <c r="K367" s="34">
        <f>IF((Observaciones[[#This Row],[Fecha Levantamiento]]-Observaciones[[#This Row],[Fecha Detección]])&gt;=0,Observaciones[[#This Row],[Fecha Levantamiento]]-Observaciones[[#This Row],[Fecha Detección]]+1,0)</f>
        <v>0</v>
      </c>
      <c r="L367" s="34" t="str">
        <f>LOOKUP(Observaciones[[#This Row],[Caso de Prueba]],CasoPrueba[Código CP],CasoPrueba[Código de REQ])</f>
        <v>INSPECCIÓN</v>
      </c>
    </row>
    <row r="368" spans="1:12" ht="105">
      <c r="A368" s="165" t="s">
        <v>1076</v>
      </c>
      <c r="B368" s="34" t="s">
        <v>175</v>
      </c>
      <c r="C368" s="34" t="str">
        <f>VLOOKUP(Observaciones[Caso de Prueba],CasoPrueba[[#All],[Código CP]:[Prioridad]],7,TRUE)</f>
        <v>Alta</v>
      </c>
      <c r="D368" s="34" t="s">
        <v>28</v>
      </c>
      <c r="E368" s="34" t="s">
        <v>47</v>
      </c>
      <c r="F368" s="73">
        <v>40848</v>
      </c>
      <c r="H368" s="94" t="s">
        <v>132</v>
      </c>
      <c r="I368" s="34" t="s">
        <v>1088</v>
      </c>
      <c r="K368" s="34">
        <f>IF((Observaciones[[#This Row],[Fecha Levantamiento]]-Observaciones[[#This Row],[Fecha Detección]])&gt;=0,Observaciones[[#This Row],[Fecha Levantamiento]]-Observaciones[[#This Row],[Fecha Detección]]+1,0)</f>
        <v>0</v>
      </c>
      <c r="L368" s="34" t="str">
        <f>LOOKUP(Observaciones[[#This Row],[Caso de Prueba]],CasoPrueba[Código CP],CasoPrueba[Código de REQ])</f>
        <v>INSPECCIÓN</v>
      </c>
    </row>
    <row r="369" spans="1:12" ht="45">
      <c r="A369" s="165" t="s">
        <v>1077</v>
      </c>
      <c r="B369" s="34" t="s">
        <v>176</v>
      </c>
      <c r="C369" s="34" t="str">
        <f>VLOOKUP(Observaciones[Caso de Prueba],CasoPrueba[[#All],[Código CP]:[Prioridad]],7,TRUE)</f>
        <v>Alta</v>
      </c>
      <c r="D369" s="34" t="s">
        <v>28</v>
      </c>
      <c r="E369" s="34" t="s">
        <v>47</v>
      </c>
      <c r="F369" s="73">
        <v>40848</v>
      </c>
      <c r="H369" s="94" t="s">
        <v>132</v>
      </c>
      <c r="I369" s="34" t="s">
        <v>597</v>
      </c>
      <c r="K369" s="34">
        <f>IF((Observaciones[[#This Row],[Fecha Levantamiento]]-Observaciones[[#This Row],[Fecha Detección]])&gt;=0,Observaciones[[#This Row],[Fecha Levantamiento]]-Observaciones[[#This Row],[Fecha Detección]]+1,0)</f>
        <v>0</v>
      </c>
      <c r="L369" s="34" t="str">
        <f>LOOKUP(Observaciones[[#This Row],[Caso de Prueba]],CasoPrueba[Código CP],CasoPrueba[Código de REQ])</f>
        <v>INSPECCIÓN</v>
      </c>
    </row>
    <row r="370" spans="1:12">
      <c r="A370" s="165" t="s">
        <v>1078</v>
      </c>
      <c r="B370" s="34" t="s">
        <v>176</v>
      </c>
      <c r="C370" s="34" t="str">
        <f>VLOOKUP(Observaciones[Caso de Prueba],CasoPrueba[[#All],[Código CP]:[Prioridad]],7,TRUE)</f>
        <v>Alta</v>
      </c>
      <c r="D370" s="34" t="s">
        <v>28</v>
      </c>
      <c r="E370" s="34" t="s">
        <v>47</v>
      </c>
      <c r="F370" s="73">
        <v>40848</v>
      </c>
      <c r="H370" s="94" t="s">
        <v>132</v>
      </c>
      <c r="I370" s="34" t="s">
        <v>1086</v>
      </c>
      <c r="K370" s="34">
        <f>IF((Observaciones[[#This Row],[Fecha Levantamiento]]-Observaciones[[#This Row],[Fecha Detección]])&gt;=0,Observaciones[[#This Row],[Fecha Levantamiento]]-Observaciones[[#This Row],[Fecha Detección]]+1,0)</f>
        <v>0</v>
      </c>
      <c r="L370" s="34" t="str">
        <f>LOOKUP(Observaciones[[#This Row],[Caso de Prueba]],CasoPrueba[Código CP],CasoPrueba[Código de REQ])</f>
        <v>INSPECCIÓN</v>
      </c>
    </row>
    <row r="371" spans="1:12" ht="45">
      <c r="A371" s="165" t="s">
        <v>1079</v>
      </c>
      <c r="B371" s="34" t="s">
        <v>176</v>
      </c>
      <c r="C371" s="34" t="str">
        <f>VLOOKUP(Observaciones[Caso de Prueba],CasoPrueba[[#All],[Código CP]:[Prioridad]],7,TRUE)</f>
        <v>Alta</v>
      </c>
      <c r="D371" s="34" t="s">
        <v>28</v>
      </c>
      <c r="E371" s="34" t="s">
        <v>47</v>
      </c>
      <c r="F371" s="73">
        <v>40848</v>
      </c>
      <c r="H371" s="94" t="s">
        <v>132</v>
      </c>
      <c r="I371" s="34" t="s">
        <v>1089</v>
      </c>
      <c r="K371" s="34">
        <f>IF((Observaciones[[#This Row],[Fecha Levantamiento]]-Observaciones[[#This Row],[Fecha Detección]])&gt;=0,Observaciones[[#This Row],[Fecha Levantamiento]]-Observaciones[[#This Row],[Fecha Detección]]+1,0)</f>
        <v>0</v>
      </c>
      <c r="L371" s="34" t="str">
        <f>LOOKUP(Observaciones[[#This Row],[Caso de Prueba]],CasoPrueba[Código CP],CasoPrueba[Código de REQ])</f>
        <v>INSPECCIÓN</v>
      </c>
    </row>
    <row r="372" spans="1:12" hidden="1">
      <c r="A372" s="165" t="s">
        <v>1080</v>
      </c>
      <c r="C372" s="34" t="e">
        <f>VLOOKUP(Observaciones[Caso de Prueba],CasoPrueba[[#All],[Código CP]:[Prioridad]],7,TRUE)</f>
        <v>#N/A</v>
      </c>
      <c r="K372" s="34">
        <f>IF((Observaciones[[#This Row],[Fecha Levantamiento]]-Observaciones[[#This Row],[Fecha Detección]])&gt;=0,Observaciones[[#This Row],[Fecha Levantamiento]]-Observaciones[[#This Row],[Fecha Detección]]+1,0)</f>
        <v>1</v>
      </c>
      <c r="L372" s="34" t="e">
        <f>LOOKUP(Observaciones[[#This Row],[Caso de Prueba]],CasoPrueba[Código CP],CasoPrueba[Código de REQ])</f>
        <v>#N/A</v>
      </c>
    </row>
  </sheetData>
  <mergeCells count="1">
    <mergeCell ref="A1:K1"/>
  </mergeCells>
  <dataValidations count="1">
    <dataValidation type="list" allowBlank="1" showInputMessage="1" showErrorMessage="1" sqref="H3:H372">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Resumen!$P$22:$P$24</xm:f>
          </x14:formula1>
          <xm:sqref>E284 E280:E282 E278 E269:E276 E257:E267 E3:E238 E286:E292 E294:E298 E302:E304</xm:sqref>
        </x14:dataValidation>
        <x14:dataValidation type="list" allowBlank="1" showInputMessage="1" showErrorMessage="1">
          <x14:formula1>
            <xm:f>Resumen!$P$11:$P$14</xm:f>
          </x14:formula1>
          <xm:sqref>D150:D185 D280:D281 D269 D257:D258 D3:D148 D190:D191 D193:D215 D218:D238 D286 D294 D302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H11" sqref="H11"/>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1" t="s">
        <v>103</v>
      </c>
      <c r="B1" s="201"/>
      <c r="C1" s="201"/>
      <c r="D1" s="201"/>
      <c r="E1" s="201"/>
      <c r="F1" s="201"/>
      <c r="G1" s="201"/>
      <c r="H1" s="201"/>
      <c r="I1" s="201"/>
      <c r="J1" s="201"/>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464</v>
      </c>
      <c r="C3" s="34" t="str">
        <f>VLOOKUP(Consultas[[#This Row],[Caso de Prueba]],CasoPrueba[[#All],[Código CP]:[Prioridad]],7,TRUE)</f>
        <v>Alta</v>
      </c>
      <c r="D3" s="31" t="s">
        <v>49</v>
      </c>
      <c r="E3" s="31" t="s">
        <v>147</v>
      </c>
      <c r="F3" s="32">
        <v>40800</v>
      </c>
      <c r="H3" s="31" t="s">
        <v>463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13"/>
  <sheetViews>
    <sheetView zoomScale="85" zoomScaleNormal="85" workbookViewId="0">
      <selection activeCell="H16" sqref="H16"/>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2" t="s">
        <v>111</v>
      </c>
      <c r="C2" s="202"/>
      <c r="D2" s="202"/>
      <c r="E2" s="202"/>
      <c r="F2" s="202"/>
      <c r="G2" s="202"/>
      <c r="H2" s="202"/>
      <c r="I2" s="202"/>
      <c r="J2" s="202"/>
      <c r="L2" s="202" t="s">
        <v>112</v>
      </c>
      <c r="M2" s="202"/>
      <c r="N2" s="202"/>
      <c r="O2" s="202"/>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row r="9" spans="2:15">
      <c r="B9" s="69">
        <v>40835</v>
      </c>
      <c r="C9" s="40">
        <v>15</v>
      </c>
      <c r="D9" s="40">
        <v>10</v>
      </c>
      <c r="E9" s="40">
        <v>0</v>
      </c>
      <c r="F9" s="40">
        <v>0</v>
      </c>
      <c r="G9" s="40">
        <v>0</v>
      </c>
      <c r="H9" s="40">
        <v>0</v>
      </c>
      <c r="I9" s="40">
        <v>0</v>
      </c>
      <c r="J9" s="42">
        <f>SUM(HistóricoEjecuciones[[#This Row],[Aciertos]:[En Proceso]])</f>
        <v>25</v>
      </c>
      <c r="L9" s="69">
        <v>40835</v>
      </c>
      <c r="M9" s="40">
        <v>21</v>
      </c>
      <c r="N9" s="40">
        <v>215</v>
      </c>
      <c r="O9" s="70">
        <f>SUM(HistoricoIncidencias[[#This Row],[Abiertas]:[Cerradas]])</f>
        <v>236</v>
      </c>
    </row>
    <row r="10" spans="2:15">
      <c r="B10" s="69">
        <v>40838</v>
      </c>
      <c r="C10" s="40">
        <v>15</v>
      </c>
      <c r="D10" s="40">
        <v>20</v>
      </c>
      <c r="E10" s="40">
        <v>0</v>
      </c>
      <c r="F10" s="40">
        <v>0</v>
      </c>
      <c r="G10" s="40">
        <v>0</v>
      </c>
      <c r="H10" s="40">
        <v>0</v>
      </c>
      <c r="I10" s="40">
        <v>0</v>
      </c>
      <c r="J10" s="42">
        <f>SUM(HistóricoEjecuciones[[#This Row],[Aciertos]:[En Proceso]])</f>
        <v>35</v>
      </c>
      <c r="L10" s="69">
        <v>40838</v>
      </c>
      <c r="M10" s="40">
        <v>63</v>
      </c>
      <c r="N10" s="40">
        <v>215</v>
      </c>
      <c r="O10" s="70">
        <f>SUM(HistoricoIncidencias[[#This Row],[Abiertas]:[Cerradas]])</f>
        <v>278</v>
      </c>
    </row>
    <row r="11" spans="2:15">
      <c r="B11" s="69">
        <v>40840</v>
      </c>
      <c r="C11" s="40">
        <v>16</v>
      </c>
      <c r="D11" s="40">
        <v>19</v>
      </c>
      <c r="E11" s="40">
        <v>0</v>
      </c>
      <c r="F11" s="40">
        <v>0</v>
      </c>
      <c r="G11" s="40">
        <v>0</v>
      </c>
      <c r="H11" s="40">
        <v>0</v>
      </c>
      <c r="I11" s="40">
        <v>0</v>
      </c>
      <c r="J11" s="42">
        <f>SUM(HistóricoEjecuciones[[#This Row],[Aciertos]:[En Proceso]])</f>
        <v>35</v>
      </c>
      <c r="L11" s="69">
        <v>40840</v>
      </c>
      <c r="M11" s="40">
        <v>87</v>
      </c>
      <c r="N11" s="40">
        <v>215</v>
      </c>
      <c r="O11" s="70">
        <f>SUM(HistoricoIncidencias[[#This Row],[Abiertas]:[Cerradas]])</f>
        <v>302</v>
      </c>
    </row>
    <row r="12" spans="2:15">
      <c r="B12" s="69">
        <v>40845</v>
      </c>
      <c r="C12" s="40">
        <v>15</v>
      </c>
      <c r="D12" s="40">
        <v>20</v>
      </c>
      <c r="E12" s="40">
        <v>0</v>
      </c>
      <c r="F12" s="40">
        <v>0</v>
      </c>
      <c r="G12" s="40">
        <v>0</v>
      </c>
      <c r="H12" s="40">
        <v>0</v>
      </c>
      <c r="I12" s="40">
        <v>0</v>
      </c>
      <c r="J12" s="42">
        <f>SUM(HistóricoEjecuciones[[#This Row],[Aciertos]:[En Proceso]])</f>
        <v>35</v>
      </c>
      <c r="L12" s="69">
        <v>40845</v>
      </c>
      <c r="M12" s="40">
        <v>111</v>
      </c>
      <c r="N12" s="40">
        <v>215</v>
      </c>
      <c r="O12" s="70">
        <f>SUM(HistoricoIncidencias[[#This Row],[Abiertas]:[Cerradas]])</f>
        <v>326</v>
      </c>
    </row>
    <row r="13" spans="2:15">
      <c r="B13" s="69">
        <v>40848</v>
      </c>
      <c r="C13" s="40">
        <v>13</v>
      </c>
      <c r="D13" s="40">
        <v>22</v>
      </c>
      <c r="E13" s="40">
        <v>0</v>
      </c>
      <c r="F13" s="40">
        <v>1</v>
      </c>
      <c r="G13" s="40">
        <v>0</v>
      </c>
      <c r="H13" s="40">
        <v>0</v>
      </c>
      <c r="I13" s="40">
        <v>0</v>
      </c>
      <c r="J13" s="42">
        <f>SUM(HistóricoEjecuciones[[#This Row],[Aciertos]:[En Proceso]])</f>
        <v>36</v>
      </c>
      <c r="L13" s="69">
        <v>40848</v>
      </c>
      <c r="M13" s="40">
        <v>36</v>
      </c>
      <c r="N13" s="40">
        <v>333</v>
      </c>
      <c r="O13" s="70">
        <f>SUM(HistoricoIncidencias[[#This Row],[Abiertas]:[Cerradas]])</f>
        <v>369</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2011-11-02T22:51:25Z</dcterms:modified>
</cp:coreProperties>
</file>