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firstSheet="1"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s>
  <definedNames>
    <definedName name="_xlnm._FilterDatabase" localSheetId="4" hidden="1">Observaciones!$A$1:$K$1</definedName>
  </definedNames>
  <calcPr calcId="145621"/>
  <pivotCaches>
    <pivotCache cacheId="0" r:id="rId9"/>
    <pivotCache cacheId="1" r:id="rId10"/>
    <pivotCache cacheId="2" r:id="rId11"/>
    <pivotCache cacheId="3" r:id="rId12"/>
    <pivotCache cacheId="4" r:id="rId13"/>
    <pivotCache cacheId="5" r:id="rId14"/>
  </pivotCaches>
</workbook>
</file>

<file path=xl/calcChain.xml><?xml version="1.0" encoding="utf-8"?>
<calcChain xmlns="http://schemas.openxmlformats.org/spreadsheetml/2006/main">
  <c r="J4" i="6" l="1"/>
  <c r="J5" i="6"/>
  <c r="J6" i="6"/>
  <c r="J7" i="6"/>
  <c r="J8" i="6"/>
  <c r="J9" i="6"/>
  <c r="J10" i="6"/>
  <c r="J11" i="6"/>
  <c r="J12" i="6"/>
  <c r="J13" i="6"/>
  <c r="Q40" i="3"/>
  <c r="Q39" i="3"/>
  <c r="Q38" i="3"/>
  <c r="Q37" i="3"/>
  <c r="Q36" i="3"/>
  <c r="Q35" i="3"/>
  <c r="Q34" i="3"/>
  <c r="Q33" i="3"/>
  <c r="Q32" i="3"/>
  <c r="Q31" i="3"/>
  <c r="Q30" i="3"/>
  <c r="Q29" i="3"/>
  <c r="Q28" i="3"/>
  <c r="Q27" i="3"/>
  <c r="Q26" i="3"/>
  <c r="Q25" i="3"/>
  <c r="Q24" i="3"/>
  <c r="Q23" i="3"/>
  <c r="Q22" i="3"/>
  <c r="Q21" i="3"/>
  <c r="Q20" i="3"/>
  <c r="Q19" i="3"/>
  <c r="Q18" i="3"/>
  <c r="Q17" i="3"/>
  <c r="Q16" i="3"/>
  <c r="Q15" i="3"/>
  <c r="Q14" i="3"/>
  <c r="Q13" i="3"/>
  <c r="Q12" i="3"/>
  <c r="Q11" i="3"/>
  <c r="Q10" i="3"/>
  <c r="Q9" i="3"/>
  <c r="Q8" i="3"/>
  <c r="Q7" i="3"/>
  <c r="Q6" i="3"/>
  <c r="L40" i="3"/>
  <c r="F40" i="3"/>
  <c r="O13" i="6"/>
  <c r="C371" i="4"/>
  <c r="C370" i="4"/>
  <c r="C368" i="4"/>
  <c r="C367" i="4"/>
  <c r="C366" i="4"/>
  <c r="C369" i="4"/>
  <c r="C365" i="4"/>
  <c r="C364" i="4"/>
  <c r="C363" i="4"/>
  <c r="C354" i="4"/>
  <c r="C353" i="4"/>
  <c r="C372" i="4"/>
  <c r="K364" i="4"/>
  <c r="K365" i="4"/>
  <c r="K366" i="4"/>
  <c r="K367" i="4"/>
  <c r="K368" i="4"/>
  <c r="K369" i="4"/>
  <c r="K370" i="4"/>
  <c r="K371" i="4"/>
  <c r="K372" i="4"/>
  <c r="L364" i="4"/>
  <c r="L365" i="4"/>
  <c r="L366" i="4"/>
  <c r="L367" i="4"/>
  <c r="L368" i="4"/>
  <c r="L369" i="4"/>
  <c r="L370" i="4"/>
  <c r="L371" i="4"/>
  <c r="L372" i="4"/>
  <c r="K363" i="4"/>
  <c r="L363" i="4"/>
  <c r="K362" i="4"/>
  <c r="L362" i="4"/>
  <c r="C349" i="4"/>
  <c r="C348" i="4"/>
  <c r="C347" i="4"/>
  <c r="C341" i="4"/>
  <c r="C339" i="4" l="1"/>
  <c r="O12" i="6" l="1"/>
  <c r="C318" i="4"/>
  <c r="C324" i="4"/>
  <c r="C325" i="4"/>
  <c r="C326" i="4"/>
  <c r="C327" i="4"/>
  <c r="C328" i="4"/>
  <c r="C329" i="4"/>
  <c r="C330" i="4"/>
  <c r="C331" i="4"/>
  <c r="C332" i="4"/>
  <c r="C333" i="4"/>
  <c r="C334" i="4"/>
  <c r="C335" i="4"/>
  <c r="C336" i="4"/>
  <c r="C337" i="4"/>
  <c r="C338" i="4"/>
  <c r="C340" i="4"/>
  <c r="C342" i="4"/>
  <c r="C343" i="4"/>
  <c r="C344" i="4"/>
  <c r="C345" i="4"/>
  <c r="C346" i="4"/>
  <c r="C350" i="4"/>
  <c r="C351" i="4"/>
  <c r="C352" i="4"/>
  <c r="C355" i="4"/>
  <c r="C356" i="4"/>
  <c r="C357" i="4"/>
  <c r="C358" i="4"/>
  <c r="C359" i="4"/>
  <c r="C360" i="4"/>
  <c r="C361" i="4"/>
  <c r="C36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C314" i="4" l="1"/>
  <c r="C315" i="4"/>
  <c r="C316" i="4"/>
  <c r="C317" i="4"/>
  <c r="C319" i="4"/>
  <c r="C320" i="4"/>
  <c r="C321" i="4"/>
  <c r="C322" i="4"/>
  <c r="C323" i="4"/>
  <c r="K314" i="4"/>
  <c r="K315" i="4"/>
  <c r="K316" i="4"/>
  <c r="K317" i="4"/>
  <c r="K318" i="4"/>
  <c r="K319" i="4"/>
  <c r="K320" i="4"/>
  <c r="K321" i="4"/>
  <c r="K322" i="4"/>
  <c r="L314" i="4"/>
  <c r="L315" i="4"/>
  <c r="L316" i="4"/>
  <c r="L317" i="4"/>
  <c r="L318" i="4"/>
  <c r="L319" i="4"/>
  <c r="L320" i="4"/>
  <c r="L321" i="4"/>
  <c r="L322" i="4"/>
  <c r="C313" i="4"/>
  <c r="K313" i="4"/>
  <c r="L313" i="4"/>
  <c r="C312" i="4"/>
  <c r="K312" i="4"/>
  <c r="L312" i="4"/>
  <c r="C311" i="4"/>
  <c r="K311" i="4"/>
  <c r="L311" i="4"/>
  <c r="C310" i="4"/>
  <c r="K310" i="4"/>
  <c r="L310" i="4"/>
  <c r="C309" i="4"/>
  <c r="K309" i="4"/>
  <c r="L309" i="4"/>
  <c r="C308" i="4"/>
  <c r="K308" i="4"/>
  <c r="L308" i="4"/>
  <c r="C307" i="4"/>
  <c r="K307" i="4"/>
  <c r="L307" i="4"/>
  <c r="C306" i="4"/>
  <c r="K306" i="4"/>
  <c r="L306" i="4"/>
  <c r="C305" i="4"/>
  <c r="K305" i="4"/>
  <c r="L305" i="4"/>
  <c r="O11" i="6" l="1"/>
  <c r="K302" i="4"/>
  <c r="L302" i="4"/>
  <c r="K303" i="4"/>
  <c r="L303" i="4"/>
  <c r="C299" i="4"/>
  <c r="K292" i="4"/>
  <c r="L292" i="4"/>
  <c r="F13" i="2"/>
  <c r="O10" i="6"/>
  <c r="K272" i="4"/>
  <c r="L272" i="4"/>
  <c r="K270" i="4"/>
  <c r="K266" i="4"/>
  <c r="L266" i="4"/>
  <c r="K246" i="4"/>
  <c r="F37" i="3"/>
  <c r="F38" i="3"/>
  <c r="F39" i="3"/>
  <c r="L39" i="3"/>
  <c r="L38" i="3"/>
  <c r="L37" i="3"/>
  <c r="F30" i="3"/>
  <c r="L30" i="3"/>
  <c r="F31" i="3"/>
  <c r="L31" i="3"/>
  <c r="F32" i="3"/>
  <c r="L32" i="3"/>
  <c r="F33" i="3"/>
  <c r="L33" i="3"/>
  <c r="F34" i="3"/>
  <c r="L34" i="3"/>
  <c r="F35" i="3"/>
  <c r="L35" i="3"/>
  <c r="F36" i="3"/>
  <c r="L36" i="3"/>
  <c r="O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F28" i="3"/>
  <c r="L28" i="3"/>
  <c r="F29" i="3"/>
  <c r="L29" i="3"/>
  <c r="C194" i="4"/>
  <c r="C195" i="4"/>
  <c r="C192" i="4"/>
  <c r="C188" i="4"/>
  <c r="C189" i="4"/>
  <c r="C177" i="4" l="1"/>
  <c r="C176" i="4"/>
  <c r="F24" i="3"/>
  <c r="L24" i="3"/>
  <c r="F25" i="3"/>
  <c r="L25" i="3"/>
  <c r="F26" i="3"/>
  <c r="L26" i="3"/>
  <c r="F27" i="3"/>
  <c r="L27" i="3"/>
  <c r="F23" i="3"/>
  <c r="L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Q5" i="3" l="1"/>
  <c r="F21" i="3"/>
  <c r="F22" i="3"/>
  <c r="L21" i="3"/>
  <c r="L22" i="3"/>
  <c r="F20" i="3"/>
  <c r="L20" i="3"/>
  <c r="O7" i="6"/>
  <c r="C124" i="4"/>
  <c r="C125" i="4"/>
  <c r="C126" i="4"/>
  <c r="C127" i="4"/>
  <c r="C128" i="4"/>
  <c r="K124" i="4"/>
  <c r="K125" i="4"/>
  <c r="K126" i="4"/>
  <c r="K127" i="4"/>
  <c r="K128" i="4"/>
  <c r="L124" i="4"/>
  <c r="L125" i="4"/>
  <c r="L126" i="4"/>
  <c r="L127" i="4"/>
  <c r="L128" i="4"/>
  <c r="C123" i="4"/>
  <c r="K123" i="4"/>
  <c r="L123" i="4"/>
  <c r="O6" i="6"/>
  <c r="O5" i="6"/>
  <c r="O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<sst xmlns="http://schemas.openxmlformats.org/spreadsheetml/2006/main" count="3156" uniqueCount="1128">
  <si>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</si>
  <si>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</si>
  <si>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</si>
  <si>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</si>
  <si>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</si>
  <si>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</si>
  <si>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</si>
  <si>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</si>
  <si>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</si>
  <si>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</si>
  <si>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</si>
  <si>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</si>
  <si>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</si>
  <si>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</si>
  <si>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</si>
  <si>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</si>
  <si>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</si>
  <si>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</si>
  <si>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</si>
  <si>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</si>
  <si>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</si>
  <si>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</si>
  <si>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</si>
  <si>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</si>
  <si>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</si>
  <si>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</si>
  <si>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</si>
  <si>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</si>
  <si>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</si>
  <si>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</si>
  <si>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</si>
  <si>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</si>
  <si>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</si>
  <si>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</si>
  <si>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</si>
  <si>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</si>
  <si>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</si>
  <si>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</si>
  <si>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</si>
  <si>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</si>
  <si>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</si>
  <si>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</si>
  <si>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</si>
  <si>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</si>
  <si>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</si>
  <si>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</si>
  <si>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</si>
  <si>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</si>
  <si>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</si>
  <si>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</si>
  <si>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</si>
  <si>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</si>
  <si>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</si>
  <si>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</si>
  <si>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</si>
  <si>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</si>
  <si>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</si>
  <si>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</si>
  <si>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</si>
  <si>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</si>
  <si>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</si>
  <si>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</si>
  <si>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</si>
  <si>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</si>
  <si>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</si>
  <si>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</si>
  <si>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</si>
  <si>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</si>
  <si>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</si>
  <si>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</si>
  <si>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</si>
  <si>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</si>
  <si>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</si>
  <si>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</si>
  <si>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</si>
  <si>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</si>
  <si>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</si>
  <si>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</si>
  <si>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</si>
  <si>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</si>
  <si>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</si>
  <si>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</si>
  <si>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</si>
  <si>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</si>
  <si>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</si>
  <si>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</si>
  <si>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</si>
  <si>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</si>
  <si>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</si>
  <si>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</si>
  <si>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</si>
  <si>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</si>
  <si>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</si>
  <si>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</si>
  <si>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</si>
  <si>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</si>
  <si>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</si>
  <si>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</si>
  <si>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</si>
  <si>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</si>
  <si>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</si>
  <si>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</si>
  <si>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</si>
  <si>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</si>
  <si>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</si>
  <si>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</si>
  <si>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</si>
  <si>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</si>
  <si>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</si>
  <si>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</si>
  <si>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</si>
  <si>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</si>
  <si>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</si>
  <si>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</si>
  <si>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</si>
  <si>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</si>
  <si>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</si>
  <si>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</si>
  <si>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</si>
  <si>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</si>
  <si>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</si>
  <si>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</si>
  <si>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</si>
  <si>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</si>
  <si>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</si>
  <si>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</si>
  <si>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</si>
  <si>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</si>
  <si>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</si>
  <si>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</si>
  <si>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</si>
  <si>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</si>
  <si>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</si>
  <si>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</si>
  <si>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</si>
  <si>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</si>
  <si>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</si>
  <si>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</si>
  <si>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</si>
  <si>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</si>
  <si>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</si>
  <si>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</si>
  <si>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</si>
  <si>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</si>
  <si>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</si>
  <si>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</si>
  <si>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</si>
  <si>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</si>
  <si>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</si>
  <si>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</si>
  <si>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</si>
  <si>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</si>
  <si>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</si>
  <si>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</si>
  <si>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</si>
  <si>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</si>
  <si>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</si>
  <si>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</si>
  <si>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</si>
  <si>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</si>
  <si>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</si>
  <si>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</si>
  <si>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</si>
  <si>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</si>
  <si>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</si>
  <si>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</si>
  <si>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</si>
  <si>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</si>
  <si>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</si>
  <si>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</si>
  <si>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</si>
  <si>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</si>
  <si>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</si>
  <si>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</si>
  <si>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</si>
  <si>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</si>
  <si>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</si>
  <si>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</si>
  <si>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</si>
  <si>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</si>
  <si>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</si>
  <si>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</si>
  <si>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</si>
  <si>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</si>
  <si>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</si>
  <si>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</si>
  <si>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</si>
  <si>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</si>
  <si>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</si>
  <si>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</si>
  <si>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</si>
  <si>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</si>
  <si>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</si>
  <si>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</si>
  <si>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</si>
  <si>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</si>
  <si>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</si>
  <si>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</si>
  <si>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</si>
  <si>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</si>
  <si>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</si>
  <si>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</si>
  <si>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</si>
  <si>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</si>
  <si>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</si>
  <si>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</si>
  <si>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</si>
  <si>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</si>
  <si>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</si>
  <si>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</si>
  <si>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</si>
  <si>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</si>
  <si>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</si>
  <si>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</si>
  <si>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</si>
  <si>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</si>
  <si>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</si>
  <si>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</si>
  <si>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</si>
  <si>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</si>
  <si>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</si>
  <si>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</si>
  <si>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</si>
  <si>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</si>
  <si>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</si>
  <si>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</si>
  <si>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</si>
  <si>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</si>
  <si>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</si>
  <si>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</si>
  <si>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</si>
  <si>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</si>
  <si>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</si>
  <si>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</si>
  <si>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</si>
  <si>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</si>
  <si>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</si>
  <si>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</si>
  <si>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</si>
  <si>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</si>
  <si>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</si>
  <si>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</si>
  <si>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</si>
  <si>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</si>
  <si>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</si>
  <si>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</si>
  <si>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</si>
  <si>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</si>
  <si>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</si>
  <si>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</si>
  <si>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</si>
  <si>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</si>
  <si>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</si>
  <si>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</si>
  <si>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</si>
  <si>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</si>
  <si>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</si>
  <si>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</si>
  <si>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</si>
  <si>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</si>
  <si>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</si>
  <si>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</si>
  <si>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</si>
  <si>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</si>
  <si>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</si>
  <si>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</si>
  <si>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</si>
  <si>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</si>
  <si>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</si>
  <si>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</si>
  <si>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</si>
  <si>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</si>
  <si>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</si>
  <si>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</si>
  <si>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</si>
  <si>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</si>
  <si>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</si>
  <si>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</si>
  <si>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</si>
  <si>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</si>
  <si>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</si>
  <si>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</si>
  <si>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</si>
  <si>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</si>
  <si>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</si>
  <si>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</si>
  <si>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</si>
  <si>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</si>
  <si>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</si>
  <si>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</si>
  <si>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</si>
  <si>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</si>
  <si>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</si>
  <si>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</si>
  <si>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</si>
  <si>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</si>
  <si>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</si>
  <si>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</si>
  <si>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</si>
  <si>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</si>
  <si>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</si>
  <si>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</si>
  <si>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</si>
  <si>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</si>
  <si>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</si>
  <si>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</si>
  <si>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</si>
  <si>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</si>
  <si>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</si>
  <si>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</si>
  <si>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</si>
  <si>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</si>
  <si>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</si>
  <si>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</si>
  <si>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</si>
  <si>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</si>
  <si>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</si>
  <si>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</si>
  <si>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</si>
  <si>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</si>
  <si>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</si>
  <si>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</si>
  <si>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</si>
  <si>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</si>
  <si>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</si>
  <si>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</si>
  <si>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</si>
  <si>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</si>
  <si>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</si>
  <si>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</si>
  <si>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</si>
  <si>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</si>
  <si>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</si>
  <si>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</si>
  <si>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</si>
  <si>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</si>
  <si>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</si>
  <si>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</si>
  <si>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</si>
  <si>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</si>
  <si>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</si>
  <si>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</si>
  <si>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</si>
  <si>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</si>
  <si>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</si>
  <si>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</si>
  <si>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</si>
  <si>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</si>
  <si>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</si>
  <si>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</si>
  <si>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</si>
  <si>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</si>
  <si>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</si>
  <si>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</si>
  <si>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</si>
  <si>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</si>
  <si>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</si>
  <si>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</si>
  <si>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</si>
  <si>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</si>
  <si>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</si>
  <si>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</si>
  <si>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</si>
  <si>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</si>
  <si>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</si>
  <si>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</si>
  <si>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</si>
  <si>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</si>
  <si>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</si>
  <si>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</si>
  <si>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</si>
  <si>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</si>
  <si>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</si>
  <si>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</si>
  <si>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</si>
  <si>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</si>
  <si>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</si>
  <si>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</si>
  <si>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</si>
  <si>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</si>
  <si>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</si>
  <si>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</si>
  <si>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</si>
  <si>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</si>
  <si>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</si>
  <si>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</si>
  <si>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</si>
  <si>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</si>
  <si>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</si>
  <si>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</si>
  <si>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</si>
  <si>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</si>
  <si>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</si>
  <si>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</si>
  <si>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</si>
  <si>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</si>
  <si>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</si>
  <si>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</si>
  <si>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</si>
  <si>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</si>
  <si>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</si>
  <si>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</si>
  <si>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</si>
  <si>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</si>
  <si>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</si>
  <si>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</si>
  <si>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</si>
  <si>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</si>
  <si>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</si>
  <si>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</si>
  <si>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</si>
  <si>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</si>
  <si>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</si>
  <si>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</si>
  <si>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</si>
  <si>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</si>
  <si>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</si>
  <si>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</si>
  <si>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</si>
  <si>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</si>
  <si>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</si>
  <si>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</si>
  <si>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</si>
  <si>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</si>
  <si>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</si>
  <si>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</si>
  <si>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</si>
  <si>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</si>
  <si>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</si>
  <si>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</si>
  <si>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</si>
  <si>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</si>
  <si>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</si>
  <si>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</si>
  <si>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</si>
  <si>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</si>
  <si>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</si>
  <si>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</si>
  <si>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</si>
  <si>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</si>
  <si>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</si>
  <si>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</si>
  <si>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</si>
  <si>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</si>
  <si>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</si>
  <si>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</si>
  <si>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</si>
  <si>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</si>
  <si>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</si>
  <si>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</si>
  <si>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</si>
  <si>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</si>
  <si>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</si>
  <si>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</si>
  <si>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</si>
  <si>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</si>
  <si>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</si>
  <si>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</si>
  <si>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</si>
  <si>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</si>
  <si>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</si>
  <si>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</si>
  <si>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</si>
  <si>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</si>
  <si>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</si>
  <si>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</si>
  <si>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</si>
  <si>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</si>
  <si>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</si>
  <si>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</si>
  <si>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</si>
  <si>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</si>
  <si>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</si>
  <si>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</si>
  <si>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</si>
  <si>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</si>
  <si>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</si>
  <si>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</si>
  <si>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</si>
  <si>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</si>
  <si>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</si>
  <si>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</si>
  <si>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</si>
  <si>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</si>
  <si>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</si>
  <si>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</si>
  <si>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</si>
  <si>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</si>
  <si>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</si>
  <si>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</si>
  <si>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</si>
  <si>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</si>
  <si>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</si>
  <si>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</si>
  <si>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</si>
  <si>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</si>
  <si>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</si>
  <si>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</si>
  <si>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</si>
  <si>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</si>
  <si>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</si>
  <si>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</si>
  <si>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</si>
  <si>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</si>
  <si>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</si>
  <si>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</si>
  <si>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</si>
  <si>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</si>
  <si>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</si>
  <si>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</si>
  <si>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</si>
  <si>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</si>
  <si>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</si>
  <si>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</si>
  <si>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</si>
  <si>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</si>
  <si>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</si>
  <si>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</si>
  <si>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</si>
  <si>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</si>
  <si>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</si>
  <si>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</si>
  <si>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</si>
  <si>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</si>
  <si>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</si>
  <si>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</si>
  <si>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</si>
  <si>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</si>
  <si>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</si>
  <si>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</si>
  <si>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</si>
  <si>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</si>
  <si>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</si>
  <si>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</si>
  <si>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</si>
  <si>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</si>
  <si>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</si>
  <si>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</si>
  <si>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</si>
  <si>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</si>
  <si>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</si>
  <si>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</si>
  <si>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</si>
  <si>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</si>
  <si>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</si>
  <si>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</si>
  <si>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</si>
  <si>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</si>
  <si>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</si>
  <si>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</si>
  <si>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</si>
  <si>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</si>
  <si>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</si>
  <si>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</si>
  <si>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</si>
  <si>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</si>
  <si>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</si>
  <si>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</si>
  <si>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</si>
  <si>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</si>
  <si>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</si>
  <si>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</si>
  <si>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</si>
  <si>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</si>
  <si>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</si>
  <si>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</si>
  <si>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</si>
  <si>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</si>
  <si>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</si>
  <si>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</si>
  <si>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</si>
  <si>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</si>
  <si>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</si>
  <si>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</si>
  <si>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</si>
  <si>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</si>
  <si>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</si>
  <si>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</si>
  <si>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</si>
  <si>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</si>
  <si>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</si>
  <si>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</si>
  <si>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</si>
  <si>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</si>
  <si>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</si>
  <si>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</si>
  <si>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</si>
  <si>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</si>
  <si>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</si>
  <si>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</si>
  <si>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</si>
  <si>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</si>
  <si>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</si>
  <si>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</si>
  <si>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</si>
  <si>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</si>
  <si>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</si>
  <si>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</si>
  <si>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</si>
  <si>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</si>
  <si>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</si>
  <si>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</si>
  <si>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</si>
  <si>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</si>
  <si>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</si>
  <si>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</si>
  <si>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</si>
  <si>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</si>
  <si>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</si>
  <si>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</si>
  <si>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</si>
  <si>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</si>
  <si>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</si>
  <si>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</si>
  <si>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</si>
  <si>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</si>
  <si>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</si>
  <si>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</si>
  <si>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</si>
  <si>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</si>
  <si>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</si>
  <si>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</si>
  <si>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</si>
  <si>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</si>
  <si>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</si>
  <si>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</si>
  <si>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</si>
  <si>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</si>
  <si>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</si>
  <si>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</si>
  <si>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</si>
  <si>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</si>
  <si>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</si>
  <si>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</si>
  <si>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</si>
  <si>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</si>
  <si>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</si>
  <si>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</si>
  <si>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</si>
  <si>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</si>
  <si>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</si>
  <si>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</si>
  <si>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</si>
  <si>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</si>
  <si>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</si>
  <si>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</si>
  <si>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</si>
  <si>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</si>
  <si>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</si>
  <si>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</si>
  <si>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</si>
  <si>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</si>
  <si>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</si>
  <si>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</si>
  <si>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</si>
  <si>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</si>
  <si>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</si>
  <si>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</si>
  <si>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</si>
  <si>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</si>
  <si>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</si>
  <si>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</si>
  <si>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</si>
  <si>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</si>
  <si>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</si>
  <si>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</si>
  <si>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</si>
  <si>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</si>
  <si>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</si>
  <si>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</si>
  <si>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</si>
  <si>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</si>
  <si>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</si>
  <si>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</si>
  <si>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</si>
  <si>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</si>
  <si>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</si>
  <si>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</si>
  <si>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</si>
  <si>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</si>
  <si>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</si>
  <si>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</si>
  <si>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</si>
  <si>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</si>
  <si>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</si>
  <si>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</si>
  <si>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</si>
  <si>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</si>
  <si>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</si>
  <si>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</si>
  <si>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</si>
  <si>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</si>
  <si>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</si>
  <si>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</si>
  <si>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</si>
  <si>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</si>
  <si>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</si>
  <si>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</si>
  <si>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</si>
  <si>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</si>
  <si>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</si>
  <si>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</si>
  <si>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</si>
  <si>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</si>
  <si>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</si>
  <si>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</si>
  <si>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</si>
  <si>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</si>
  <si>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</si>
  <si>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</si>
  <si>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</si>
  <si>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</si>
  <si>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</si>
  <si>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</si>
  <si>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</si>
  <si>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</si>
  <si>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</si>
  <si>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</si>
  <si>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</si>
  <si>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</si>
  <si>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</si>
  <si>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</si>
  <si>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</si>
  <si>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</si>
  <si>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</si>
  <si>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</si>
  <si>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</si>
  <si>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</si>
  <si>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</si>
  <si>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</si>
  <si>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</si>
  <si>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</si>
  <si>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</si>
  <si>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</si>
  <si>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</si>
  <si>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</si>
  <si>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</si>
  <si>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</si>
  <si>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</si>
  <si>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</si>
  <si>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</si>
  <si>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</si>
  <si>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</si>
  <si>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</si>
  <si>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</si>
  <si>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</si>
  <si>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</si>
  <si>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</si>
  <si>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</si>
  <si>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</si>
  <si>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</si>
  <si>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</si>
  <si>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</si>
  <si>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</si>
  <si>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</si>
  <si>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</si>
  <si>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</si>
  <si>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</si>
  <si>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</si>
  <si>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</si>
  <si>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</si>
  <si>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</si>
  <si>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</si>
  <si>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</si>
  <si>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</si>
  <si>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</si>
  <si>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</si>
  <si>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</si>
  <si>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</si>
  <si>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</si>
  <si>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</si>
  <si>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</si>
  <si>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</si>
  <si>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</si>
  <si>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</si>
  <si>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</si>
  <si>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</si>
  <si>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</si>
  <si>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</si>
  <si>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</si>
  <si>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</si>
  <si>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</si>
  <si>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</si>
  <si>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</si>
  <si>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</si>
  <si>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</si>
  <si>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</si>
  <si>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</si>
  <si>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</si>
  <si>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</si>
  <si>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</si>
  <si>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</si>
  <si>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</si>
  <si>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</si>
  <si>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</si>
  <si>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</si>
  <si>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</si>
  <si>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</si>
  <si>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</si>
  <si>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</si>
  <si>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</si>
  <si>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</si>
  <si>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</si>
  <si>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</si>
  <si>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</si>
  <si>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</si>
  <si>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</si>
  <si>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</si>
  <si>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</si>
  <si>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</si>
  <si>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</si>
  <si>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</si>
  <si>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</si>
  <si>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</si>
  <si>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</si>
  <si>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</si>
  <si>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</si>
  <si>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</si>
  <si>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</si>
  <si>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</si>
  <si>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</si>
  <si>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</si>
  <si>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</si>
  <si>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</si>
  <si>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</si>
  <si>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</si>
  <si>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</si>
  <si>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</si>
  <si>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</si>
  <si>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</si>
  <si>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</si>
  <si>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</si>
  <si>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</si>
  <si>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</si>
  <si>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</si>
  <si>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</si>
  <si>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</si>
  <si>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</si>
  <si>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</si>
  <si>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</si>
  <si>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</si>
  <si>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</si>
  <si>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</si>
  <si>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</si>
  <si>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</si>
  <si>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</si>
  <si>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</si>
  <si>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</si>
  <si>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</si>
  <si>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</si>
  <si>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</si>
  <si>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</si>
  <si>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</si>
  <si>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</si>
  <si>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</si>
  <si>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</si>
  <si>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</si>
  <si>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</si>
  <si>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</si>
  <si>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</si>
  <si>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</si>
  <si>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</si>
  <si>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</si>
  <si>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</si>
  <si>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</si>
  <si>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</si>
  <si>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</si>
  <si>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</si>
  <si>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</si>
  <si>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</si>
  <si>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</si>
  <si>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</si>
  <si>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</si>
  <si>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</si>
  <si>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</si>
  <si>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</si>
  <si>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</si>
  <si>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</si>
  <si>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</si>
  <si>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</si>
  <si>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</si>
  <si>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</si>
  <si>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</si>
  <si>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</si>
  <si>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</si>
  <si>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</si>
  <si>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</si>
  <si>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</si>
  <si>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</si>
  <si>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</si>
  <si>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</si>
  <si>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</si>
  <si>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</si>
  <si>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</si>
  <si>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</si>
  <si>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</si>
  <si>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</si>
  <si>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</si>
  <si>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</si>
  <si>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</si>
  <si>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</si>
  <si>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</si>
  <si>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</si>
  <si>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</si>
  <si>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</si>
  <si>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</si>
  <si>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</si>
  <si>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</si>
  <si>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</si>
  <si>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</si>
  <si>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</si>
  <si>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</si>
  <si>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</si>
  <si>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</si>
  <si>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</si>
  <si>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</si>
  <si>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</si>
  <si>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</si>
  <si>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</si>
  <si>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</si>
  <si>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</si>
  <si>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</si>
  <si>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</si>
  <si>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</si>
  <si>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</si>
  <si>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</si>
  <si>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</si>
  <si>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</si>
  <si>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</si>
  <si>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</si>
  <si>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</si>
  <si>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</si>
  <si>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</si>
  <si>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</si>
  <si>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</si>
  <si>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</si>
  <si>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</si>
  <si>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</si>
  <si>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</si>
  <si>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</si>
  <si>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</si>
  <si>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</si>
  <si>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</si>
  <si>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</si>
  <si>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</si>
  <si>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</si>
  <si>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</si>
  <si>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</si>
  <si>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</si>
  <si>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</si>
  <si>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</si>
  <si>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</si>
  <si>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</si>
  <si>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</si>
  <si>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</si>
  <si>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</si>
  <si>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</si>
  <si>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</si>
  <si>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</si>
  <si>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</si>
  <si>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</si>
  <si>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</si>
  <si>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</si>
  <si>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</si>
  <si>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</si>
  <si>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</si>
  <si>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</si>
  <si>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</si>
  <si>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</si>
  <si>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</si>
  <si>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</si>
  <si>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</si>
  <si>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</si>
  <si>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</si>
  <si>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</si>
  <si>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</si>
  <si>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</si>
  <si>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</si>
  <si>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</si>
  <si>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</si>
  <si>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</si>
  <si>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</si>
  <si>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</si>
  <si>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</si>
  <si>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</si>
  <si>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</si>
  <si>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</si>
  <si>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</si>
  <si>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</si>
  <si>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</si>
  <si>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</si>
  <si>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</si>
  <si>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</si>
  <si>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</si>
  <si>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</si>
  <si>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</si>
  <si>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</si>
  <si>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</si>
  <si>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</si>
  <si>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</si>
  <si>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</si>
  <si>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</si>
  <si>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</si>
  <si>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</si>
  <si>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</si>
  <si>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</si>
  <si>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</si>
  <si>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</si>
  <si>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</si>
  <si>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</si>
  <si>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</si>
  <si>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</si>
  <si>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</si>
  <si>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</si>
  <si>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</si>
  <si>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</si>
  <si>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</si>
  <si>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</si>
  <si>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</si>
  <si>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</si>
  <si>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</si>
  <si>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</si>
  <si>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</si>
  <si>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</si>
  <si>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 xml:space="preserve">[OBS322]El nombre de un proceso debe comenzar con un verbo en infinitivo, solo los nombres de los Macroprocesos no cumplen con esa regla._x000D_
[OBS323]Existe diferente tipo de fuente en el documento._x000D_
[OBS324]Toda tarea, actividad: proceso, subproceso, gateway, evento tiene que empezar con un verbo infinitivo. (-ar, -er, -ir): Proceso 3 y Gateway 6._x000D_
[OBS325]Diferencia de formato en el cuadro de caracterización._x000D_
[OBS326]Las salidas de la actividad 6 no son datos de salida._x000D_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</si>
  <si>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</si>
  <si>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</si>
  <si>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</si>
  <si>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</si>
  <si>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</si>
  <si>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</si>
  <si>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 xml:space="preserve">[OBS327]El inicio no debería tener actividades de entrada._x000D_
[OBS328]El nombre de la actividad 3 tiene un error de tipeo._x000D_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</si>
  <si>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</si>
  <si>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</si>
  <si>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</si>
  <si>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</si>
  <si>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</si>
  <si>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</si>
  <si>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</si>
  <si>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</si>
  <si>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</si>
  <si>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</si>
  <si>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</si>
  <si>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</si>
  <si>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</si>
  <si>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</si>
  <si>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</si>
  <si>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</si>
  <si>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</si>
  <si>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</si>
  <si>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</si>
  <si>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</si>
  <si>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</si>
  <si>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</si>
  <si>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</si>
  <si>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</si>
  <si>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</si>
  <si>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</si>
  <si>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</si>
  <si>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</si>
  <si>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</si>
  <si>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</si>
  <si>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</si>
  <si>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</si>
  <si>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</si>
  <si>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[OBS340]Existe un guión de mas en la entrada de la actividad 3._x000D_
</t>
  </si>
  <si>
    <t xml:space="preserve">[OBS341]La tercera hoja está en blanco, es innecesaria._x000D_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</si>
  <si>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</si>
  <si>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</si>
  <si>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</si>
  <si>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</si>
  <si>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</si>
  <si>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</si>
  <si>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</si>
  <si>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</si>
  <si>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</si>
  <si>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</si>
  <si>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</si>
  <si>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</si>
  <si>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</si>
  <si>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</si>
  <si>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</si>
  <si>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</si>
  <si>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</si>
  <si>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</si>
  <si>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</si>
  <si>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</si>
  <si>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</si>
  <si>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</si>
  <si>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</si>
  <si>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[OBS342]Toda tarea, actividad: proceso, subproceso, gateway, evento tiene que empezar con un verbo infinitivo. (-ar, -er, -ir)._x000D_
</t>
  </si>
  <si>
    <t xml:space="preserve">[OBS343]El nombre de un proceso debe comenzar con un verbo en infinitivo, solo los nombres de los Macroprocesos no cumplen con esa regla._x000D_
</t>
  </si>
  <si>
    <t xml:space="preserve">[OBS344]Toda tarea, actividad: proceso, subproceso, gateway, evento tiene que empezar con un verbo infinitivo. (-ar, -er, -ir)._x000D_
[OBS345] El flujo principal debe estar en el pool principal y no ser dependiente de los colaboradores. Los pools colaboradores son cajas negras. Debe existir un conector entre la actividad 2 y 6 y entre la actividad 10 y 12._x000D_
[OBS346]El Fin debe estar en el pool principal._x000D_
</t>
  </si>
  <si>
    <t xml:space="preserve">[OBS347]El nombre de un proceso debe comenzar con un verbo en infinitivo, solo los nombres de los Macroprocesos no cumplen con esa regla._x000D_
[OBS348]Toda tarea, actividad: proceso, subproceso, gateway, evento tiene que empezar con un verbo infinitivo. (-ar, -er, -ir). Gateway 2._x000D_
</t>
  </si>
  <si>
    <t xml:space="preserve">[OBS349]El nombre de un proceso debe comenzar con un verbo en infinitivo, solo los nombres de los Macroprocesos no cumplen con esa regla._x000D_
</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</si>
  <si>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</si>
  <si>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</si>
  <si>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</si>
  <si>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[OBS355]El nombre de un proceso debe comenzar con un verbo en infinitivo, solo los nombres de los Macroprocesos no cumplen con esa regla._x000D_
</t>
  </si>
  <si>
    <t xml:space="preserve">[OBS356]El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</si>
  <si>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</si>
  <si>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</si>
  <si>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</si>
  <si>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</si>
  <si>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 xml:space="preserve">[OBS367]El nombre de un proceso debe comenzar con un verbo en infinitivo, solo los nombres de los Macroprocesos no cumplen con esa regla._x000D_
[OBS368]El inicio debe estar en el flujo principal._x000D_
[OBS369]El conector que interactúan con el proceso externo 3 no es el correcto, debe ser Flujo de mensaje._x000D_
</t>
  </si>
  <si>
    <t>Arquitectura de Procesos</t>
  </si>
  <si>
    <t>El Fin ha sido reubicado.</t>
  </si>
  <si>
    <t>Se modificó el nombre del proceso a "Despedir o Ejecutar Retiro del Personal"</t>
  </si>
  <si>
    <t>Se modificó el nombre del proceso a "Capacitar al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</si>
  <si>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</si>
  <si>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</si>
  <si>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</si>
  <si>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</si>
  <si>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</si>
  <si>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</si>
  <si>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modificó la salida mencionada.</t>
  </si>
  <si>
    <t>Se modificaron las entradas y salidas del proceso.</t>
  </si>
  <si>
    <t>Se eliminó la hoja adicional</t>
  </si>
  <si>
    <t>Se cambió de evento.</t>
  </si>
  <si>
    <t>Se corrigió la enumeración.</t>
  </si>
  <si>
    <t>Se puso el inicio y el fin en el pool principal.</t>
  </si>
  <si>
    <t>Se cambió el tipo de conector.</t>
  </si>
  <si>
    <t>Se cambió el nombre de los procesos y actividades.</t>
  </si>
  <si>
    <t>Se puso el inicio en el pool principal.</t>
  </si>
  <si>
    <t>Se agregó un conectos entre las actividades señaladas.</t>
  </si>
  <si>
    <t>Se cambio el tipo de conector.</t>
  </si>
  <si>
    <t>Se cambió el nombre en el diagrama.</t>
  </si>
  <si>
    <t>Se quitó el conector de más.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</si>
</sst>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0" fillId="0" borderId="0" xfId="0" applyAlignment="1">
      <alignment horizontal="left" vertical="center"/>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09"/>
          <c:y val="0.20151813899974841"/>
          <c:w val="0.50142494135134519"/>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0.3611111111111111</c:v>
                </c:pt>
                <c:pt idx="1">
                  <c:v>0.61111111111111116</c:v>
                </c:pt>
                <c:pt idx="2">
                  <c:v>0</c:v>
                </c:pt>
                <c:pt idx="3">
                  <c:v>2.7777777777777776E-2</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0977" l="0.70000000000000062" r="0.70000000000000062" t="0.7500000000000097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0977" l="0.70000000000000062" r="0.70000000000000062" t="0.75000000000000977"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HistoricoAvance!$C$4:$C$13</c:f>
              <c:numCache>
                <c:formatCode>0</c:formatCode>
                <c:ptCount val="10"/>
                <c:pt idx="0">
                  <c:v>0</c:v>
                </c:pt>
                <c:pt idx="1">
                  <c:v>0</c:v>
                </c:pt>
                <c:pt idx="2">
                  <c:v>5</c:v>
                </c:pt>
                <c:pt idx="3">
                  <c:v>14</c:v>
                </c:pt>
                <c:pt idx="4">
                  <c:v>15</c:v>
                </c:pt>
                <c:pt idx="5">
                  <c:v>15</c:v>
                </c:pt>
                <c:pt idx="6">
                  <c:v>15</c:v>
                </c:pt>
                <c:pt idx="7">
                  <c:v>16</c:v>
                </c:pt>
                <c:pt idx="8">
                  <c:v>15</c:v>
                </c:pt>
                <c:pt idx="9">
                  <c:v>13</c:v>
                </c:pt>
              </c:numCache>
            </c:numRef>
          </c:val>
          <c:smooth val="0"/>
        </c:ser>
        <c:ser>
          <c:idx val="1"/>
          <c:order val="1"/>
          <c:tx>
            <c:strRef>
              <c:f>HistoricoAvance!$D$3</c:f>
              <c:strCache>
                <c:ptCount val="1"/>
                <c:pt idx="0">
                  <c:v>Fallos</c:v>
                </c:pt>
              </c:strCache>
            </c:strRef>
          </c:tx>
          <c:spPr>
            <a:ln w="50800"/>
          </c:spPr>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HistoricoAvance!$D$4:$D$13</c:f>
              <c:numCache>
                <c:formatCode>0</c:formatCode>
                <c:ptCount val="10"/>
                <c:pt idx="0">
                  <c:v>10</c:v>
                </c:pt>
                <c:pt idx="1">
                  <c:v>15</c:v>
                </c:pt>
                <c:pt idx="2">
                  <c:v>10</c:v>
                </c:pt>
                <c:pt idx="3">
                  <c:v>1</c:v>
                </c:pt>
                <c:pt idx="4">
                  <c:v>10</c:v>
                </c:pt>
                <c:pt idx="5">
                  <c:v>10</c:v>
                </c:pt>
                <c:pt idx="6">
                  <c:v>20</c:v>
                </c:pt>
                <c:pt idx="7">
                  <c:v>19</c:v>
                </c:pt>
                <c:pt idx="8">
                  <c:v>20</c:v>
                </c:pt>
                <c:pt idx="9">
                  <c:v>22</c:v>
                </c:pt>
              </c:numCache>
            </c:numRef>
          </c:val>
          <c:smooth val="0"/>
        </c:ser>
        <c:ser>
          <c:idx val="2"/>
          <c:order val="2"/>
          <c:tx>
            <c:strRef>
              <c:f>HistoricoAvance!$E$3</c:f>
              <c:strCache>
                <c:ptCount val="1"/>
                <c:pt idx="0">
                  <c:v>Bloqueado</c:v>
                </c:pt>
              </c:strCache>
            </c:strRef>
          </c:tx>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HistoricoAvance!$E$4:$E$13</c:f>
              <c:numCache>
                <c:formatCode>0</c:formatCode>
                <c:ptCount val="10"/>
                <c:pt idx="0">
                  <c:v>0</c:v>
                </c:pt>
                <c:pt idx="1">
                  <c:v>0</c:v>
                </c:pt>
                <c:pt idx="2">
                  <c:v>0</c:v>
                </c:pt>
                <c:pt idx="3">
                  <c:v>0</c:v>
                </c:pt>
                <c:pt idx="4">
                  <c:v>0</c:v>
                </c:pt>
                <c:pt idx="5">
                  <c:v>0</c:v>
                </c:pt>
                <c:pt idx="6">
                  <c:v>0</c:v>
                </c:pt>
                <c:pt idx="7">
                  <c:v>0</c:v>
                </c:pt>
                <c:pt idx="8">
                  <c:v>0</c:v>
                </c:pt>
                <c:pt idx="9">
                  <c:v>0</c:v>
                </c:pt>
              </c:numCache>
            </c:numRef>
          </c:val>
          <c:smooth val="0"/>
        </c:ser>
        <c:ser>
          <c:idx val="3"/>
          <c:order val="3"/>
          <c:tx>
            <c:strRef>
              <c:f>HistoricoAvance!$F$3</c:f>
              <c:strCache>
                <c:ptCount val="1"/>
                <c:pt idx="0">
                  <c:v>Pendiente</c:v>
                </c:pt>
              </c:strCache>
            </c:strRef>
          </c:tx>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HistoricoAvance!$F$4:$F$13</c:f>
              <c:numCache>
                <c:formatCode>0</c:formatCode>
                <c:ptCount val="10"/>
                <c:pt idx="0">
                  <c:v>0</c:v>
                </c:pt>
                <c:pt idx="1">
                  <c:v>0</c:v>
                </c:pt>
                <c:pt idx="2">
                  <c:v>0</c:v>
                </c:pt>
                <c:pt idx="3">
                  <c:v>0</c:v>
                </c:pt>
                <c:pt idx="4">
                  <c:v>0</c:v>
                </c:pt>
                <c:pt idx="5">
                  <c:v>0</c:v>
                </c:pt>
                <c:pt idx="6">
                  <c:v>0</c:v>
                </c:pt>
                <c:pt idx="7">
                  <c:v>0</c:v>
                </c:pt>
                <c:pt idx="8">
                  <c:v>0</c:v>
                </c:pt>
                <c:pt idx="9">
                  <c:v>1</c:v>
                </c:pt>
              </c:numCache>
            </c:numRef>
          </c:val>
          <c:smooth val="0"/>
        </c:ser>
        <c:ser>
          <c:idx val="4"/>
          <c:order val="4"/>
          <c:tx>
            <c:strRef>
              <c:f>HistoricoAvance!$G$3</c:f>
              <c:strCache>
                <c:ptCount val="1"/>
                <c:pt idx="0">
                  <c:v>No Aplica</c:v>
                </c:pt>
              </c:strCache>
            </c:strRef>
          </c:tx>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HistoricoAvance!$G$4:$G$13</c:f>
              <c:numCache>
                <c:formatCode>0</c:formatCode>
                <c:ptCount val="10"/>
                <c:pt idx="0">
                  <c:v>0</c:v>
                </c:pt>
                <c:pt idx="1">
                  <c:v>0</c:v>
                </c:pt>
                <c:pt idx="2">
                  <c:v>0</c:v>
                </c:pt>
                <c:pt idx="3">
                  <c:v>0</c:v>
                </c:pt>
                <c:pt idx="4">
                  <c:v>0</c:v>
                </c:pt>
                <c:pt idx="5">
                  <c:v>0</c:v>
                </c:pt>
                <c:pt idx="6">
                  <c:v>0</c:v>
                </c:pt>
                <c:pt idx="7">
                  <c:v>0</c:v>
                </c:pt>
                <c:pt idx="8">
                  <c:v>0</c:v>
                </c:pt>
                <c:pt idx="9">
                  <c:v>0</c:v>
                </c:pt>
              </c:numCache>
            </c:numRef>
          </c:val>
          <c:smooth val="0"/>
        </c:ser>
        <c:ser>
          <c:idx val="5"/>
          <c:order val="5"/>
          <c:tx>
            <c:strRef>
              <c:f>HistoricoAvance!$H$3</c:f>
              <c:strCache>
                <c:ptCount val="1"/>
                <c:pt idx="0">
                  <c:v>En Proceso</c:v>
                </c:pt>
              </c:strCache>
            </c:strRef>
          </c:tx>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HistoricoAvance!$H$4:$H$13</c:f>
              <c:numCache>
                <c:formatCode>0</c:formatCode>
                <c:ptCount val="10"/>
                <c:pt idx="0">
                  <c:v>0</c:v>
                </c:pt>
                <c:pt idx="1">
                  <c:v>0</c:v>
                </c:pt>
                <c:pt idx="2">
                  <c:v>0</c:v>
                </c:pt>
                <c:pt idx="3">
                  <c:v>0</c:v>
                </c:pt>
                <c:pt idx="4">
                  <c:v>0</c:v>
                </c:pt>
                <c:pt idx="5">
                  <c:v>0</c:v>
                </c:pt>
                <c:pt idx="6">
                  <c:v>0</c:v>
                </c:pt>
                <c:pt idx="7">
                  <c:v>0</c:v>
                </c:pt>
                <c:pt idx="8">
                  <c:v>0</c:v>
                </c:pt>
                <c:pt idx="9">
                  <c:v>0</c:v>
                </c:pt>
              </c:numCache>
            </c:numRef>
          </c:val>
          <c:smooth val="0"/>
        </c:ser>
        <c:ser>
          <c:idx val="6"/>
          <c:order val="6"/>
          <c:tx>
            <c:strRef>
              <c:f>HistoricoAvance!$I$3</c:f>
              <c:strCache>
                <c:ptCount val="1"/>
                <c:pt idx="0">
                  <c:v>Reejecuciones</c:v>
                </c:pt>
              </c:strCache>
            </c:strRef>
          </c:tx>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HistoricoAvance!$I$4:$I$13</c:f>
              <c:numCache>
                <c:formatCode>0</c:formatCode>
                <c:ptCount val="10"/>
                <c:pt idx="0">
                  <c:v>0</c:v>
                </c:pt>
                <c:pt idx="1">
                  <c:v>0</c:v>
                </c:pt>
                <c:pt idx="2">
                  <c:v>0</c:v>
                </c:pt>
                <c:pt idx="3">
                  <c:v>0</c:v>
                </c:pt>
                <c:pt idx="4">
                  <c:v>0</c:v>
                </c:pt>
                <c:pt idx="5">
                  <c:v>0</c:v>
                </c:pt>
                <c:pt idx="6">
                  <c:v>0</c:v>
                </c:pt>
                <c:pt idx="7">
                  <c:v>0</c:v>
                </c:pt>
                <c:pt idx="8">
                  <c:v>0</c:v>
                </c:pt>
                <c:pt idx="9">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HistoricoAvance!$J$4:$J$13</c:f>
              <c:numCache>
                <c:formatCode>General</c:formatCode>
                <c:ptCount val="10"/>
                <c:pt idx="0">
                  <c:v>10</c:v>
                </c:pt>
                <c:pt idx="1">
                  <c:v>15</c:v>
                </c:pt>
                <c:pt idx="2">
                  <c:v>15</c:v>
                </c:pt>
                <c:pt idx="3">
                  <c:v>15</c:v>
                </c:pt>
                <c:pt idx="4">
                  <c:v>25</c:v>
                </c:pt>
                <c:pt idx="5">
                  <c:v>25</c:v>
                </c:pt>
                <c:pt idx="6">
                  <c:v>35</c:v>
                </c:pt>
                <c:pt idx="7">
                  <c:v>35</c:v>
                </c:pt>
                <c:pt idx="8">
                  <c:v>35</c:v>
                </c:pt>
                <c:pt idx="9">
                  <c:v>36</c:v>
                </c:pt>
              </c:numCache>
            </c:numRef>
          </c:val>
          <c:smooth val="0"/>
        </c:ser>
        <c:dLbls>
          <c:showLegendKey val="0"/>
          <c:showVal val="0"/>
          <c:showCatName val="0"/>
          <c:showSerName val="0"/>
          <c:showPercent val="0"/>
          <c:showBubbleSize val="0"/>
        </c:dLbls>
        <c:marker val="1"/>
        <c:smooth val="0"/>
        <c:axId val="137399680"/>
        <c:axId val="137401472"/>
      </c:lineChart>
      <c:dateAx>
        <c:axId val="137399680"/>
        <c:scaling>
          <c:orientation val="minMax"/>
        </c:scaling>
        <c:delete val="0"/>
        <c:axPos val="b"/>
        <c:numFmt formatCode="dd/mm/yyyy" sourceLinked="1"/>
        <c:majorTickMark val="out"/>
        <c:minorTickMark val="none"/>
        <c:tickLblPos val="nextTo"/>
        <c:txPr>
          <a:bodyPr/>
          <a:lstStyle/>
          <a:p>
            <a:pPr>
              <a:defRPr lang="es-ES"/>
            </a:pPr>
            <a:endParaRPr lang="es-PE"/>
          </a:p>
        </c:txPr>
        <c:crossAx val="137401472"/>
        <c:crosses val="autoZero"/>
        <c:auto val="1"/>
        <c:lblOffset val="100"/>
        <c:baseTimeUnit val="days"/>
      </c:dateAx>
      <c:valAx>
        <c:axId val="13740147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7399680"/>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977" l="0.70000000000000062" r="0.70000000000000062" t="0.75000000000000977"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HistoricoAvance!$M$4:$M$13</c:f>
              <c:numCache>
                <c:formatCode>0</c:formatCode>
                <c:ptCount val="10"/>
                <c:pt idx="0">
                  <c:v>55</c:v>
                </c:pt>
                <c:pt idx="1">
                  <c:v>101</c:v>
                </c:pt>
                <c:pt idx="2">
                  <c:v>19</c:v>
                </c:pt>
                <c:pt idx="3">
                  <c:v>3</c:v>
                </c:pt>
                <c:pt idx="4">
                  <c:v>92</c:v>
                </c:pt>
                <c:pt idx="5">
                  <c:v>21</c:v>
                </c:pt>
                <c:pt idx="6">
                  <c:v>63</c:v>
                </c:pt>
                <c:pt idx="7">
                  <c:v>87</c:v>
                </c:pt>
                <c:pt idx="8">
                  <c:v>111</c:v>
                </c:pt>
                <c:pt idx="9">
                  <c:v>36</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HistoricoAvance!$N$4:$N$13</c:f>
              <c:numCache>
                <c:formatCode>0</c:formatCode>
                <c:ptCount val="10"/>
                <c:pt idx="0">
                  <c:v>0</c:v>
                </c:pt>
                <c:pt idx="1">
                  <c:v>0</c:v>
                </c:pt>
                <c:pt idx="2">
                  <c:v>101</c:v>
                </c:pt>
                <c:pt idx="3">
                  <c:v>120</c:v>
                </c:pt>
                <c:pt idx="4">
                  <c:v>123</c:v>
                </c:pt>
                <c:pt idx="5">
                  <c:v>215</c:v>
                </c:pt>
                <c:pt idx="6">
                  <c:v>215</c:v>
                </c:pt>
                <c:pt idx="7">
                  <c:v>215</c:v>
                </c:pt>
                <c:pt idx="8">
                  <c:v>215</c:v>
                </c:pt>
                <c:pt idx="9">
                  <c:v>333</c:v>
                </c:pt>
              </c:numCache>
            </c:numRef>
          </c:val>
          <c:smooth val="0"/>
        </c:ser>
        <c:ser>
          <c:idx val="2"/>
          <c:order val="2"/>
          <c:tx>
            <c:strRef>
              <c:f>HistoricoAvance!$O$3</c:f>
              <c:strCache>
                <c:ptCount val="1"/>
                <c:pt idx="0">
                  <c:v>Totales</c:v>
                </c:pt>
              </c:strCache>
            </c:strRef>
          </c:tx>
          <c:cat>
            <c:numRef>
              <c:f>HistoricoAvance!$L$4:$L$13</c:f>
              <c:numCache>
                <c:formatCode>dd/mm/yyyy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HistoricoAvance!$O$4:$O$13</c:f>
              <c:numCache>
                <c:formatCode>General</c:formatCode>
                <c:ptCount val="10"/>
                <c:pt idx="0">
                  <c:v>55</c:v>
                </c:pt>
                <c:pt idx="1">
                  <c:v>101</c:v>
                </c:pt>
                <c:pt idx="2">
                  <c:v>120</c:v>
                </c:pt>
                <c:pt idx="3">
                  <c:v>123</c:v>
                </c:pt>
                <c:pt idx="4">
                  <c:v>215</c:v>
                </c:pt>
                <c:pt idx="5">
                  <c:v>236</c:v>
                </c:pt>
                <c:pt idx="6">
                  <c:v>278</c:v>
                </c:pt>
                <c:pt idx="7">
                  <c:v>302</c:v>
                </c:pt>
                <c:pt idx="8">
                  <c:v>326</c:v>
                </c:pt>
                <c:pt idx="9">
                  <c:v>369</c:v>
                </c:pt>
              </c:numCache>
            </c:numRef>
          </c:val>
          <c:smooth val="0"/>
        </c:ser>
        <c:dLbls>
          <c:showLegendKey val="0"/>
          <c:showVal val="0"/>
          <c:showCatName val="0"/>
          <c:showSerName val="0"/>
          <c:showPercent val="0"/>
          <c:showBubbleSize val="0"/>
        </c:dLbls>
        <c:marker val="1"/>
        <c:smooth val="0"/>
        <c:axId val="139794688"/>
        <c:axId val="139804672"/>
      </c:lineChart>
      <c:dateAx>
        <c:axId val="139794688"/>
        <c:scaling>
          <c:orientation val="minMax"/>
        </c:scaling>
        <c:delete val="0"/>
        <c:axPos val="b"/>
        <c:numFmt formatCode="dd/mm/yyyy" sourceLinked="1"/>
        <c:majorTickMark val="out"/>
        <c:minorTickMark val="none"/>
        <c:tickLblPos val="nextTo"/>
        <c:txPr>
          <a:bodyPr/>
          <a:lstStyle/>
          <a:p>
            <a:pPr>
              <a:defRPr lang="es-ES"/>
            </a:pPr>
            <a:endParaRPr lang="es-PE"/>
          </a:p>
        </c:txPr>
        <c:crossAx val="139804672"/>
        <c:crosses val="autoZero"/>
        <c:auto val="1"/>
        <c:lblOffset val="100"/>
        <c:baseTimeUnit val="days"/>
      </c:dateAx>
      <c:valAx>
        <c:axId val="13980467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979468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39831168"/>
        <c:axId val="139832704"/>
      </c:barChart>
      <c:catAx>
        <c:axId val="139831168"/>
        <c:scaling>
          <c:orientation val="minMax"/>
        </c:scaling>
        <c:delete val="0"/>
        <c:axPos val="b"/>
        <c:majorTickMark val="out"/>
        <c:minorTickMark val="none"/>
        <c:tickLblPos val="nextTo"/>
        <c:txPr>
          <a:bodyPr/>
          <a:lstStyle/>
          <a:p>
            <a:pPr>
              <a:defRPr lang="es-ES"/>
            </a:pPr>
            <a:endParaRPr lang="es-PE"/>
          </a:p>
        </c:txPr>
        <c:crossAx val="139832704"/>
        <c:crosses val="autoZero"/>
        <c:auto val="1"/>
        <c:lblAlgn val="ctr"/>
        <c:lblOffset val="100"/>
        <c:noMultiLvlLbl val="0"/>
      </c:catAx>
      <c:valAx>
        <c:axId val="13983270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831168"/>
        <c:crosses val="autoZero"/>
        <c:crossBetween val="between"/>
      </c:valAx>
    </c:plotArea>
    <c:plotVisOnly val="1"/>
    <c:dispBlanksAs val="gap"/>
    <c:showDLblsOverMax val="0"/>
  </c:chart>
  <c:printSettings>
    <c:headerFooter/>
    <c:pageMargins b="0.75000000000000966" l="0.70000000000000062" r="0.70000000000000062" t="0.750000000000009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39866112"/>
        <c:axId val="139867648"/>
      </c:barChart>
      <c:catAx>
        <c:axId val="139866112"/>
        <c:scaling>
          <c:orientation val="minMax"/>
        </c:scaling>
        <c:delete val="0"/>
        <c:axPos val="b"/>
        <c:majorTickMark val="out"/>
        <c:minorTickMark val="none"/>
        <c:tickLblPos val="nextTo"/>
        <c:txPr>
          <a:bodyPr/>
          <a:lstStyle/>
          <a:p>
            <a:pPr>
              <a:defRPr lang="es-ES"/>
            </a:pPr>
            <a:endParaRPr lang="es-PE"/>
          </a:p>
        </c:txPr>
        <c:crossAx val="139867648"/>
        <c:crosses val="autoZero"/>
        <c:auto val="1"/>
        <c:lblAlgn val="ctr"/>
        <c:lblOffset val="100"/>
        <c:noMultiLvlLbl val="0"/>
      </c:catAx>
      <c:valAx>
        <c:axId val="13986764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866112"/>
        <c:crosses val="autoZero"/>
        <c:crossBetween val="between"/>
      </c:valAx>
    </c:plotArea>
    <c:plotVisOnly val="1"/>
    <c:dispBlanksAs val="gap"/>
    <c:showDLblsOverMax val="0"/>
  </c:chart>
  <c:printSettings>
    <c:headerFooter/>
    <c:pageMargins b="0.75000000000000966" l="0.70000000000000062" r="0.70000000000000062" t="0.750000000000009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39903360"/>
        <c:axId val="139904896"/>
      </c:barChart>
      <c:catAx>
        <c:axId val="139903360"/>
        <c:scaling>
          <c:orientation val="minMax"/>
        </c:scaling>
        <c:delete val="0"/>
        <c:axPos val="b"/>
        <c:majorTickMark val="out"/>
        <c:minorTickMark val="none"/>
        <c:tickLblPos val="nextTo"/>
        <c:txPr>
          <a:bodyPr/>
          <a:lstStyle/>
          <a:p>
            <a:pPr>
              <a:defRPr lang="es-ES"/>
            </a:pPr>
            <a:endParaRPr lang="es-PE"/>
          </a:p>
        </c:txPr>
        <c:crossAx val="139904896"/>
        <c:crosses val="autoZero"/>
        <c:auto val="1"/>
        <c:lblAlgn val="ctr"/>
        <c:lblOffset val="100"/>
        <c:noMultiLvlLbl val="0"/>
      </c:catAx>
      <c:valAx>
        <c:axId val="13990489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903360"/>
        <c:crosses val="autoZero"/>
        <c:crossBetween val="between"/>
      </c:valAx>
    </c:plotArea>
    <c:plotVisOnly val="1"/>
    <c:dispBlanksAs val="gap"/>
    <c:showDLblsOverMax val="0"/>
  </c:chart>
  <c:printSettings>
    <c:headerFooter/>
    <c:pageMargins b="0.75000000000000966" l="0.70000000000000062" r="0.70000000000000062" t="0.750000000000009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1305728"/>
        <c:axId val="141307264"/>
      </c:barChart>
      <c:catAx>
        <c:axId val="141305728"/>
        <c:scaling>
          <c:orientation val="minMax"/>
        </c:scaling>
        <c:delete val="0"/>
        <c:axPos val="b"/>
        <c:majorTickMark val="out"/>
        <c:minorTickMark val="none"/>
        <c:tickLblPos val="nextTo"/>
        <c:txPr>
          <a:bodyPr/>
          <a:lstStyle/>
          <a:p>
            <a:pPr>
              <a:defRPr lang="es-ES"/>
            </a:pPr>
            <a:endParaRPr lang="es-PE"/>
          </a:p>
        </c:txPr>
        <c:crossAx val="141307264"/>
        <c:crosses val="autoZero"/>
        <c:auto val="1"/>
        <c:lblAlgn val="ctr"/>
        <c:lblOffset val="100"/>
        <c:noMultiLvlLbl val="0"/>
      </c:catAx>
      <c:valAx>
        <c:axId val="14130726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305728"/>
        <c:crosses val="autoZero"/>
        <c:crossBetween val="between"/>
      </c:valAx>
    </c:plotArea>
    <c:plotVisOnly val="1"/>
    <c:dispBlanksAs val="gap"/>
    <c:showDLblsOverMax val="0"/>
  </c:chart>
  <c:printSettings>
    <c:headerFooter/>
    <c:pageMargins b="0.75000000000000955" l="0.70000000000000062" r="0.70000000000000062" t="0.7500000000000095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1352960"/>
        <c:axId val="141354496"/>
      </c:barChart>
      <c:catAx>
        <c:axId val="141352960"/>
        <c:scaling>
          <c:orientation val="minMax"/>
        </c:scaling>
        <c:delete val="0"/>
        <c:axPos val="b"/>
        <c:majorTickMark val="out"/>
        <c:minorTickMark val="none"/>
        <c:tickLblPos val="nextTo"/>
        <c:txPr>
          <a:bodyPr/>
          <a:lstStyle/>
          <a:p>
            <a:pPr>
              <a:defRPr lang="es-ES"/>
            </a:pPr>
            <a:endParaRPr lang="es-PE"/>
          </a:p>
        </c:txPr>
        <c:crossAx val="141354496"/>
        <c:crosses val="autoZero"/>
        <c:auto val="1"/>
        <c:lblAlgn val="ctr"/>
        <c:lblOffset val="100"/>
        <c:noMultiLvlLbl val="0"/>
      </c:catAx>
      <c:valAx>
        <c:axId val="14135449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352960"/>
        <c:crosses val="autoZero"/>
        <c:crossBetween val="between"/>
      </c:valAx>
    </c:plotArea>
    <c:plotVisOnly val="1"/>
    <c:dispBlanksAs val="gap"/>
    <c:showDLblsOverMax val="0"/>
  </c:chart>
  <c:printSettings>
    <c:headerFooter/>
    <c:pageMargins b="0.75000000000000955" l="0.70000000000000062" r="0.70000000000000062" t="0.7500000000000095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1519104"/>
        <c:axId val="141524992"/>
      </c:barChart>
      <c:catAx>
        <c:axId val="141519104"/>
        <c:scaling>
          <c:orientation val="minMax"/>
        </c:scaling>
        <c:delete val="0"/>
        <c:axPos val="b"/>
        <c:majorTickMark val="out"/>
        <c:minorTickMark val="none"/>
        <c:tickLblPos val="nextTo"/>
        <c:txPr>
          <a:bodyPr/>
          <a:lstStyle/>
          <a:p>
            <a:pPr>
              <a:defRPr lang="es-ES"/>
            </a:pPr>
            <a:endParaRPr lang="es-PE"/>
          </a:p>
        </c:txPr>
        <c:crossAx val="141524992"/>
        <c:crosses val="autoZero"/>
        <c:auto val="1"/>
        <c:lblAlgn val="ctr"/>
        <c:lblOffset val="100"/>
        <c:noMultiLvlLbl val="0"/>
      </c:catAx>
      <c:valAx>
        <c:axId val="14152499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519104"/>
        <c:crosses val="autoZero"/>
        <c:crossBetween val="between"/>
      </c:valAx>
    </c:plotArea>
    <c:plotVisOnly val="1"/>
    <c:dispBlanksAs val="gap"/>
    <c:showDLblsOverMax val="0"/>
  </c:chart>
  <c:printSettings>
    <c:headerFooter/>
    <c:pageMargins b="0.75000000000000955" l="0.70000000000000062" r="0.70000000000000062" t="0.7500000000000095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0" totalsRowShown="0" headerRowDxfId="68" dataDxfId="66" headerRowBorderDxfId="67" tableBorderDxfId="65">
  <autoFilter ref="A4:Q40"/>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372" totalsRowShown="0" headerRowDxfId="47" dataDxfId="45" headerRowBorderDxfId="46" tableBorderDxfId="44">
  <autoFilter ref="A2:L372">
    <filterColumn colId="4">
      <filters>
        <filter val="Abierta"/>
      </filters>
    </filterColumn>
  </autoFilter>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13" totalsRowShown="0" headerRowDxfId="19" headerRowBorderDxfId="18" tableBorderDxfId="17">
  <tableColumns count="4">
    <tableColumn id="1" name="Fecha" dataDxfId="16"/>
    <tableColumn id="2" name="Abiertas" dataDxfId="15"/>
    <tableColumn id="4" name="Cerradas" dataDxfId="14"/>
    <tableColumn id="5" name="Totales" dataDxfId="13">
      <calculatedColumnFormula>SUM([1]!HistoricoIncidencias[[#This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13" totalsRowShown="0" headerRowDxfId="12" dataDxfId="10" headerRowBorderDxfId="11" tableBorderDxfId="9">
  <tableColumns count="9">
    <tableColumn id="1" name="Fecha" dataDxfId="8"/>
    <tableColumn id="2" name="Aciertos" dataDxfId="7"/>
    <tableColumn id="3" name="Fallos" dataDxfId="6"/>
    <tableColumn id="4" name="Bloqueado" dataDxfId="5"/>
    <tableColumn id="7" name="Pendiente" dataDxfId="4"/>
    <tableColumn id="5" name="No Aplica" dataDxfId="3"/>
    <tableColumn id="8" name="En Proceso" dataDxfId="2"/>
    <tableColumn id="9" name="Reejecuciones" dataDxfId="1"/>
    <tableColumn id="6" name="Totales" dataDxfId="0">
      <calculatedColumnFormula>SUM([1]!HistóricoEjecuciones[[#This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D5" sqref="D5"/>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0.3611111111111111</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0.97222222222222221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36</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1</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22</v>
      </c>
      <c r="D13" s="74"/>
      <c r="E13" s="5">
        <f>COUNTIF(CasoPrueba[[#All],[Estado Testing]],$P$28)</f>
        <v>13</v>
      </c>
      <c r="F13" s="5">
        <f>COUNTIF(CasoPrueba[[#All],[Estado Testing]],$P$29)</f>
        <v>22</v>
      </c>
      <c r="G13" s="5">
        <f>COUNTIF(CasoPrueba[[#All],[Estado Testing]],$P$30)</f>
        <v>0</v>
      </c>
      <c r="H13" s="5">
        <f>COUNTIF(CasoPrueba[[#All],[Estado Testing]],$P$27)</f>
        <v>1</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0.3611111111111111</v>
      </c>
      <c r="F14" s="15">
        <f t="shared" si="0"/>
        <v>0.61111111111111116</v>
      </c>
      <c r="G14" s="15">
        <f t="shared" si="0"/>
        <v>0</v>
      </c>
      <c r="H14" s="15">
        <f t="shared" si="0"/>
        <v>2.7777777777777776E-2</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13</v>
      </c>
      <c r="D18" s="45">
        <f>C18/$C$10</f>
        <v>0.3611111111111111</v>
      </c>
      <c r="E18" s="46">
        <f>COUNTIFS(CasoPrueba[[#All],[Estado Testing]],$P$29,CasoPrueba[[#All],[Prioridad]],$P$17)</f>
        <v>22</v>
      </c>
      <c r="F18" s="47">
        <f>E18/$C$10</f>
        <v>0.61111111111111116</v>
      </c>
      <c r="G18" s="48">
        <f>COUNTIFS(CasoPrueba[[#All],[Estado Testing]],$P$30,CasoPrueba[[#All],[Prioridad]],$P$17)</f>
        <v>0</v>
      </c>
      <c r="H18" s="49">
        <f>G18/$C$10</f>
        <v>0</v>
      </c>
      <c r="I18" s="50">
        <f>COUNTIFS(CasoPrueba[[#All],[Estado Testing]],$P$27,CasoPrueba[[#All],[Prioridad]],$P$17)</f>
        <v>1</v>
      </c>
      <c r="J18" s="51">
        <f>I18/$C$10</f>
        <v>2.7777777777777776E-2</v>
      </c>
      <c r="K18" s="52">
        <f>COUNTIFS(CasoPrueba[[#All],[Estado Testing]],$P$31,CasoPrueba[[#All],[Prioridad]],$P$17)</f>
        <v>0</v>
      </c>
      <c r="L18" s="54">
        <f>K18/$C$10</f>
        <v>0</v>
      </c>
      <c r="M18" s="55">
        <f>COUNTIFS(CasoPrueba[[#All],[Estado Testing]],$P$29,CasoPrueba[[#All],[Prioridad]],$P$17)</f>
        <v>22</v>
      </c>
      <c r="N18" s="53">
        <f>M18/$C$10</f>
        <v>0.61111111111111116</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13</v>
      </c>
      <c r="D21" s="63">
        <f t="shared" ref="D21:N21" si="2">SUM(D18:D20)</f>
        <v>0.3611111111111111</v>
      </c>
      <c r="E21" s="62">
        <f t="shared" si="2"/>
        <v>22</v>
      </c>
      <c r="F21" s="63">
        <f t="shared" si="2"/>
        <v>0.61111111111111116</v>
      </c>
      <c r="G21" s="62">
        <f t="shared" si="2"/>
        <v>0</v>
      </c>
      <c r="H21" s="63">
        <f t="shared" si="2"/>
        <v>0</v>
      </c>
      <c r="I21" s="62">
        <f t="shared" si="2"/>
        <v>1</v>
      </c>
      <c r="J21" s="63">
        <f t="shared" si="2"/>
        <v>2.7777777777777776E-2</v>
      </c>
      <c r="K21" s="62">
        <f>SUM(K18:K20)</f>
        <v>0</v>
      </c>
      <c r="L21" s="63">
        <f>SUM(L18:L20)</f>
        <v>0</v>
      </c>
      <c r="M21" s="62">
        <f t="shared" si="2"/>
        <v>22</v>
      </c>
      <c r="N21" s="63">
        <f t="shared" si="2"/>
        <v>0.61111111111111116</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27</v>
      </c>
      <c r="D30" s="124">
        <f>C30/$C$10</f>
        <v>0.75</v>
      </c>
      <c r="E30" s="125">
        <f>COUNTIFS(Observaciones[[#All],[Estado]],Resumen!$P$24,Observaciones[[#All],[Severidad]],Resumen!$P$11)</f>
        <v>56</v>
      </c>
      <c r="F30" s="124">
        <f>E30/$C$10</f>
        <v>1.5555555555555556</v>
      </c>
      <c r="G30" s="119"/>
      <c r="H30" s="122" t="s">
        <v>33</v>
      </c>
      <c r="I30" s="126">
        <f>COUNTIFS(Observaciones[[#All],[Severidad]],Resumen!$P$11,Observaciones[[#All],[Prioridad]],Resumen!$P$17)</f>
        <v>83</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0</v>
      </c>
      <c r="D31" s="124">
        <f>C31/$C$10</f>
        <v>0</v>
      </c>
      <c r="E31" s="125">
        <f>COUNTIFS(Observaciones[[#All],[Estado]],Resumen!$P$24,Observaciones[[#All],[Severidad]],Resumen!$P$12)</f>
        <v>117</v>
      </c>
      <c r="F31" s="124">
        <f>E31/$C$10</f>
        <v>3.25</v>
      </c>
      <c r="G31" s="119"/>
      <c r="H31" s="122" t="s">
        <v>35</v>
      </c>
      <c r="I31" s="126">
        <f>COUNTIFS(Observaciones[[#All],[Severidad]],Resumen!$P$12,Observaciones[[#All],[Prioridad]],Resumen!$P$17)</f>
        <v>117</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5</v>
      </c>
      <c r="D32" s="124">
        <f>C32/$C$10</f>
        <v>0.1388888888888889</v>
      </c>
      <c r="E32" s="125">
        <f>COUNTIFS(Observaciones[[#All],[Estado]],Resumen!$P$24,Observaciones[[#All],[Severidad]],Resumen!$P$13)</f>
        <v>72</v>
      </c>
      <c r="F32" s="124">
        <f>E32/$C$10</f>
        <v>2</v>
      </c>
      <c r="G32" s="119"/>
      <c r="H32" s="122" t="s">
        <v>37</v>
      </c>
      <c r="I32" s="126">
        <f>COUNTIFS(Observaciones[[#All],[Severidad]],Resumen!$P$13,Observaciones[[#All],[Prioridad]],Resumen!$P$17)</f>
        <v>77</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4</v>
      </c>
      <c r="D33" s="124">
        <f>C33/$C$10</f>
        <v>0.1111111111111111</v>
      </c>
      <c r="E33" s="125">
        <f>COUNTIFS(Observaciones[[#All],[Estado]],Resumen!$P$24,Observaciones[[#All],[Severidad]],Resumen!$P$14)</f>
        <v>88</v>
      </c>
      <c r="F33" s="124">
        <f>E33/$C$10</f>
        <v>2.4444444444444446</v>
      </c>
      <c r="G33" s="119"/>
      <c r="H33" s="122" t="s">
        <v>39</v>
      </c>
      <c r="I33" s="126">
        <f>COUNTIFS(Observaciones[[#All],[Severidad]],Resumen!$P$14,Observaciones[[#All],[Prioridad]],Resumen!$P$17)</f>
        <v>92</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36</v>
      </c>
      <c r="D34" s="129">
        <f>SUM(D30:D33)</f>
        <v>1</v>
      </c>
      <c r="E34" s="128">
        <f>SUM(E30:E33)</f>
        <v>333</v>
      </c>
      <c r="F34" s="129">
        <f>SUM(F30:F33)</f>
        <v>9.25</v>
      </c>
      <c r="G34" s="119"/>
      <c r="H34" s="122" t="s">
        <v>72</v>
      </c>
      <c r="I34" s="130">
        <f>SUM(I30:I33)</f>
        <v>369</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B88" workbookViewId="0">
      <selection activeCell="F108" sqref="F108"/>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7.7994579945799458</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0"/>
  <sheetViews>
    <sheetView topLeftCell="A2" zoomScaleNormal="100" workbookViewId="0">
      <selection activeCell="A5" sqref="A5"/>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c r="A5" s="90" t="s">
        <v>159</v>
      </c>
      <c r="B5" s="90" t="s">
        <v>88</v>
      </c>
      <c r="C5" s="90" t="s">
        <v>170</v>
      </c>
      <c r="D5" s="172" t="s">
        <v>177</v>
      </c>
      <c r="E5" s="90" t="s">
        <v>160</v>
      </c>
      <c r="F5" s="91" t="str">
        <f>IF(CasoPrueba[[#This Row],[Estado Testing]]=Resumen!$P$28,"OK",IF(CasoPrueba[[#This Row],[Estado Testing]]=Resumen!$P$29,"NO OK",IF((CasoPrueba[[#This Row],[Estado Testing]]=Resumen!$P$30)+(CasoPrueba[[#This Row],[Estado Testing]]=Resumen!$P$31),"OBSERVADO","")))</f>
        <v>NO OK</v>
      </c>
      <c r="G5" s="90" t="s">
        <v>20</v>
      </c>
      <c r="H5" s="90" t="s">
        <v>28</v>
      </c>
      <c r="I5" s="92" t="s">
        <v>28</v>
      </c>
      <c r="J5" s="90" t="s">
        <v>47</v>
      </c>
      <c r="L5" s="93">
        <f>General!$A$10</f>
        <v>0</v>
      </c>
      <c r="M5" s="93">
        <v>40637</v>
      </c>
      <c r="N5" s="90">
        <v>1</v>
      </c>
      <c r="P5" s="92" t="s">
        <v>1090</v>
      </c>
      <c r="Q5" s="90" t="str">
        <f>CONCATENATE(General!$B$7," ",General!$B$6)</f>
        <v>Nicolay García José Ramos Ramírez</v>
      </c>
      <c r="R5" s="102"/>
    </row>
    <row r="6" spans="1:18" ht="33.7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NO OK</v>
      </c>
      <c r="G6" s="90" t="s">
        <v>20</v>
      </c>
      <c r="H6" s="90" t="s">
        <v>28</v>
      </c>
      <c r="I6" s="92" t="s">
        <v>28</v>
      </c>
      <c r="J6" s="90" t="s">
        <v>47</v>
      </c>
      <c r="K6" s="90"/>
      <c r="L6" s="93">
        <f>General!$A$10</f>
        <v>0</v>
      </c>
      <c r="M6" s="93"/>
      <c r="N6" s="90"/>
      <c r="O6" s="90"/>
      <c r="P6" s="92" t="s">
        <v>1091</v>
      </c>
      <c r="Q6" s="90" t="str">
        <f>CONCATENATE(General!$B$7," ",General!$B$6)</f>
        <v>Nicolay García José Ramos Ramírez</v>
      </c>
    </row>
    <row r="7" spans="1:18" ht="90">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NO OK</v>
      </c>
      <c r="G7" s="90" t="s">
        <v>20</v>
      </c>
      <c r="H7" s="90" t="s">
        <v>28</v>
      </c>
      <c r="I7" s="92" t="s">
        <v>28</v>
      </c>
      <c r="J7" s="90" t="s">
        <v>47</v>
      </c>
      <c r="K7" s="90"/>
      <c r="L7" s="93">
        <f>General!$A$10</f>
        <v>0</v>
      </c>
      <c r="M7" s="93"/>
      <c r="N7" s="90"/>
      <c r="O7" s="90"/>
      <c r="P7" s="92" t="s">
        <v>1092</v>
      </c>
      <c r="Q7" s="90" t="str">
        <f>CONCATENATE(General!$B$7," ",General!$B$6)</f>
        <v>Nicolay García José Ramos Ramírez</v>
      </c>
    </row>
    <row r="8" spans="1:18" ht="56.2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NO OK</v>
      </c>
      <c r="G8" s="90" t="s">
        <v>20</v>
      </c>
      <c r="H8" s="90" t="s">
        <v>28</v>
      </c>
      <c r="I8" s="92" t="s">
        <v>28</v>
      </c>
      <c r="J8" s="90" t="s">
        <v>47</v>
      </c>
      <c r="K8" s="90"/>
      <c r="L8" s="93">
        <f>General!$A$10</f>
        <v>0</v>
      </c>
      <c r="M8" s="93"/>
      <c r="N8" s="90"/>
      <c r="O8" s="90"/>
      <c r="P8" s="92" t="s">
        <v>1093</v>
      </c>
      <c r="Q8" s="90" t="str">
        <f>CONCATENATE(General!$B$7," ",General!$B$6)</f>
        <v>Nicolay García José Ramos Ramírez</v>
      </c>
    </row>
    <row r="9" spans="1:18" ht="33.75">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NO OK</v>
      </c>
      <c r="G9" s="90" t="s">
        <v>20</v>
      </c>
      <c r="H9" s="90" t="s">
        <v>28</v>
      </c>
      <c r="I9" s="92" t="s">
        <v>28</v>
      </c>
      <c r="J9" s="90" t="s">
        <v>47</v>
      </c>
      <c r="K9" s="90"/>
      <c r="L9" s="93">
        <f>General!$A$10</f>
        <v>0</v>
      </c>
      <c r="M9" s="93"/>
      <c r="N9" s="90"/>
      <c r="O9" s="90"/>
      <c r="P9" s="92" t="s">
        <v>1094</v>
      </c>
      <c r="Q9" s="90" t="str">
        <f>CONCATENATE(General!$B$7," ",General!$B$6)</f>
        <v>Nicolay García José Ramos Ramírez</v>
      </c>
    </row>
    <row r="10" spans="1:18" ht="90">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NO OK</v>
      </c>
      <c r="G10" s="90" t="s">
        <v>20</v>
      </c>
      <c r="H10" s="90" t="s">
        <v>28</v>
      </c>
      <c r="I10" s="92" t="s">
        <v>28</v>
      </c>
      <c r="J10" s="90" t="s">
        <v>47</v>
      </c>
      <c r="K10" s="90"/>
      <c r="L10" s="93">
        <f>General!$A$10</f>
        <v>0</v>
      </c>
      <c r="M10" s="93"/>
      <c r="N10" s="90"/>
      <c r="O10" s="90"/>
      <c r="P10" s="92" t="s">
        <v>1095</v>
      </c>
      <c r="Q10" s="90" t="str">
        <f>CONCATENATE(General!$B$7," ",General!$B$6)</f>
        <v>Nicolay García José Ramos Ramírez</v>
      </c>
    </row>
    <row r="11" spans="1:18" ht="33.7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NO OK</v>
      </c>
      <c r="G11" s="90" t="s">
        <v>20</v>
      </c>
      <c r="H11" s="90" t="s">
        <v>28</v>
      </c>
      <c r="I11" s="92" t="s">
        <v>28</v>
      </c>
      <c r="J11" s="90" t="s">
        <v>47</v>
      </c>
      <c r="K11" s="90"/>
      <c r="L11" s="93">
        <f>General!$A$10</f>
        <v>0</v>
      </c>
      <c r="M11" s="93"/>
      <c r="N11" s="90"/>
      <c r="O11" s="90"/>
      <c r="P11" s="92" t="s">
        <v>1096</v>
      </c>
      <c r="Q11" s="90" t="str">
        <f>CONCATENATE(General!$B$7," ",General!$B$6)</f>
        <v>Nicolay García José Ramos Ramírez</v>
      </c>
    </row>
    <row r="12" spans="1:18" ht="33.7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NO OK</v>
      </c>
      <c r="G12" s="90" t="s">
        <v>20</v>
      </c>
      <c r="H12" s="90" t="s">
        <v>28</v>
      </c>
      <c r="I12" s="92" t="s">
        <v>28</v>
      </c>
      <c r="J12" s="90" t="s">
        <v>47</v>
      </c>
      <c r="K12" s="90"/>
      <c r="L12" s="93">
        <f>General!$A$10</f>
        <v>0</v>
      </c>
      <c r="M12" s="93"/>
      <c r="N12" s="90"/>
      <c r="O12" s="90"/>
      <c r="P12" s="92" t="s">
        <v>1097</v>
      </c>
      <c r="Q12" s="90" t="str">
        <f>CONCATENATE(General!$B$7," ",General!$B$6)</f>
        <v>Nicolay García José Ramos Ramírez</v>
      </c>
    </row>
    <row r="13" spans="1:18" ht="33.7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NO OK</v>
      </c>
      <c r="G13" s="90" t="s">
        <v>20</v>
      </c>
      <c r="H13" s="90" t="s">
        <v>28</v>
      </c>
      <c r="I13" s="92" t="s">
        <v>28</v>
      </c>
      <c r="J13" s="90" t="s">
        <v>47</v>
      </c>
      <c r="K13" s="90"/>
      <c r="L13" s="93">
        <f>General!$A$10</f>
        <v>0</v>
      </c>
      <c r="M13" s="93"/>
      <c r="N13" s="90"/>
      <c r="O13" s="90"/>
      <c r="P13" s="92" t="s">
        <v>1098</v>
      </c>
      <c r="Q13" s="90" t="str">
        <f>CONCATENATE(General!$B$7," ",General!$B$6)</f>
        <v>Nicolay García José Ramos Ramírez</v>
      </c>
    </row>
    <row r="14" spans="1:18" ht="33.7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NO OK</v>
      </c>
      <c r="G14" s="90" t="s">
        <v>20</v>
      </c>
      <c r="H14" s="90" t="s">
        <v>28</v>
      </c>
      <c r="I14" s="92" t="s">
        <v>28</v>
      </c>
      <c r="J14" s="90" t="s">
        <v>47</v>
      </c>
      <c r="K14" s="90"/>
      <c r="L14" s="93">
        <f>General!$A$10</f>
        <v>0</v>
      </c>
      <c r="M14" s="93"/>
      <c r="N14" s="90"/>
      <c r="O14" s="90"/>
      <c r="P14" s="92" t="s">
        <v>1099</v>
      </c>
      <c r="Q14" s="90" t="str">
        <f>CONCATENATE(General!$B$7," ",General!$B$6)</f>
        <v>Nicolay García José Ramos Ramírez</v>
      </c>
    </row>
    <row r="15" spans="1:18" ht="33.7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NO OK</v>
      </c>
      <c r="G15" s="90" t="s">
        <v>20</v>
      </c>
      <c r="H15" s="90" t="s">
        <v>28</v>
      </c>
      <c r="I15" s="92" t="s">
        <v>28</v>
      </c>
      <c r="J15" s="90" t="s">
        <v>47</v>
      </c>
      <c r="K15" s="90"/>
      <c r="L15" s="93">
        <f>General!$A$10</f>
        <v>0</v>
      </c>
      <c r="M15" s="93"/>
      <c r="N15" s="90"/>
      <c r="O15" s="90"/>
      <c r="P15" s="92" t="s">
        <v>1100</v>
      </c>
      <c r="Q15" s="90" t="str">
        <f>CONCATENATE(General!$B$7," ",General!$B$6)</f>
        <v>Nicolay García José Ramos Ramírez</v>
      </c>
    </row>
    <row r="16" spans="1:18" ht="56.2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NO OK</v>
      </c>
      <c r="G16" s="90" t="s">
        <v>20</v>
      </c>
      <c r="H16" s="90" t="s">
        <v>28</v>
      </c>
      <c r="I16" s="92" t="s">
        <v>28</v>
      </c>
      <c r="J16" s="90" t="s">
        <v>47</v>
      </c>
      <c r="K16" s="90"/>
      <c r="L16" s="93">
        <f>General!$A$10</f>
        <v>0</v>
      </c>
      <c r="M16" s="93"/>
      <c r="N16" s="90"/>
      <c r="O16" s="90"/>
      <c r="P16" s="92" t="s">
        <v>1101</v>
      </c>
      <c r="Q16" s="90" t="str">
        <f>CONCATENATE(General!$B$7," ",General!$B$6)</f>
        <v>Nicolay García José Ramos Ramírez</v>
      </c>
    </row>
    <row r="17" spans="1:17" ht="6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NO OK</v>
      </c>
      <c r="G17" s="90" t="s">
        <v>20</v>
      </c>
      <c r="H17" s="90" t="s">
        <v>28</v>
      </c>
      <c r="I17" s="92" t="s">
        <v>28</v>
      </c>
      <c r="J17" s="90" t="s">
        <v>47</v>
      </c>
      <c r="K17" s="90"/>
      <c r="L17" s="93">
        <f>General!$A$10</f>
        <v>0</v>
      </c>
      <c r="M17" s="93"/>
      <c r="N17" s="90"/>
      <c r="O17" s="90"/>
      <c r="P17" s="92" t="s">
        <v>1102</v>
      </c>
      <c r="Q17" s="90" t="str">
        <f>CONCATENATE(General!$B$7," ",General!$B$6)</f>
        <v>Nicolay García José Ramos Ramírez</v>
      </c>
    </row>
    <row r="18" spans="1:17" ht="112.5">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NO OK</v>
      </c>
      <c r="G18" s="90" t="s">
        <v>20</v>
      </c>
      <c r="H18" s="90" t="s">
        <v>28</v>
      </c>
      <c r="I18" s="92" t="s">
        <v>28</v>
      </c>
      <c r="J18" s="90" t="s">
        <v>47</v>
      </c>
      <c r="K18" s="90"/>
      <c r="L18" s="93">
        <f>General!$A$10</f>
        <v>0</v>
      </c>
      <c r="M18" s="93"/>
      <c r="N18" s="90"/>
      <c r="O18" s="90"/>
      <c r="P18" s="92" t="s">
        <v>1103</v>
      </c>
      <c r="Q18" s="90" t="str">
        <f>CONCATENATE(General!$B$7," ",General!$B$6)</f>
        <v>Nicolay García José Ramos Ramírez</v>
      </c>
    </row>
    <row r="19" spans="1:17" ht="67.5">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NO OK</v>
      </c>
      <c r="G19" s="90" t="s">
        <v>20</v>
      </c>
      <c r="H19" s="90" t="s">
        <v>28</v>
      </c>
      <c r="I19" s="92" t="s">
        <v>28</v>
      </c>
      <c r="J19" s="90" t="s">
        <v>47</v>
      </c>
      <c r="K19" s="90"/>
      <c r="L19" s="93">
        <f>General!$A$10</f>
        <v>0</v>
      </c>
      <c r="M19" s="93"/>
      <c r="N19" s="90"/>
      <c r="O19" s="90"/>
      <c r="P19" s="92" t="s">
        <v>1104</v>
      </c>
      <c r="Q19" s="90" t="str">
        <f>CONCATENATE(General!$B$7," ",General!$B$6)</f>
        <v>Nicolay García José Ramos Ramírez</v>
      </c>
    </row>
    <row r="20" spans="1:17" ht="56.25">
      <c r="A20" s="90" t="s">
        <v>159</v>
      </c>
      <c r="B20" s="167" t="s">
        <v>487</v>
      </c>
      <c r="C20" s="90" t="s">
        <v>170</v>
      </c>
      <c r="D20" s="168" t="s">
        <v>490</v>
      </c>
      <c r="E20" s="90" t="s">
        <v>160</v>
      </c>
      <c r="F20" s="169" t="str">
        <f>IF(CasoPrueba[[#This Row],[Estado Testing]]=Resumen!$P$28,"OK",IF(CasoPrueba[[#This Row],[Estado Testing]]=Resumen!$P$29,"NO OK",IF((CasoPrueba[[#This Row],[Estado Testing]]=Resumen!$P$30)+(CasoPrueba[[#This Row],[Estado Testing]]=Resumen!$P$31),"OBSERVADO","")))</f>
        <v>OK</v>
      </c>
      <c r="G20" s="170" t="s">
        <v>19</v>
      </c>
      <c r="H20" s="90" t="s">
        <v>28</v>
      </c>
      <c r="I20" s="170"/>
      <c r="J20" s="167"/>
      <c r="K20" s="167"/>
      <c r="L20" s="171">
        <f>General!$A$10</f>
        <v>0</v>
      </c>
      <c r="M20" s="171"/>
      <c r="N20" s="167"/>
      <c r="O20" s="167"/>
      <c r="P20" s="170" t="s">
        <v>881</v>
      </c>
      <c r="Q20" s="90" t="str">
        <f>CONCATENATE(General!$B$7," ",General!$B$6)</f>
        <v>Nicolay García José Ramos Ramírez</v>
      </c>
    </row>
    <row r="21" spans="1:17" ht="56.25">
      <c r="A21" s="90" t="s">
        <v>159</v>
      </c>
      <c r="B21" s="167"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7"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OK</v>
      </c>
      <c r="G22" s="92" t="s">
        <v>19</v>
      </c>
      <c r="H22" s="90" t="s">
        <v>28</v>
      </c>
      <c r="I22" s="92"/>
      <c r="J22" s="90"/>
      <c r="K22" s="90"/>
      <c r="L22" s="93">
        <f>General!$A$10</f>
        <v>0</v>
      </c>
      <c r="M22" s="93"/>
      <c r="N22" s="90"/>
      <c r="O22" s="90"/>
      <c r="P22" s="92" t="s">
        <v>1031</v>
      </c>
      <c r="Q22" s="90" t="str">
        <f>CONCATENATE(General!$B$7," ",General!$B$6)</f>
        <v>Nicolay García José Ramos Ramírez</v>
      </c>
    </row>
    <row r="23" spans="1:17" ht="33.75">
      <c r="A23" s="90" t="s">
        <v>159</v>
      </c>
      <c r="B23" s="167"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NO OK</v>
      </c>
      <c r="G23" s="92" t="s">
        <v>20</v>
      </c>
      <c r="H23" s="90" t="s">
        <v>28</v>
      </c>
      <c r="I23" s="92" t="s">
        <v>30</v>
      </c>
      <c r="J23" s="90" t="s">
        <v>47</v>
      </c>
      <c r="K23" s="90"/>
      <c r="L23" s="93">
        <f>General!$A$10</f>
        <v>0</v>
      </c>
      <c r="M23" s="93"/>
      <c r="N23" s="90"/>
      <c r="O23" s="90"/>
      <c r="P23" s="92" t="s">
        <v>1064</v>
      </c>
      <c r="Q23" s="90" t="str">
        <f>CONCATENATE(General!$B$7," ",General!$B$6)</f>
        <v>Nicolay García José Ramos Ramírez</v>
      </c>
    </row>
    <row r="24" spans="1:17" ht="112.5">
      <c r="A24" s="90" t="s">
        <v>159</v>
      </c>
      <c r="B24" s="167"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OK</v>
      </c>
      <c r="G24" s="92" t="s">
        <v>19</v>
      </c>
      <c r="H24" s="90" t="s">
        <v>28</v>
      </c>
      <c r="I24" s="92"/>
      <c r="J24" s="90"/>
      <c r="K24" s="90"/>
      <c r="L24" s="93">
        <f>General!$A$10</f>
        <v>0</v>
      </c>
      <c r="M24" s="93"/>
      <c r="N24" s="90"/>
      <c r="O24" s="90"/>
      <c r="P24" s="92" t="s">
        <v>883</v>
      </c>
      <c r="Q24" s="90" t="str">
        <f>CONCATENATE(General!$B$7," ",General!$B$6)</f>
        <v>Nicolay García José Ramos Ramírez</v>
      </c>
    </row>
    <row r="25" spans="1:17" ht="33.75">
      <c r="A25" s="90" t="s">
        <v>159</v>
      </c>
      <c r="B25" s="167"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884</v>
      </c>
      <c r="Q25" s="90" t="str">
        <f>CONCATENATE(General!$B$7," ",General!$B$6)</f>
        <v>Nicolay García José Ramos Ramírez</v>
      </c>
    </row>
    <row r="26" spans="1:17" ht="33.75">
      <c r="A26" s="90" t="s">
        <v>159</v>
      </c>
      <c r="B26" s="167"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885</v>
      </c>
      <c r="Q26" s="90" t="str">
        <f>CONCATENATE(General!$B$7," ",General!$B$6)</f>
        <v>Nicolay García José Ramos Ramírez</v>
      </c>
    </row>
    <row r="27" spans="1:17" ht="22.5">
      <c r="A27" s="90" t="s">
        <v>159</v>
      </c>
      <c r="B27" s="167"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162</v>
      </c>
      <c r="J27" s="90" t="s">
        <v>47</v>
      </c>
      <c r="K27" s="90"/>
      <c r="L27" s="93">
        <f>General!$A$10</f>
        <v>0</v>
      </c>
      <c r="M27" s="93"/>
      <c r="N27" s="90"/>
      <c r="O27" s="90"/>
      <c r="P27" s="92" t="s">
        <v>1065</v>
      </c>
      <c r="Q27" s="90" t="str">
        <f>CONCATENATE(General!$B$7," ",General!$B$6)</f>
        <v>Nicolay García José Ramos Ramírez</v>
      </c>
    </row>
    <row r="28" spans="1:17" ht="22.5">
      <c r="A28" s="90" t="s">
        <v>159</v>
      </c>
      <c r="B28" s="167"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162</v>
      </c>
      <c r="J28" s="90" t="s">
        <v>47</v>
      </c>
      <c r="K28" s="90"/>
      <c r="L28" s="93">
        <f>General!$A$10</f>
        <v>0</v>
      </c>
      <c r="M28" s="93"/>
      <c r="N28" s="90"/>
      <c r="O28" s="90"/>
      <c r="P28" s="92" t="s">
        <v>1066</v>
      </c>
      <c r="Q28" s="90" t="str">
        <f>CONCATENATE(General!$B$7," ",General!$B$6)</f>
        <v>Nicolay García José Ramos Ramírez</v>
      </c>
    </row>
    <row r="29" spans="1:17" ht="56.25">
      <c r="A29" s="90" t="s">
        <v>159</v>
      </c>
      <c r="B29" s="167"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886</v>
      </c>
      <c r="Q29" s="90" t="str">
        <f>CONCATENATE(General!$B$7," ",General!$B$6)</f>
        <v>Nicolay García José Ramos Ramírez</v>
      </c>
    </row>
    <row r="30" spans="1:17" ht="33.75">
      <c r="A30" s="90" t="s">
        <v>159</v>
      </c>
      <c r="B30" s="167" t="s">
        <v>887</v>
      </c>
      <c r="C30" s="90" t="s">
        <v>170</v>
      </c>
      <c r="D30" s="31" t="s">
        <v>894</v>
      </c>
      <c r="E30" s="90" t="s">
        <v>160</v>
      </c>
      <c r="F30" s="91" t="str">
        <f>IF(CasoPrueba[[#This Row],[Estado Testing]]=Resumen!$P$28,"OK",IF(CasoPrueba[[#This Row],[Estado Testing]]=Resumen!$P$29,"NO OK",IF((CasoPrueba[[#This Row],[Estado Testing]]=Resumen!$P$30)+(CasoPrueba[[#This Row],[Estado Testing]]=Resumen!$P$31),"OBSERVADO","")))</f>
        <v>NO OK</v>
      </c>
      <c r="G30" s="92" t="s">
        <v>20</v>
      </c>
      <c r="H30" s="90" t="s">
        <v>28</v>
      </c>
      <c r="I30" s="92" t="s">
        <v>30</v>
      </c>
      <c r="J30" s="90" t="s">
        <v>47</v>
      </c>
      <c r="K30" s="90"/>
      <c r="L30" s="93">
        <f>General!$A$10</f>
        <v>0</v>
      </c>
      <c r="M30" s="93"/>
      <c r="N30" s="90"/>
      <c r="O30" s="90"/>
      <c r="P30" s="92" t="s">
        <v>1039</v>
      </c>
      <c r="Q30" s="90" t="str">
        <f>CONCATENATE(General!$B$7," ",General!$B$6)</f>
        <v>Nicolay García José Ramos Ramírez</v>
      </c>
    </row>
    <row r="31" spans="1:17" ht="30">
      <c r="A31" s="90" t="s">
        <v>159</v>
      </c>
      <c r="B31" s="167" t="s">
        <v>888</v>
      </c>
      <c r="C31" s="90" t="s">
        <v>170</v>
      </c>
      <c r="D31" s="31" t="s">
        <v>895</v>
      </c>
      <c r="E31" s="90" t="s">
        <v>160</v>
      </c>
      <c r="F31" s="91" t="str">
        <f>IF(CasoPrueba[[#This Row],[Estado Testing]]=Resumen!$P$28,"OK",IF(CasoPrueba[[#This Row],[Estado Testing]]=Resumen!$P$29,"NO OK",IF((CasoPrueba[[#This Row],[Estado Testing]]=Resumen!$P$30)+(CasoPrueba[[#This Row],[Estado Testing]]=Resumen!$P$31),"OBSERVADO","")))</f>
        <v>NO OK</v>
      </c>
      <c r="G31" s="92" t="s">
        <v>20</v>
      </c>
      <c r="H31" s="90" t="s">
        <v>28</v>
      </c>
      <c r="I31" s="92" t="s">
        <v>30</v>
      </c>
      <c r="J31" s="90" t="s">
        <v>47</v>
      </c>
      <c r="K31" s="90"/>
      <c r="L31" s="93">
        <f>General!$A$10</f>
        <v>0</v>
      </c>
      <c r="M31" s="93"/>
      <c r="N31" s="90"/>
      <c r="O31" s="90"/>
      <c r="P31" s="92" t="s">
        <v>1040</v>
      </c>
      <c r="Q31" s="90" t="str">
        <f>CONCATENATE(General!$B$7," ",General!$B$6)</f>
        <v>Nicolay García José Ramos Ramírez</v>
      </c>
    </row>
    <row r="32" spans="1:17" ht="56.25">
      <c r="A32" s="90" t="s">
        <v>159</v>
      </c>
      <c r="B32" s="167" t="s">
        <v>889</v>
      </c>
      <c r="C32" s="90" t="s">
        <v>170</v>
      </c>
      <c r="D32" s="31" t="s">
        <v>896</v>
      </c>
      <c r="E32" s="90" t="s">
        <v>160</v>
      </c>
      <c r="F32" s="91" t="str">
        <f>IF(CasoPrueba[[#This Row],[Estado Testing]]=Resumen!$P$28,"OK",IF(CasoPrueba[[#This Row],[Estado Testing]]=Resumen!$P$29,"NO OK",IF((CasoPrueba[[#This Row],[Estado Testing]]=Resumen!$P$30)+(CasoPrueba[[#This Row],[Estado Testing]]=Resumen!$P$31),"OBSERVADO","")))</f>
        <v>NO OK</v>
      </c>
      <c r="G32" s="92" t="s">
        <v>20</v>
      </c>
      <c r="H32" s="90" t="s">
        <v>28</v>
      </c>
      <c r="I32" s="92" t="s">
        <v>30</v>
      </c>
      <c r="J32" s="90" t="s">
        <v>47</v>
      </c>
      <c r="K32" s="90"/>
      <c r="L32" s="93">
        <f>General!$A$10</f>
        <v>0</v>
      </c>
      <c r="M32" s="93"/>
      <c r="N32" s="90"/>
      <c r="O32" s="90"/>
      <c r="P32" s="92" t="s">
        <v>1067</v>
      </c>
      <c r="Q32" s="90" t="str">
        <f>CONCATENATE(General!$B$7," ",General!$B$6)</f>
        <v>Nicolay García José Ramos Ramírez</v>
      </c>
    </row>
    <row r="33" spans="1:17" ht="168.75">
      <c r="A33" s="90" t="s">
        <v>159</v>
      </c>
      <c r="B33" s="167" t="s">
        <v>890</v>
      </c>
      <c r="C33" s="90" t="s">
        <v>170</v>
      </c>
      <c r="D33" s="31" t="s">
        <v>897</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952</v>
      </c>
      <c r="Q33" s="90" t="str">
        <f>CONCATENATE(General!$B$7," ",General!$B$6)</f>
        <v>Nicolay García José Ramos Ramírez</v>
      </c>
    </row>
    <row r="34" spans="1:17" ht="33.75">
      <c r="A34" s="90" t="s">
        <v>159</v>
      </c>
      <c r="B34" s="167" t="s">
        <v>891</v>
      </c>
      <c r="C34" s="90" t="s">
        <v>170</v>
      </c>
      <c r="D34" s="31" t="s">
        <v>898</v>
      </c>
      <c r="E34" s="90" t="s">
        <v>160</v>
      </c>
      <c r="F34" s="91" t="str">
        <f>IF(CasoPrueba[[#This Row],[Estado Testing]]=Resumen!$P$28,"OK",IF(CasoPrueba[[#This Row],[Estado Testing]]=Resumen!$P$29,"NO OK",IF((CasoPrueba[[#This Row],[Estado Testing]]=Resumen!$P$30)+(CasoPrueba[[#This Row],[Estado Testing]]=Resumen!$P$31),"OBSERVADO","")))</f>
        <v>NO OK</v>
      </c>
      <c r="G34" s="92" t="s">
        <v>20</v>
      </c>
      <c r="H34" s="90" t="s">
        <v>28</v>
      </c>
      <c r="I34" s="92" t="s">
        <v>162</v>
      </c>
      <c r="J34" s="90" t="s">
        <v>47</v>
      </c>
      <c r="K34" s="90"/>
      <c r="L34" s="93">
        <f>General!$A$10</f>
        <v>0</v>
      </c>
      <c r="M34" s="93"/>
      <c r="N34" s="90"/>
      <c r="O34" s="90"/>
      <c r="P34" s="92" t="s">
        <v>1041</v>
      </c>
      <c r="Q34" s="90" t="str">
        <f>CONCATENATE(General!$B$7," ",General!$B$6)</f>
        <v>Nicolay García José Ramos Ramírez</v>
      </c>
    </row>
    <row r="35" spans="1:17" ht="180">
      <c r="A35" s="90" t="s">
        <v>159</v>
      </c>
      <c r="B35" s="167" t="s">
        <v>892</v>
      </c>
      <c r="C35" s="90" t="s">
        <v>170</v>
      </c>
      <c r="D35" s="31" t="s">
        <v>899</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953</v>
      </c>
      <c r="Q35" s="90" t="str">
        <f>CONCATENATE(General!$B$7," ",General!$B$6)</f>
        <v>Nicolay García José Ramos Ramírez</v>
      </c>
    </row>
    <row r="36" spans="1:17" ht="168.75">
      <c r="A36" s="90" t="s">
        <v>159</v>
      </c>
      <c r="B36" s="167" t="s">
        <v>893</v>
      </c>
      <c r="C36" s="90" t="s">
        <v>170</v>
      </c>
      <c r="D36" s="31" t="s">
        <v>900</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954</v>
      </c>
      <c r="Q36" s="90" t="str">
        <f>CONCATENATE(General!$B$7," ",General!$B$6)</f>
        <v>Nicolay García José Ramos Ramírez</v>
      </c>
    </row>
    <row r="37" spans="1:17" ht="202.5">
      <c r="A37" s="90" t="s">
        <v>159</v>
      </c>
      <c r="B37" s="167" t="s">
        <v>904</v>
      </c>
      <c r="C37" s="90" t="s">
        <v>170</v>
      </c>
      <c r="D37" s="168" t="s">
        <v>901</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7"/>
      <c r="L37" s="171">
        <f>General!$A$10</f>
        <v>0</v>
      </c>
      <c r="M37" s="171"/>
      <c r="N37" s="167"/>
      <c r="O37" s="167"/>
      <c r="P37" s="170" t="s">
        <v>1022</v>
      </c>
      <c r="Q37" s="90" t="str">
        <f>CONCATENATE(General!$B$7," ",General!$B$6)</f>
        <v>Nicolay García José Ramos Ramírez</v>
      </c>
    </row>
    <row r="38" spans="1:17" ht="202.5">
      <c r="A38" s="90" t="s">
        <v>159</v>
      </c>
      <c r="B38" s="167" t="s">
        <v>905</v>
      </c>
      <c r="C38" s="90" t="s">
        <v>170</v>
      </c>
      <c r="D38" s="168" t="s">
        <v>902</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7"/>
      <c r="L38" s="171">
        <f>General!$A$10</f>
        <v>0</v>
      </c>
      <c r="M38" s="171"/>
      <c r="N38" s="167"/>
      <c r="O38" s="167"/>
      <c r="P38" s="170" t="s">
        <v>1023</v>
      </c>
      <c r="Q38" s="90" t="str">
        <f>CONCATENATE(General!$B$7," ",General!$B$6)</f>
        <v>Nicolay García José Ramos Ramírez</v>
      </c>
    </row>
    <row r="39" spans="1:17" ht="90">
      <c r="A39" s="90" t="s">
        <v>159</v>
      </c>
      <c r="B39" s="167" t="s">
        <v>906</v>
      </c>
      <c r="C39" s="90" t="s">
        <v>170</v>
      </c>
      <c r="D39" s="168" t="s">
        <v>903</v>
      </c>
      <c r="E39" s="90" t="s">
        <v>160</v>
      </c>
      <c r="F39" s="91" t="str">
        <f>IF(CasoPrueba[[#This Row],[Estado Testing]]=Resumen!$P$28,"OK",IF(CasoPrueba[[#This Row],[Estado Testing]]=Resumen!$P$29,"NO OK",IF((CasoPrueba[[#This Row],[Estado Testing]]=Resumen!$P$30)+(CasoPrueba[[#This Row],[Estado Testing]]=Resumen!$P$31),"OBSERVADO","")))</f>
        <v>OK</v>
      </c>
      <c r="G39" s="92" t="s">
        <v>19</v>
      </c>
      <c r="H39" s="90" t="s">
        <v>28</v>
      </c>
      <c r="I39" s="92"/>
      <c r="J39" s="90"/>
      <c r="K39" s="167"/>
      <c r="L39" s="171">
        <f>General!$A$10</f>
        <v>0</v>
      </c>
      <c r="M39" s="171"/>
      <c r="N39" s="167"/>
      <c r="O39" s="167"/>
      <c r="P39" s="170" t="s">
        <v>1024</v>
      </c>
      <c r="Q39" s="90" t="str">
        <f>CONCATENATE(General!$B$7," ",General!$B$6)</f>
        <v>Nicolay García José Ramos Ramírez</v>
      </c>
    </row>
    <row r="40" spans="1:17" ht="22.5">
      <c r="A40" s="167" t="s">
        <v>159</v>
      </c>
      <c r="B40" s="167" t="s">
        <v>906</v>
      </c>
      <c r="C40" s="90" t="s">
        <v>170</v>
      </c>
      <c r="D40" s="168" t="s">
        <v>1105</v>
      </c>
      <c r="E40" s="90" t="s">
        <v>160</v>
      </c>
      <c r="F40" s="91" t="str">
        <f>IF(CasoPrueba[[#This Row],[Estado Testing]]=Resumen!$P$28,"OK",IF(CasoPrueba[[#This Row],[Estado Testing]]=Resumen!$P$29,"NO OK",IF((CasoPrueba[[#This Row],[Estado Testing]]=Resumen!$P$30)+(CasoPrueba[[#This Row],[Estado Testing]]=Resumen!$P$31),"OBSERVADO","")))</f>
        <v/>
      </c>
      <c r="G40" s="92" t="s">
        <v>22</v>
      </c>
      <c r="H40" s="90" t="s">
        <v>28</v>
      </c>
      <c r="I40" s="92"/>
      <c r="J40" s="90"/>
      <c r="K40" s="167"/>
      <c r="L40" s="171">
        <f>General!$A$10</f>
        <v>0</v>
      </c>
      <c r="M40" s="171"/>
      <c r="N40" s="167"/>
      <c r="O40" s="167"/>
      <c r="P40" s="170"/>
      <c r="Q40" s="90"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372"/>
  <sheetViews>
    <sheetView tabSelected="1" zoomScale="85" zoomScaleNormal="85" workbookViewId="0">
      <selection activeCell="J373" sqref="J373"/>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4" width="11.42578125" style="31" hidden="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5" t="s">
        <v>161</v>
      </c>
      <c r="B4" s="163" t="s">
        <v>88</v>
      </c>
      <c r="C4" s="34" t="str">
        <f>VLOOKUP(Observaciones[Caso de Prueba],CasoPrueba[[#All],[Código CP]:[Prioridad]],7,TRUE)</f>
        <v>Alta</v>
      </c>
      <c r="D4" s="163" t="s">
        <v>30</v>
      </c>
      <c r="E4" s="34" t="s">
        <v>49</v>
      </c>
      <c r="F4" s="164">
        <v>40784</v>
      </c>
      <c r="G4" s="73">
        <v>40796</v>
      </c>
      <c r="H4" s="166" t="s">
        <v>132</v>
      </c>
      <c r="I4" s="163" t="s">
        <v>192</v>
      </c>
      <c r="J4" s="163"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5" t="s">
        <v>194</v>
      </c>
      <c r="B5" s="163" t="s">
        <v>88</v>
      </c>
      <c r="C5" s="34" t="str">
        <f>VLOOKUP(Observaciones[Caso de Prueba],CasoPrueba[[#All],[Código CP]:[Prioridad]],7,TRUE)</f>
        <v>Alta</v>
      </c>
      <c r="D5" s="163" t="s">
        <v>162</v>
      </c>
      <c r="E5" s="34" t="s">
        <v>49</v>
      </c>
      <c r="F5" s="164">
        <v>40784</v>
      </c>
      <c r="G5" s="73">
        <v>40796</v>
      </c>
      <c r="H5" s="166" t="s">
        <v>132</v>
      </c>
      <c r="I5" s="163" t="s">
        <v>195</v>
      </c>
      <c r="J5" s="163"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5" t="s">
        <v>197</v>
      </c>
      <c r="B6" s="163" t="s">
        <v>88</v>
      </c>
      <c r="C6" s="34" t="str">
        <f>VLOOKUP(Observaciones[Caso de Prueba],CasoPrueba[[#All],[Código CP]:[Prioridad]],7,TRUE)</f>
        <v>Alta</v>
      </c>
      <c r="D6" s="163" t="s">
        <v>162</v>
      </c>
      <c r="E6" s="34" t="s">
        <v>49</v>
      </c>
      <c r="F6" s="164">
        <v>40784</v>
      </c>
      <c r="G6" s="73">
        <v>40796</v>
      </c>
      <c r="H6" s="166" t="s">
        <v>132</v>
      </c>
      <c r="I6" s="163" t="s">
        <v>198</v>
      </c>
      <c r="J6" s="163"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5" t="s">
        <v>200</v>
      </c>
      <c r="B7" s="163" t="s">
        <v>88</v>
      </c>
      <c r="C7" s="34" t="str">
        <f>VLOOKUP(Observaciones[Caso de Prueba],CasoPrueba[[#All],[Código CP]:[Prioridad]],7,TRUE)</f>
        <v>Alta</v>
      </c>
      <c r="D7" s="163" t="s">
        <v>162</v>
      </c>
      <c r="E7" s="34" t="s">
        <v>49</v>
      </c>
      <c r="F7" s="164">
        <v>40784</v>
      </c>
      <c r="G7" s="73">
        <v>40796</v>
      </c>
      <c r="H7" s="166" t="s">
        <v>132</v>
      </c>
      <c r="I7" s="163" t="s">
        <v>426</v>
      </c>
      <c r="J7" s="163"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5" t="s">
        <v>202</v>
      </c>
      <c r="B8" s="163" t="s">
        <v>88</v>
      </c>
      <c r="C8" s="34" t="str">
        <f>VLOOKUP(Observaciones[Caso de Prueba],CasoPrueba[[#All],[Código CP]:[Prioridad]],7,TRUE)</f>
        <v>Alta</v>
      </c>
      <c r="D8" s="163" t="s">
        <v>30</v>
      </c>
      <c r="E8" s="34" t="s">
        <v>49</v>
      </c>
      <c r="F8" s="164">
        <v>40793</v>
      </c>
      <c r="G8" s="73">
        <v>40796</v>
      </c>
      <c r="H8" s="166" t="s">
        <v>132</v>
      </c>
      <c r="I8" s="163" t="s">
        <v>203</v>
      </c>
      <c r="J8" s="163"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5" t="s">
        <v>205</v>
      </c>
      <c r="B9" s="163" t="s">
        <v>88</v>
      </c>
      <c r="C9" s="34" t="str">
        <f>VLOOKUP(Observaciones[Caso de Prueba],CasoPrueba[[#All],[Código CP]:[Prioridad]],7,TRUE)</f>
        <v>Alta</v>
      </c>
      <c r="D9" s="163" t="s">
        <v>29</v>
      </c>
      <c r="E9" s="34" t="s">
        <v>49</v>
      </c>
      <c r="F9" s="164">
        <v>40784</v>
      </c>
      <c r="G9" s="73">
        <v>40796</v>
      </c>
      <c r="H9" s="166" t="s">
        <v>132</v>
      </c>
      <c r="I9" s="163" t="s">
        <v>206</v>
      </c>
      <c r="J9" s="163"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5" t="s">
        <v>208</v>
      </c>
      <c r="B10" s="163" t="s">
        <v>88</v>
      </c>
      <c r="C10" s="34" t="str">
        <f>VLOOKUP(Observaciones[Caso de Prueba],CasoPrueba[[#All],[Código CP]:[Prioridad]],7,TRUE)</f>
        <v>Alta</v>
      </c>
      <c r="D10" s="163" t="s">
        <v>29</v>
      </c>
      <c r="E10" s="34" t="s">
        <v>49</v>
      </c>
      <c r="F10" s="164">
        <v>40784</v>
      </c>
      <c r="G10" s="73">
        <v>40796</v>
      </c>
      <c r="H10" s="166" t="s">
        <v>132</v>
      </c>
      <c r="I10" s="163" t="s">
        <v>209</v>
      </c>
      <c r="J10" s="163"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5" t="s">
        <v>211</v>
      </c>
      <c r="B11" s="163" t="s">
        <v>88</v>
      </c>
      <c r="C11" s="34" t="str">
        <f>VLOOKUP(Observaciones[Caso de Prueba],CasoPrueba[[#All],[Código CP]:[Prioridad]],7,TRUE)</f>
        <v>Alta</v>
      </c>
      <c r="D11" s="163" t="s">
        <v>29</v>
      </c>
      <c r="E11" s="34" t="s">
        <v>49</v>
      </c>
      <c r="F11" s="164">
        <v>40784</v>
      </c>
      <c r="G11" s="73">
        <v>40796</v>
      </c>
      <c r="H11" s="166" t="s">
        <v>132</v>
      </c>
      <c r="I11" s="163" t="s">
        <v>212</v>
      </c>
      <c r="J11" s="163"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5" t="s">
        <v>214</v>
      </c>
      <c r="B12" s="163" t="s">
        <v>88</v>
      </c>
      <c r="C12" s="34" t="str">
        <f>VLOOKUP(Observaciones[Caso de Prueba],CasoPrueba[[#All],[Código CP]:[Prioridad]],7,TRUE)</f>
        <v>Alta</v>
      </c>
      <c r="D12" s="163" t="s">
        <v>29</v>
      </c>
      <c r="E12" s="34" t="s">
        <v>49</v>
      </c>
      <c r="F12" s="164">
        <v>40784</v>
      </c>
      <c r="G12" s="73">
        <v>40796</v>
      </c>
      <c r="H12" s="166" t="s">
        <v>132</v>
      </c>
      <c r="I12" s="163" t="s">
        <v>215</v>
      </c>
      <c r="J12" s="163"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5" t="s">
        <v>217</v>
      </c>
      <c r="B13" s="163" t="s">
        <v>88</v>
      </c>
      <c r="C13" s="34" t="str">
        <f>VLOOKUP(Observaciones[Caso de Prueba],CasoPrueba[[#All],[Código CP]:[Prioridad]],7,TRUE)</f>
        <v>Alta</v>
      </c>
      <c r="D13" s="163" t="s">
        <v>29</v>
      </c>
      <c r="E13" s="34" t="s">
        <v>49</v>
      </c>
      <c r="F13" s="164">
        <v>40784</v>
      </c>
      <c r="G13" s="73">
        <v>40796</v>
      </c>
      <c r="H13" s="166" t="s">
        <v>132</v>
      </c>
      <c r="I13" s="163" t="s">
        <v>218</v>
      </c>
      <c r="J13" s="163"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5" t="s">
        <v>220</v>
      </c>
      <c r="B14" s="163" t="s">
        <v>88</v>
      </c>
      <c r="C14" s="34" t="str">
        <f>VLOOKUP(Observaciones[Caso de Prueba],CasoPrueba[[#All],[Código CP]:[Prioridad]],7,TRUE)</f>
        <v>Alta</v>
      </c>
      <c r="D14" s="163" t="s">
        <v>30</v>
      </c>
      <c r="E14" s="34" t="s">
        <v>49</v>
      </c>
      <c r="F14" s="164">
        <v>40784</v>
      </c>
      <c r="G14" s="73">
        <v>40796</v>
      </c>
      <c r="H14" s="166" t="s">
        <v>132</v>
      </c>
      <c r="I14" s="163" t="s">
        <v>221</v>
      </c>
      <c r="J14" s="163"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5" t="s">
        <v>223</v>
      </c>
      <c r="B15" s="163" t="s">
        <v>88</v>
      </c>
      <c r="C15" s="34" t="str">
        <f>VLOOKUP(Observaciones[Caso de Prueba],CasoPrueba[[#All],[Código CP]:[Prioridad]],7,TRUE)</f>
        <v>Alta</v>
      </c>
      <c r="D15" s="163" t="s">
        <v>30</v>
      </c>
      <c r="E15" s="34" t="s">
        <v>49</v>
      </c>
      <c r="F15" s="164">
        <v>40784</v>
      </c>
      <c r="G15" s="73">
        <v>40796</v>
      </c>
      <c r="H15" s="166" t="s">
        <v>132</v>
      </c>
      <c r="I15" s="163" t="s">
        <v>224</v>
      </c>
      <c r="J15" s="163"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5" t="s">
        <v>226</v>
      </c>
      <c r="B16" s="163" t="s">
        <v>151</v>
      </c>
      <c r="C16" s="34" t="str">
        <f>VLOOKUP(Observaciones[Caso de Prueba],CasoPrueba[[#All],[Código CP]:[Prioridad]],7,TRUE)</f>
        <v>Alta</v>
      </c>
      <c r="D16" s="163" t="s">
        <v>30</v>
      </c>
      <c r="E16" s="34" t="s">
        <v>49</v>
      </c>
      <c r="F16" s="164">
        <v>40786</v>
      </c>
      <c r="G16" s="73">
        <v>40796</v>
      </c>
      <c r="H16" s="166" t="s">
        <v>132</v>
      </c>
      <c r="I16" s="163" t="s">
        <v>227</v>
      </c>
      <c r="J16" s="163"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5" t="s">
        <v>229</v>
      </c>
      <c r="B17" s="163" t="s">
        <v>151</v>
      </c>
      <c r="C17" s="34" t="str">
        <f>VLOOKUP(Observaciones[Caso de Prueba],CasoPrueba[[#All],[Código CP]:[Prioridad]],7,TRUE)</f>
        <v>Alta</v>
      </c>
      <c r="D17" s="163" t="s">
        <v>162</v>
      </c>
      <c r="E17" s="34" t="s">
        <v>49</v>
      </c>
      <c r="F17" s="164">
        <v>40786</v>
      </c>
      <c r="G17" s="73">
        <v>40796</v>
      </c>
      <c r="H17" s="166" t="s">
        <v>132</v>
      </c>
      <c r="I17" s="163" t="s">
        <v>230</v>
      </c>
      <c r="J17" s="163"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5" t="s">
        <v>232</v>
      </c>
      <c r="B18" s="163" t="s">
        <v>151</v>
      </c>
      <c r="C18" s="34" t="str">
        <f>VLOOKUP(Observaciones[Caso de Prueba],CasoPrueba[[#All],[Código CP]:[Prioridad]],7,TRUE)</f>
        <v>Alta</v>
      </c>
      <c r="D18" s="163" t="s">
        <v>162</v>
      </c>
      <c r="E18" s="34" t="s">
        <v>49</v>
      </c>
      <c r="F18" s="164">
        <v>40786</v>
      </c>
      <c r="G18" s="73">
        <v>40796</v>
      </c>
      <c r="H18" s="166" t="s">
        <v>132</v>
      </c>
      <c r="I18" s="163" t="s">
        <v>233</v>
      </c>
      <c r="J18" s="163"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5" t="s">
        <v>235</v>
      </c>
      <c r="B19" s="163" t="s">
        <v>151</v>
      </c>
      <c r="C19" s="34" t="str">
        <f>VLOOKUP(Observaciones[Caso de Prueba],CasoPrueba[[#All],[Código CP]:[Prioridad]],7,TRUE)</f>
        <v>Alta</v>
      </c>
      <c r="D19" s="163" t="s">
        <v>30</v>
      </c>
      <c r="E19" s="34" t="s">
        <v>49</v>
      </c>
      <c r="F19" s="164">
        <v>40793</v>
      </c>
      <c r="G19" s="73">
        <v>40796</v>
      </c>
      <c r="H19" s="166" t="s">
        <v>132</v>
      </c>
      <c r="I19" s="163" t="s">
        <v>236</v>
      </c>
      <c r="J19" s="163"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5" t="s">
        <v>238</v>
      </c>
      <c r="B20" s="163" t="s">
        <v>151</v>
      </c>
      <c r="C20" s="34" t="str">
        <f>VLOOKUP(Observaciones[Caso de Prueba],CasoPrueba[[#All],[Código CP]:[Prioridad]],7,TRUE)</f>
        <v>Alta</v>
      </c>
      <c r="D20" s="163" t="s">
        <v>29</v>
      </c>
      <c r="E20" s="34" t="s">
        <v>49</v>
      </c>
      <c r="F20" s="164">
        <v>40786</v>
      </c>
      <c r="G20" s="73">
        <v>40796</v>
      </c>
      <c r="H20" s="166" t="s">
        <v>132</v>
      </c>
      <c r="I20" s="163" t="s">
        <v>239</v>
      </c>
      <c r="J20" s="163"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5" t="s">
        <v>241</v>
      </c>
      <c r="B21" s="163" t="s">
        <v>151</v>
      </c>
      <c r="C21" s="34" t="str">
        <f>VLOOKUP(Observaciones[Caso de Prueba],CasoPrueba[[#All],[Código CP]:[Prioridad]],7,TRUE)</f>
        <v>Alta</v>
      </c>
      <c r="D21" s="163" t="s">
        <v>29</v>
      </c>
      <c r="E21" s="34" t="s">
        <v>49</v>
      </c>
      <c r="F21" s="164">
        <v>40786</v>
      </c>
      <c r="G21" s="73">
        <v>40796</v>
      </c>
      <c r="H21" s="166" t="s">
        <v>132</v>
      </c>
      <c r="I21" s="163" t="s">
        <v>242</v>
      </c>
      <c r="J21" s="163"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5" t="s">
        <v>244</v>
      </c>
      <c r="B22" s="163" t="s">
        <v>151</v>
      </c>
      <c r="C22" s="34" t="str">
        <f>VLOOKUP(Observaciones[Caso de Prueba],CasoPrueba[[#All],[Código CP]:[Prioridad]],7,TRUE)</f>
        <v>Alta</v>
      </c>
      <c r="D22" s="163" t="s">
        <v>29</v>
      </c>
      <c r="E22" s="34" t="s">
        <v>49</v>
      </c>
      <c r="F22" s="164">
        <v>40786</v>
      </c>
      <c r="G22" s="73">
        <v>40796</v>
      </c>
      <c r="H22" s="166" t="s">
        <v>132</v>
      </c>
      <c r="I22" s="163" t="s">
        <v>245</v>
      </c>
      <c r="J22" s="163"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5" t="s">
        <v>247</v>
      </c>
      <c r="B23" s="163" t="s">
        <v>151</v>
      </c>
      <c r="C23" s="34" t="str">
        <f>VLOOKUP(Observaciones[Caso de Prueba],CasoPrueba[[#All],[Código CP]:[Prioridad]],7,TRUE)</f>
        <v>Alta</v>
      </c>
      <c r="D23" s="163" t="s">
        <v>162</v>
      </c>
      <c r="E23" s="34" t="s">
        <v>49</v>
      </c>
      <c r="F23" s="164">
        <v>40786</v>
      </c>
      <c r="G23" s="73">
        <v>40796</v>
      </c>
      <c r="H23" s="166" t="s">
        <v>132</v>
      </c>
      <c r="I23" s="163" t="s">
        <v>248</v>
      </c>
      <c r="J23" s="163"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5" t="s">
        <v>249</v>
      </c>
      <c r="B24" s="163" t="s">
        <v>151</v>
      </c>
      <c r="C24" s="34" t="str">
        <f>VLOOKUP(Observaciones[Caso de Prueba],CasoPrueba[[#All],[Código CP]:[Prioridad]],7,TRUE)</f>
        <v>Alta</v>
      </c>
      <c r="D24" s="163" t="s">
        <v>28</v>
      </c>
      <c r="E24" s="34" t="s">
        <v>49</v>
      </c>
      <c r="F24" s="164">
        <v>40786</v>
      </c>
      <c r="G24" s="73">
        <v>40796</v>
      </c>
      <c r="H24" s="166" t="s">
        <v>132</v>
      </c>
      <c r="I24" s="163" t="s">
        <v>250</v>
      </c>
      <c r="J24" s="163"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5" t="s">
        <v>252</v>
      </c>
      <c r="B25" s="163" t="s">
        <v>152</v>
      </c>
      <c r="C25" s="34" t="str">
        <f>VLOOKUP(Observaciones[Caso de Prueba],CasoPrueba[[#All],[Código CP]:[Prioridad]],7,TRUE)</f>
        <v>Alta</v>
      </c>
      <c r="D25" s="163" t="s">
        <v>30</v>
      </c>
      <c r="E25" s="34" t="s">
        <v>49</v>
      </c>
      <c r="F25" s="164">
        <v>40786</v>
      </c>
      <c r="G25" s="73">
        <v>40796</v>
      </c>
      <c r="H25" s="166" t="s">
        <v>132</v>
      </c>
      <c r="I25" s="163" t="s">
        <v>253</v>
      </c>
      <c r="J25" s="163"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5" t="s">
        <v>254</v>
      </c>
      <c r="B26" s="163" t="s">
        <v>152</v>
      </c>
      <c r="C26" s="34" t="str">
        <f>VLOOKUP(Observaciones[Caso de Prueba],CasoPrueba[[#All],[Código CP]:[Prioridad]],7,TRUE)</f>
        <v>Alta</v>
      </c>
      <c r="D26" s="163" t="s">
        <v>30</v>
      </c>
      <c r="E26" s="163" t="s">
        <v>49</v>
      </c>
      <c r="F26" s="164">
        <v>40793</v>
      </c>
      <c r="G26" s="73">
        <v>40796</v>
      </c>
      <c r="H26" s="166" t="s">
        <v>132</v>
      </c>
      <c r="I26" s="163" t="s">
        <v>236</v>
      </c>
      <c r="J26" s="163"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5" t="s">
        <v>256</v>
      </c>
      <c r="B27" s="163" t="s">
        <v>152</v>
      </c>
      <c r="C27" s="34" t="str">
        <f>VLOOKUP(Observaciones[Caso de Prueba],CasoPrueba[[#All],[Código CP]:[Prioridad]],7,TRUE)</f>
        <v>Alta</v>
      </c>
      <c r="D27" s="163" t="s">
        <v>29</v>
      </c>
      <c r="E27" s="163" t="s">
        <v>49</v>
      </c>
      <c r="F27" s="164">
        <v>40786</v>
      </c>
      <c r="G27" s="73">
        <v>40796</v>
      </c>
      <c r="H27" s="166" t="s">
        <v>132</v>
      </c>
      <c r="I27" s="163" t="s">
        <v>257</v>
      </c>
      <c r="J27" s="163"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5" t="s">
        <v>259</v>
      </c>
      <c r="B28" s="163" t="s">
        <v>152</v>
      </c>
      <c r="C28" s="34" t="str">
        <f>VLOOKUP(Observaciones[Caso de Prueba],CasoPrueba[[#All],[Código CP]:[Prioridad]],7,TRUE)</f>
        <v>Alta</v>
      </c>
      <c r="D28" s="163" t="s">
        <v>29</v>
      </c>
      <c r="E28" s="163" t="s">
        <v>49</v>
      </c>
      <c r="F28" s="164">
        <v>40786</v>
      </c>
      <c r="G28" s="73">
        <v>40796</v>
      </c>
      <c r="H28" s="166" t="s">
        <v>132</v>
      </c>
      <c r="I28" s="163" t="s">
        <v>260</v>
      </c>
      <c r="J28" s="163"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5" t="s">
        <v>262</v>
      </c>
      <c r="B29" s="163" t="s">
        <v>152</v>
      </c>
      <c r="C29" s="34" t="str">
        <f>VLOOKUP(Observaciones[Caso de Prueba],CasoPrueba[[#All],[Código CP]:[Prioridad]],7,TRUE)</f>
        <v>Alta</v>
      </c>
      <c r="D29" s="163" t="s">
        <v>162</v>
      </c>
      <c r="E29" s="163" t="s">
        <v>49</v>
      </c>
      <c r="F29" s="164">
        <v>40786</v>
      </c>
      <c r="G29" s="73">
        <v>40796</v>
      </c>
      <c r="H29" s="166" t="s">
        <v>132</v>
      </c>
      <c r="I29" s="163" t="s">
        <v>263</v>
      </c>
      <c r="J29" s="163"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5" t="s">
        <v>265</v>
      </c>
      <c r="B30" s="163" t="s">
        <v>152</v>
      </c>
      <c r="C30" s="34" t="str">
        <f>VLOOKUP(Observaciones[Caso de Prueba],CasoPrueba[[#All],[Código CP]:[Prioridad]],7,TRUE)</f>
        <v>Alta</v>
      </c>
      <c r="D30" s="163" t="s">
        <v>28</v>
      </c>
      <c r="E30" s="163" t="s">
        <v>49</v>
      </c>
      <c r="F30" s="164">
        <v>40793</v>
      </c>
      <c r="G30" s="73">
        <v>40796</v>
      </c>
      <c r="H30" s="166" t="s">
        <v>132</v>
      </c>
      <c r="I30" s="163" t="s">
        <v>250</v>
      </c>
      <c r="J30" s="163"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5" t="s">
        <v>267</v>
      </c>
      <c r="B31" s="163" t="s">
        <v>153</v>
      </c>
      <c r="C31" s="34" t="str">
        <f>VLOOKUP(Observaciones[Caso de Prueba],CasoPrueba[[#All],[Código CP]:[Prioridad]],7,TRUE)</f>
        <v>Alta</v>
      </c>
      <c r="D31" s="163" t="s">
        <v>30</v>
      </c>
      <c r="E31" s="163" t="s">
        <v>49</v>
      </c>
      <c r="F31" s="164">
        <v>40788</v>
      </c>
      <c r="G31" s="73">
        <v>40796</v>
      </c>
      <c r="H31" s="166" t="s">
        <v>132</v>
      </c>
      <c r="I31" s="163" t="s">
        <v>268</v>
      </c>
      <c r="J31" s="163"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5" t="s">
        <v>270</v>
      </c>
      <c r="B32" s="163" t="s">
        <v>153</v>
      </c>
      <c r="C32" s="34" t="str">
        <f>VLOOKUP(Observaciones[Caso de Prueba],CasoPrueba[[#All],[Código CP]:[Prioridad]],7,TRUE)</f>
        <v>Alta</v>
      </c>
      <c r="D32" s="163" t="s">
        <v>30</v>
      </c>
      <c r="E32" s="163" t="s">
        <v>49</v>
      </c>
      <c r="F32" s="164">
        <v>40788</v>
      </c>
      <c r="G32" s="73">
        <v>40796</v>
      </c>
      <c r="H32" s="166" t="s">
        <v>132</v>
      </c>
      <c r="I32" s="163" t="s">
        <v>253</v>
      </c>
      <c r="J32" s="163"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5" t="s">
        <v>271</v>
      </c>
      <c r="B33" s="163" t="s">
        <v>153</v>
      </c>
      <c r="C33" s="34" t="str">
        <f>VLOOKUP(Observaciones[Caso de Prueba],CasoPrueba[[#All],[Código CP]:[Prioridad]],7,TRUE)</f>
        <v>Alta</v>
      </c>
      <c r="D33" s="163" t="s">
        <v>30</v>
      </c>
      <c r="E33" s="163" t="s">
        <v>49</v>
      </c>
      <c r="F33" s="164">
        <v>40793</v>
      </c>
      <c r="G33" s="73">
        <v>40796</v>
      </c>
      <c r="H33" s="166" t="s">
        <v>132</v>
      </c>
      <c r="I33" s="163" t="s">
        <v>236</v>
      </c>
      <c r="J33" s="163"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5" t="s">
        <v>273</v>
      </c>
      <c r="B34" s="163" t="s">
        <v>153</v>
      </c>
      <c r="C34" s="34" t="str">
        <f>VLOOKUP(Observaciones[Caso de Prueba],CasoPrueba[[#All],[Código CP]:[Prioridad]],7,TRUE)</f>
        <v>Alta</v>
      </c>
      <c r="D34" s="163" t="s">
        <v>29</v>
      </c>
      <c r="E34" s="163" t="s">
        <v>49</v>
      </c>
      <c r="F34" s="164">
        <v>40788</v>
      </c>
      <c r="G34" s="73">
        <v>40796</v>
      </c>
      <c r="H34" s="166" t="s">
        <v>132</v>
      </c>
      <c r="I34" s="163" t="s">
        <v>206</v>
      </c>
      <c r="J34" s="163"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5" t="s">
        <v>275</v>
      </c>
      <c r="B35" s="163" t="s">
        <v>153</v>
      </c>
      <c r="C35" s="34" t="str">
        <f>VLOOKUP(Observaciones[Caso de Prueba],CasoPrueba[[#All],[Código CP]:[Prioridad]],7,TRUE)</f>
        <v>Alta</v>
      </c>
      <c r="D35" s="163" t="s">
        <v>30</v>
      </c>
      <c r="E35" s="163" t="s">
        <v>49</v>
      </c>
      <c r="F35" s="164">
        <v>40788</v>
      </c>
      <c r="G35" s="73">
        <v>40796</v>
      </c>
      <c r="H35" s="166" t="s">
        <v>132</v>
      </c>
      <c r="I35" s="163" t="s">
        <v>276</v>
      </c>
      <c r="J35" s="163"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5" t="s">
        <v>278</v>
      </c>
      <c r="B36" s="163" t="s">
        <v>153</v>
      </c>
      <c r="C36" s="34" t="str">
        <f>VLOOKUP(Observaciones[Caso de Prueba],CasoPrueba[[#All],[Código CP]:[Prioridad]],7,TRUE)</f>
        <v>Alta</v>
      </c>
      <c r="D36" s="163" t="s">
        <v>29</v>
      </c>
      <c r="E36" s="163" t="s">
        <v>49</v>
      </c>
      <c r="F36" s="164">
        <v>40788</v>
      </c>
      <c r="G36" s="73">
        <v>40796</v>
      </c>
      <c r="H36" s="166" t="s">
        <v>132</v>
      </c>
      <c r="I36" s="163" t="s">
        <v>279</v>
      </c>
      <c r="J36" s="163"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5" t="s">
        <v>281</v>
      </c>
      <c r="B37" s="163" t="s">
        <v>153</v>
      </c>
      <c r="C37" s="34" t="str">
        <f>VLOOKUP(Observaciones[Caso de Prueba],CasoPrueba[[#All],[Código CP]:[Prioridad]],7,TRUE)</f>
        <v>Alta</v>
      </c>
      <c r="D37" s="163" t="s">
        <v>29</v>
      </c>
      <c r="E37" s="163" t="s">
        <v>49</v>
      </c>
      <c r="F37" s="164">
        <v>40788</v>
      </c>
      <c r="G37" s="73">
        <v>40796</v>
      </c>
      <c r="H37" s="166" t="s">
        <v>132</v>
      </c>
      <c r="I37" s="163" t="s">
        <v>282</v>
      </c>
      <c r="J37" s="163"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5" t="s">
        <v>284</v>
      </c>
      <c r="B38" s="163" t="s">
        <v>153</v>
      </c>
      <c r="C38" s="34" t="str">
        <f>VLOOKUP(Observaciones[Caso de Prueba],CasoPrueba[[#All],[Código CP]:[Prioridad]],7,TRUE)</f>
        <v>Alta</v>
      </c>
      <c r="D38" s="163" t="s">
        <v>29</v>
      </c>
      <c r="E38" s="163" t="s">
        <v>49</v>
      </c>
      <c r="F38" s="164">
        <v>40788</v>
      </c>
      <c r="G38" s="73">
        <v>40796</v>
      </c>
      <c r="H38" s="166" t="s">
        <v>132</v>
      </c>
      <c r="I38" s="163" t="s">
        <v>285</v>
      </c>
      <c r="J38" s="163"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5" t="s">
        <v>287</v>
      </c>
      <c r="B39" s="163" t="s">
        <v>153</v>
      </c>
      <c r="C39" s="34" t="str">
        <f>VLOOKUP(Observaciones[Caso de Prueba],CasoPrueba[[#All],[Código CP]:[Prioridad]],7,TRUE)</f>
        <v>Alta</v>
      </c>
      <c r="D39" s="163" t="s">
        <v>29</v>
      </c>
      <c r="E39" s="163" t="s">
        <v>49</v>
      </c>
      <c r="F39" s="164">
        <v>40788</v>
      </c>
      <c r="G39" s="73">
        <v>40796</v>
      </c>
      <c r="H39" s="166" t="s">
        <v>132</v>
      </c>
      <c r="I39" s="163" t="s">
        <v>288</v>
      </c>
      <c r="J39" s="163"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5" t="s">
        <v>290</v>
      </c>
      <c r="B40" s="163" t="s">
        <v>153</v>
      </c>
      <c r="C40" s="34" t="str">
        <f>VLOOKUP(Observaciones[Caso de Prueba],CasoPrueba[[#All],[Código CP]:[Prioridad]],7,TRUE)</f>
        <v>Alta</v>
      </c>
      <c r="D40" s="163" t="s">
        <v>162</v>
      </c>
      <c r="E40" s="163" t="s">
        <v>49</v>
      </c>
      <c r="F40" s="164">
        <v>40788</v>
      </c>
      <c r="G40" s="73">
        <v>40796</v>
      </c>
      <c r="H40" s="166" t="s">
        <v>132</v>
      </c>
      <c r="I40" s="163" t="s">
        <v>291</v>
      </c>
      <c r="J40" s="163"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5" t="s">
        <v>292</v>
      </c>
      <c r="B41" s="163" t="s">
        <v>153</v>
      </c>
      <c r="C41" s="34" t="str">
        <f>VLOOKUP(Observaciones[Caso de Prueba],CasoPrueba[[#All],[Código CP]:[Prioridad]],7,TRUE)</f>
        <v>Alta</v>
      </c>
      <c r="D41" s="163" t="s">
        <v>30</v>
      </c>
      <c r="E41" s="163" t="s">
        <v>49</v>
      </c>
      <c r="F41" s="164">
        <v>40788</v>
      </c>
      <c r="G41" s="73">
        <v>40796</v>
      </c>
      <c r="H41" s="166" t="s">
        <v>132</v>
      </c>
      <c r="I41" s="163" t="s">
        <v>293</v>
      </c>
      <c r="J41" s="163"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5" t="s">
        <v>295</v>
      </c>
      <c r="B42" s="163" t="s">
        <v>153</v>
      </c>
      <c r="C42" s="34" t="str">
        <f>VLOOKUP(Observaciones[Caso de Prueba],CasoPrueba[[#All],[Código CP]:[Prioridad]],7,TRUE)</f>
        <v>Alta</v>
      </c>
      <c r="D42" s="163" t="s">
        <v>29</v>
      </c>
      <c r="E42" s="163" t="s">
        <v>49</v>
      </c>
      <c r="F42" s="164">
        <v>40788</v>
      </c>
      <c r="G42" s="73">
        <v>40796</v>
      </c>
      <c r="H42" s="166" t="s">
        <v>132</v>
      </c>
      <c r="I42" s="163" t="s">
        <v>296</v>
      </c>
      <c r="J42" s="163"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5" t="s">
        <v>298</v>
      </c>
      <c r="B43" s="163" t="s">
        <v>154</v>
      </c>
      <c r="C43" s="34" t="str">
        <f>VLOOKUP(Observaciones[Caso de Prueba],CasoPrueba[[#All],[Código CP]:[Prioridad]],7,TRUE)</f>
        <v>Alta</v>
      </c>
      <c r="D43" s="163" t="s">
        <v>30</v>
      </c>
      <c r="E43" s="163" t="s">
        <v>49</v>
      </c>
      <c r="F43" s="164">
        <v>40788</v>
      </c>
      <c r="G43" s="73">
        <v>40796</v>
      </c>
      <c r="H43" s="166" t="s">
        <v>132</v>
      </c>
      <c r="I43" s="163" t="s">
        <v>253</v>
      </c>
      <c r="J43" s="163"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5" t="s">
        <v>299</v>
      </c>
      <c r="B44" s="163" t="s">
        <v>154</v>
      </c>
      <c r="C44" s="34" t="str">
        <f>VLOOKUP(Observaciones[Caso de Prueba],CasoPrueba[[#All],[Código CP]:[Prioridad]],7,TRUE)</f>
        <v>Alta</v>
      </c>
      <c r="D44" s="163" t="s">
        <v>30</v>
      </c>
      <c r="E44" s="163" t="s">
        <v>49</v>
      </c>
      <c r="F44" s="164">
        <v>40793</v>
      </c>
      <c r="G44" s="73">
        <v>40796</v>
      </c>
      <c r="H44" s="166" t="s">
        <v>132</v>
      </c>
      <c r="I44" s="163" t="s">
        <v>236</v>
      </c>
      <c r="J44" s="163"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5" t="s">
        <v>300</v>
      </c>
      <c r="B45" s="163" t="s">
        <v>154</v>
      </c>
      <c r="C45" s="34" t="str">
        <f>VLOOKUP(Observaciones[Caso de Prueba],CasoPrueba[[#All],[Código CP]:[Prioridad]],7,TRUE)</f>
        <v>Alta</v>
      </c>
      <c r="D45" s="163" t="s">
        <v>29</v>
      </c>
      <c r="E45" s="163" t="s">
        <v>49</v>
      </c>
      <c r="F45" s="164">
        <v>40788</v>
      </c>
      <c r="G45" s="73">
        <v>40796</v>
      </c>
      <c r="H45" s="166" t="s">
        <v>132</v>
      </c>
      <c r="I45" s="163" t="s">
        <v>301</v>
      </c>
      <c r="J45" s="163"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5" t="s">
        <v>302</v>
      </c>
      <c r="B46" s="163" t="s">
        <v>154</v>
      </c>
      <c r="C46" s="34" t="str">
        <f>VLOOKUP(Observaciones[Caso de Prueba],CasoPrueba[[#All],[Código CP]:[Prioridad]],7,TRUE)</f>
        <v>Alta</v>
      </c>
      <c r="D46" s="163" t="s">
        <v>29</v>
      </c>
      <c r="E46" s="163" t="s">
        <v>49</v>
      </c>
      <c r="F46" s="164">
        <v>40788</v>
      </c>
      <c r="G46" s="73">
        <v>40796</v>
      </c>
      <c r="H46" s="166" t="s">
        <v>132</v>
      </c>
      <c r="I46" s="163" t="s">
        <v>303</v>
      </c>
      <c r="J46" s="163"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5" t="s">
        <v>304</v>
      </c>
      <c r="B47" s="163" t="s">
        <v>154</v>
      </c>
      <c r="C47" s="34" t="str">
        <f>VLOOKUP(Observaciones[Caso de Prueba],CasoPrueba[[#All],[Código CP]:[Prioridad]],7,TRUE)</f>
        <v>Alta</v>
      </c>
      <c r="D47" s="163" t="s">
        <v>28</v>
      </c>
      <c r="E47" s="163" t="s">
        <v>49</v>
      </c>
      <c r="F47" s="164">
        <v>40793</v>
      </c>
      <c r="G47" s="73">
        <v>40796</v>
      </c>
      <c r="H47" s="166" t="s">
        <v>132</v>
      </c>
      <c r="I47" s="163" t="s">
        <v>250</v>
      </c>
      <c r="J47" s="163"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5" t="s">
        <v>306</v>
      </c>
      <c r="B48" s="163" t="s">
        <v>155</v>
      </c>
      <c r="C48" s="34" t="str">
        <f>VLOOKUP(Observaciones[Caso de Prueba],CasoPrueba[[#All],[Código CP]:[Prioridad]],7,TRUE)</f>
        <v>Alta</v>
      </c>
      <c r="D48" s="163" t="s">
        <v>30</v>
      </c>
      <c r="E48" s="163" t="s">
        <v>49</v>
      </c>
      <c r="F48" s="164">
        <v>40788</v>
      </c>
      <c r="G48" s="73">
        <v>40796</v>
      </c>
      <c r="H48" s="166" t="s">
        <v>132</v>
      </c>
      <c r="I48" s="163" t="s">
        <v>253</v>
      </c>
      <c r="J48" s="163"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5" t="s">
        <v>307</v>
      </c>
      <c r="B49" s="163" t="s">
        <v>155</v>
      </c>
      <c r="C49" s="34" t="str">
        <f>VLOOKUP(Observaciones[Caso de Prueba],CasoPrueba[[#All],[Código CP]:[Prioridad]],7,TRUE)</f>
        <v>Alta</v>
      </c>
      <c r="D49" s="163" t="s">
        <v>30</v>
      </c>
      <c r="E49" s="163" t="s">
        <v>49</v>
      </c>
      <c r="F49" s="164">
        <v>40793</v>
      </c>
      <c r="G49" s="73">
        <v>40796</v>
      </c>
      <c r="H49" s="166" t="s">
        <v>132</v>
      </c>
      <c r="I49" s="163" t="s">
        <v>236</v>
      </c>
      <c r="J49" s="163"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5" t="s">
        <v>308</v>
      </c>
      <c r="B50" s="163" t="s">
        <v>155</v>
      </c>
      <c r="C50" s="34" t="str">
        <f>VLOOKUP(Observaciones[Caso de Prueba],CasoPrueba[[#All],[Código CP]:[Prioridad]],7,TRUE)</f>
        <v>Alta</v>
      </c>
      <c r="D50" s="163" t="s">
        <v>29</v>
      </c>
      <c r="E50" s="163" t="s">
        <v>49</v>
      </c>
      <c r="F50" s="164">
        <v>40788</v>
      </c>
      <c r="G50" s="73">
        <v>40796</v>
      </c>
      <c r="H50" s="166" t="s">
        <v>132</v>
      </c>
      <c r="I50" s="163" t="s">
        <v>301</v>
      </c>
      <c r="J50" s="163"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5" t="s">
        <v>309</v>
      </c>
      <c r="B51" s="163" t="s">
        <v>156</v>
      </c>
      <c r="C51" s="34" t="str">
        <f>VLOOKUP(Observaciones[Caso de Prueba],CasoPrueba[[#All],[Código CP]:[Prioridad]],7,TRUE)</f>
        <v>Alta</v>
      </c>
      <c r="D51" s="163" t="s">
        <v>30</v>
      </c>
      <c r="E51" s="163" t="s">
        <v>49</v>
      </c>
      <c r="F51" s="164">
        <v>40789</v>
      </c>
      <c r="G51" s="73">
        <v>40796</v>
      </c>
      <c r="H51" s="166" t="s">
        <v>132</v>
      </c>
      <c r="I51" s="163" t="s">
        <v>253</v>
      </c>
      <c r="J51" s="163"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5" t="s">
        <v>310</v>
      </c>
      <c r="B52" s="163" t="s">
        <v>156</v>
      </c>
      <c r="C52" s="34" t="str">
        <f>VLOOKUP(Observaciones[Caso de Prueba],CasoPrueba[[#All],[Código CP]:[Prioridad]],7,TRUE)</f>
        <v>Alta</v>
      </c>
      <c r="D52" s="163" t="s">
        <v>30</v>
      </c>
      <c r="E52" s="163" t="s">
        <v>49</v>
      </c>
      <c r="F52" s="164">
        <v>40793</v>
      </c>
      <c r="G52" s="73">
        <v>40796</v>
      </c>
      <c r="H52" s="166" t="s">
        <v>132</v>
      </c>
      <c r="I52" s="163" t="s">
        <v>236</v>
      </c>
      <c r="J52" s="163"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5" t="s">
        <v>311</v>
      </c>
      <c r="B53" s="163" t="s">
        <v>156</v>
      </c>
      <c r="C53" s="34" t="str">
        <f>VLOOKUP(Observaciones[Caso de Prueba],CasoPrueba[[#All],[Código CP]:[Prioridad]],7,TRUE)</f>
        <v>Alta</v>
      </c>
      <c r="D53" s="163" t="s">
        <v>30</v>
      </c>
      <c r="E53" s="163" t="s">
        <v>49</v>
      </c>
      <c r="F53" s="164">
        <v>40789</v>
      </c>
      <c r="G53" s="73">
        <v>40796</v>
      </c>
      <c r="H53" s="166" t="s">
        <v>132</v>
      </c>
      <c r="I53" s="163" t="s">
        <v>312</v>
      </c>
      <c r="J53" s="163"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5" t="s">
        <v>314</v>
      </c>
      <c r="B54" s="163" t="s">
        <v>156</v>
      </c>
      <c r="C54" s="34" t="str">
        <f>VLOOKUP(Observaciones[Caso de Prueba],CasoPrueba[[#All],[Código CP]:[Prioridad]],7,TRUE)</f>
        <v>Alta</v>
      </c>
      <c r="D54" s="163" t="s">
        <v>29</v>
      </c>
      <c r="E54" s="163" t="s">
        <v>49</v>
      </c>
      <c r="F54" s="164">
        <v>40789</v>
      </c>
      <c r="G54" s="73">
        <v>40796</v>
      </c>
      <c r="H54" s="166" t="s">
        <v>132</v>
      </c>
      <c r="I54" s="163" t="s">
        <v>315</v>
      </c>
      <c r="J54" s="163"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5" t="s">
        <v>316</v>
      </c>
      <c r="B55" s="163" t="s">
        <v>156</v>
      </c>
      <c r="C55" s="34" t="str">
        <f>VLOOKUP(Observaciones[Caso de Prueba],CasoPrueba[[#All],[Código CP]:[Prioridad]],7,TRUE)</f>
        <v>Alta</v>
      </c>
      <c r="D55" s="163" t="s">
        <v>30</v>
      </c>
      <c r="E55" s="163" t="s">
        <v>49</v>
      </c>
      <c r="F55" s="164">
        <v>40793</v>
      </c>
      <c r="G55" s="73">
        <v>40796</v>
      </c>
      <c r="H55" s="166" t="s">
        <v>132</v>
      </c>
      <c r="I55" s="163" t="s">
        <v>317</v>
      </c>
      <c r="J55" s="163"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5" t="s">
        <v>319</v>
      </c>
      <c r="B56" s="163" t="s">
        <v>156</v>
      </c>
      <c r="C56" s="34" t="str">
        <f>VLOOKUP(Observaciones[Caso de Prueba],CasoPrueba[[#All],[Código CP]:[Prioridad]],7,TRUE)</f>
        <v>Alta</v>
      </c>
      <c r="D56" s="163" t="s">
        <v>30</v>
      </c>
      <c r="E56" s="163" t="s">
        <v>49</v>
      </c>
      <c r="F56" s="164">
        <v>40789</v>
      </c>
      <c r="G56" s="73">
        <v>40796</v>
      </c>
      <c r="H56" s="166" t="s">
        <v>132</v>
      </c>
      <c r="I56" s="163" t="s">
        <v>320</v>
      </c>
      <c r="J56" s="163"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5" t="s">
        <v>322</v>
      </c>
      <c r="B57" s="163" t="s">
        <v>156</v>
      </c>
      <c r="C57" s="34" t="str">
        <f>VLOOKUP(Observaciones[Caso de Prueba],CasoPrueba[[#All],[Código CP]:[Prioridad]],7,TRUE)</f>
        <v>Alta</v>
      </c>
      <c r="D57" s="163" t="s">
        <v>29</v>
      </c>
      <c r="E57" s="163" t="s">
        <v>49</v>
      </c>
      <c r="F57" s="164">
        <v>40789</v>
      </c>
      <c r="G57" s="73">
        <v>40796</v>
      </c>
      <c r="H57" s="166" t="s">
        <v>132</v>
      </c>
      <c r="I57" s="163" t="s">
        <v>323</v>
      </c>
      <c r="J57" s="163"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5" t="s">
        <v>325</v>
      </c>
      <c r="B58" s="163" t="s">
        <v>157</v>
      </c>
      <c r="C58" s="34" t="str">
        <f>VLOOKUP(Observaciones[Caso de Prueba],CasoPrueba[[#All],[Código CP]:[Prioridad]],7,TRUE)</f>
        <v>Alta</v>
      </c>
      <c r="D58" s="163" t="s">
        <v>30</v>
      </c>
      <c r="E58" s="163" t="s">
        <v>49</v>
      </c>
      <c r="F58" s="164">
        <v>40789</v>
      </c>
      <c r="G58" s="73">
        <v>40796</v>
      </c>
      <c r="H58" s="166" t="s">
        <v>132</v>
      </c>
      <c r="I58" s="163" t="s">
        <v>253</v>
      </c>
      <c r="J58" s="163"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5" t="s">
        <v>326</v>
      </c>
      <c r="B59" s="163" t="s">
        <v>157</v>
      </c>
      <c r="C59" s="34" t="str">
        <f>VLOOKUP(Observaciones[Caso de Prueba],CasoPrueba[[#All],[Código CP]:[Prioridad]],7,TRUE)</f>
        <v>Alta</v>
      </c>
      <c r="D59" s="163" t="s">
        <v>30</v>
      </c>
      <c r="E59" s="163" t="s">
        <v>49</v>
      </c>
      <c r="F59" s="164">
        <v>40793</v>
      </c>
      <c r="G59" s="73">
        <v>40796</v>
      </c>
      <c r="H59" s="166" t="s">
        <v>132</v>
      </c>
      <c r="I59" s="163" t="s">
        <v>236</v>
      </c>
      <c r="J59" s="163"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5" t="s">
        <v>327</v>
      </c>
      <c r="B60" s="163" t="s">
        <v>157</v>
      </c>
      <c r="C60" s="34" t="str">
        <f>VLOOKUP(Observaciones[Caso de Prueba],CasoPrueba[[#All],[Código CP]:[Prioridad]],7,TRUE)</f>
        <v>Alta</v>
      </c>
      <c r="D60" s="163" t="s">
        <v>162</v>
      </c>
      <c r="E60" s="163" t="s">
        <v>49</v>
      </c>
      <c r="F60" s="164">
        <v>40789</v>
      </c>
      <c r="G60" s="73">
        <v>40796</v>
      </c>
      <c r="H60" s="166" t="s">
        <v>132</v>
      </c>
      <c r="I60" s="163" t="s">
        <v>328</v>
      </c>
      <c r="J60" s="163"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5" t="s">
        <v>329</v>
      </c>
      <c r="B61" s="163" t="s">
        <v>157</v>
      </c>
      <c r="C61" s="34" t="str">
        <f>VLOOKUP(Observaciones[Caso de Prueba],CasoPrueba[[#All],[Código CP]:[Prioridad]],7,TRUE)</f>
        <v>Alta</v>
      </c>
      <c r="D61" s="163" t="s">
        <v>29</v>
      </c>
      <c r="E61" s="163" t="s">
        <v>49</v>
      </c>
      <c r="F61" s="164">
        <v>40789</v>
      </c>
      <c r="G61" s="73">
        <v>40796</v>
      </c>
      <c r="H61" s="166" t="s">
        <v>132</v>
      </c>
      <c r="I61" s="163" t="s">
        <v>330</v>
      </c>
      <c r="J61" s="163"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5" t="s">
        <v>332</v>
      </c>
      <c r="B62" s="163" t="s">
        <v>157</v>
      </c>
      <c r="C62" s="34" t="str">
        <f>VLOOKUP(Observaciones[Caso de Prueba],CasoPrueba[[#All],[Código CP]:[Prioridad]],7,TRUE)</f>
        <v>Alta</v>
      </c>
      <c r="D62" s="163" t="s">
        <v>29</v>
      </c>
      <c r="E62" s="163" t="s">
        <v>49</v>
      </c>
      <c r="F62" s="164">
        <v>40789</v>
      </c>
      <c r="G62" s="73">
        <v>40796</v>
      </c>
      <c r="H62" s="166" t="s">
        <v>132</v>
      </c>
      <c r="I62" s="163" t="s">
        <v>333</v>
      </c>
      <c r="J62" s="163"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5" t="s">
        <v>334</v>
      </c>
      <c r="B63" s="163" t="s">
        <v>157</v>
      </c>
      <c r="C63" s="34" t="str">
        <f>VLOOKUP(Observaciones[Caso de Prueba],CasoPrueba[[#All],[Código CP]:[Prioridad]],7,TRUE)</f>
        <v>Alta</v>
      </c>
      <c r="D63" s="163" t="s">
        <v>28</v>
      </c>
      <c r="E63" s="163" t="s">
        <v>49</v>
      </c>
      <c r="F63" s="164">
        <v>40793</v>
      </c>
      <c r="G63" s="73">
        <v>40796</v>
      </c>
      <c r="H63" s="166" t="s">
        <v>132</v>
      </c>
      <c r="I63" s="163" t="s">
        <v>250</v>
      </c>
      <c r="J63" s="163"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5" t="s">
        <v>336</v>
      </c>
      <c r="B64" s="163" t="s">
        <v>158</v>
      </c>
      <c r="C64" s="34" t="str">
        <f>VLOOKUP(Observaciones[Caso de Prueba],CasoPrueba[[#All],[Código CP]:[Prioridad]],7,TRUE)</f>
        <v>Alta</v>
      </c>
      <c r="D64" s="163" t="s">
        <v>30</v>
      </c>
      <c r="E64" s="163" t="s">
        <v>49</v>
      </c>
      <c r="F64" s="164">
        <v>40791</v>
      </c>
      <c r="G64" s="73">
        <v>40796</v>
      </c>
      <c r="H64" s="166" t="s">
        <v>132</v>
      </c>
      <c r="I64" s="163" t="s">
        <v>253</v>
      </c>
      <c r="J64" s="163"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5" t="s">
        <v>337</v>
      </c>
      <c r="B65" s="163" t="s">
        <v>158</v>
      </c>
      <c r="C65" s="34" t="str">
        <f>VLOOKUP(Observaciones[Caso de Prueba],CasoPrueba[[#All],[Código CP]:[Prioridad]],7,TRUE)</f>
        <v>Alta</v>
      </c>
      <c r="D65" s="163" t="s">
        <v>30</v>
      </c>
      <c r="E65" s="163" t="s">
        <v>49</v>
      </c>
      <c r="F65" s="164">
        <v>40793</v>
      </c>
      <c r="G65" s="73">
        <v>40796</v>
      </c>
      <c r="H65" s="166" t="s">
        <v>132</v>
      </c>
      <c r="I65" s="163" t="s">
        <v>236</v>
      </c>
      <c r="J65" s="163"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5" t="s">
        <v>338</v>
      </c>
      <c r="B66" s="163" t="s">
        <v>158</v>
      </c>
      <c r="C66" s="34" t="str">
        <f>VLOOKUP(Observaciones[Caso de Prueba],CasoPrueba[[#All],[Código CP]:[Prioridad]],7,TRUE)</f>
        <v>Alta</v>
      </c>
      <c r="D66" s="163" t="s">
        <v>30</v>
      </c>
      <c r="E66" s="163" t="s">
        <v>49</v>
      </c>
      <c r="F66" s="164">
        <v>40793</v>
      </c>
      <c r="G66" s="73">
        <v>40796</v>
      </c>
      <c r="H66" s="166" t="s">
        <v>132</v>
      </c>
      <c r="I66" s="163" t="s">
        <v>317</v>
      </c>
      <c r="J66" s="163"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5" t="s">
        <v>339</v>
      </c>
      <c r="B67" s="163" t="s">
        <v>158</v>
      </c>
      <c r="C67" s="34" t="str">
        <f>VLOOKUP(Observaciones[Caso de Prueba],CasoPrueba[[#All],[Código CP]:[Prioridad]],7,TRUE)</f>
        <v>Alta</v>
      </c>
      <c r="D67" s="163" t="s">
        <v>29</v>
      </c>
      <c r="E67" s="163" t="s">
        <v>49</v>
      </c>
      <c r="F67" s="164">
        <v>40791</v>
      </c>
      <c r="G67" s="73">
        <v>40796</v>
      </c>
      <c r="H67" s="166" t="s">
        <v>132</v>
      </c>
      <c r="I67" s="163" t="s">
        <v>340</v>
      </c>
      <c r="J67" s="163"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5" t="s">
        <v>341</v>
      </c>
      <c r="B68" s="163" t="s">
        <v>158</v>
      </c>
      <c r="C68" s="34" t="str">
        <f>VLOOKUP(Observaciones[Caso de Prueba],CasoPrueba[[#All],[Código CP]:[Prioridad]],7,TRUE)</f>
        <v>Alta</v>
      </c>
      <c r="D68" s="163" t="s">
        <v>162</v>
      </c>
      <c r="E68" s="163" t="s">
        <v>49</v>
      </c>
      <c r="F68" s="164">
        <v>40791</v>
      </c>
      <c r="G68" s="73">
        <v>40796</v>
      </c>
      <c r="H68" s="166" t="s">
        <v>132</v>
      </c>
      <c r="I68" s="163" t="s">
        <v>342</v>
      </c>
      <c r="J68" s="163"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5" t="s">
        <v>343</v>
      </c>
      <c r="B69" s="163" t="s">
        <v>158</v>
      </c>
      <c r="C69" s="34" t="str">
        <f>VLOOKUP(Observaciones[Caso de Prueba],CasoPrueba[[#All],[Código CP]:[Prioridad]],7,TRUE)</f>
        <v>Alta</v>
      </c>
      <c r="D69" s="163" t="s">
        <v>29</v>
      </c>
      <c r="E69" s="163" t="s">
        <v>49</v>
      </c>
      <c r="F69" s="164">
        <v>40791</v>
      </c>
      <c r="G69" s="73">
        <v>40796</v>
      </c>
      <c r="H69" s="166" t="s">
        <v>132</v>
      </c>
      <c r="I69" s="163" t="s">
        <v>323</v>
      </c>
      <c r="J69" s="163"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5" t="s">
        <v>344</v>
      </c>
      <c r="B70" s="163" t="s">
        <v>171</v>
      </c>
      <c r="C70" s="34" t="str">
        <f>VLOOKUP(Observaciones[Caso de Prueba],CasoPrueba[[#All],[Código CP]:[Prioridad]],7,TRUE)</f>
        <v>Alta</v>
      </c>
      <c r="D70" s="163" t="s">
        <v>30</v>
      </c>
      <c r="E70" s="163" t="s">
        <v>49</v>
      </c>
      <c r="F70" s="164">
        <v>40791</v>
      </c>
      <c r="G70" s="73">
        <v>40796</v>
      </c>
      <c r="H70" s="166" t="s">
        <v>132</v>
      </c>
      <c r="I70" s="163" t="s">
        <v>253</v>
      </c>
      <c r="J70" s="163"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5" t="s">
        <v>345</v>
      </c>
      <c r="B71" s="163" t="s">
        <v>171</v>
      </c>
      <c r="C71" s="34" t="str">
        <f>VLOOKUP(Observaciones[Caso de Prueba],CasoPrueba[[#All],[Código CP]:[Prioridad]],7,TRUE)</f>
        <v>Alta</v>
      </c>
      <c r="D71" s="163" t="s">
        <v>30</v>
      </c>
      <c r="E71" s="163" t="s">
        <v>49</v>
      </c>
      <c r="F71" s="164">
        <v>40793</v>
      </c>
      <c r="G71" s="73">
        <v>40796</v>
      </c>
      <c r="H71" s="166" t="s">
        <v>132</v>
      </c>
      <c r="I71" s="163" t="s">
        <v>236</v>
      </c>
      <c r="J71" s="163"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5" t="s">
        <v>346</v>
      </c>
      <c r="B72" s="163" t="s">
        <v>171</v>
      </c>
      <c r="C72" s="34" t="str">
        <f>VLOOKUP(Observaciones[Caso de Prueba],CasoPrueba[[#All],[Código CP]:[Prioridad]],7,TRUE)</f>
        <v>Alta</v>
      </c>
      <c r="D72" s="163" t="s">
        <v>29</v>
      </c>
      <c r="E72" s="163" t="s">
        <v>49</v>
      </c>
      <c r="F72" s="164">
        <v>40791</v>
      </c>
      <c r="G72" s="73">
        <v>40796</v>
      </c>
      <c r="H72" s="166" t="s">
        <v>132</v>
      </c>
      <c r="I72" s="163" t="s">
        <v>323</v>
      </c>
      <c r="J72" s="163"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5" t="s">
        <v>347</v>
      </c>
      <c r="B73" s="163" t="s">
        <v>171</v>
      </c>
      <c r="C73" s="34" t="str">
        <f>VLOOKUP(Observaciones[Caso de Prueba],CasoPrueba[[#All],[Código CP]:[Prioridad]],7,TRUE)</f>
        <v>Alta</v>
      </c>
      <c r="D73" s="163" t="s">
        <v>28</v>
      </c>
      <c r="E73" s="163" t="s">
        <v>49</v>
      </c>
      <c r="F73" s="164">
        <v>40793</v>
      </c>
      <c r="G73" s="73">
        <v>40796</v>
      </c>
      <c r="H73" s="166" t="s">
        <v>132</v>
      </c>
      <c r="I73" s="163" t="s">
        <v>250</v>
      </c>
      <c r="J73" s="163"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5" t="s">
        <v>348</v>
      </c>
      <c r="B74" s="163" t="s">
        <v>172</v>
      </c>
      <c r="C74" s="34" t="str">
        <f>VLOOKUP(Observaciones[Caso de Prueba],CasoPrueba[[#All],[Código CP]:[Prioridad]],7,TRUE)</f>
        <v>Alta</v>
      </c>
      <c r="D74" s="163" t="s">
        <v>162</v>
      </c>
      <c r="E74" s="163" t="s">
        <v>49</v>
      </c>
      <c r="F74" s="164">
        <v>40793</v>
      </c>
      <c r="G74" s="73">
        <v>40796</v>
      </c>
      <c r="H74" s="166" t="s">
        <v>132</v>
      </c>
      <c r="I74" s="163" t="s">
        <v>349</v>
      </c>
      <c r="J74" s="163"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5" t="s">
        <v>350</v>
      </c>
      <c r="B75" s="163" t="s">
        <v>172</v>
      </c>
      <c r="C75" s="34" t="str">
        <f>VLOOKUP(Observaciones[Caso de Prueba],CasoPrueba[[#All],[Código CP]:[Prioridad]],7,TRUE)</f>
        <v>Alta</v>
      </c>
      <c r="D75" s="163" t="s">
        <v>162</v>
      </c>
      <c r="E75" s="163" t="s">
        <v>49</v>
      </c>
      <c r="F75" s="164">
        <v>40793</v>
      </c>
      <c r="G75" s="73">
        <v>40796</v>
      </c>
      <c r="H75" s="166" t="s">
        <v>132</v>
      </c>
      <c r="I75" s="163" t="s">
        <v>351</v>
      </c>
      <c r="J75" s="163"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5" t="s">
        <v>353</v>
      </c>
      <c r="B76" s="163" t="s">
        <v>172</v>
      </c>
      <c r="C76" s="34" t="str">
        <f>VLOOKUP(Observaciones[Caso de Prueba],CasoPrueba[[#All],[Código CP]:[Prioridad]],7,TRUE)</f>
        <v>Alta</v>
      </c>
      <c r="D76" s="163" t="s">
        <v>30</v>
      </c>
      <c r="E76" s="163" t="s">
        <v>49</v>
      </c>
      <c r="F76" s="164">
        <v>40793</v>
      </c>
      <c r="G76" s="73">
        <v>40796</v>
      </c>
      <c r="H76" s="166" t="s">
        <v>132</v>
      </c>
      <c r="I76" s="163" t="s">
        <v>354</v>
      </c>
      <c r="J76" s="163"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5" t="s">
        <v>356</v>
      </c>
      <c r="B77" s="163" t="s">
        <v>172</v>
      </c>
      <c r="C77" s="34" t="str">
        <f>VLOOKUP(Observaciones[Caso de Prueba],CasoPrueba[[#All],[Código CP]:[Prioridad]],7,TRUE)</f>
        <v>Alta</v>
      </c>
      <c r="D77" s="163" t="s">
        <v>28</v>
      </c>
      <c r="E77" s="163" t="s">
        <v>49</v>
      </c>
      <c r="F77" s="164">
        <v>40793</v>
      </c>
      <c r="G77" s="73">
        <v>40796</v>
      </c>
      <c r="H77" s="166" t="s">
        <v>132</v>
      </c>
      <c r="I77" s="163" t="s">
        <v>357</v>
      </c>
      <c r="J77" s="163"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5" t="s">
        <v>359</v>
      </c>
      <c r="B78" s="163" t="s">
        <v>172</v>
      </c>
      <c r="C78" s="34" t="str">
        <f>VLOOKUP(Observaciones[Caso de Prueba],CasoPrueba[[#All],[Código CP]:[Prioridad]],7,TRUE)</f>
        <v>Alta</v>
      </c>
      <c r="D78" s="163" t="s">
        <v>28</v>
      </c>
      <c r="E78" s="163" t="s">
        <v>49</v>
      </c>
      <c r="F78" s="164">
        <v>40793</v>
      </c>
      <c r="G78" s="73">
        <v>40796</v>
      </c>
      <c r="H78" s="166" t="s">
        <v>132</v>
      </c>
      <c r="I78" s="163" t="s">
        <v>250</v>
      </c>
      <c r="J78" s="163"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5" t="s">
        <v>361</v>
      </c>
      <c r="B79" s="163" t="s">
        <v>172</v>
      </c>
      <c r="C79" s="34" t="str">
        <f>VLOOKUP(Observaciones[Caso de Prueba],CasoPrueba[[#All],[Código CP]:[Prioridad]],7,TRUE)</f>
        <v>Alta</v>
      </c>
      <c r="D79" s="163" t="s">
        <v>29</v>
      </c>
      <c r="E79" s="163" t="s">
        <v>49</v>
      </c>
      <c r="F79" s="164">
        <v>40793</v>
      </c>
      <c r="G79" s="73">
        <v>40796</v>
      </c>
      <c r="H79" s="166" t="s">
        <v>132</v>
      </c>
      <c r="I79" s="163" t="s">
        <v>301</v>
      </c>
      <c r="J79" s="163"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5" t="s">
        <v>363</v>
      </c>
      <c r="B80" s="163" t="s">
        <v>172</v>
      </c>
      <c r="C80" s="34" t="str">
        <f>VLOOKUP(Observaciones[Caso de Prueba],CasoPrueba[[#All],[Código CP]:[Prioridad]],7,TRUE)</f>
        <v>Alta</v>
      </c>
      <c r="D80" s="163" t="s">
        <v>29</v>
      </c>
      <c r="E80" s="163" t="s">
        <v>49</v>
      </c>
      <c r="F80" s="164">
        <v>40793</v>
      </c>
      <c r="G80" s="73">
        <v>40796</v>
      </c>
      <c r="H80" s="166" t="s">
        <v>132</v>
      </c>
      <c r="I80" s="163" t="s">
        <v>364</v>
      </c>
      <c r="J80" s="163"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5" t="s">
        <v>366</v>
      </c>
      <c r="B81" s="163" t="s">
        <v>172</v>
      </c>
      <c r="C81" s="34" t="str">
        <f>VLOOKUP(Observaciones[Caso de Prueba],CasoPrueba[[#All],[Código CP]:[Prioridad]],7,TRUE)</f>
        <v>Alta</v>
      </c>
      <c r="D81" s="163" t="s">
        <v>30</v>
      </c>
      <c r="E81" s="163" t="s">
        <v>49</v>
      </c>
      <c r="F81" s="164">
        <v>40793</v>
      </c>
      <c r="G81" s="73">
        <v>40796</v>
      </c>
      <c r="H81" s="166" t="s">
        <v>132</v>
      </c>
      <c r="I81" s="163" t="s">
        <v>460</v>
      </c>
      <c r="J81" s="163"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5" t="s">
        <v>368</v>
      </c>
      <c r="B82" s="163" t="s">
        <v>172</v>
      </c>
      <c r="C82" s="34" t="str">
        <f>VLOOKUP(Observaciones[Caso de Prueba],CasoPrueba[[#All],[Código CP]:[Prioridad]],7,TRUE)</f>
        <v>Alta</v>
      </c>
      <c r="D82" s="163" t="s">
        <v>29</v>
      </c>
      <c r="E82" s="163" t="s">
        <v>49</v>
      </c>
      <c r="F82" s="164">
        <v>40793</v>
      </c>
      <c r="G82" s="73">
        <v>40796</v>
      </c>
      <c r="H82" s="166" t="s">
        <v>132</v>
      </c>
      <c r="I82" s="163" t="s">
        <v>369</v>
      </c>
      <c r="J82" s="163"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5" t="s">
        <v>371</v>
      </c>
      <c r="B83" s="163" t="s">
        <v>172</v>
      </c>
      <c r="C83" s="34" t="str">
        <f>VLOOKUP(Observaciones[Caso de Prueba],CasoPrueba[[#All],[Código CP]:[Prioridad]],7,TRUE)</f>
        <v>Alta</v>
      </c>
      <c r="D83" s="163" t="s">
        <v>29</v>
      </c>
      <c r="E83" s="163" t="s">
        <v>49</v>
      </c>
      <c r="F83" s="164">
        <v>40793</v>
      </c>
      <c r="G83" s="73">
        <v>40796</v>
      </c>
      <c r="H83" s="166" t="s">
        <v>132</v>
      </c>
      <c r="I83" s="163" t="s">
        <v>372</v>
      </c>
      <c r="J83" s="163"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5" t="s">
        <v>373</v>
      </c>
      <c r="B84" s="163" t="s">
        <v>172</v>
      </c>
      <c r="C84" s="34" t="str">
        <f>VLOOKUP(Observaciones[Caso de Prueba],CasoPrueba[[#All],[Código CP]:[Prioridad]],7,TRUE)</f>
        <v>Alta</v>
      </c>
      <c r="D84" s="163" t="s">
        <v>29</v>
      </c>
      <c r="E84" s="163" t="s">
        <v>49</v>
      </c>
      <c r="F84" s="164">
        <v>40793</v>
      </c>
      <c r="G84" s="73">
        <v>40796</v>
      </c>
      <c r="H84" s="166" t="s">
        <v>132</v>
      </c>
      <c r="I84" s="163" t="s">
        <v>374</v>
      </c>
      <c r="J84" s="163"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5" t="s">
        <v>376</v>
      </c>
      <c r="B85" s="163" t="s">
        <v>172</v>
      </c>
      <c r="C85" s="34" t="str">
        <f>VLOOKUP(Observaciones[Caso de Prueba],CasoPrueba[[#All],[Código CP]:[Prioridad]],7,TRUE)</f>
        <v>Alta</v>
      </c>
      <c r="D85" s="163" t="s">
        <v>29</v>
      </c>
      <c r="E85" s="163" t="s">
        <v>49</v>
      </c>
      <c r="F85" s="164">
        <v>40793</v>
      </c>
      <c r="G85" s="73">
        <v>40796</v>
      </c>
      <c r="H85" s="166" t="s">
        <v>132</v>
      </c>
      <c r="I85" s="163" t="s">
        <v>377</v>
      </c>
      <c r="J85" s="163"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5" t="s">
        <v>379</v>
      </c>
      <c r="B86" s="163" t="s">
        <v>172</v>
      </c>
      <c r="C86" s="34" t="str">
        <f>VLOOKUP(Observaciones[Caso de Prueba],CasoPrueba[[#All],[Código CP]:[Prioridad]],7,TRUE)</f>
        <v>Alta</v>
      </c>
      <c r="D86" s="163" t="s">
        <v>162</v>
      </c>
      <c r="E86" s="163" t="s">
        <v>49</v>
      </c>
      <c r="F86" s="164">
        <v>40793</v>
      </c>
      <c r="G86" s="73">
        <v>40796</v>
      </c>
      <c r="H86" s="166" t="s">
        <v>132</v>
      </c>
      <c r="I86" s="163" t="s">
        <v>380</v>
      </c>
      <c r="J86" s="163"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5" t="s">
        <v>381</v>
      </c>
      <c r="B87" s="163" t="s">
        <v>172</v>
      </c>
      <c r="C87" s="34" t="str">
        <f>VLOOKUP(Observaciones[Caso de Prueba],CasoPrueba[[#All],[Código CP]:[Prioridad]],7,TRUE)</f>
        <v>Alta</v>
      </c>
      <c r="D87" s="163" t="s">
        <v>29</v>
      </c>
      <c r="E87" s="163" t="s">
        <v>49</v>
      </c>
      <c r="F87" s="164">
        <v>40793</v>
      </c>
      <c r="G87" s="73">
        <v>40796</v>
      </c>
      <c r="H87" s="166" t="s">
        <v>132</v>
      </c>
      <c r="I87" s="163" t="s">
        <v>382</v>
      </c>
      <c r="J87" s="163"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5" t="s">
        <v>384</v>
      </c>
      <c r="B88" s="163" t="s">
        <v>173</v>
      </c>
      <c r="C88" s="34" t="str">
        <f>VLOOKUP(Observaciones[Caso de Prueba],CasoPrueba[[#All],[Código CP]:[Prioridad]],7,TRUE)</f>
        <v>Alta</v>
      </c>
      <c r="D88" s="163" t="s">
        <v>162</v>
      </c>
      <c r="E88" s="163" t="s">
        <v>49</v>
      </c>
      <c r="F88" s="164">
        <v>40795</v>
      </c>
      <c r="G88" s="73">
        <v>40796</v>
      </c>
      <c r="H88" s="166" t="s">
        <v>132</v>
      </c>
      <c r="I88" s="163" t="s">
        <v>385</v>
      </c>
      <c r="J88" s="163"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5" t="s">
        <v>387</v>
      </c>
      <c r="B89" s="163" t="s">
        <v>173</v>
      </c>
      <c r="C89" s="34" t="str">
        <f>VLOOKUP(Observaciones[Caso de Prueba],CasoPrueba[[#All],[Código CP]:[Prioridad]],7,TRUE)</f>
        <v>Alta</v>
      </c>
      <c r="D89" s="163" t="s">
        <v>162</v>
      </c>
      <c r="E89" s="163" t="s">
        <v>49</v>
      </c>
      <c r="F89" s="164">
        <v>40795</v>
      </c>
      <c r="G89" s="73">
        <v>40796</v>
      </c>
      <c r="H89" s="166" t="s">
        <v>132</v>
      </c>
      <c r="I89" s="163" t="s">
        <v>388</v>
      </c>
      <c r="J89" s="163"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5" t="s">
        <v>390</v>
      </c>
      <c r="B90" s="163" t="s">
        <v>173</v>
      </c>
      <c r="C90" s="34" t="str">
        <f>VLOOKUP(Observaciones[Caso de Prueba],CasoPrueba[[#All],[Código CP]:[Prioridad]],7,TRUE)</f>
        <v>Alta</v>
      </c>
      <c r="D90" s="163" t="s">
        <v>30</v>
      </c>
      <c r="E90" s="163" t="s">
        <v>49</v>
      </c>
      <c r="F90" s="164">
        <v>40795</v>
      </c>
      <c r="G90" s="73">
        <v>40796</v>
      </c>
      <c r="H90" s="166" t="s">
        <v>132</v>
      </c>
      <c r="I90" s="163" t="s">
        <v>354</v>
      </c>
      <c r="J90" s="163"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5" t="s">
        <v>392</v>
      </c>
      <c r="B91" s="163" t="s">
        <v>173</v>
      </c>
      <c r="C91" s="34" t="str">
        <f>VLOOKUP(Observaciones[Caso de Prueba],CasoPrueba[[#All],[Código CP]:[Prioridad]],7,TRUE)</f>
        <v>Alta</v>
      </c>
      <c r="D91" s="163" t="s">
        <v>28</v>
      </c>
      <c r="E91" s="163" t="s">
        <v>49</v>
      </c>
      <c r="F91" s="164">
        <v>40795</v>
      </c>
      <c r="G91" s="73">
        <v>40796</v>
      </c>
      <c r="H91" s="166" t="s">
        <v>132</v>
      </c>
      <c r="I91" s="163" t="s">
        <v>393</v>
      </c>
      <c r="J91" s="163"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5" t="s">
        <v>395</v>
      </c>
      <c r="B92" s="163" t="s">
        <v>173</v>
      </c>
      <c r="C92" s="34" t="str">
        <f>VLOOKUP(Observaciones[Caso de Prueba],CasoPrueba[[#All],[Código CP]:[Prioridad]],7,TRUE)</f>
        <v>Alta</v>
      </c>
      <c r="D92" s="163" t="s">
        <v>30</v>
      </c>
      <c r="E92" s="163" t="s">
        <v>49</v>
      </c>
      <c r="F92" s="164">
        <v>40795</v>
      </c>
      <c r="G92" s="73">
        <v>40796</v>
      </c>
      <c r="H92" s="166" t="s">
        <v>132</v>
      </c>
      <c r="I92" s="163" t="s">
        <v>396</v>
      </c>
      <c r="J92" s="163"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5" t="s">
        <v>398</v>
      </c>
      <c r="B93" s="163" t="s">
        <v>173</v>
      </c>
      <c r="C93" s="34" t="str">
        <f>VLOOKUP(Observaciones[Caso de Prueba],CasoPrueba[[#All],[Código CP]:[Prioridad]],7,TRUE)</f>
        <v>Alta</v>
      </c>
      <c r="D93" s="163" t="s">
        <v>30</v>
      </c>
      <c r="E93" s="163" t="s">
        <v>49</v>
      </c>
      <c r="F93" s="164">
        <v>40795</v>
      </c>
      <c r="G93" s="73">
        <v>40796</v>
      </c>
      <c r="H93" s="166" t="s">
        <v>132</v>
      </c>
      <c r="I93" s="163" t="s">
        <v>399</v>
      </c>
      <c r="J93" s="163"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5" t="s">
        <v>401</v>
      </c>
      <c r="B94" s="163" t="s">
        <v>173</v>
      </c>
      <c r="C94" s="34" t="str">
        <f>VLOOKUP(Observaciones[Caso de Prueba],CasoPrueba[[#All],[Código CP]:[Prioridad]],7,TRUE)</f>
        <v>Alta</v>
      </c>
      <c r="D94" s="163" t="s">
        <v>30</v>
      </c>
      <c r="E94" s="163" t="s">
        <v>49</v>
      </c>
      <c r="F94" s="164">
        <v>40795</v>
      </c>
      <c r="G94" s="73">
        <v>40796</v>
      </c>
      <c r="H94" s="166" t="s">
        <v>132</v>
      </c>
      <c r="I94" s="163" t="s">
        <v>402</v>
      </c>
      <c r="J94" s="163"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5" t="s">
        <v>404</v>
      </c>
      <c r="B95" s="163" t="s">
        <v>175</v>
      </c>
      <c r="C95" s="34" t="str">
        <f>VLOOKUP(Observaciones[Caso de Prueba],CasoPrueba[[#All],[Código CP]:[Prioridad]],7,TRUE)</f>
        <v>Alta</v>
      </c>
      <c r="D95" s="163" t="s">
        <v>162</v>
      </c>
      <c r="E95" s="163" t="s">
        <v>49</v>
      </c>
      <c r="F95" s="164">
        <v>40795</v>
      </c>
      <c r="G95" s="73">
        <v>40796</v>
      </c>
      <c r="H95" s="166" t="s">
        <v>132</v>
      </c>
      <c r="I95" s="163" t="s">
        <v>405</v>
      </c>
      <c r="J95" s="163"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5" t="s">
        <v>407</v>
      </c>
      <c r="B96" s="163" t="s">
        <v>175</v>
      </c>
      <c r="C96" s="34" t="str">
        <f>VLOOKUP(Observaciones[Caso de Prueba],CasoPrueba[[#All],[Código CP]:[Prioridad]],7,TRUE)</f>
        <v>Alta</v>
      </c>
      <c r="D96" s="163" t="s">
        <v>30</v>
      </c>
      <c r="E96" s="163" t="s">
        <v>49</v>
      </c>
      <c r="F96" s="164">
        <v>40795</v>
      </c>
      <c r="G96" s="73">
        <v>40796</v>
      </c>
      <c r="H96" s="166" t="s">
        <v>132</v>
      </c>
      <c r="I96" s="163" t="s">
        <v>354</v>
      </c>
      <c r="J96" s="163"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5" t="s">
        <v>409</v>
      </c>
      <c r="B97" s="163" t="s">
        <v>175</v>
      </c>
      <c r="C97" s="34" t="str">
        <f>VLOOKUP(Observaciones[Caso de Prueba],CasoPrueba[[#All],[Código CP]:[Prioridad]],7,TRUE)</f>
        <v>Alta</v>
      </c>
      <c r="D97" s="163" t="s">
        <v>162</v>
      </c>
      <c r="E97" s="163" t="s">
        <v>49</v>
      </c>
      <c r="F97" s="164">
        <v>40795</v>
      </c>
      <c r="G97" s="73">
        <v>40796</v>
      </c>
      <c r="H97" s="166" t="s">
        <v>132</v>
      </c>
      <c r="I97" s="163" t="s">
        <v>410</v>
      </c>
      <c r="J97" s="163"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5" t="s">
        <v>412</v>
      </c>
      <c r="B98" s="163" t="s">
        <v>175</v>
      </c>
      <c r="C98" s="34" t="str">
        <f>VLOOKUP(Observaciones[Caso de Prueba],CasoPrueba[[#All],[Código CP]:[Prioridad]],7,TRUE)</f>
        <v>Alta</v>
      </c>
      <c r="D98" s="163" t="s">
        <v>29</v>
      </c>
      <c r="E98" s="163" t="s">
        <v>49</v>
      </c>
      <c r="F98" s="164">
        <v>40795</v>
      </c>
      <c r="G98" s="73">
        <v>40796</v>
      </c>
      <c r="H98" s="166" t="s">
        <v>132</v>
      </c>
      <c r="I98" s="163" t="s">
        <v>413</v>
      </c>
      <c r="J98" s="163"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5" t="s">
        <v>415</v>
      </c>
      <c r="B99" s="163" t="s">
        <v>175</v>
      </c>
      <c r="C99" s="34" t="str">
        <f>VLOOKUP(Observaciones[Caso de Prueba],CasoPrueba[[#All],[Código CP]:[Prioridad]],7,TRUE)</f>
        <v>Alta</v>
      </c>
      <c r="D99" s="163" t="s">
        <v>30</v>
      </c>
      <c r="E99" s="163" t="s">
        <v>49</v>
      </c>
      <c r="F99" s="164">
        <v>40795</v>
      </c>
      <c r="G99" s="73">
        <v>40796</v>
      </c>
      <c r="H99" s="166" t="s">
        <v>132</v>
      </c>
      <c r="I99" s="163" t="s">
        <v>416</v>
      </c>
      <c r="J99" s="163"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5" t="s">
        <v>418</v>
      </c>
      <c r="B100" s="163" t="s">
        <v>175</v>
      </c>
      <c r="C100" s="34" t="str">
        <f>VLOOKUP(Observaciones[Caso de Prueba],CasoPrueba[[#All],[Código CP]:[Prioridad]],7,TRUE)</f>
        <v>Alta</v>
      </c>
      <c r="D100" s="163" t="s">
        <v>162</v>
      </c>
      <c r="E100" s="163" t="s">
        <v>49</v>
      </c>
      <c r="F100" s="164">
        <v>40795</v>
      </c>
      <c r="G100" s="73">
        <v>40796</v>
      </c>
      <c r="H100" s="166" t="s">
        <v>132</v>
      </c>
      <c r="I100" s="163" t="s">
        <v>419</v>
      </c>
      <c r="J100" s="163"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5" t="s">
        <v>420</v>
      </c>
      <c r="B101" s="163" t="s">
        <v>176</v>
      </c>
      <c r="C101" s="34" t="str">
        <f>VLOOKUP(Observaciones[Caso de Prueba],CasoPrueba[[#All],[Código CP]:[Prioridad]],7,TRUE)</f>
        <v>Alta</v>
      </c>
      <c r="D101" s="163" t="s">
        <v>30</v>
      </c>
      <c r="E101" s="163" t="s">
        <v>49</v>
      </c>
      <c r="F101" s="164">
        <v>40795</v>
      </c>
      <c r="G101" s="73">
        <v>40796</v>
      </c>
      <c r="H101" s="166" t="s">
        <v>132</v>
      </c>
      <c r="I101" s="163" t="s">
        <v>354</v>
      </c>
      <c r="J101" s="163"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5" t="s">
        <v>421</v>
      </c>
      <c r="B102" s="163" t="s">
        <v>176</v>
      </c>
      <c r="C102" s="34" t="str">
        <f>VLOOKUP(Observaciones[Caso de Prueba],CasoPrueba[[#All],[Código CP]:[Prioridad]],7,TRUE)</f>
        <v>Alta</v>
      </c>
      <c r="D102" s="163" t="s">
        <v>29</v>
      </c>
      <c r="E102" s="163" t="s">
        <v>49</v>
      </c>
      <c r="F102" s="164">
        <v>40795</v>
      </c>
      <c r="G102" s="73">
        <v>40796</v>
      </c>
      <c r="H102" s="166" t="s">
        <v>132</v>
      </c>
      <c r="I102" s="163" t="s">
        <v>422</v>
      </c>
      <c r="J102" s="163"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5" t="s">
        <v>423</v>
      </c>
      <c r="B103" s="163" t="s">
        <v>176</v>
      </c>
      <c r="C103" s="34" t="str">
        <f>VLOOKUP(Observaciones[Caso de Prueba],CasoPrueba[[#All],[Código CP]:[Prioridad]],7,TRUE)</f>
        <v>Alta</v>
      </c>
      <c r="D103" s="163" t="s">
        <v>30</v>
      </c>
      <c r="E103" s="163" t="s">
        <v>49</v>
      </c>
      <c r="F103" s="164">
        <v>40795</v>
      </c>
      <c r="G103" s="73">
        <v>40796</v>
      </c>
      <c r="H103" s="166" t="s">
        <v>132</v>
      </c>
      <c r="I103" s="163" t="s">
        <v>424</v>
      </c>
      <c r="J103" s="163"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5" t="s">
        <v>427</v>
      </c>
      <c r="B104" s="34" t="s">
        <v>88</v>
      </c>
      <c r="C104" s="34" t="str">
        <f>VLOOKUP(Observaciones[Caso de Prueba],CasoPrueba[[#All],[Código CP]:[Prioridad]],7,TRUE)</f>
        <v>Alta</v>
      </c>
      <c r="D104" s="34" t="s">
        <v>162</v>
      </c>
      <c r="E104" s="34" t="s">
        <v>49</v>
      </c>
      <c r="F104" s="73">
        <v>40798</v>
      </c>
      <c r="G104" s="73">
        <v>40803</v>
      </c>
      <c r="H104" s="166"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5" t="s">
        <v>428</v>
      </c>
      <c r="B105" s="34" t="s">
        <v>88</v>
      </c>
      <c r="C105" s="34" t="str">
        <f>VLOOKUP(Observaciones[Caso de Prueba],CasoPrueba[[#All],[Código CP]:[Prioridad]],7,TRUE)</f>
        <v>Alta</v>
      </c>
      <c r="D105" s="34" t="s">
        <v>29</v>
      </c>
      <c r="E105" s="34" t="s">
        <v>49</v>
      </c>
      <c r="F105" s="73">
        <v>40798</v>
      </c>
      <c r="G105" s="73">
        <v>40803</v>
      </c>
      <c r="H105" s="166" t="s">
        <v>132</v>
      </c>
      <c r="I105" s="34" t="s">
        <v>439</v>
      </c>
      <c r="J105" s="34" t="s">
        <v>465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5" t="s">
        <v>429</v>
      </c>
      <c r="B106" s="34" t="s">
        <v>88</v>
      </c>
      <c r="C106" s="34" t="str">
        <f>VLOOKUP(Observaciones[Caso de Prueba],CasoPrueba[[#All],[Código CP]:[Prioridad]],7,TRUE)</f>
        <v>Alta</v>
      </c>
      <c r="D106" s="34" t="s">
        <v>162</v>
      </c>
      <c r="E106" s="34" t="s">
        <v>49</v>
      </c>
      <c r="F106" s="73">
        <v>40798</v>
      </c>
      <c r="G106" s="73">
        <v>40803</v>
      </c>
      <c r="H106" s="166" t="s">
        <v>132</v>
      </c>
      <c r="I106" s="34" t="s">
        <v>440</v>
      </c>
      <c r="J106" s="34" t="s">
        <v>466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5" t="s">
        <v>430</v>
      </c>
      <c r="B107" s="34" t="s">
        <v>88</v>
      </c>
      <c r="C107" s="34" t="str">
        <f>VLOOKUP(Observaciones[Caso de Prueba],CasoPrueba[[#All],[Código CP]:[Prioridad]],7,TRUE)</f>
        <v>Alta</v>
      </c>
      <c r="D107" s="34" t="s">
        <v>30</v>
      </c>
      <c r="E107" s="34" t="s">
        <v>49</v>
      </c>
      <c r="F107" s="73">
        <v>40798</v>
      </c>
      <c r="G107" s="73">
        <v>40803</v>
      </c>
      <c r="H107" s="166" t="s">
        <v>132</v>
      </c>
      <c r="I107" s="34" t="s">
        <v>458</v>
      </c>
      <c r="J107" s="34" t="s">
        <v>467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5" t="s">
        <v>431</v>
      </c>
      <c r="B108" s="34" t="s">
        <v>151</v>
      </c>
      <c r="C108" s="34" t="str">
        <f>VLOOKUP(Observaciones[Caso de Prueba],CasoPrueba[[#All],[Código CP]:[Prioridad]],7,TRUE)</f>
        <v>Alta</v>
      </c>
      <c r="D108" s="34" t="s">
        <v>162</v>
      </c>
      <c r="E108" s="34" t="s">
        <v>49</v>
      </c>
      <c r="F108" s="73">
        <v>40798</v>
      </c>
      <c r="G108" s="73">
        <v>40803</v>
      </c>
      <c r="H108" s="166"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5" t="s">
        <v>432</v>
      </c>
      <c r="B109" s="34" t="s">
        <v>152</v>
      </c>
      <c r="C109" s="34" t="str">
        <f>VLOOKUP(Observaciones[Caso de Prueba],CasoPrueba[[#All],[Código CP]:[Prioridad]],7,TRUE)</f>
        <v>Alta</v>
      </c>
      <c r="D109" s="34" t="s">
        <v>29</v>
      </c>
      <c r="E109" s="34" t="s">
        <v>49</v>
      </c>
      <c r="F109" s="73">
        <v>40798</v>
      </c>
      <c r="G109" s="73">
        <v>40803</v>
      </c>
      <c r="H109" s="166" t="s">
        <v>132</v>
      </c>
      <c r="I109" s="34" t="s">
        <v>442</v>
      </c>
      <c r="J109" s="34" t="s">
        <v>468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5"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5"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5"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469</v>
      </c>
      <c r="K112" s="34"/>
      <c r="L112" s="34"/>
    </row>
    <row r="113" spans="1:12" ht="120" hidden="1">
      <c r="A113" s="165"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470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5"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471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5"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470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5"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472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5"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470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5"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467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5" t="s">
        <v>451</v>
      </c>
      <c r="B119" s="34" t="s">
        <v>172</v>
      </c>
      <c r="C119" s="34" t="str">
        <f>VLOOKUP(Observaciones[Caso de Prueba],CasoPrueba[[#All],[Código CP]:[Prioridad]],7,TRUE)</f>
        <v>Alta</v>
      </c>
      <c r="D119" s="34" t="s">
        <v>29</v>
      </c>
      <c r="E119" s="34" t="s">
        <v>49</v>
      </c>
      <c r="F119" s="73">
        <v>40800</v>
      </c>
      <c r="G119" s="73">
        <v>40803</v>
      </c>
      <c r="H119" s="94" t="s">
        <v>132</v>
      </c>
      <c r="I119" s="34" t="s">
        <v>476</v>
      </c>
      <c r="J119" s="34" t="s">
        <v>473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5" t="s">
        <v>452</v>
      </c>
      <c r="B120" s="34" t="s">
        <v>172</v>
      </c>
      <c r="C120" s="34" t="str">
        <f>VLOOKUP(Observaciones[Caso de Prueba],CasoPrueba[[#All],[Código CP]:[Prioridad]],7,TRUE)</f>
        <v>Alta</v>
      </c>
      <c r="D120" s="34" t="s">
        <v>29</v>
      </c>
      <c r="E120" s="34" t="s">
        <v>49</v>
      </c>
      <c r="F120" s="73">
        <v>40800</v>
      </c>
      <c r="G120" s="73">
        <v>40803</v>
      </c>
      <c r="H120" s="94" t="s">
        <v>132</v>
      </c>
      <c r="I120" s="34" t="s">
        <v>477</v>
      </c>
      <c r="J120" s="34" t="s">
        <v>474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5"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5"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475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5" t="s">
        <v>478</v>
      </c>
      <c r="B123" s="34" t="s">
        <v>173</v>
      </c>
      <c r="C123" s="34" t="str">
        <f>VLOOKUP(Observaciones[Caso de Prueba],CasoPrueba[[#All],[Código CP]:[Prioridad]],7,TRUE)</f>
        <v>Alta</v>
      </c>
      <c r="D123" s="34" t="s">
        <v>162</v>
      </c>
      <c r="E123" s="34" t="s">
        <v>49</v>
      </c>
      <c r="F123" s="73">
        <v>40802</v>
      </c>
      <c r="G123" s="73">
        <v>40805</v>
      </c>
      <c r="H123" s="94" t="s">
        <v>132</v>
      </c>
      <c r="I123" s="34" t="s">
        <v>484</v>
      </c>
      <c r="J123" s="34" t="s">
        <v>493</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5" t="s">
        <v>479</v>
      </c>
      <c r="B124" s="34" t="s">
        <v>173</v>
      </c>
      <c r="C124" s="34" t="str">
        <f>VLOOKUP(Observaciones[Caso de Prueba],CasoPrueba[[#All],[Código CP]:[Prioridad]],7,TRUE)</f>
        <v>Alta</v>
      </c>
      <c r="D124" s="34" t="s">
        <v>29</v>
      </c>
      <c r="E124" s="34" t="s">
        <v>49</v>
      </c>
      <c r="F124" s="73">
        <v>40802</v>
      </c>
      <c r="G124" s="73">
        <v>40805</v>
      </c>
      <c r="H124" s="94" t="s">
        <v>132</v>
      </c>
      <c r="I124" s="34" t="s">
        <v>485</v>
      </c>
      <c r="J124" s="34" t="s">
        <v>494</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5" t="s">
        <v>480</v>
      </c>
      <c r="B125" s="34" t="s">
        <v>173</v>
      </c>
      <c r="C125" s="34" t="str">
        <f>VLOOKUP(Observaciones[Caso de Prueba],CasoPrueba[[#All],[Código CP]:[Prioridad]],7,TRUE)</f>
        <v>Alta</v>
      </c>
      <c r="D125" s="34" t="s">
        <v>29</v>
      </c>
      <c r="E125" s="34" t="s">
        <v>49</v>
      </c>
      <c r="F125" s="73">
        <v>40802</v>
      </c>
      <c r="G125" s="73">
        <v>40805</v>
      </c>
      <c r="H125" s="94" t="s">
        <v>132</v>
      </c>
      <c r="I125" s="34" t="s">
        <v>486</v>
      </c>
      <c r="J125" s="34" t="s">
        <v>495</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5" t="s">
        <v>481</v>
      </c>
      <c r="B126" s="34" t="s">
        <v>487</v>
      </c>
      <c r="C126" s="34" t="str">
        <f>VLOOKUP(Observaciones[Caso de Prueba],CasoPrueba[[#All],[Código CP]:[Prioridad]],7,TRUE)</f>
        <v>Alta</v>
      </c>
      <c r="D126" s="34" t="s">
        <v>162</v>
      </c>
      <c r="E126" s="34" t="s">
        <v>49</v>
      </c>
      <c r="F126" s="73">
        <v>40805</v>
      </c>
      <c r="G126" s="73">
        <v>40831</v>
      </c>
      <c r="H126" s="94" t="s">
        <v>132</v>
      </c>
      <c r="I126" s="34" t="s">
        <v>624</v>
      </c>
      <c r="J126" s="34" t="s">
        <v>816</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5" t="s">
        <v>482</v>
      </c>
      <c r="B127" s="34" t="s">
        <v>487</v>
      </c>
      <c r="C127" s="34" t="str">
        <f>VLOOKUP(Observaciones[Caso de Prueba],CasoPrueba[[#All],[Código CP]:[Prioridad]],7,TRUE)</f>
        <v>Alta</v>
      </c>
      <c r="D127" s="34" t="s">
        <v>30</v>
      </c>
      <c r="E127" s="34" t="s">
        <v>49</v>
      </c>
      <c r="F127" s="73">
        <v>40805</v>
      </c>
      <c r="G127" s="73">
        <v>40831</v>
      </c>
      <c r="H127" s="94" t="s">
        <v>132</v>
      </c>
      <c r="I127" s="34" t="s">
        <v>599</v>
      </c>
      <c r="J127" s="34" t="s">
        <v>817</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5" t="s">
        <v>483</v>
      </c>
      <c r="B128" s="34" t="s">
        <v>487</v>
      </c>
      <c r="C128" s="34" t="str">
        <f>VLOOKUP(Observaciones[Caso de Prueba],CasoPrueba[[#All],[Código CP]:[Prioridad]],7,TRUE)</f>
        <v>Alta</v>
      </c>
      <c r="D128" s="34" t="s">
        <v>29</v>
      </c>
      <c r="E128" s="34" t="s">
        <v>49</v>
      </c>
      <c r="F128" s="73">
        <v>40805</v>
      </c>
      <c r="G128" s="73">
        <v>40831</v>
      </c>
      <c r="H128" s="94" t="s">
        <v>132</v>
      </c>
      <c r="I128" s="34" t="s">
        <v>583</v>
      </c>
      <c r="J128" s="34" t="s">
        <v>818</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5" t="s">
        <v>496</v>
      </c>
      <c r="B129" s="34" t="s">
        <v>487</v>
      </c>
      <c r="C129" s="34" t="str">
        <f>VLOOKUP(Observaciones[Caso de Prueba],CasoPrueba[[#All],[Código CP]:[Prioridad]],7,TRUE)</f>
        <v>Alta</v>
      </c>
      <c r="D129" s="34" t="s">
        <v>28</v>
      </c>
      <c r="E129" s="34" t="s">
        <v>49</v>
      </c>
      <c r="F129" s="73">
        <v>40805</v>
      </c>
      <c r="G129" s="73">
        <v>40831</v>
      </c>
      <c r="H129" s="94" t="s">
        <v>132</v>
      </c>
      <c r="I129" s="34" t="s">
        <v>584</v>
      </c>
      <c r="J129" s="34" t="s">
        <v>819</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5" t="s">
        <v>497</v>
      </c>
      <c r="B130" s="34" t="s">
        <v>487</v>
      </c>
      <c r="C130" s="34" t="str">
        <f>VLOOKUP(Observaciones[Caso de Prueba],CasoPrueba[[#All],[Código CP]:[Prioridad]],7,TRUE)</f>
        <v>Alta</v>
      </c>
      <c r="D130" s="34" t="s">
        <v>30</v>
      </c>
      <c r="E130" s="34" t="s">
        <v>49</v>
      </c>
      <c r="F130" s="73">
        <v>40805</v>
      </c>
      <c r="G130" s="73">
        <v>40831</v>
      </c>
      <c r="H130" s="94" t="s">
        <v>132</v>
      </c>
      <c r="I130" s="34" t="s">
        <v>585</v>
      </c>
      <c r="J130" s="34" t="s">
        <v>820</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5" t="s">
        <v>498</v>
      </c>
      <c r="B131" s="34" t="s">
        <v>487</v>
      </c>
      <c r="C131" s="34" t="str">
        <f>VLOOKUP(Observaciones[Caso de Prueba],CasoPrueba[[#All],[Código CP]:[Prioridad]],7,TRUE)</f>
        <v>Alta</v>
      </c>
      <c r="D131" s="34" t="s">
        <v>29</v>
      </c>
      <c r="E131" s="34" t="s">
        <v>49</v>
      </c>
      <c r="F131" s="73">
        <v>40805</v>
      </c>
      <c r="G131" s="73">
        <v>40831</v>
      </c>
      <c r="H131" s="94" t="s">
        <v>132</v>
      </c>
      <c r="I131" s="34" t="s">
        <v>586</v>
      </c>
      <c r="J131" s="34" t="s">
        <v>821</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5" t="s">
        <v>499</v>
      </c>
      <c r="B132" s="34" t="s">
        <v>487</v>
      </c>
      <c r="C132" s="34" t="str">
        <f>VLOOKUP(Observaciones[Caso de Prueba],CasoPrueba[[#All],[Código CP]:[Prioridad]],7,TRUE)</f>
        <v>Alta</v>
      </c>
      <c r="D132" s="34" t="s">
        <v>30</v>
      </c>
      <c r="E132" s="34" t="s">
        <v>49</v>
      </c>
      <c r="F132" s="73">
        <v>40805</v>
      </c>
      <c r="G132" s="73">
        <v>40831</v>
      </c>
      <c r="H132" s="94" t="s">
        <v>132</v>
      </c>
      <c r="I132" s="34" t="s">
        <v>626</v>
      </c>
      <c r="J132" s="34" t="s">
        <v>822</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5" t="s">
        <v>500</v>
      </c>
      <c r="B133" s="34" t="s">
        <v>487</v>
      </c>
      <c r="C133" s="34" t="str">
        <f>VLOOKUP(Observaciones[Caso de Prueba],CasoPrueba[[#All],[Código CP]:[Prioridad]],7,TRUE)</f>
        <v>Alta</v>
      </c>
      <c r="D133" s="34" t="s">
        <v>162</v>
      </c>
      <c r="E133" s="34" t="s">
        <v>49</v>
      </c>
      <c r="F133" s="73">
        <v>40805</v>
      </c>
      <c r="G133" s="73">
        <v>40831</v>
      </c>
      <c r="H133" s="94" t="s">
        <v>132</v>
      </c>
      <c r="I133" s="34" t="s">
        <v>587</v>
      </c>
      <c r="J133" s="34" t="s">
        <v>823</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5" t="s">
        <v>501</v>
      </c>
      <c r="B134" s="34" t="s">
        <v>487</v>
      </c>
      <c r="C134" s="34" t="str">
        <f>VLOOKUP(Observaciones[Caso de Prueba],CasoPrueba[[#All],[Código CP]:[Prioridad]],7,TRUE)</f>
        <v>Alta</v>
      </c>
      <c r="D134" s="34" t="s">
        <v>29</v>
      </c>
      <c r="E134" s="34" t="s">
        <v>49</v>
      </c>
      <c r="F134" s="73">
        <v>40805</v>
      </c>
      <c r="G134" s="73">
        <v>40831</v>
      </c>
      <c r="H134" s="94" t="s">
        <v>132</v>
      </c>
      <c r="I134" s="34" t="s">
        <v>588</v>
      </c>
      <c r="J134" s="34" t="s">
        <v>824</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5" t="s">
        <v>502</v>
      </c>
      <c r="B135" s="34" t="s">
        <v>487</v>
      </c>
      <c r="C135" s="34" t="str">
        <f>VLOOKUP(Observaciones[Caso de Prueba],CasoPrueba[[#All],[Código CP]:[Prioridad]],7,TRUE)</f>
        <v>Alta</v>
      </c>
      <c r="D135" s="34" t="s">
        <v>29</v>
      </c>
      <c r="E135" s="34" t="s">
        <v>49</v>
      </c>
      <c r="F135" s="73">
        <v>40805</v>
      </c>
      <c r="G135" s="73">
        <v>40831</v>
      </c>
      <c r="H135" s="94" t="s">
        <v>132</v>
      </c>
      <c r="I135" s="34" t="s">
        <v>589</v>
      </c>
      <c r="J135" s="34" t="s">
        <v>825</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5" t="s">
        <v>503</v>
      </c>
      <c r="B136" s="34" t="s">
        <v>487</v>
      </c>
      <c r="C136" s="34" t="str">
        <f>VLOOKUP(Observaciones[Caso de Prueba],CasoPrueba[[#All],[Código CP]:[Prioridad]],7,TRUE)</f>
        <v>Alta</v>
      </c>
      <c r="D136" s="34" t="s">
        <v>29</v>
      </c>
      <c r="E136" s="34" t="s">
        <v>49</v>
      </c>
      <c r="F136" s="73">
        <v>40805</v>
      </c>
      <c r="G136" s="73">
        <v>40831</v>
      </c>
      <c r="H136" s="94" t="s">
        <v>132</v>
      </c>
      <c r="I136" s="34" t="s">
        <v>590</v>
      </c>
      <c r="J136" s="34" t="s">
        <v>826</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5" t="s">
        <v>504</v>
      </c>
      <c r="B137" s="34" t="s">
        <v>487</v>
      </c>
      <c r="C137" s="34" t="str">
        <f>VLOOKUP(Observaciones[Caso de Prueba],CasoPrueba[[#All],[Código CP]:[Prioridad]],7,TRUE)</f>
        <v>Alta</v>
      </c>
      <c r="D137" s="34" t="s">
        <v>29</v>
      </c>
      <c r="E137" s="34" t="s">
        <v>49</v>
      </c>
      <c r="F137" s="73">
        <v>40805</v>
      </c>
      <c r="G137" s="73">
        <v>40831</v>
      </c>
      <c r="H137" s="94" t="s">
        <v>132</v>
      </c>
      <c r="I137" s="34" t="s">
        <v>591</v>
      </c>
      <c r="J137" s="34" t="s">
        <v>827</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5" t="s">
        <v>505</v>
      </c>
      <c r="B138" s="34" t="s">
        <v>487</v>
      </c>
      <c r="C138" s="34" t="str">
        <f>VLOOKUP(Observaciones[Caso de Prueba],CasoPrueba[[#All],[Código CP]:[Prioridad]],7,TRUE)</f>
        <v>Alta</v>
      </c>
      <c r="D138" s="34" t="s">
        <v>162</v>
      </c>
      <c r="E138" s="34" t="s">
        <v>49</v>
      </c>
      <c r="F138" s="73">
        <v>40805</v>
      </c>
      <c r="G138" s="73">
        <v>40831</v>
      </c>
      <c r="H138" s="94" t="s">
        <v>132</v>
      </c>
      <c r="I138" s="34" t="s">
        <v>592</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5" t="s">
        <v>506</v>
      </c>
      <c r="B139" s="34" t="s">
        <v>487</v>
      </c>
      <c r="C139" s="34" t="str">
        <f>VLOOKUP(Observaciones[Caso de Prueba],CasoPrueba[[#All],[Código CP]:[Prioridad]],7,TRUE)</f>
        <v>Alta</v>
      </c>
      <c r="D139" s="34" t="s">
        <v>29</v>
      </c>
      <c r="E139" s="34" t="s">
        <v>49</v>
      </c>
      <c r="F139" s="73">
        <v>40805</v>
      </c>
      <c r="G139" s="73">
        <v>40831</v>
      </c>
      <c r="H139" s="94" t="s">
        <v>132</v>
      </c>
      <c r="I139" s="34" t="s">
        <v>593</v>
      </c>
      <c r="J139" s="34" t="s">
        <v>828</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5" t="s">
        <v>507</v>
      </c>
      <c r="B140" s="34" t="s">
        <v>487</v>
      </c>
      <c r="C140" s="34" t="str">
        <f>VLOOKUP(Observaciones[Caso de Prueba],CasoPrueba[[#All],[Código CP]:[Prioridad]],7,TRUE)</f>
        <v>Alta</v>
      </c>
      <c r="D140" s="34" t="s">
        <v>30</v>
      </c>
      <c r="E140" s="34" t="s">
        <v>49</v>
      </c>
      <c r="F140" s="73">
        <v>40805</v>
      </c>
      <c r="G140" s="73">
        <v>40831</v>
      </c>
      <c r="H140" s="94" t="s">
        <v>132</v>
      </c>
      <c r="I140" s="34" t="s">
        <v>594</v>
      </c>
      <c r="J140" s="34" t="s">
        <v>829</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5" t="s">
        <v>508</v>
      </c>
      <c r="B141" s="34" t="s">
        <v>487</v>
      </c>
      <c r="C141" s="34" t="str">
        <f>VLOOKUP(Observaciones[Caso de Prueba],CasoPrueba[[#All],[Código CP]:[Prioridad]],7,TRUE)</f>
        <v>Alta</v>
      </c>
      <c r="D141" s="34" t="s">
        <v>162</v>
      </c>
      <c r="E141" s="34" t="s">
        <v>49</v>
      </c>
      <c r="F141" s="73">
        <v>40805</v>
      </c>
      <c r="G141" s="73">
        <v>40831</v>
      </c>
      <c r="H141" s="94" t="s">
        <v>132</v>
      </c>
      <c r="I141" s="34" t="s">
        <v>595</v>
      </c>
      <c r="J141" s="34" t="s">
        <v>823</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5" t="s">
        <v>509</v>
      </c>
      <c r="B142" s="34" t="s">
        <v>487</v>
      </c>
      <c r="C142" s="34" t="str">
        <f>VLOOKUP(Observaciones[Caso de Prueba],CasoPrueba[[#All],[Código CP]:[Prioridad]],7,TRUE)</f>
        <v>Alta</v>
      </c>
      <c r="D142" s="34" t="s">
        <v>29</v>
      </c>
      <c r="E142" s="34" t="s">
        <v>49</v>
      </c>
      <c r="F142" s="73">
        <v>40805</v>
      </c>
      <c r="G142" s="73">
        <v>40831</v>
      </c>
      <c r="H142" s="94" t="s">
        <v>132</v>
      </c>
      <c r="I142" s="34" t="s">
        <v>596</v>
      </c>
      <c r="J142" s="34" t="s">
        <v>826</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5" t="s">
        <v>510</v>
      </c>
      <c r="B143" s="34" t="s">
        <v>488</v>
      </c>
      <c r="C143" s="34" t="str">
        <f>VLOOKUP(Observaciones[Caso de Prueba],CasoPrueba[[#All],[Código CP]:[Prioridad]],7,TRUE)</f>
        <v>Alta</v>
      </c>
      <c r="D143" s="34" t="s">
        <v>29</v>
      </c>
      <c r="E143" s="34" t="s">
        <v>49</v>
      </c>
      <c r="F143" s="73">
        <v>40805</v>
      </c>
      <c r="G143" s="73">
        <v>40831</v>
      </c>
      <c r="H143" s="94" t="s">
        <v>132</v>
      </c>
      <c r="I143" s="34" t="s">
        <v>597</v>
      </c>
      <c r="J143" s="34" t="s">
        <v>830</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5" t="s">
        <v>511</v>
      </c>
      <c r="B144" s="34" t="s">
        <v>488</v>
      </c>
      <c r="C144" s="34" t="str">
        <f>VLOOKUP(Observaciones[Caso de Prueba],CasoPrueba[[#All],[Código CP]:[Prioridad]],7,TRUE)</f>
        <v>Alta</v>
      </c>
      <c r="D144" s="34" t="s">
        <v>162</v>
      </c>
      <c r="E144" s="34" t="s">
        <v>49</v>
      </c>
      <c r="F144" s="73">
        <v>40805</v>
      </c>
      <c r="G144" s="73">
        <v>40831</v>
      </c>
      <c r="H144" s="94" t="s">
        <v>132</v>
      </c>
      <c r="I144" s="34" t="s">
        <v>598</v>
      </c>
      <c r="J144" s="34" t="s">
        <v>831</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5" t="s">
        <v>512</v>
      </c>
      <c r="B145" s="34" t="s">
        <v>488</v>
      </c>
      <c r="C145" s="34" t="str">
        <f>VLOOKUP(Observaciones[Caso de Prueba],CasoPrueba[[#All],[Código CP]:[Prioridad]],7,TRUE)</f>
        <v>Alta</v>
      </c>
      <c r="D145" s="34" t="s">
        <v>28</v>
      </c>
      <c r="E145" s="34" t="s">
        <v>49</v>
      </c>
      <c r="F145" s="73">
        <v>40805</v>
      </c>
      <c r="G145" s="73">
        <v>40831</v>
      </c>
      <c r="H145" s="94" t="s">
        <v>132</v>
      </c>
      <c r="I145" s="34" t="s">
        <v>584</v>
      </c>
      <c r="J145" s="34" t="s">
        <v>832</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5" t="s">
        <v>513</v>
      </c>
      <c r="B146" s="34" t="s">
        <v>488</v>
      </c>
      <c r="C146" s="34" t="str">
        <f>VLOOKUP(Observaciones[Caso de Prueba],CasoPrueba[[#All],[Código CP]:[Prioridad]],7,TRUE)</f>
        <v>Alta</v>
      </c>
      <c r="D146" s="34" t="s">
        <v>30</v>
      </c>
      <c r="E146" s="34" t="s">
        <v>49</v>
      </c>
      <c r="F146" s="73">
        <v>40805</v>
      </c>
      <c r="G146" s="73">
        <v>40831</v>
      </c>
      <c r="H146" s="94" t="s">
        <v>132</v>
      </c>
      <c r="I146" s="34" t="s">
        <v>599</v>
      </c>
      <c r="J146" s="34" t="s">
        <v>817</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5" t="s">
        <v>514</v>
      </c>
      <c r="B147" s="34" t="s">
        <v>488</v>
      </c>
      <c r="C147" s="34" t="str">
        <f>VLOOKUP(Observaciones[Caso de Prueba],CasoPrueba[[#All],[Código CP]:[Prioridad]],7,TRUE)</f>
        <v>Alta</v>
      </c>
      <c r="D147" s="34" t="s">
        <v>30</v>
      </c>
      <c r="E147" s="34" t="s">
        <v>49</v>
      </c>
      <c r="F147" s="73">
        <v>40805</v>
      </c>
      <c r="G147" s="73">
        <v>40831</v>
      </c>
      <c r="H147" s="94" t="s">
        <v>132</v>
      </c>
      <c r="I147" s="34" t="s">
        <v>600</v>
      </c>
      <c r="J147" s="34" t="s">
        <v>833</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5" t="s">
        <v>515</v>
      </c>
      <c r="B148" s="34" t="s">
        <v>488</v>
      </c>
      <c r="C148" s="34" t="str">
        <f>VLOOKUP(Observaciones[Caso de Prueba],CasoPrueba[[#All],[Código CP]:[Prioridad]],7,TRUE)</f>
        <v>Alta</v>
      </c>
      <c r="D148" s="34" t="s">
        <v>28</v>
      </c>
      <c r="E148" s="34" t="s">
        <v>49</v>
      </c>
      <c r="F148" s="73">
        <v>40805</v>
      </c>
      <c r="G148" s="73">
        <v>40831</v>
      </c>
      <c r="H148" s="94" t="s">
        <v>132</v>
      </c>
      <c r="I148" s="34" t="s">
        <v>601</v>
      </c>
      <c r="J148" s="34" t="s">
        <v>834</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5" t="s">
        <v>516</v>
      </c>
      <c r="B149" s="34" t="s">
        <v>488</v>
      </c>
      <c r="C149" s="34" t="str">
        <f>VLOOKUP(Observaciones[Caso de Prueba],CasoPrueba[[#All],[Código CP]:[Prioridad]],7,TRUE)</f>
        <v>Alta</v>
      </c>
      <c r="D149" s="34" t="s">
        <v>29</v>
      </c>
      <c r="E149" s="34" t="s">
        <v>49</v>
      </c>
      <c r="F149" s="73">
        <v>40805</v>
      </c>
      <c r="G149" s="73">
        <v>40831</v>
      </c>
      <c r="H149" s="94" t="s">
        <v>132</v>
      </c>
      <c r="I149" s="34" t="s">
        <v>602</v>
      </c>
      <c r="J149" s="34" t="s">
        <v>835</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5" t="s">
        <v>517</v>
      </c>
      <c r="B150" s="34" t="s">
        <v>488</v>
      </c>
      <c r="C150" s="34" t="str">
        <f>VLOOKUP(Observaciones[Caso de Prueba],CasoPrueba[[#All],[Código CP]:[Prioridad]],7,TRUE)</f>
        <v>Alta</v>
      </c>
      <c r="D150" s="34" t="s">
        <v>162</v>
      </c>
      <c r="E150" s="34" t="s">
        <v>49</v>
      </c>
      <c r="F150" s="73">
        <v>40805</v>
      </c>
      <c r="G150" s="73">
        <v>40831</v>
      </c>
      <c r="H150" s="94" t="s">
        <v>132</v>
      </c>
      <c r="I150" s="34" t="s">
        <v>603</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5" t="s">
        <v>518</v>
      </c>
      <c r="B151" s="34" t="s">
        <v>488</v>
      </c>
      <c r="C151" s="34" t="str">
        <f>VLOOKUP(Observaciones[Caso de Prueba],CasoPrueba[[#All],[Código CP]:[Prioridad]],7,TRUE)</f>
        <v>Alta</v>
      </c>
      <c r="D151" s="34" t="s">
        <v>162</v>
      </c>
      <c r="E151" s="34" t="s">
        <v>49</v>
      </c>
      <c r="F151" s="73">
        <v>40805</v>
      </c>
      <c r="G151" s="73">
        <v>40831</v>
      </c>
      <c r="H151" s="94" t="s">
        <v>132</v>
      </c>
      <c r="I151" s="34" t="s">
        <v>604</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5" t="s">
        <v>519</v>
      </c>
      <c r="B152" s="34" t="s">
        <v>488</v>
      </c>
      <c r="C152" s="34" t="str">
        <f>VLOOKUP(Observaciones[Caso de Prueba],CasoPrueba[[#All],[Código CP]:[Prioridad]],7,TRUE)</f>
        <v>Alta</v>
      </c>
      <c r="D152" s="34" t="s">
        <v>162</v>
      </c>
      <c r="E152" s="34" t="s">
        <v>49</v>
      </c>
      <c r="F152" s="73">
        <v>40805</v>
      </c>
      <c r="G152" s="73">
        <v>40831</v>
      </c>
      <c r="H152" s="94" t="s">
        <v>132</v>
      </c>
      <c r="I152" s="34" t="s">
        <v>595</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5" t="s">
        <v>520</v>
      </c>
      <c r="B153" s="34" t="s">
        <v>489</v>
      </c>
      <c r="C153" s="34" t="str">
        <f>VLOOKUP(Observaciones[Caso de Prueba],CasoPrueba[[#All],[Código CP]:[Prioridad]],7,TRUE)</f>
        <v>Alta</v>
      </c>
      <c r="D153" s="34" t="s">
        <v>29</v>
      </c>
      <c r="E153" s="34" t="s">
        <v>49</v>
      </c>
      <c r="F153" s="73">
        <v>40807</v>
      </c>
      <c r="G153" s="73">
        <v>40831</v>
      </c>
      <c r="H153" s="94" t="s">
        <v>132</v>
      </c>
      <c r="I153" s="34" t="s">
        <v>597</v>
      </c>
      <c r="J153" s="34" t="s">
        <v>830</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5" t="s">
        <v>521</v>
      </c>
      <c r="B154" s="34" t="s">
        <v>489</v>
      </c>
      <c r="C154" s="34" t="str">
        <f>VLOOKUP(Observaciones[Caso de Prueba],CasoPrueba[[#All],[Código CP]:[Prioridad]],7,TRUE)</f>
        <v>Alta</v>
      </c>
      <c r="D154" s="34" t="s">
        <v>28</v>
      </c>
      <c r="E154" s="34" t="s">
        <v>49</v>
      </c>
      <c r="F154" s="73">
        <v>40807</v>
      </c>
      <c r="G154" s="73">
        <v>40831</v>
      </c>
      <c r="H154" s="94" t="s">
        <v>132</v>
      </c>
      <c r="I154" s="34" t="s">
        <v>584</v>
      </c>
      <c r="J154" s="34" t="s">
        <v>832</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5" t="s">
        <v>522</v>
      </c>
      <c r="B155" s="34" t="s">
        <v>489</v>
      </c>
      <c r="C155" s="34" t="str">
        <f>VLOOKUP(Observaciones[Caso de Prueba],CasoPrueba[[#All],[Código CP]:[Prioridad]],7,TRUE)</f>
        <v>Alta</v>
      </c>
      <c r="D155" s="34" t="s">
        <v>162</v>
      </c>
      <c r="E155" s="34" t="s">
        <v>49</v>
      </c>
      <c r="F155" s="73">
        <v>40807</v>
      </c>
      <c r="G155" s="73">
        <v>40831</v>
      </c>
      <c r="H155" s="94" t="s">
        <v>132</v>
      </c>
      <c r="I155" s="34" t="s">
        <v>605</v>
      </c>
      <c r="J155" s="34" t="s">
        <v>836</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5" t="s">
        <v>523</v>
      </c>
      <c r="B156" s="34" t="s">
        <v>489</v>
      </c>
      <c r="C156" s="34" t="str">
        <f>VLOOKUP(Observaciones[Caso de Prueba],CasoPrueba[[#All],[Código CP]:[Prioridad]],7,TRUE)</f>
        <v>Alta</v>
      </c>
      <c r="D156" s="34" t="s">
        <v>29</v>
      </c>
      <c r="E156" s="34" t="s">
        <v>49</v>
      </c>
      <c r="F156" s="73">
        <v>40807</v>
      </c>
      <c r="G156" s="73">
        <v>40831</v>
      </c>
      <c r="H156" s="94" t="s">
        <v>132</v>
      </c>
      <c r="I156" s="34" t="s">
        <v>606</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5" t="s">
        <v>524</v>
      </c>
      <c r="B157" s="34" t="s">
        <v>489</v>
      </c>
      <c r="C157" s="34" t="str">
        <f>VLOOKUP(Observaciones[Caso de Prueba],CasoPrueba[[#All],[Código CP]:[Prioridad]],7,TRUE)</f>
        <v>Alta</v>
      </c>
      <c r="D157" s="34" t="s">
        <v>29</v>
      </c>
      <c r="E157" s="34" t="s">
        <v>49</v>
      </c>
      <c r="F157" s="73">
        <v>40807</v>
      </c>
      <c r="G157" s="73">
        <v>40831</v>
      </c>
      <c r="H157" s="94" t="s">
        <v>132</v>
      </c>
      <c r="I157" s="34" t="s">
        <v>599</v>
      </c>
      <c r="J157" s="34" t="s">
        <v>817</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5" t="s">
        <v>525</v>
      </c>
      <c r="B158" s="34" t="s">
        <v>489</v>
      </c>
      <c r="C158" s="34" t="str">
        <f>VLOOKUP(Observaciones[Caso de Prueba],CasoPrueba[[#All],[Código CP]:[Prioridad]],7,TRUE)</f>
        <v>Alta</v>
      </c>
      <c r="D158" s="34" t="s">
        <v>30</v>
      </c>
      <c r="E158" s="34" t="s">
        <v>49</v>
      </c>
      <c r="F158" s="73">
        <v>40807</v>
      </c>
      <c r="G158" s="73">
        <v>40831</v>
      </c>
      <c r="H158" s="94" t="s">
        <v>132</v>
      </c>
      <c r="I158" s="34" t="s">
        <v>607</v>
      </c>
      <c r="J158" s="34" t="s">
        <v>837</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5" t="s">
        <v>526</v>
      </c>
      <c r="B159" s="34" t="s">
        <v>489</v>
      </c>
      <c r="C159" s="34" t="str">
        <f>VLOOKUP(Observaciones[Caso de Prueba],CasoPrueba[[#All],[Código CP]:[Prioridad]],7,TRUE)</f>
        <v>Alta</v>
      </c>
      <c r="D159" s="34" t="s">
        <v>29</v>
      </c>
      <c r="E159" s="34" t="s">
        <v>49</v>
      </c>
      <c r="F159" s="73">
        <v>40807</v>
      </c>
      <c r="G159" s="73">
        <v>40831</v>
      </c>
      <c r="H159" s="94" t="s">
        <v>132</v>
      </c>
      <c r="I159" s="34" t="s">
        <v>608</v>
      </c>
      <c r="J159" s="34" t="s">
        <v>838</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5" t="s">
        <v>527</v>
      </c>
      <c r="B160" s="34" t="s">
        <v>489</v>
      </c>
      <c r="C160" s="34" t="str">
        <f>VLOOKUP(Observaciones[Caso de Prueba],CasoPrueba[[#All],[Código CP]:[Prioridad]],7,TRUE)</f>
        <v>Alta</v>
      </c>
      <c r="D160" s="34" t="s">
        <v>28</v>
      </c>
      <c r="E160" s="34" t="s">
        <v>49</v>
      </c>
      <c r="F160" s="73">
        <v>40807</v>
      </c>
      <c r="G160" s="73">
        <v>40831</v>
      </c>
      <c r="H160" s="94" t="s">
        <v>132</v>
      </c>
      <c r="I160" s="34" t="s">
        <v>609</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5" t="s">
        <v>528</v>
      </c>
      <c r="B161" s="34" t="s">
        <v>489</v>
      </c>
      <c r="C161" s="34" t="str">
        <f>VLOOKUP(Observaciones[Caso de Prueba],CasoPrueba[[#All],[Código CP]:[Prioridad]],7,TRUE)</f>
        <v>Alta</v>
      </c>
      <c r="D161" s="34" t="s">
        <v>29</v>
      </c>
      <c r="E161" s="34" t="s">
        <v>49</v>
      </c>
      <c r="F161" s="73">
        <v>40807</v>
      </c>
      <c r="G161" s="73">
        <v>40831</v>
      </c>
      <c r="H161" s="94" t="s">
        <v>132</v>
      </c>
      <c r="I161" s="34" t="s">
        <v>610</v>
      </c>
      <c r="J161" s="34" t="s">
        <v>839</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5" t="s">
        <v>529</v>
      </c>
      <c r="B162" s="34" t="s">
        <v>489</v>
      </c>
      <c r="C162" s="34" t="str">
        <f>VLOOKUP(Observaciones[Caso de Prueba],CasoPrueba[[#All],[Código CP]:[Prioridad]],7,TRUE)</f>
        <v>Alta</v>
      </c>
      <c r="D162" s="34" t="s">
        <v>162</v>
      </c>
      <c r="E162" s="34" t="s">
        <v>49</v>
      </c>
      <c r="F162" s="73">
        <v>40807</v>
      </c>
      <c r="G162" s="73">
        <v>40831</v>
      </c>
      <c r="H162" s="94" t="s">
        <v>132</v>
      </c>
      <c r="I162" s="34" t="s">
        <v>611</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5" t="s">
        <v>530</v>
      </c>
      <c r="B163" s="34" t="s">
        <v>489</v>
      </c>
      <c r="C163" s="34" t="str">
        <f>VLOOKUP(Observaciones[Caso de Prueba],CasoPrueba[[#All],[Código CP]:[Prioridad]],7,TRUE)</f>
        <v>Alta</v>
      </c>
      <c r="D163" s="34" t="s">
        <v>29</v>
      </c>
      <c r="E163" s="34" t="s">
        <v>49</v>
      </c>
      <c r="F163" s="73">
        <v>40807</v>
      </c>
      <c r="G163" s="73">
        <v>40831</v>
      </c>
      <c r="H163" s="94" t="s">
        <v>132</v>
      </c>
      <c r="I163" s="34" t="s">
        <v>612</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5" t="s">
        <v>531</v>
      </c>
      <c r="B164" s="34" t="s">
        <v>489</v>
      </c>
      <c r="C164" s="34" t="str">
        <f>VLOOKUP(Observaciones[Caso de Prueba],CasoPrueba[[#All],[Código CP]:[Prioridad]],7,TRUE)</f>
        <v>Alta</v>
      </c>
      <c r="D164" s="34" t="s">
        <v>162</v>
      </c>
      <c r="E164" s="34" t="s">
        <v>49</v>
      </c>
      <c r="F164" s="73">
        <v>40807</v>
      </c>
      <c r="G164" s="73">
        <v>40831</v>
      </c>
      <c r="H164" s="94" t="s">
        <v>132</v>
      </c>
      <c r="I164" s="34" t="s">
        <v>613</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5" t="s">
        <v>532</v>
      </c>
      <c r="B165" s="34" t="s">
        <v>614</v>
      </c>
      <c r="C165" s="34" t="str">
        <f>VLOOKUP(Observaciones[Caso de Prueba],CasoPrueba[[#All],[Código CP]:[Prioridad]],7,TRUE)</f>
        <v>Alta</v>
      </c>
      <c r="D165" s="34" t="s">
        <v>162</v>
      </c>
      <c r="E165" s="34" t="s">
        <v>49</v>
      </c>
      <c r="F165" s="73">
        <v>40807</v>
      </c>
      <c r="G165" s="73">
        <v>40831</v>
      </c>
      <c r="H165" s="94" t="s">
        <v>132</v>
      </c>
      <c r="I165" s="34" t="s">
        <v>625</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5" t="s">
        <v>533</v>
      </c>
      <c r="B166" s="34" t="s">
        <v>614</v>
      </c>
      <c r="C166" s="34" t="str">
        <f>VLOOKUP(Observaciones[Caso de Prueba],CasoPrueba[[#All],[Código CP]:[Prioridad]],7,TRUE)</f>
        <v>Alta</v>
      </c>
      <c r="D166" s="34" t="s">
        <v>28</v>
      </c>
      <c r="E166" s="34" t="s">
        <v>49</v>
      </c>
      <c r="F166" s="73">
        <v>40807</v>
      </c>
      <c r="G166" s="73">
        <v>40831</v>
      </c>
      <c r="H166" s="94" t="s">
        <v>132</v>
      </c>
      <c r="I166" s="34" t="s">
        <v>584</v>
      </c>
      <c r="J166" s="34" t="s">
        <v>819</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5" t="s">
        <v>534</v>
      </c>
      <c r="B167" s="34" t="s">
        <v>614</v>
      </c>
      <c r="C167" s="34" t="str">
        <f>VLOOKUP(Observaciones[Caso de Prueba],CasoPrueba[[#All],[Código CP]:[Prioridad]],7,TRUE)</f>
        <v>Alta</v>
      </c>
      <c r="D167" s="34" t="s">
        <v>29</v>
      </c>
      <c r="E167" s="34" t="s">
        <v>49</v>
      </c>
      <c r="F167" s="73">
        <v>40807</v>
      </c>
      <c r="G167" s="73">
        <v>40831</v>
      </c>
      <c r="H167" s="94" t="s">
        <v>132</v>
      </c>
      <c r="I167" s="34" t="s">
        <v>599</v>
      </c>
      <c r="J167" s="34" t="s">
        <v>840</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5" t="s">
        <v>535</v>
      </c>
      <c r="B168" s="34" t="s">
        <v>614</v>
      </c>
      <c r="C168" s="34" t="str">
        <f>VLOOKUP(Observaciones[Caso de Prueba],CasoPrueba[[#All],[Código CP]:[Prioridad]],7,TRUE)</f>
        <v>Alta</v>
      </c>
      <c r="D168" s="34" t="s">
        <v>162</v>
      </c>
      <c r="E168" s="34" t="s">
        <v>49</v>
      </c>
      <c r="F168" s="73">
        <v>40807</v>
      </c>
      <c r="G168" s="73">
        <v>40831</v>
      </c>
      <c r="H168" s="94" t="s">
        <v>132</v>
      </c>
      <c r="I168" s="34" t="s">
        <v>634</v>
      </c>
      <c r="J168" s="34" t="s">
        <v>467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5" t="s">
        <v>536</v>
      </c>
      <c r="B169" s="34" t="s">
        <v>614</v>
      </c>
      <c r="C169" s="34" t="str">
        <f>VLOOKUP(Observaciones[Caso de Prueba],CasoPrueba[[#All],[Código CP]:[Prioridad]],7,TRUE)</f>
        <v>Alta</v>
      </c>
      <c r="D169" s="34" t="s">
        <v>30</v>
      </c>
      <c r="E169" s="34" t="s">
        <v>49</v>
      </c>
      <c r="F169" s="73">
        <v>40807</v>
      </c>
      <c r="G169" s="73">
        <v>40831</v>
      </c>
      <c r="H169" s="94" t="s">
        <v>132</v>
      </c>
      <c r="I169" s="34" t="s">
        <v>630</v>
      </c>
      <c r="J169" s="34" t="s">
        <v>841</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5" t="s">
        <v>537</v>
      </c>
      <c r="B170" s="34" t="s">
        <v>614</v>
      </c>
      <c r="C170" s="34" t="str">
        <f>VLOOKUP(Observaciones[Caso de Prueba],CasoPrueba[[#All],[Código CP]:[Prioridad]],7,TRUE)</f>
        <v>Alta</v>
      </c>
      <c r="D170" s="34" t="s">
        <v>162</v>
      </c>
      <c r="E170" s="34" t="s">
        <v>49</v>
      </c>
      <c r="F170" s="73">
        <v>40807</v>
      </c>
      <c r="G170" s="73">
        <v>40831</v>
      </c>
      <c r="H170" s="94" t="s">
        <v>132</v>
      </c>
      <c r="I170" s="34" t="s">
        <v>627</v>
      </c>
      <c r="J170" s="34" t="s">
        <v>842</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5" t="s">
        <v>538</v>
      </c>
      <c r="B171" s="34" t="s">
        <v>614</v>
      </c>
      <c r="C171" s="34" t="str">
        <f>VLOOKUP(Observaciones[Caso de Prueba],CasoPrueba[[#All],[Código CP]:[Prioridad]],7,TRUE)</f>
        <v>Alta</v>
      </c>
      <c r="D171" s="34" t="s">
        <v>162</v>
      </c>
      <c r="E171" s="34" t="s">
        <v>49</v>
      </c>
      <c r="F171" s="73">
        <v>40807</v>
      </c>
      <c r="G171" s="73">
        <v>40831</v>
      </c>
      <c r="H171" s="94" t="s">
        <v>132</v>
      </c>
      <c r="I171" s="34" t="s">
        <v>628</v>
      </c>
      <c r="J171" s="34" t="s">
        <v>467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5" t="s">
        <v>539</v>
      </c>
      <c r="B172" s="34" t="s">
        <v>614</v>
      </c>
      <c r="C172" s="34" t="str">
        <f>VLOOKUP(Observaciones[Caso de Prueba],CasoPrueba[[#All],[Código CP]:[Prioridad]],7,TRUE)</f>
        <v>Alta</v>
      </c>
      <c r="D172" s="34" t="s">
        <v>162</v>
      </c>
      <c r="E172" s="34" t="s">
        <v>49</v>
      </c>
      <c r="F172" s="73">
        <v>40807</v>
      </c>
      <c r="G172" s="73">
        <v>40831</v>
      </c>
      <c r="H172" s="94" t="s">
        <v>132</v>
      </c>
      <c r="I172" s="34" t="s">
        <v>629</v>
      </c>
      <c r="J172" s="34" t="s">
        <v>467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5" t="s">
        <v>540</v>
      </c>
      <c r="B173" s="34" t="s">
        <v>614</v>
      </c>
      <c r="C173" s="34" t="str">
        <f>VLOOKUP(Observaciones[Caso de Prueba],CasoPrueba[[#All],[Código CP]:[Prioridad]],7,TRUE)</f>
        <v>Alta</v>
      </c>
      <c r="D173" s="34" t="s">
        <v>162</v>
      </c>
      <c r="E173" s="34" t="s">
        <v>49</v>
      </c>
      <c r="F173" s="73">
        <v>40807</v>
      </c>
      <c r="G173" s="73">
        <v>40831</v>
      </c>
      <c r="H173" s="94" t="s">
        <v>132</v>
      </c>
      <c r="I173" s="34" t="s">
        <v>631</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5" t="s">
        <v>541</v>
      </c>
      <c r="B174" s="34" t="s">
        <v>614</v>
      </c>
      <c r="C174" s="34" t="str">
        <f>VLOOKUP(Observaciones[Caso de Prueba],CasoPrueba[[#All],[Código CP]:[Prioridad]],7,TRUE)</f>
        <v>Alta</v>
      </c>
      <c r="D174" s="34" t="s">
        <v>29</v>
      </c>
      <c r="E174" s="34" t="s">
        <v>49</v>
      </c>
      <c r="F174" s="73">
        <v>40807</v>
      </c>
      <c r="G174" s="73">
        <v>40831</v>
      </c>
      <c r="H174" s="94" t="s">
        <v>132</v>
      </c>
      <c r="I174" s="34" t="s">
        <v>632</v>
      </c>
      <c r="J174" s="34" t="s">
        <v>843</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5" t="s">
        <v>542</v>
      </c>
      <c r="B175" s="34" t="s">
        <v>614</v>
      </c>
      <c r="C175" s="34" t="str">
        <f>VLOOKUP(Observaciones[Caso de Prueba],CasoPrueba[[#All],[Código CP]:[Prioridad]],7,TRUE)</f>
        <v>Alta</v>
      </c>
      <c r="D175" s="34" t="s">
        <v>29</v>
      </c>
      <c r="E175" s="34" t="s">
        <v>49</v>
      </c>
      <c r="F175" s="73">
        <v>40807</v>
      </c>
      <c r="G175" s="73">
        <v>40831</v>
      </c>
      <c r="H175" s="94" t="s">
        <v>132</v>
      </c>
      <c r="I175" s="34" t="s">
        <v>633</v>
      </c>
      <c r="J175" s="34" t="s">
        <v>844</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5" t="s">
        <v>543</v>
      </c>
      <c r="B176" s="34" t="s">
        <v>616</v>
      </c>
      <c r="C176" s="34" t="str">
        <f>VLOOKUP(Observaciones[Caso de Prueba],CasoPrueba[[#All],[Código CP]:[Prioridad]],7,TRUE)</f>
        <v>Alta</v>
      </c>
      <c r="D176" s="34" t="s">
        <v>29</v>
      </c>
      <c r="E176" s="34" t="s">
        <v>49</v>
      </c>
      <c r="F176" s="73">
        <v>40826</v>
      </c>
      <c r="G176" s="73">
        <v>40831</v>
      </c>
      <c r="H176" s="94" t="s">
        <v>132</v>
      </c>
      <c r="I176" s="34" t="s">
        <v>597</v>
      </c>
      <c r="J176" s="34" t="s">
        <v>830</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5" t="s">
        <v>544</v>
      </c>
      <c r="B177" s="34" t="s">
        <v>616</v>
      </c>
      <c r="C177" s="34" t="str">
        <f>VLOOKUP(Observaciones[Caso de Prueba],CasoPrueba[[#All],[Código CP]:[Prioridad]],7,TRUE)</f>
        <v>Alta</v>
      </c>
      <c r="D177" s="34" t="s">
        <v>28</v>
      </c>
      <c r="E177" s="34" t="s">
        <v>49</v>
      </c>
      <c r="F177" s="73">
        <v>40826</v>
      </c>
      <c r="G177" s="73">
        <v>40831</v>
      </c>
      <c r="H177" s="94" t="s">
        <v>132</v>
      </c>
      <c r="I177" s="34" t="s">
        <v>584</v>
      </c>
      <c r="J177" s="34" t="s">
        <v>832</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5" t="s">
        <v>545</v>
      </c>
      <c r="B178" s="34" t="s">
        <v>616</v>
      </c>
      <c r="C178" s="34" t="str">
        <f>VLOOKUP(Observaciones[Caso de Prueba],CasoPrueba[[#All],[Código CP]:[Prioridad]],7,TRUE)</f>
        <v>Alta</v>
      </c>
      <c r="D178" s="34" t="s">
        <v>28</v>
      </c>
      <c r="E178" s="34" t="s">
        <v>49</v>
      </c>
      <c r="F178" s="73">
        <v>40826</v>
      </c>
      <c r="G178" s="73">
        <v>40831</v>
      </c>
      <c r="H178" s="94" t="s">
        <v>132</v>
      </c>
      <c r="I178" s="34" t="s">
        <v>635</v>
      </c>
      <c r="J178" s="34" t="s">
        <v>845</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5" t="s">
        <v>546</v>
      </c>
      <c r="B179" s="34" t="s">
        <v>616</v>
      </c>
      <c r="C179" s="34" t="str">
        <f>VLOOKUP(Observaciones[Caso de Prueba],CasoPrueba[[#All],[Código CP]:[Prioridad]],7,TRUE)</f>
        <v>Alta</v>
      </c>
      <c r="D179" s="34" t="s">
        <v>30</v>
      </c>
      <c r="E179" s="34" t="s">
        <v>49</v>
      </c>
      <c r="F179" s="73">
        <v>40826</v>
      </c>
      <c r="G179" s="73">
        <v>40831</v>
      </c>
      <c r="H179" s="94" t="s">
        <v>132</v>
      </c>
      <c r="I179" s="34" t="s">
        <v>636</v>
      </c>
      <c r="J179" s="34" t="s">
        <v>846</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5" t="s">
        <v>547</v>
      </c>
      <c r="B180" s="34" t="s">
        <v>616</v>
      </c>
      <c r="C180" s="34" t="str">
        <f>VLOOKUP(Observaciones[Caso de Prueba],CasoPrueba[[#All],[Código CP]:[Prioridad]],7,TRUE)</f>
        <v>Alta</v>
      </c>
      <c r="D180" s="34" t="s">
        <v>29</v>
      </c>
      <c r="E180" s="34" t="s">
        <v>49</v>
      </c>
      <c r="F180" s="73">
        <v>40826</v>
      </c>
      <c r="G180" s="73">
        <v>40831</v>
      </c>
      <c r="H180" s="94" t="s">
        <v>132</v>
      </c>
      <c r="I180" s="34" t="s">
        <v>637</v>
      </c>
      <c r="J180" s="34" t="s">
        <v>847</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5" t="s">
        <v>548</v>
      </c>
      <c r="B181" s="34" t="s">
        <v>616</v>
      </c>
      <c r="C181" s="34" t="str">
        <f>VLOOKUP(Observaciones[Caso de Prueba],CasoPrueba[[#All],[Código CP]:[Prioridad]],7,TRUE)</f>
        <v>Alta</v>
      </c>
      <c r="D181" s="34" t="s">
        <v>30</v>
      </c>
      <c r="E181" s="34" t="s">
        <v>49</v>
      </c>
      <c r="F181" s="73">
        <v>40826</v>
      </c>
      <c r="G181" s="73">
        <v>40831</v>
      </c>
      <c r="H181" s="94" t="s">
        <v>132</v>
      </c>
      <c r="I181" s="34" t="s">
        <v>638</v>
      </c>
      <c r="J181" s="34" t="s">
        <v>848</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5" t="s">
        <v>549</v>
      </c>
      <c r="B182" s="34" t="s">
        <v>616</v>
      </c>
      <c r="C182" s="34" t="str">
        <f>VLOOKUP(Observaciones[Caso de Prueba],CasoPrueba[[#All],[Código CP]:[Prioridad]],7,TRUE)</f>
        <v>Alta</v>
      </c>
      <c r="D182" s="34" t="s">
        <v>30</v>
      </c>
      <c r="E182" s="34" t="s">
        <v>49</v>
      </c>
      <c r="F182" s="73">
        <v>40826</v>
      </c>
      <c r="G182" s="73">
        <v>40831</v>
      </c>
      <c r="H182" s="94" t="s">
        <v>132</v>
      </c>
      <c r="I182" s="34" t="s">
        <v>639</v>
      </c>
      <c r="J182" s="34" t="s">
        <v>849</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5" t="s">
        <v>550</v>
      </c>
      <c r="B183" s="34" t="s">
        <v>616</v>
      </c>
      <c r="C183" s="34" t="str">
        <f>VLOOKUP(Observaciones[Caso de Prueba],CasoPrueba[[#All],[Código CP]:[Prioridad]],7,TRUE)</f>
        <v>Alta</v>
      </c>
      <c r="D183" s="34" t="s">
        <v>29</v>
      </c>
      <c r="E183" s="34" t="s">
        <v>49</v>
      </c>
      <c r="F183" s="73">
        <v>40828</v>
      </c>
      <c r="G183" s="73">
        <v>40831</v>
      </c>
      <c r="H183" s="94" t="s">
        <v>132</v>
      </c>
      <c r="I183" s="34" t="s">
        <v>640</v>
      </c>
      <c r="J183" s="34" t="s">
        <v>850</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5" t="s">
        <v>551</v>
      </c>
      <c r="B184" s="34" t="s">
        <v>617</v>
      </c>
      <c r="C184" s="34" t="str">
        <f>VLOOKUP(Observaciones[Caso de Prueba],CasoPrueba[[#All],[Código CP]:[Prioridad]],7,TRUE)</f>
        <v>Alta</v>
      </c>
      <c r="D184" s="34" t="s">
        <v>29</v>
      </c>
      <c r="E184" s="34" t="s">
        <v>49</v>
      </c>
      <c r="F184" s="73">
        <v>40828</v>
      </c>
      <c r="G184" s="73">
        <v>40831</v>
      </c>
      <c r="H184" s="94" t="s">
        <v>132</v>
      </c>
      <c r="I184" s="34" t="s">
        <v>597</v>
      </c>
      <c r="J184" s="34" t="s">
        <v>830</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5" t="s">
        <v>552</v>
      </c>
      <c r="B185" s="34" t="s">
        <v>617</v>
      </c>
      <c r="C185" s="34" t="str">
        <f>VLOOKUP(Observaciones[Caso de Prueba],CasoPrueba[[#All],[Código CP]:[Prioridad]],7,TRUE)</f>
        <v>Alta</v>
      </c>
      <c r="D185" s="34" t="s">
        <v>162</v>
      </c>
      <c r="E185" s="34" t="s">
        <v>49</v>
      </c>
      <c r="F185" s="73">
        <v>40828</v>
      </c>
      <c r="G185" s="73">
        <v>40831</v>
      </c>
      <c r="H185" s="94" t="s">
        <v>132</v>
      </c>
      <c r="I185" s="34" t="s">
        <v>641</v>
      </c>
      <c r="J185" s="34" t="s">
        <v>851</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5" t="s">
        <v>553</v>
      </c>
      <c r="B186" s="34" t="s">
        <v>617</v>
      </c>
      <c r="C186" s="34" t="str">
        <f>VLOOKUP(Observaciones[Caso de Prueba],CasoPrueba[[#All],[Código CP]:[Prioridad]],7,TRUE)</f>
        <v>Alta</v>
      </c>
      <c r="D186" s="34" t="s">
        <v>29</v>
      </c>
      <c r="E186" s="34" t="s">
        <v>49</v>
      </c>
      <c r="F186" s="73">
        <v>40828</v>
      </c>
      <c r="G186" s="73">
        <v>40831</v>
      </c>
      <c r="H186" s="94" t="s">
        <v>132</v>
      </c>
      <c r="I186" s="34" t="s">
        <v>644</v>
      </c>
      <c r="J186" s="34" t="s">
        <v>852</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5" t="s">
        <v>554</v>
      </c>
      <c r="B187" s="34" t="s">
        <v>617</v>
      </c>
      <c r="C187" s="34" t="str">
        <f>VLOOKUP(Observaciones[Caso de Prueba],CasoPrueba[[#All],[Código CP]:[Prioridad]],7,TRUE)</f>
        <v>Alta</v>
      </c>
      <c r="D187" s="34" t="s">
        <v>29</v>
      </c>
      <c r="E187" s="34" t="s">
        <v>49</v>
      </c>
      <c r="F187" s="73">
        <v>40828</v>
      </c>
      <c r="G187" s="73">
        <v>40831</v>
      </c>
      <c r="H187" s="94" t="s">
        <v>132</v>
      </c>
      <c r="I187" s="34" t="s">
        <v>642</v>
      </c>
      <c r="J187" s="34" t="s">
        <v>853</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5" t="s">
        <v>555</v>
      </c>
      <c r="B188" s="34" t="s">
        <v>617</v>
      </c>
      <c r="C188" s="34" t="str">
        <f>VLOOKUP(Observaciones[Caso de Prueba],CasoPrueba[[#All],[Código CP]:[Prioridad]],7,TRUE)</f>
        <v>Alta</v>
      </c>
      <c r="D188" s="34" t="s">
        <v>29</v>
      </c>
      <c r="E188" s="34" t="s">
        <v>49</v>
      </c>
      <c r="F188" s="73">
        <v>40828</v>
      </c>
      <c r="G188" s="73">
        <v>40831</v>
      </c>
      <c r="H188" s="94" t="s">
        <v>132</v>
      </c>
      <c r="I188" s="34" t="s">
        <v>643</v>
      </c>
      <c r="J188" s="34" t="s">
        <v>854</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5" t="s">
        <v>556</v>
      </c>
      <c r="B189" s="34" t="s">
        <v>617</v>
      </c>
      <c r="C189" s="34" t="str">
        <f>VLOOKUP(Observaciones[Caso de Prueba],CasoPrueba[[#All],[Código CP]:[Prioridad]],7,TRUE)</f>
        <v>Alta</v>
      </c>
      <c r="D189" s="34" t="s">
        <v>29</v>
      </c>
      <c r="E189" s="34" t="s">
        <v>49</v>
      </c>
      <c r="F189" s="73">
        <v>40828</v>
      </c>
      <c r="G189" s="73">
        <v>40831</v>
      </c>
      <c r="H189" s="94" t="s">
        <v>132</v>
      </c>
      <c r="I189" s="34" t="s">
        <v>645</v>
      </c>
      <c r="J189" s="34" t="s">
        <v>855</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5" t="s">
        <v>557</v>
      </c>
      <c r="B190" s="34" t="s">
        <v>618</v>
      </c>
      <c r="C190" s="34" t="str">
        <f>VLOOKUP(Observaciones[Caso de Prueba],CasoPrueba[[#All],[Código CP]:[Prioridad]],7,TRUE)</f>
        <v>Alta</v>
      </c>
      <c r="D190" s="34" t="s">
        <v>29</v>
      </c>
      <c r="E190" s="34" t="s">
        <v>49</v>
      </c>
      <c r="F190" s="73">
        <v>40828</v>
      </c>
      <c r="G190" s="73">
        <v>40831</v>
      </c>
      <c r="H190" s="94" t="s">
        <v>132</v>
      </c>
      <c r="I190" s="34" t="s">
        <v>597</v>
      </c>
      <c r="J190" s="34" t="s">
        <v>830</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5" t="s">
        <v>558</v>
      </c>
      <c r="B191" s="34" t="s">
        <v>618</v>
      </c>
      <c r="C191" s="34" t="str">
        <f>VLOOKUP(Observaciones[Caso de Prueba],CasoPrueba[[#All],[Código CP]:[Prioridad]],7,TRUE)</f>
        <v>Alta</v>
      </c>
      <c r="D191" s="34" t="s">
        <v>30</v>
      </c>
      <c r="E191" s="34" t="s">
        <v>49</v>
      </c>
      <c r="F191" s="73">
        <v>40828</v>
      </c>
      <c r="G191" s="73">
        <v>40831</v>
      </c>
      <c r="H191" s="94" t="s">
        <v>132</v>
      </c>
      <c r="I191" s="34" t="s">
        <v>646</v>
      </c>
      <c r="J191" s="34" t="s">
        <v>856</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5" t="s">
        <v>559</v>
      </c>
      <c r="B192" s="34" t="s">
        <v>618</v>
      </c>
      <c r="C192" s="34" t="str">
        <f>VLOOKUP(Observaciones[Caso de Prueba],CasoPrueba[[#All],[Código CP]:[Prioridad]],7,TRUE)</f>
        <v>Alta</v>
      </c>
      <c r="D192" s="34" t="s">
        <v>29</v>
      </c>
      <c r="E192" s="34" t="s">
        <v>49</v>
      </c>
      <c r="F192" s="73">
        <v>40828</v>
      </c>
      <c r="G192" s="73">
        <v>40831</v>
      </c>
      <c r="H192" s="94" t="s">
        <v>132</v>
      </c>
      <c r="I192" s="34" t="s">
        <v>648</v>
      </c>
      <c r="J192" s="34" t="s">
        <v>468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5" t="s">
        <v>560</v>
      </c>
      <c r="B193" s="34" t="s">
        <v>618</v>
      </c>
      <c r="C193" s="34" t="str">
        <f>VLOOKUP(Observaciones[Caso de Prueba],CasoPrueba[[#All],[Código CP]:[Prioridad]],7,TRUE)</f>
        <v>Alta</v>
      </c>
      <c r="D193" s="34" t="s">
        <v>28</v>
      </c>
      <c r="E193" s="34" t="s">
        <v>49</v>
      </c>
      <c r="F193" s="73">
        <v>40828</v>
      </c>
      <c r="G193" s="73">
        <v>40831</v>
      </c>
      <c r="H193" s="94" t="s">
        <v>132</v>
      </c>
      <c r="I193" s="34" t="s">
        <v>649</v>
      </c>
      <c r="J193" s="34" t="s">
        <v>857</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5" t="s">
        <v>561</v>
      </c>
      <c r="B194" s="34" t="s">
        <v>619</v>
      </c>
      <c r="C194" s="34" t="str">
        <f>VLOOKUP(Observaciones[Caso de Prueba],CasoPrueba[[#All],[Código CP]:[Prioridad]],7,TRUE)</f>
        <v>Alta</v>
      </c>
      <c r="D194" s="34" t="s">
        <v>29</v>
      </c>
      <c r="E194" s="34" t="s">
        <v>49</v>
      </c>
      <c r="F194" s="73">
        <v>40828</v>
      </c>
      <c r="G194" s="73">
        <v>40831</v>
      </c>
      <c r="H194" s="94" t="s">
        <v>132</v>
      </c>
      <c r="I194" s="34" t="s">
        <v>597</v>
      </c>
      <c r="J194" s="34" t="s">
        <v>830</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5" t="s">
        <v>562</v>
      </c>
      <c r="B195" s="34" t="s">
        <v>619</v>
      </c>
      <c r="C195" s="34" t="str">
        <f>VLOOKUP(Observaciones[Caso de Prueba],CasoPrueba[[#All],[Código CP]:[Prioridad]],7,TRUE)</f>
        <v>Alta</v>
      </c>
      <c r="D195" s="34" t="s">
        <v>162</v>
      </c>
      <c r="E195" s="34" t="s">
        <v>49</v>
      </c>
      <c r="F195" s="73">
        <v>40828</v>
      </c>
      <c r="G195" s="73">
        <v>40831</v>
      </c>
      <c r="H195" s="94" t="s">
        <v>132</v>
      </c>
      <c r="I195" s="34" t="s">
        <v>647</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5" t="s">
        <v>563</v>
      </c>
      <c r="B196" s="34" t="s">
        <v>619</v>
      </c>
      <c r="C196" s="34" t="str">
        <f>VLOOKUP(Observaciones[Caso de Prueba],CasoPrueba[[#All],[Código CP]:[Prioridad]],7,TRUE)</f>
        <v>Alta</v>
      </c>
      <c r="D196" s="34" t="s">
        <v>28</v>
      </c>
      <c r="E196" s="34" t="s">
        <v>49</v>
      </c>
      <c r="F196" s="73">
        <v>40828</v>
      </c>
      <c r="G196" s="73">
        <v>40831</v>
      </c>
      <c r="H196" s="94" t="s">
        <v>132</v>
      </c>
      <c r="I196" s="34" t="s">
        <v>650</v>
      </c>
      <c r="J196" s="34" t="s">
        <v>857</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5" t="s">
        <v>564</v>
      </c>
      <c r="B197" s="34" t="s">
        <v>619</v>
      </c>
      <c r="C197" s="34" t="str">
        <f>VLOOKUP(Observaciones[Caso de Prueba],CasoPrueba[[#All],[Código CP]:[Prioridad]],7,TRUE)</f>
        <v>Alta</v>
      </c>
      <c r="D197" s="34" t="s">
        <v>29</v>
      </c>
      <c r="E197" s="34" t="s">
        <v>49</v>
      </c>
      <c r="F197" s="73">
        <v>40828</v>
      </c>
      <c r="G197" s="73">
        <v>40831</v>
      </c>
      <c r="H197" s="94" t="s">
        <v>132</v>
      </c>
      <c r="I197" s="34" t="s">
        <v>651</v>
      </c>
      <c r="J197" s="34" t="s">
        <v>858</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5" t="s">
        <v>565</v>
      </c>
      <c r="B198" s="34" t="s">
        <v>619</v>
      </c>
      <c r="C198" s="34" t="str">
        <f>VLOOKUP(Observaciones[Caso de Prueba],CasoPrueba[[#All],[Código CP]:[Prioridad]],7,TRUE)</f>
        <v>Alta</v>
      </c>
      <c r="D198" s="34" t="s">
        <v>29</v>
      </c>
      <c r="E198" s="34" t="s">
        <v>49</v>
      </c>
      <c r="F198" s="73">
        <v>40828</v>
      </c>
      <c r="G198" s="73">
        <v>40831</v>
      </c>
      <c r="H198" s="94" t="s">
        <v>132</v>
      </c>
      <c r="I198" s="34" t="s">
        <v>599</v>
      </c>
      <c r="J198" s="34" t="s">
        <v>817</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5" t="s">
        <v>566</v>
      </c>
      <c r="B199" s="34" t="s">
        <v>619</v>
      </c>
      <c r="C199" s="34" t="str">
        <f>VLOOKUP(Observaciones[Caso de Prueba],CasoPrueba[[#All],[Código CP]:[Prioridad]],7,TRUE)</f>
        <v>Alta</v>
      </c>
      <c r="D199" s="34" t="s">
        <v>162</v>
      </c>
      <c r="E199" s="34" t="s">
        <v>49</v>
      </c>
      <c r="F199" s="73">
        <v>40828</v>
      </c>
      <c r="G199" s="73">
        <v>40831</v>
      </c>
      <c r="H199" s="94" t="s">
        <v>132</v>
      </c>
      <c r="I199" s="34" t="s">
        <v>652</v>
      </c>
      <c r="J199" s="34" t="s">
        <v>823</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5" t="s">
        <v>567</v>
      </c>
      <c r="B200" s="34" t="s">
        <v>653</v>
      </c>
      <c r="C200" s="34" t="str">
        <f>VLOOKUP(Observaciones[Caso de Prueba],CasoPrueba[[#All],[Código CP]:[Prioridad]],7,TRUE)</f>
        <v>Alta</v>
      </c>
      <c r="D200" s="34" t="s">
        <v>162</v>
      </c>
      <c r="E200" s="34" t="s">
        <v>49</v>
      </c>
      <c r="F200" s="73">
        <v>40829</v>
      </c>
      <c r="G200" s="73">
        <v>40831</v>
      </c>
      <c r="H200" s="94" t="s">
        <v>132</v>
      </c>
      <c r="I200" s="34" t="s">
        <v>803</v>
      </c>
      <c r="J200" s="34" t="s">
        <v>859</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5" t="s">
        <v>568</v>
      </c>
      <c r="B201" s="34" t="s">
        <v>653</v>
      </c>
      <c r="C201" s="34" t="str">
        <f>VLOOKUP(Observaciones[Caso de Prueba],CasoPrueba[[#All],[Código CP]:[Prioridad]],7,TRUE)</f>
        <v>Alta</v>
      </c>
      <c r="D201" s="34" t="s">
        <v>28</v>
      </c>
      <c r="E201" s="34" t="s">
        <v>49</v>
      </c>
      <c r="F201" s="73">
        <v>40829</v>
      </c>
      <c r="G201" s="73">
        <v>40831</v>
      </c>
      <c r="H201" s="94" t="s">
        <v>132</v>
      </c>
      <c r="I201" s="34" t="s">
        <v>584</v>
      </c>
      <c r="J201" s="34" t="s">
        <v>860</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5" t="s">
        <v>569</v>
      </c>
      <c r="B202" s="34" t="s">
        <v>653</v>
      </c>
      <c r="C202" s="34" t="str">
        <f>VLOOKUP(Observaciones[Caso de Prueba],CasoPrueba[[#All],[Código CP]:[Prioridad]],7,TRUE)</f>
        <v>Alta</v>
      </c>
      <c r="D202" s="34" t="s">
        <v>29</v>
      </c>
      <c r="E202" s="34" t="s">
        <v>49</v>
      </c>
      <c r="F202" s="73">
        <v>40829</v>
      </c>
      <c r="G202" s="73">
        <v>40831</v>
      </c>
      <c r="H202" s="94" t="s">
        <v>132</v>
      </c>
      <c r="I202" s="34" t="s">
        <v>804</v>
      </c>
      <c r="J202" s="34" t="s">
        <v>861</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5" t="s">
        <v>570</v>
      </c>
      <c r="B203" s="34" t="s">
        <v>653</v>
      </c>
      <c r="C203" s="34" t="str">
        <f>VLOOKUP(Observaciones[Caso de Prueba],CasoPrueba[[#All],[Código CP]:[Prioridad]],7,TRUE)</f>
        <v>Alta</v>
      </c>
      <c r="D203" s="34" t="s">
        <v>29</v>
      </c>
      <c r="E203" s="34" t="s">
        <v>49</v>
      </c>
      <c r="F203" s="73">
        <v>40829</v>
      </c>
      <c r="G203" s="73">
        <v>40831</v>
      </c>
      <c r="H203" s="94" t="s">
        <v>132</v>
      </c>
      <c r="I203" s="34" t="s">
        <v>805</v>
      </c>
      <c r="J203" s="34" t="s">
        <v>862</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5" t="s">
        <v>571</v>
      </c>
      <c r="B204" s="34" t="s">
        <v>653</v>
      </c>
      <c r="C204" s="34" t="str">
        <f>VLOOKUP(Observaciones[Caso de Prueba],CasoPrueba[[#All],[Código CP]:[Prioridad]],7,TRUE)</f>
        <v>Alta</v>
      </c>
      <c r="D204" s="34" t="s">
        <v>30</v>
      </c>
      <c r="E204" s="34" t="s">
        <v>49</v>
      </c>
      <c r="F204" s="73">
        <v>40829</v>
      </c>
      <c r="G204" s="73">
        <v>40831</v>
      </c>
      <c r="H204" s="94" t="s">
        <v>132</v>
      </c>
      <c r="I204" s="34" t="s">
        <v>806</v>
      </c>
      <c r="J204" s="34" t="s">
        <v>863</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5" t="s">
        <v>572</v>
      </c>
      <c r="B205" s="34" t="s">
        <v>653</v>
      </c>
      <c r="C205" s="34" t="str">
        <f>VLOOKUP(Observaciones[Caso de Prueba],CasoPrueba[[#All],[Código CP]:[Prioridad]],7,TRUE)</f>
        <v>Alta</v>
      </c>
      <c r="D205" s="34" t="s">
        <v>162</v>
      </c>
      <c r="E205" s="34" t="s">
        <v>49</v>
      </c>
      <c r="F205" s="73">
        <v>40829</v>
      </c>
      <c r="G205" s="73">
        <v>40831</v>
      </c>
      <c r="H205" s="94" t="s">
        <v>132</v>
      </c>
      <c r="I205" s="34" t="s">
        <v>807</v>
      </c>
      <c r="J205" s="34" t="s">
        <v>467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5" t="s">
        <v>573</v>
      </c>
      <c r="B206" s="34" t="s">
        <v>653</v>
      </c>
      <c r="C206" s="34" t="str">
        <f>VLOOKUP(Observaciones[Caso de Prueba],CasoPrueba[[#All],[Código CP]:[Prioridad]],7,TRUE)</f>
        <v>Alta</v>
      </c>
      <c r="D206" s="34" t="s">
        <v>29</v>
      </c>
      <c r="E206" s="34" t="s">
        <v>49</v>
      </c>
      <c r="F206" s="73">
        <v>40829</v>
      </c>
      <c r="G206" s="73">
        <v>40831</v>
      </c>
      <c r="H206" s="94" t="s">
        <v>132</v>
      </c>
      <c r="I206" s="34" t="s">
        <v>879</v>
      </c>
      <c r="J206" s="34" t="s">
        <v>864</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5" t="s">
        <v>574</v>
      </c>
      <c r="B207" s="34" t="s">
        <v>653</v>
      </c>
      <c r="C207" s="34" t="str">
        <f>VLOOKUP(Observaciones[Caso de Prueba],CasoPrueba[[#All],[Código CP]:[Prioridad]],7,TRUE)</f>
        <v>Alta</v>
      </c>
      <c r="D207" s="34" t="s">
        <v>29</v>
      </c>
      <c r="E207" s="34" t="s">
        <v>49</v>
      </c>
      <c r="F207" s="73">
        <v>40829</v>
      </c>
      <c r="G207" s="73">
        <v>40831</v>
      </c>
      <c r="H207" s="94" t="s">
        <v>132</v>
      </c>
      <c r="I207" s="34" t="s">
        <v>808</v>
      </c>
      <c r="J207" s="34" t="s">
        <v>865</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5" t="s">
        <v>575</v>
      </c>
      <c r="B208" s="34" t="s">
        <v>653</v>
      </c>
      <c r="C208" s="34" t="str">
        <f>VLOOKUP(Observaciones[Caso de Prueba],CasoPrueba[[#All],[Código CP]:[Prioridad]],7,TRUE)</f>
        <v>Alta</v>
      </c>
      <c r="D208" s="34" t="s">
        <v>162</v>
      </c>
      <c r="E208" s="34" t="s">
        <v>49</v>
      </c>
      <c r="F208" s="73">
        <v>40829</v>
      </c>
      <c r="G208" s="73">
        <v>40831</v>
      </c>
      <c r="H208" s="94" t="s">
        <v>132</v>
      </c>
      <c r="I208" s="34" t="s">
        <v>809</v>
      </c>
      <c r="J208" s="34" t="s">
        <v>467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5" t="s">
        <v>576</v>
      </c>
      <c r="B209" s="34" t="s">
        <v>653</v>
      </c>
      <c r="C209" s="34" t="str">
        <f>VLOOKUP(Observaciones[Caso de Prueba],CasoPrueba[[#All],[Código CP]:[Prioridad]],7,TRUE)</f>
        <v>Alta</v>
      </c>
      <c r="D209" s="34" t="s">
        <v>30</v>
      </c>
      <c r="E209" s="34" t="s">
        <v>49</v>
      </c>
      <c r="F209" s="73">
        <v>40829</v>
      </c>
      <c r="G209" s="73">
        <v>40831</v>
      </c>
      <c r="H209" s="94" t="s">
        <v>132</v>
      </c>
      <c r="I209" s="34" t="s">
        <v>880</v>
      </c>
      <c r="J209" s="34" t="s">
        <v>866</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5" t="s">
        <v>577</v>
      </c>
      <c r="B210" s="34" t="s">
        <v>653</v>
      </c>
      <c r="C210" s="34" t="str">
        <f>VLOOKUP(Observaciones[Caso de Prueba],CasoPrueba[[#All],[Código CP]:[Prioridad]],7,TRUE)</f>
        <v>Alta</v>
      </c>
      <c r="D210" s="34" t="s">
        <v>30</v>
      </c>
      <c r="E210" s="34" t="s">
        <v>49</v>
      </c>
      <c r="F210" s="73">
        <v>40829</v>
      </c>
      <c r="G210" s="73">
        <v>40831</v>
      </c>
      <c r="H210" s="94" t="s">
        <v>132</v>
      </c>
      <c r="I210" s="34" t="s">
        <v>810</v>
      </c>
      <c r="J210" s="34" t="s">
        <v>867</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5" t="s">
        <v>578</v>
      </c>
      <c r="B211" s="34" t="s">
        <v>653</v>
      </c>
      <c r="C211" s="34" t="str">
        <f>VLOOKUP(Observaciones[Caso de Prueba],CasoPrueba[[#All],[Código CP]:[Prioridad]],7,TRUE)</f>
        <v>Alta</v>
      </c>
      <c r="D211" s="34" t="s">
        <v>162</v>
      </c>
      <c r="E211" s="34" t="s">
        <v>49</v>
      </c>
      <c r="F211" s="73">
        <v>40829</v>
      </c>
      <c r="G211" s="73">
        <v>40831</v>
      </c>
      <c r="H211" s="94" t="s">
        <v>132</v>
      </c>
      <c r="I211" s="34" t="s">
        <v>811</v>
      </c>
      <c r="J211" s="34" t="s">
        <v>467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5" t="s">
        <v>579</v>
      </c>
      <c r="B212" s="34" t="s">
        <v>654</v>
      </c>
      <c r="C212" s="34" t="str">
        <f>VLOOKUP(Observaciones[Caso de Prueba],CasoPrueba[[#All],[Código CP]:[Prioridad]],7,TRUE)</f>
        <v>Alta</v>
      </c>
      <c r="D212" s="34" t="s">
        <v>29</v>
      </c>
      <c r="E212" s="34" t="s">
        <v>49</v>
      </c>
      <c r="F212" s="73">
        <v>40830</v>
      </c>
      <c r="G212" s="73">
        <v>40831</v>
      </c>
      <c r="H212" s="94" t="s">
        <v>132</v>
      </c>
      <c r="I212" s="34" t="s">
        <v>597</v>
      </c>
      <c r="J212" s="34" t="s">
        <v>830</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5" t="s">
        <v>580</v>
      </c>
      <c r="B213" s="34" t="s">
        <v>654</v>
      </c>
      <c r="C213" s="34" t="str">
        <f>VLOOKUP(Observaciones[Caso de Prueba],CasoPrueba[[#All],[Código CP]:[Prioridad]],7,TRUE)</f>
        <v>Alta</v>
      </c>
      <c r="D213" s="34" t="s">
        <v>28</v>
      </c>
      <c r="E213" s="34" t="s">
        <v>49</v>
      </c>
      <c r="F213" s="73">
        <v>40830</v>
      </c>
      <c r="G213" s="73">
        <v>40831</v>
      </c>
      <c r="H213" s="94" t="s">
        <v>132</v>
      </c>
      <c r="I213" s="34" t="s">
        <v>584</v>
      </c>
      <c r="J213" s="34" t="s">
        <v>832</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5" t="s">
        <v>581</v>
      </c>
      <c r="B214" s="34" t="s">
        <v>654</v>
      </c>
      <c r="C214" s="34" t="str">
        <f>VLOOKUP(Observaciones[Caso de Prueba],CasoPrueba[[#All],[Código CP]:[Prioridad]],7,TRUE)</f>
        <v>Alta</v>
      </c>
      <c r="D214" s="34" t="s">
        <v>29</v>
      </c>
      <c r="E214" s="34" t="s">
        <v>49</v>
      </c>
      <c r="F214" s="73">
        <v>40830</v>
      </c>
      <c r="G214" s="73">
        <v>40831</v>
      </c>
      <c r="H214" s="94" t="s">
        <v>132</v>
      </c>
      <c r="I214" s="34" t="s">
        <v>812</v>
      </c>
      <c r="J214" s="34" t="s">
        <v>868</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5" t="s">
        <v>582</v>
      </c>
      <c r="B215" s="34" t="s">
        <v>654</v>
      </c>
      <c r="C215" s="34" t="str">
        <f>VLOOKUP(Observaciones[Caso de Prueba],CasoPrueba[[#All],[Código CP]:[Prioridad]],7,TRUE)</f>
        <v>Alta</v>
      </c>
      <c r="D215" s="34" t="s">
        <v>29</v>
      </c>
      <c r="E215" s="34" t="s">
        <v>49</v>
      </c>
      <c r="F215" s="73">
        <v>40830</v>
      </c>
      <c r="G215" s="73">
        <v>40831</v>
      </c>
      <c r="H215" s="94" t="s">
        <v>132</v>
      </c>
      <c r="I215" s="34" t="s">
        <v>813</v>
      </c>
      <c r="J215" s="34" t="s">
        <v>869</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5" t="s">
        <v>657</v>
      </c>
      <c r="B216" s="34" t="s">
        <v>654</v>
      </c>
      <c r="C216" s="34" t="str">
        <f>VLOOKUP(Observaciones[Caso de Prueba],CasoPrueba[[#All],[Código CP]:[Prioridad]],7,TRUE)</f>
        <v>Alta</v>
      </c>
      <c r="D216" s="34" t="s">
        <v>162</v>
      </c>
      <c r="E216" s="34" t="s">
        <v>49</v>
      </c>
      <c r="F216" s="73">
        <v>40830</v>
      </c>
      <c r="G216" s="73">
        <v>40831</v>
      </c>
      <c r="H216" s="94" t="s">
        <v>132</v>
      </c>
      <c r="I216" s="34" t="s">
        <v>814</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5" t="s">
        <v>658</v>
      </c>
      <c r="B217" s="34" t="s">
        <v>654</v>
      </c>
      <c r="C217" s="34" t="str">
        <f>VLOOKUP(Observaciones[Caso de Prueba],CasoPrueba[[#All],[Código CP]:[Prioridad]],7,TRUE)</f>
        <v>Alta</v>
      </c>
      <c r="D217" s="34" t="s">
        <v>162</v>
      </c>
      <c r="E217" s="34" t="s">
        <v>49</v>
      </c>
      <c r="F217" s="73">
        <v>40830</v>
      </c>
      <c r="G217" s="73">
        <v>40831</v>
      </c>
      <c r="H217" s="94" t="s">
        <v>132</v>
      </c>
      <c r="I217" s="34" t="s">
        <v>815</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hidden="1">
      <c r="A218" s="165" t="s">
        <v>659</v>
      </c>
      <c r="B218" s="34" t="s">
        <v>487</v>
      </c>
      <c r="C218" s="34" t="str">
        <f>VLOOKUP(Observaciones[Caso de Prueba],CasoPrueba[[#All],[Código CP]:[Prioridad]],7,TRUE)</f>
        <v>Alta</v>
      </c>
      <c r="D218" s="34" t="s">
        <v>28</v>
      </c>
      <c r="E218" s="34" t="s">
        <v>49</v>
      </c>
      <c r="F218" s="73">
        <v>40835</v>
      </c>
      <c r="G218" s="73">
        <v>40843</v>
      </c>
      <c r="H218" s="94" t="s">
        <v>132</v>
      </c>
      <c r="I218" s="34" t="s">
        <v>870</v>
      </c>
      <c r="J218" s="34" t="s">
        <v>955</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66" hidden="1" customHeight="1">
      <c r="A219" s="165" t="s">
        <v>660</v>
      </c>
      <c r="B219" s="34" t="s">
        <v>488</v>
      </c>
      <c r="C219" s="34" t="str">
        <f>VLOOKUP(Observaciones[Caso de Prueba],CasoPrueba[[#All],[Código CP]:[Prioridad]],7,TRUE)</f>
        <v>Alta</v>
      </c>
      <c r="D219" s="34" t="s">
        <v>28</v>
      </c>
      <c r="E219" s="34" t="s">
        <v>49</v>
      </c>
      <c r="F219" s="73">
        <v>40835</v>
      </c>
      <c r="G219" s="73">
        <v>40843</v>
      </c>
      <c r="H219" s="94" t="s">
        <v>132</v>
      </c>
      <c r="I219" s="34" t="s">
        <v>597</v>
      </c>
      <c r="J219" s="34" t="s">
        <v>956</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45" hidden="1">
      <c r="A220" s="165" t="s">
        <v>661</v>
      </c>
      <c r="B220" s="34" t="s">
        <v>488</v>
      </c>
      <c r="C220" s="34" t="str">
        <f>VLOOKUP(Observaciones[Caso de Prueba],CasoPrueba[[#All],[Código CP]:[Prioridad]],7,TRUE)</f>
        <v>Alta</v>
      </c>
      <c r="D220" s="34" t="s">
        <v>28</v>
      </c>
      <c r="E220" s="34" t="s">
        <v>49</v>
      </c>
      <c r="F220" s="73">
        <v>40835</v>
      </c>
      <c r="G220" s="73">
        <v>40843</v>
      </c>
      <c r="H220" s="94" t="s">
        <v>132</v>
      </c>
      <c r="I220" s="34" t="s">
        <v>871</v>
      </c>
      <c r="J220" s="34" t="s">
        <v>955</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45" hidden="1">
      <c r="A221" s="165" t="s">
        <v>662</v>
      </c>
      <c r="B221" s="34" t="s">
        <v>489</v>
      </c>
      <c r="C221" s="34" t="str">
        <f>VLOOKUP(Observaciones[Caso de Prueba],CasoPrueba[[#All],[Código CP]:[Prioridad]],7,TRUE)</f>
        <v>Alta</v>
      </c>
      <c r="D221" s="34" t="s">
        <v>28</v>
      </c>
      <c r="E221" s="34" t="s">
        <v>49</v>
      </c>
      <c r="F221" s="73">
        <v>40835</v>
      </c>
      <c r="G221" s="73">
        <v>40843</v>
      </c>
      <c r="H221" s="94" t="s">
        <v>132</v>
      </c>
      <c r="I221" s="34" t="s">
        <v>597</v>
      </c>
      <c r="J221" s="34" t="s">
        <v>957</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45" hidden="1">
      <c r="A222" s="165" t="s">
        <v>663</v>
      </c>
      <c r="B222" s="34" t="s">
        <v>489</v>
      </c>
      <c r="C222" s="34" t="str">
        <f>VLOOKUP(Observaciones[Caso de Prueba],CasoPrueba[[#All],[Código CP]:[Prioridad]],7,TRUE)</f>
        <v>Alta</v>
      </c>
      <c r="D222" s="34" t="s">
        <v>28</v>
      </c>
      <c r="E222" s="34" t="s">
        <v>49</v>
      </c>
      <c r="F222" s="73">
        <v>40835</v>
      </c>
      <c r="G222" s="73">
        <v>40843</v>
      </c>
      <c r="H222" s="94" t="s">
        <v>132</v>
      </c>
      <c r="I222" s="34" t="s">
        <v>871</v>
      </c>
      <c r="J222" s="34" t="s">
        <v>955</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45" hidden="1">
      <c r="A223" s="165" t="s">
        <v>664</v>
      </c>
      <c r="B223" s="34" t="s">
        <v>614</v>
      </c>
      <c r="C223" s="34" t="str">
        <f>VLOOKUP(Observaciones[Caso de Prueba],CasoPrueba[[#All],[Código CP]:[Prioridad]],7,TRUE)</f>
        <v>Alta</v>
      </c>
      <c r="D223" s="34" t="s">
        <v>28</v>
      </c>
      <c r="E223" s="34" t="s">
        <v>49</v>
      </c>
      <c r="F223" s="73">
        <v>40835</v>
      </c>
      <c r="G223" s="73">
        <v>40843</v>
      </c>
      <c r="H223" s="94" t="s">
        <v>132</v>
      </c>
      <c r="I223" s="34" t="s">
        <v>871</v>
      </c>
      <c r="J223" s="34" t="s">
        <v>986</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45" hidden="1">
      <c r="A224" s="165" t="s">
        <v>665</v>
      </c>
      <c r="B224" s="34" t="s">
        <v>616</v>
      </c>
      <c r="C224" s="34" t="str">
        <f>VLOOKUP(Observaciones[Caso de Prueba],CasoPrueba[[#All],[Código CP]:[Prioridad]],7,TRUE)</f>
        <v>Alta</v>
      </c>
      <c r="D224" s="34" t="s">
        <v>28</v>
      </c>
      <c r="E224" s="34" t="s">
        <v>49</v>
      </c>
      <c r="F224" s="73">
        <v>40835</v>
      </c>
      <c r="G224" s="73">
        <v>40843</v>
      </c>
      <c r="H224" s="94" t="s">
        <v>132</v>
      </c>
      <c r="I224" s="34" t="s">
        <v>871</v>
      </c>
      <c r="J224" s="34" t="s">
        <v>986</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88.5" hidden="1" customHeight="1">
      <c r="A225" s="165" t="s">
        <v>666</v>
      </c>
      <c r="B225" s="34" t="s">
        <v>616</v>
      </c>
      <c r="C225" s="34" t="str">
        <f>VLOOKUP(Observaciones[Caso de Prueba],CasoPrueba[[#All],[Código CP]:[Prioridad]],7,TRUE)</f>
        <v>Alta</v>
      </c>
      <c r="D225" s="34" t="s">
        <v>28</v>
      </c>
      <c r="E225" s="34" t="s">
        <v>49</v>
      </c>
      <c r="F225" s="73">
        <v>40835</v>
      </c>
      <c r="G225" s="73">
        <v>40843</v>
      </c>
      <c r="H225" s="94" t="s">
        <v>132</v>
      </c>
      <c r="I225" s="34" t="s">
        <v>872</v>
      </c>
      <c r="J225" s="34" t="s">
        <v>1118</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90" hidden="1">
      <c r="A226" s="165" t="s">
        <v>667</v>
      </c>
      <c r="B226" s="34" t="s">
        <v>616</v>
      </c>
      <c r="C226" s="34" t="str">
        <f>VLOOKUP(Observaciones[Caso de Prueba],CasoPrueba[[#All],[Código CP]:[Prioridad]],7,TRUE)</f>
        <v>Alta</v>
      </c>
      <c r="D226" s="34" t="s">
        <v>29</v>
      </c>
      <c r="E226" s="34" t="s">
        <v>49</v>
      </c>
      <c r="F226" s="73">
        <v>40835</v>
      </c>
      <c r="G226" s="73">
        <v>40843</v>
      </c>
      <c r="H226" s="94" t="s">
        <v>132</v>
      </c>
      <c r="I226" s="34" t="s">
        <v>599</v>
      </c>
      <c r="J226" s="34" t="s">
        <v>1119</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45" hidden="1">
      <c r="A227" s="165" t="s">
        <v>668</v>
      </c>
      <c r="B227" s="34" t="s">
        <v>617</v>
      </c>
      <c r="C227" s="34" t="str">
        <f>VLOOKUP(Observaciones[Caso de Prueba],CasoPrueba[[#All],[Código CP]:[Prioridad]],7,TRUE)</f>
        <v>Alta</v>
      </c>
      <c r="D227" s="34" t="s">
        <v>28</v>
      </c>
      <c r="E227" s="34" t="s">
        <v>49</v>
      </c>
      <c r="F227" s="73">
        <v>40835</v>
      </c>
      <c r="G227" s="73">
        <v>40843</v>
      </c>
      <c r="H227" s="94" t="s">
        <v>132</v>
      </c>
      <c r="I227" s="34" t="s">
        <v>597</v>
      </c>
      <c r="J227" s="34" t="s">
        <v>964</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45" hidden="1">
      <c r="A228" s="165" t="s">
        <v>669</v>
      </c>
      <c r="B228" s="34" t="s">
        <v>618</v>
      </c>
      <c r="C228" s="34" t="str">
        <f>VLOOKUP(Observaciones[Caso de Prueba],CasoPrueba[[#All],[Código CP]:[Prioridad]],7,TRUE)</f>
        <v>Alta</v>
      </c>
      <c r="D228" s="34" t="s">
        <v>28</v>
      </c>
      <c r="E228" s="34" t="s">
        <v>49</v>
      </c>
      <c r="F228" s="73">
        <v>40835</v>
      </c>
      <c r="G228" s="73">
        <v>40843</v>
      </c>
      <c r="H228" s="94" t="s">
        <v>132</v>
      </c>
      <c r="I228" s="34" t="s">
        <v>597</v>
      </c>
      <c r="J228" s="34" t="s">
        <v>965</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45" hidden="1">
      <c r="A229" s="165" t="s">
        <v>670</v>
      </c>
      <c r="B229" s="34" t="s">
        <v>619</v>
      </c>
      <c r="C229" s="34" t="str">
        <f>VLOOKUP(Observaciones[Caso de Prueba],CasoPrueba[[#All],[Código CP]:[Prioridad]],7,TRUE)</f>
        <v>Alta</v>
      </c>
      <c r="D229" s="34" t="s">
        <v>28</v>
      </c>
      <c r="E229" s="34" t="s">
        <v>49</v>
      </c>
      <c r="F229" s="73">
        <v>40835</v>
      </c>
      <c r="G229" s="73">
        <v>40843</v>
      </c>
      <c r="H229" s="94" t="s">
        <v>132</v>
      </c>
      <c r="I229" s="34" t="s">
        <v>597</v>
      </c>
      <c r="J229" s="34" t="s">
        <v>963</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30" hidden="1">
      <c r="A230" s="165" t="s">
        <v>671</v>
      </c>
      <c r="B230" s="34" t="s">
        <v>619</v>
      </c>
      <c r="C230" s="34" t="str">
        <f>VLOOKUP(Observaciones[Caso de Prueba],CasoPrueba[[#All],[Código CP]:[Prioridad]],7,TRUE)</f>
        <v>Alta</v>
      </c>
      <c r="D230" s="34" t="s">
        <v>29</v>
      </c>
      <c r="E230" s="34" t="s">
        <v>49</v>
      </c>
      <c r="F230" s="73">
        <v>40835</v>
      </c>
      <c r="G230" s="73">
        <v>40843</v>
      </c>
      <c r="H230" s="94" t="s">
        <v>132</v>
      </c>
      <c r="I230" s="34" t="s">
        <v>873</v>
      </c>
      <c r="J230" s="34" t="s">
        <v>958</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60" hidden="1">
      <c r="A231" s="165" t="s">
        <v>672</v>
      </c>
      <c r="B231" s="34" t="s">
        <v>619</v>
      </c>
      <c r="C231" s="34" t="str">
        <f>VLOOKUP(Observaciones[Caso de Prueba],CasoPrueba[[#All],[Código CP]:[Prioridad]],7,TRUE)</f>
        <v>Alta</v>
      </c>
      <c r="D231" s="34" t="s">
        <v>29</v>
      </c>
      <c r="E231" s="34" t="s">
        <v>49</v>
      </c>
      <c r="F231" s="73">
        <v>40835</v>
      </c>
      <c r="G231" s="73">
        <v>40843</v>
      </c>
      <c r="H231" s="94" t="s">
        <v>132</v>
      </c>
      <c r="I231" s="34" t="s">
        <v>874</v>
      </c>
      <c r="J231" s="34" t="s">
        <v>959</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30" hidden="1">
      <c r="A232" s="165" t="s">
        <v>673</v>
      </c>
      <c r="B232" s="34" t="s">
        <v>619</v>
      </c>
      <c r="C232" s="34" t="str">
        <f>VLOOKUP(Observaciones[Caso de Prueba],CasoPrueba[[#All],[Código CP]:[Prioridad]],7,TRUE)</f>
        <v>Alta</v>
      </c>
      <c r="D232" s="34" t="s">
        <v>29</v>
      </c>
      <c r="E232" s="34" t="s">
        <v>49</v>
      </c>
      <c r="F232" s="73">
        <v>40835</v>
      </c>
      <c r="G232" s="73">
        <v>40843</v>
      </c>
      <c r="H232" s="94" t="s">
        <v>132</v>
      </c>
      <c r="I232" s="34" t="s">
        <v>875</v>
      </c>
      <c r="J232" s="34" t="s">
        <v>397</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30" hidden="1">
      <c r="A233" s="165" t="s">
        <v>674</v>
      </c>
      <c r="B233" s="34" t="s">
        <v>619</v>
      </c>
      <c r="C233" s="34" t="str">
        <f>VLOOKUP(Observaciones[Caso de Prueba],CasoPrueba[[#All],[Código CP]:[Prioridad]],7,TRUE)</f>
        <v>Alta</v>
      </c>
      <c r="D233" s="34" t="s">
        <v>29</v>
      </c>
      <c r="E233" s="34" t="s">
        <v>49</v>
      </c>
      <c r="F233" s="73">
        <v>40835</v>
      </c>
      <c r="G233" s="73">
        <v>40843</v>
      </c>
      <c r="H233" s="94" t="s">
        <v>132</v>
      </c>
      <c r="I233" s="34" t="s">
        <v>876</v>
      </c>
      <c r="J233" s="34" t="s">
        <v>960</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75" hidden="1" customHeight="1">
      <c r="A234" s="165" t="s">
        <v>675</v>
      </c>
      <c r="B234" s="34" t="s">
        <v>619</v>
      </c>
      <c r="C234" s="34" t="str">
        <f>VLOOKUP(Observaciones[Caso de Prueba],CasoPrueba[[#All],[Código CP]:[Prioridad]],7,TRUE)</f>
        <v>Alta</v>
      </c>
      <c r="D234" s="34" t="s">
        <v>29</v>
      </c>
      <c r="E234" s="34" t="s">
        <v>49</v>
      </c>
      <c r="F234" s="73">
        <v>40835</v>
      </c>
      <c r="G234" s="73">
        <v>40843</v>
      </c>
      <c r="H234" s="94" t="s">
        <v>132</v>
      </c>
      <c r="I234" s="34" t="s">
        <v>877</v>
      </c>
      <c r="J234" s="34" t="s">
        <v>961</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90" hidden="1">
      <c r="A235" s="165" t="s">
        <v>676</v>
      </c>
      <c r="B235" s="34" t="s">
        <v>619</v>
      </c>
      <c r="C235" s="34" t="str">
        <f>VLOOKUP(Observaciones[Caso de Prueba],CasoPrueba[[#All],[Código CP]:[Prioridad]],7,TRUE)</f>
        <v>Alta</v>
      </c>
      <c r="D235" s="34" t="s">
        <v>29</v>
      </c>
      <c r="E235" s="34" t="s">
        <v>49</v>
      </c>
      <c r="F235" s="73">
        <v>40835</v>
      </c>
      <c r="G235" s="73">
        <v>40843</v>
      </c>
      <c r="H235" s="94" t="s">
        <v>132</v>
      </c>
      <c r="I235" s="34" t="s">
        <v>878</v>
      </c>
      <c r="J235" s="34" t="s">
        <v>962</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45" hidden="1">
      <c r="A236" s="165" t="s">
        <v>677</v>
      </c>
      <c r="B236" s="34" t="s">
        <v>653</v>
      </c>
      <c r="C236" s="34" t="str">
        <f>VLOOKUP(Observaciones[Caso de Prueba],CasoPrueba[[#All],[Código CP]:[Prioridad]],7,TRUE)</f>
        <v>Alta</v>
      </c>
      <c r="D236" s="34" t="s">
        <v>28</v>
      </c>
      <c r="E236" s="34" t="s">
        <v>49</v>
      </c>
      <c r="F236" s="73">
        <v>40835</v>
      </c>
      <c r="G236" s="73">
        <v>40843</v>
      </c>
      <c r="H236" s="94" t="s">
        <v>132</v>
      </c>
      <c r="I236" s="34" t="s">
        <v>871</v>
      </c>
      <c r="J236" s="34" t="s">
        <v>986</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45" hidden="1">
      <c r="A237" s="165" t="s">
        <v>678</v>
      </c>
      <c r="B237" s="34" t="s">
        <v>654</v>
      </c>
      <c r="C237" s="34" t="str">
        <f>VLOOKUP(Observaciones[Caso de Prueba],CasoPrueba[[#All],[Código CP]:[Prioridad]],7,TRUE)</f>
        <v>Alta</v>
      </c>
      <c r="D237" s="34" t="s">
        <v>28</v>
      </c>
      <c r="E237" s="34" t="s">
        <v>49</v>
      </c>
      <c r="F237" s="73">
        <v>40835</v>
      </c>
      <c r="G237" s="73">
        <v>40843</v>
      </c>
      <c r="H237" s="94" t="s">
        <v>132</v>
      </c>
      <c r="I237" s="34" t="s">
        <v>597</v>
      </c>
      <c r="J237" s="34" t="s">
        <v>986</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45" hidden="1">
      <c r="A238" s="165" t="s">
        <v>679</v>
      </c>
      <c r="B238" s="34" t="s">
        <v>654</v>
      </c>
      <c r="C238" s="34" t="str">
        <f>VLOOKUP(Observaciones[Caso de Prueba],CasoPrueba[[#All],[Código CP]:[Prioridad]],7,TRUE)</f>
        <v>Alta</v>
      </c>
      <c r="D238" s="34" t="s">
        <v>28</v>
      </c>
      <c r="E238" s="34" t="s">
        <v>49</v>
      </c>
      <c r="F238" s="73">
        <v>40835</v>
      </c>
      <c r="G238" s="73">
        <v>40843</v>
      </c>
      <c r="H238" s="94" t="s">
        <v>132</v>
      </c>
      <c r="I238" s="34" t="s">
        <v>871</v>
      </c>
      <c r="J238" s="34" t="s">
        <v>986</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60" hidden="1">
      <c r="A239" s="165" t="s">
        <v>680</v>
      </c>
      <c r="B239" s="34" t="s">
        <v>887</v>
      </c>
      <c r="C239" s="34" t="str">
        <f>VLOOKUP(Observaciones[Caso de Prueba],CasoPrueba[[#All],[Código CP]:[Prioridad]],7,TRUE)</f>
        <v>Alta</v>
      </c>
      <c r="D239" s="34" t="s">
        <v>162</v>
      </c>
      <c r="E239" s="34" t="s">
        <v>49</v>
      </c>
      <c r="F239" s="73">
        <v>40838</v>
      </c>
      <c r="G239" s="73">
        <v>40843</v>
      </c>
      <c r="H239" s="94" t="s">
        <v>132</v>
      </c>
      <c r="I239" s="34" t="s">
        <v>907</v>
      </c>
      <c r="J239" s="34" t="s">
        <v>966</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46.5" hidden="1" customHeight="1">
      <c r="A240" s="165" t="s">
        <v>681</v>
      </c>
      <c r="B240" s="34" t="s">
        <v>887</v>
      </c>
      <c r="C240" s="34" t="str">
        <f>VLOOKUP(Observaciones[Caso de Prueba],CasoPrueba[[#All],[Código CP]:[Prioridad]],7,TRUE)</f>
        <v>Alta</v>
      </c>
      <c r="D240" s="34" t="s">
        <v>162</v>
      </c>
      <c r="E240" s="34" t="s">
        <v>49</v>
      </c>
      <c r="F240" s="73">
        <v>40838</v>
      </c>
      <c r="G240" s="73">
        <v>40843</v>
      </c>
      <c r="H240" s="94" t="s">
        <v>132</v>
      </c>
      <c r="I240" s="34" t="s">
        <v>908</v>
      </c>
      <c r="J240" s="34" t="s">
        <v>967</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45" hidden="1">
      <c r="A241" s="165" t="s">
        <v>682</v>
      </c>
      <c r="B241" s="34" t="s">
        <v>887</v>
      </c>
      <c r="C241" s="34" t="str">
        <f>VLOOKUP(Observaciones[Caso de Prueba],CasoPrueba[[#All],[Código CP]:[Prioridad]],7,TRUE)</f>
        <v>Alta</v>
      </c>
      <c r="D241" s="34" t="s">
        <v>162</v>
      </c>
      <c r="E241" s="34" t="s">
        <v>49</v>
      </c>
      <c r="F241" s="73">
        <v>40838</v>
      </c>
      <c r="G241" s="73">
        <v>40843</v>
      </c>
      <c r="H241" s="94" t="s">
        <v>132</v>
      </c>
      <c r="I241" s="34" t="s">
        <v>909</v>
      </c>
      <c r="J241" s="34" t="s">
        <v>968</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105" hidden="1">
      <c r="A242" s="165" t="s">
        <v>683</v>
      </c>
      <c r="B242" s="34" t="s">
        <v>887</v>
      </c>
      <c r="C242" s="34" t="str">
        <f>VLOOKUP(Observaciones[Caso de Prueba],CasoPrueba[[#All],[Código CP]:[Prioridad]],7,TRUE)</f>
        <v>Alta</v>
      </c>
      <c r="D242" s="34" t="s">
        <v>162</v>
      </c>
      <c r="E242" s="34" t="s">
        <v>49</v>
      </c>
      <c r="F242" s="73">
        <v>40838</v>
      </c>
      <c r="G242" s="73">
        <v>40843</v>
      </c>
      <c r="H242" s="94" t="s">
        <v>132</v>
      </c>
      <c r="I242" s="34" t="s">
        <v>917</v>
      </c>
      <c r="J242" s="34" t="s">
        <v>969</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45" hidden="1">
      <c r="A243" s="165" t="s">
        <v>684</v>
      </c>
      <c r="B243" s="34" t="s">
        <v>887</v>
      </c>
      <c r="C243" s="34" t="str">
        <f>VLOOKUP(Observaciones[Caso de Prueba],CasoPrueba[[#All],[Código CP]:[Prioridad]],7,TRUE)</f>
        <v>Alta</v>
      </c>
      <c r="D243" s="34" t="s">
        <v>28</v>
      </c>
      <c r="E243" s="34" t="s">
        <v>49</v>
      </c>
      <c r="F243" s="73">
        <v>40838</v>
      </c>
      <c r="G243" s="73">
        <v>40843</v>
      </c>
      <c r="H243" s="94" t="s">
        <v>132</v>
      </c>
      <c r="I243" s="34" t="s">
        <v>597</v>
      </c>
      <c r="J243" s="34" t="s">
        <v>970</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90" hidden="1">
      <c r="A244" s="165" t="s">
        <v>685</v>
      </c>
      <c r="B244" s="34" t="s">
        <v>887</v>
      </c>
      <c r="C244" s="34" t="str">
        <f>VLOOKUP(Observaciones[Caso de Prueba],CasoPrueba[[#All],[Código CP]:[Prioridad]],7,TRUE)</f>
        <v>Alta</v>
      </c>
      <c r="D244" s="34" t="s">
        <v>29</v>
      </c>
      <c r="E244" s="34" t="s">
        <v>49</v>
      </c>
      <c r="F244" s="73">
        <v>40838</v>
      </c>
      <c r="G244" s="73">
        <v>40843</v>
      </c>
      <c r="H244" s="94" t="s">
        <v>132</v>
      </c>
      <c r="I244" s="34" t="s">
        <v>599</v>
      </c>
      <c r="J244" s="34" t="s">
        <v>817</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60" hidden="1">
      <c r="A245" s="165" t="s">
        <v>686</v>
      </c>
      <c r="B245" s="34" t="s">
        <v>887</v>
      </c>
      <c r="C245" s="34" t="str">
        <f>VLOOKUP(Observaciones[Caso de Prueba],CasoPrueba[[#All],[Código CP]:[Prioridad]],7,TRUE)</f>
        <v>Alta</v>
      </c>
      <c r="D245" s="34" t="s">
        <v>162</v>
      </c>
      <c r="E245" s="34" t="s">
        <v>49</v>
      </c>
      <c r="F245" s="73">
        <v>40838</v>
      </c>
      <c r="G245" s="73">
        <v>40843</v>
      </c>
      <c r="H245" s="94" t="s">
        <v>132</v>
      </c>
      <c r="I245" s="34" t="s">
        <v>910</v>
      </c>
      <c r="J245" s="34" t="s">
        <v>971</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75" hidden="1">
      <c r="A246" s="165" t="s">
        <v>687</v>
      </c>
      <c r="B246" s="34" t="s">
        <v>887</v>
      </c>
      <c r="C246" s="34" t="str">
        <f>VLOOKUP(Observaciones[Caso de Prueba],CasoPrueba[[#All],[Código CP]:[Prioridad]],7,TRUE)</f>
        <v>Alta</v>
      </c>
      <c r="D246" s="34" t="s">
        <v>29</v>
      </c>
      <c r="E246" s="34" t="s">
        <v>49</v>
      </c>
      <c r="F246" s="73">
        <v>40838</v>
      </c>
      <c r="G246" s="73">
        <v>40843</v>
      </c>
      <c r="H246" s="94" t="s">
        <v>132</v>
      </c>
      <c r="I246" s="34" t="s">
        <v>911</v>
      </c>
      <c r="J246" s="34" t="s">
        <v>972</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45" hidden="1">
      <c r="A247" s="165" t="s">
        <v>688</v>
      </c>
      <c r="B247" s="34" t="s">
        <v>887</v>
      </c>
      <c r="C247" s="34" t="str">
        <f>VLOOKUP(Observaciones[Caso de Prueba],CasoPrueba[[#All],[Código CP]:[Prioridad]],7,TRUE)</f>
        <v>Alta</v>
      </c>
      <c r="D247" s="34" t="s">
        <v>162</v>
      </c>
      <c r="E247" s="34" t="s">
        <v>49</v>
      </c>
      <c r="F247" s="73">
        <v>40838</v>
      </c>
      <c r="G247" s="73">
        <v>40843</v>
      </c>
      <c r="H247" s="94" t="s">
        <v>132</v>
      </c>
      <c r="I247" s="34" t="s">
        <v>912</v>
      </c>
      <c r="J247" s="34" t="s">
        <v>968</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30" hidden="1">
      <c r="A248" s="165" t="s">
        <v>689</v>
      </c>
      <c r="B248" s="34" t="s">
        <v>887</v>
      </c>
      <c r="C248" s="34" t="str">
        <f>VLOOKUP(Observaciones[Caso de Prueba],CasoPrueba[[#All],[Código CP]:[Prioridad]],7,TRUE)</f>
        <v>Alta</v>
      </c>
      <c r="D248" s="34" t="s">
        <v>29</v>
      </c>
      <c r="E248" s="34" t="s">
        <v>49</v>
      </c>
      <c r="F248" s="73">
        <v>40838</v>
      </c>
      <c r="G248" s="73">
        <v>40843</v>
      </c>
      <c r="H248" s="94" t="s">
        <v>132</v>
      </c>
      <c r="I248" s="34" t="s">
        <v>913</v>
      </c>
      <c r="J248" s="34" t="s">
        <v>835</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75.75" hidden="1" customHeight="1">
      <c r="A249" s="165" t="s">
        <v>690</v>
      </c>
      <c r="B249" s="34" t="s">
        <v>887</v>
      </c>
      <c r="C249" s="34" t="str">
        <f>VLOOKUP(Observaciones[Caso de Prueba],CasoPrueba[[#All],[Código CP]:[Prioridad]],7,TRUE)</f>
        <v>Alta</v>
      </c>
      <c r="D249" s="34" t="s">
        <v>29</v>
      </c>
      <c r="E249" s="34" t="s">
        <v>49</v>
      </c>
      <c r="F249" s="73">
        <v>40838</v>
      </c>
      <c r="G249" s="73">
        <v>40843</v>
      </c>
      <c r="H249" s="94" t="s">
        <v>132</v>
      </c>
      <c r="I249" s="34" t="s">
        <v>1037</v>
      </c>
      <c r="J249" s="34" t="s">
        <v>973</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75" hidden="1">
      <c r="A250" s="165" t="s">
        <v>691</v>
      </c>
      <c r="B250" s="34" t="s">
        <v>887</v>
      </c>
      <c r="C250" s="34" t="str">
        <f>VLOOKUP(Observaciones[Caso de Prueba],CasoPrueba[[#All],[Código CP]:[Prioridad]],7,TRUE)</f>
        <v>Alta</v>
      </c>
      <c r="D250" s="34" t="s">
        <v>162</v>
      </c>
      <c r="E250" s="34" t="s">
        <v>49</v>
      </c>
      <c r="F250" s="73">
        <v>40838</v>
      </c>
      <c r="G250" s="73">
        <v>40843</v>
      </c>
      <c r="H250" s="94" t="s">
        <v>132</v>
      </c>
      <c r="I250" s="34" t="s">
        <v>914</v>
      </c>
      <c r="J250" s="34" t="s">
        <v>968</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30" hidden="1">
      <c r="A251" s="165" t="s">
        <v>692</v>
      </c>
      <c r="B251" s="34" t="s">
        <v>887</v>
      </c>
      <c r="C251" s="34" t="str">
        <f>VLOOKUP(Observaciones[Caso de Prueba],CasoPrueba[[#All],[Código CP]:[Prioridad]],7,TRUE)</f>
        <v>Alta</v>
      </c>
      <c r="D251" s="34" t="s">
        <v>162</v>
      </c>
      <c r="E251" s="34" t="s">
        <v>49</v>
      </c>
      <c r="F251" s="73">
        <v>40838</v>
      </c>
      <c r="G251" s="73">
        <v>40843</v>
      </c>
      <c r="H251" s="94" t="s">
        <v>132</v>
      </c>
      <c r="I251" s="34" t="s">
        <v>915</v>
      </c>
      <c r="J251" s="34" t="s">
        <v>968</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45" hidden="1">
      <c r="A252" s="165" t="s">
        <v>693</v>
      </c>
      <c r="B252" s="34" t="s">
        <v>887</v>
      </c>
      <c r="C252" s="34" t="str">
        <f>VLOOKUP(Observaciones[Caso de Prueba],CasoPrueba[[#All],[Código CP]:[Prioridad]],7,TRUE)</f>
        <v>Alta</v>
      </c>
      <c r="D252" s="34" t="s">
        <v>29</v>
      </c>
      <c r="E252" s="34" t="s">
        <v>49</v>
      </c>
      <c r="F252" s="73">
        <v>40838</v>
      </c>
      <c r="G252" s="73">
        <v>40843</v>
      </c>
      <c r="H252" s="94" t="s">
        <v>132</v>
      </c>
      <c r="I252" s="34" t="s">
        <v>916</v>
      </c>
      <c r="J252" s="34" t="s">
        <v>974</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45" hidden="1">
      <c r="A253" s="165" t="s">
        <v>694</v>
      </c>
      <c r="B253" s="34" t="s">
        <v>888</v>
      </c>
      <c r="C253" s="34" t="str">
        <f>VLOOKUP(Observaciones[Caso de Prueba],CasoPrueba[[#All],[Código CP]:[Prioridad]],7,TRUE)</f>
        <v>Alta</v>
      </c>
      <c r="D253" s="34" t="s">
        <v>28</v>
      </c>
      <c r="E253" s="34" t="s">
        <v>49</v>
      </c>
      <c r="F253" s="73">
        <v>40838</v>
      </c>
      <c r="G253" s="73">
        <v>40843</v>
      </c>
      <c r="H253" s="94" t="s">
        <v>132</v>
      </c>
      <c r="I253" s="34" t="s">
        <v>597</v>
      </c>
      <c r="J253" s="34" t="s">
        <v>975</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60" hidden="1">
      <c r="A254" s="165" t="s">
        <v>695</v>
      </c>
      <c r="B254" s="34" t="s">
        <v>888</v>
      </c>
      <c r="C254" s="34" t="str">
        <f>VLOOKUP(Observaciones[Caso de Prueba],CasoPrueba[[#All],[Código CP]:[Prioridad]],7,TRUE)</f>
        <v>Alta</v>
      </c>
      <c r="D254" s="34" t="s">
        <v>162</v>
      </c>
      <c r="E254" s="34" t="s">
        <v>49</v>
      </c>
      <c r="F254" s="73">
        <v>40838</v>
      </c>
      <c r="G254" s="73">
        <v>40843</v>
      </c>
      <c r="H254" s="94" t="s">
        <v>132</v>
      </c>
      <c r="I254" s="34" t="s">
        <v>918</v>
      </c>
      <c r="J254" s="34" t="s">
        <v>234</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30" hidden="1">
      <c r="A255" s="165" t="s">
        <v>696</v>
      </c>
      <c r="B255" s="34" t="s">
        <v>888</v>
      </c>
      <c r="C255" s="34" t="str">
        <f>VLOOKUP(Observaciones[Caso de Prueba],CasoPrueba[[#All],[Código CP]:[Prioridad]],7,TRUE)</f>
        <v>Alta</v>
      </c>
      <c r="D255" s="34" t="s">
        <v>162</v>
      </c>
      <c r="E255" s="34" t="s">
        <v>49</v>
      </c>
      <c r="F255" s="73">
        <v>40838</v>
      </c>
      <c r="G255" s="73">
        <v>40843</v>
      </c>
      <c r="H255" s="94" t="s">
        <v>132</v>
      </c>
      <c r="I255" s="34" t="s">
        <v>919</v>
      </c>
      <c r="J255" s="34" t="s">
        <v>976</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90" hidden="1">
      <c r="A256" s="165" t="s">
        <v>697</v>
      </c>
      <c r="B256" s="34" t="s">
        <v>888</v>
      </c>
      <c r="C256" s="34" t="str">
        <f>VLOOKUP(Observaciones[Caso de Prueba],CasoPrueba[[#All],[Código CP]:[Prioridad]],7,TRUE)</f>
        <v>Alta</v>
      </c>
      <c r="D256" s="34" t="s">
        <v>29</v>
      </c>
      <c r="E256" s="34" t="s">
        <v>49</v>
      </c>
      <c r="F256" s="73">
        <v>40838</v>
      </c>
      <c r="G256" s="73">
        <v>40843</v>
      </c>
      <c r="H256" s="94" t="s">
        <v>132</v>
      </c>
      <c r="I256" s="34" t="s">
        <v>599</v>
      </c>
      <c r="J256" s="34" t="s">
        <v>981</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45" hidden="1">
      <c r="A257" s="165" t="s">
        <v>698</v>
      </c>
      <c r="B257" s="34" t="s">
        <v>888</v>
      </c>
      <c r="C257" s="34" t="str">
        <f>VLOOKUP(Observaciones[Caso de Prueba],CasoPrueba[[#All],[Código CP]:[Prioridad]],7,TRUE)</f>
        <v>Alta</v>
      </c>
      <c r="D257" s="34" t="s">
        <v>28</v>
      </c>
      <c r="E257" s="34" t="s">
        <v>49</v>
      </c>
      <c r="F257" s="73">
        <v>40838</v>
      </c>
      <c r="G257" s="73">
        <v>40843</v>
      </c>
      <c r="H257" s="94" t="s">
        <v>132</v>
      </c>
      <c r="I257" s="34" t="s">
        <v>871</v>
      </c>
      <c r="J257" s="34" t="s">
        <v>977</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90.75" hidden="1" customHeight="1">
      <c r="A258" s="165" t="s">
        <v>699</v>
      </c>
      <c r="B258" s="34" t="s">
        <v>888</v>
      </c>
      <c r="C258" s="34" t="str">
        <f>VLOOKUP(Observaciones[Caso de Prueba],CasoPrueba[[#All],[Código CP]:[Prioridad]],7,TRUE)</f>
        <v>Alta</v>
      </c>
      <c r="D258" s="34" t="s">
        <v>28</v>
      </c>
      <c r="E258" s="34" t="s">
        <v>49</v>
      </c>
      <c r="F258" s="73">
        <v>40838</v>
      </c>
      <c r="G258" s="73">
        <v>40843</v>
      </c>
      <c r="H258" s="94" t="s">
        <v>132</v>
      </c>
      <c r="I258" s="34" t="s">
        <v>920</v>
      </c>
      <c r="J258" s="34" t="s">
        <v>982</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30" hidden="1">
      <c r="A259" s="165" t="s">
        <v>700</v>
      </c>
      <c r="B259" s="34" t="s">
        <v>888</v>
      </c>
      <c r="C259" s="34" t="str">
        <f>VLOOKUP(Observaciones[Caso de Prueba],CasoPrueba[[#All],[Código CP]:[Prioridad]],7,TRUE)</f>
        <v>Alta</v>
      </c>
      <c r="D259" s="34" t="s">
        <v>29</v>
      </c>
      <c r="E259" s="34" t="s">
        <v>49</v>
      </c>
      <c r="F259" s="73">
        <v>40838</v>
      </c>
      <c r="G259" s="73">
        <v>40843</v>
      </c>
      <c r="H259" s="94" t="s">
        <v>132</v>
      </c>
      <c r="I259" s="34" t="s">
        <v>921</v>
      </c>
      <c r="J259" s="34" t="s">
        <v>978</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45" hidden="1">
      <c r="A260" s="165" t="s">
        <v>701</v>
      </c>
      <c r="B260" s="34" t="s">
        <v>888</v>
      </c>
      <c r="C260" s="34" t="str">
        <f>VLOOKUP(Observaciones[Caso de Prueba],CasoPrueba[[#All],[Código CP]:[Prioridad]],7,TRUE)</f>
        <v>Alta</v>
      </c>
      <c r="D260" s="34" t="s">
        <v>29</v>
      </c>
      <c r="E260" s="34" t="s">
        <v>49</v>
      </c>
      <c r="F260" s="73">
        <v>40838</v>
      </c>
      <c r="G260" s="73">
        <v>40843</v>
      </c>
      <c r="H260" s="94" t="s">
        <v>132</v>
      </c>
      <c r="I260" s="34" t="s">
        <v>922</v>
      </c>
      <c r="J260" s="34" t="s">
        <v>823</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41.25" hidden="1" customHeight="1">
      <c r="A261" s="165" t="s">
        <v>702</v>
      </c>
      <c r="B261" s="34" t="s">
        <v>888</v>
      </c>
      <c r="C261" s="34" t="str">
        <f>VLOOKUP(Observaciones[Caso de Prueba],CasoPrueba[[#All],[Código CP]:[Prioridad]],7,TRUE)</f>
        <v>Alta</v>
      </c>
      <c r="D261" s="34" t="s">
        <v>162</v>
      </c>
      <c r="E261" s="34" t="s">
        <v>49</v>
      </c>
      <c r="F261" s="73">
        <v>40838</v>
      </c>
      <c r="G261" s="73">
        <v>40843</v>
      </c>
      <c r="H261" s="94" t="s">
        <v>132</v>
      </c>
      <c r="I261" s="34" t="s">
        <v>923</v>
      </c>
      <c r="J261" s="34" t="s">
        <v>823</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30" hidden="1">
      <c r="A262" s="165" t="s">
        <v>703</v>
      </c>
      <c r="B262" s="34" t="s">
        <v>888</v>
      </c>
      <c r="C262" s="34" t="str">
        <f>VLOOKUP(Observaciones[Caso de Prueba],CasoPrueba[[#All],[Código CP]:[Prioridad]],7,TRUE)</f>
        <v>Alta</v>
      </c>
      <c r="D262" s="34" t="s">
        <v>29</v>
      </c>
      <c r="E262" s="34" t="s">
        <v>49</v>
      </c>
      <c r="F262" s="73">
        <v>40838</v>
      </c>
      <c r="G262" s="73">
        <v>40843</v>
      </c>
      <c r="H262" s="94" t="s">
        <v>132</v>
      </c>
      <c r="I262" s="34" t="s">
        <v>925</v>
      </c>
      <c r="J262" s="34" t="s">
        <v>979</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30" hidden="1">
      <c r="A263" s="165" t="s">
        <v>704</v>
      </c>
      <c r="B263" s="34" t="s">
        <v>888</v>
      </c>
      <c r="C263" s="34" t="str">
        <f>VLOOKUP(Observaciones[Caso de Prueba],CasoPrueba[[#All],[Código CP]:[Prioridad]],7,TRUE)</f>
        <v>Alta</v>
      </c>
      <c r="D263" s="34" t="s">
        <v>29</v>
      </c>
      <c r="E263" s="34" t="s">
        <v>49</v>
      </c>
      <c r="F263" s="73">
        <v>40838</v>
      </c>
      <c r="G263" s="73">
        <v>40843</v>
      </c>
      <c r="H263" s="94" t="s">
        <v>132</v>
      </c>
      <c r="I263" s="34" t="s">
        <v>924</v>
      </c>
      <c r="J263" s="34" t="s">
        <v>980</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45" hidden="1">
      <c r="A264" s="165" t="s">
        <v>705</v>
      </c>
      <c r="B264" s="34" t="s">
        <v>889</v>
      </c>
      <c r="C264" s="34" t="str">
        <f>VLOOKUP(Observaciones[Caso de Prueba],CasoPrueba[[#All],[Código CP]:[Prioridad]],7,TRUE)</f>
        <v>Alta</v>
      </c>
      <c r="D264" s="34" t="s">
        <v>162</v>
      </c>
      <c r="E264" s="34" t="s">
        <v>49</v>
      </c>
      <c r="F264" s="73">
        <v>40838</v>
      </c>
      <c r="G264" s="73">
        <v>40843</v>
      </c>
      <c r="H264" s="94" t="s">
        <v>132</v>
      </c>
      <c r="I264" s="34" t="s">
        <v>926</v>
      </c>
      <c r="J264" s="34" t="s">
        <v>987</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45" hidden="1">
      <c r="A265" s="165" t="s">
        <v>706</v>
      </c>
      <c r="B265" s="34" t="s">
        <v>889</v>
      </c>
      <c r="C265" s="34" t="str">
        <f>VLOOKUP(Observaciones[Caso de Prueba],CasoPrueba[[#All],[Código CP]:[Prioridad]],7,TRUE)</f>
        <v>Alta</v>
      </c>
      <c r="D265" s="34" t="s">
        <v>162</v>
      </c>
      <c r="E265" s="34" t="s">
        <v>49</v>
      </c>
      <c r="F265" s="73">
        <v>40838</v>
      </c>
      <c r="G265" s="73">
        <v>40843</v>
      </c>
      <c r="H265" s="94" t="s">
        <v>132</v>
      </c>
      <c r="I265" s="34" t="s">
        <v>931</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45" hidden="1">
      <c r="A266" s="165" t="s">
        <v>707</v>
      </c>
      <c r="B266" s="34" t="s">
        <v>889</v>
      </c>
      <c r="C266" s="34" t="str">
        <f>VLOOKUP(Observaciones[Caso de Prueba],CasoPrueba[[#All],[Código CP]:[Prioridad]],7,TRUE)</f>
        <v>Alta</v>
      </c>
      <c r="D266" s="34" t="s">
        <v>30</v>
      </c>
      <c r="E266" s="34" t="s">
        <v>49</v>
      </c>
      <c r="F266" s="73">
        <v>40838</v>
      </c>
      <c r="G266" s="73">
        <v>40843</v>
      </c>
      <c r="H266" s="94" t="s">
        <v>132</v>
      </c>
      <c r="I266" s="34" t="s">
        <v>932</v>
      </c>
      <c r="J266" s="34" t="s">
        <v>990</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45" hidden="1">
      <c r="A267" s="165" t="s">
        <v>708</v>
      </c>
      <c r="B267" s="34" t="s">
        <v>889</v>
      </c>
      <c r="C267" s="34" t="str">
        <f>VLOOKUP(Observaciones[Caso de Prueba],CasoPrueba[[#All],[Código CP]:[Prioridad]],7,TRUE)</f>
        <v>Alta</v>
      </c>
      <c r="D267" s="34" t="s">
        <v>162</v>
      </c>
      <c r="E267" s="34" t="s">
        <v>49</v>
      </c>
      <c r="F267" s="73">
        <v>40838</v>
      </c>
      <c r="G267" s="73">
        <v>40843</v>
      </c>
      <c r="H267" s="94" t="s">
        <v>132</v>
      </c>
      <c r="I267" s="34" t="s">
        <v>927</v>
      </c>
      <c r="J267" s="34" t="s">
        <v>988</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90" hidden="1">
      <c r="A268" s="165" t="s">
        <v>709</v>
      </c>
      <c r="B268" s="34" t="s">
        <v>889</v>
      </c>
      <c r="C268" s="34" t="str">
        <f>VLOOKUP(Observaciones[Caso de Prueba],CasoPrueba[[#All],[Código CP]:[Prioridad]],7,TRUE)</f>
        <v>Alta</v>
      </c>
      <c r="D268" s="34" t="s">
        <v>29</v>
      </c>
      <c r="E268" s="34" t="s">
        <v>49</v>
      </c>
      <c r="F268" s="73">
        <v>40838</v>
      </c>
      <c r="G268" s="73">
        <v>40843</v>
      </c>
      <c r="H268" s="94" t="s">
        <v>132</v>
      </c>
      <c r="I268" s="34" t="s">
        <v>599</v>
      </c>
      <c r="J268" s="34" t="s">
        <v>840</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45" hidden="1">
      <c r="A269" s="165" t="s">
        <v>710</v>
      </c>
      <c r="B269" s="34" t="s">
        <v>889</v>
      </c>
      <c r="C269" s="34" t="str">
        <f>VLOOKUP(Observaciones[Caso de Prueba],CasoPrueba[[#All],[Código CP]:[Prioridad]],7,TRUE)</f>
        <v>Alta</v>
      </c>
      <c r="D269" s="34" t="s">
        <v>28</v>
      </c>
      <c r="E269" s="34" t="s">
        <v>49</v>
      </c>
      <c r="F269" s="73">
        <v>40838</v>
      </c>
      <c r="G269" s="73">
        <v>40843</v>
      </c>
      <c r="H269" s="94" t="s">
        <v>132</v>
      </c>
      <c r="I269" s="34" t="s">
        <v>871</v>
      </c>
      <c r="J269" s="34" t="s">
        <v>986</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45" hidden="1">
      <c r="A270" s="165" t="s">
        <v>711</v>
      </c>
      <c r="B270" s="34" t="s">
        <v>889</v>
      </c>
      <c r="C270" s="34" t="str">
        <f>VLOOKUP(Observaciones[Caso de Prueba],CasoPrueba[[#All],[Código CP]:[Prioridad]],7,TRUE)</f>
        <v>Alta</v>
      </c>
      <c r="D270" s="34" t="s">
        <v>28</v>
      </c>
      <c r="E270" s="34" t="s">
        <v>49</v>
      </c>
      <c r="F270" s="73">
        <v>40838</v>
      </c>
      <c r="G270" s="73">
        <v>40843</v>
      </c>
      <c r="H270" s="94" t="s">
        <v>132</v>
      </c>
      <c r="I270" s="34" t="s">
        <v>928</v>
      </c>
      <c r="J270" s="34" t="s">
        <v>995</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30" hidden="1">
      <c r="A271" s="165" t="s">
        <v>712</v>
      </c>
      <c r="B271" s="34" t="s">
        <v>889</v>
      </c>
      <c r="C271" s="34" t="str">
        <f>VLOOKUP(Observaciones[Caso de Prueba],CasoPrueba[[#All],[Código CP]:[Prioridad]],7,TRUE)</f>
        <v>Alta</v>
      </c>
      <c r="D271" s="34" t="s">
        <v>29</v>
      </c>
      <c r="E271" s="34" t="s">
        <v>49</v>
      </c>
      <c r="F271" s="73">
        <v>40838</v>
      </c>
      <c r="G271" s="73">
        <v>40843</v>
      </c>
      <c r="H271" s="94" t="s">
        <v>132</v>
      </c>
      <c r="I271" s="34" t="s">
        <v>929</v>
      </c>
      <c r="J271" s="34" t="s">
        <v>992</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45" hidden="1">
      <c r="A272" s="165" t="s">
        <v>713</v>
      </c>
      <c r="B272" s="34" t="s">
        <v>889</v>
      </c>
      <c r="C272" s="34" t="str">
        <f>VLOOKUP(Observaciones[Caso de Prueba],CasoPrueba[[#All],[Código CP]:[Prioridad]],7,TRUE)</f>
        <v>Alta</v>
      </c>
      <c r="D272" s="34" t="s">
        <v>29</v>
      </c>
      <c r="E272" s="34" t="s">
        <v>49</v>
      </c>
      <c r="F272" s="73">
        <v>40838</v>
      </c>
      <c r="G272" s="73">
        <v>40843</v>
      </c>
      <c r="H272" s="94" t="s">
        <v>132</v>
      </c>
      <c r="I272" s="34" t="s">
        <v>930</v>
      </c>
      <c r="J272" s="34" t="s">
        <v>993</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ht="30" hidden="1">
      <c r="A273" s="165" t="s">
        <v>714</v>
      </c>
      <c r="B273" s="34" t="s">
        <v>889</v>
      </c>
      <c r="C273" s="34" t="str">
        <f>VLOOKUP(Observaciones[Caso de Prueba],CasoPrueba[[#All],[Código CP]:[Prioridad]],7,TRUE)</f>
        <v>Alta</v>
      </c>
      <c r="D273" s="34" t="s">
        <v>30</v>
      </c>
      <c r="E273" s="34" t="s">
        <v>49</v>
      </c>
      <c r="F273" s="73">
        <v>40838</v>
      </c>
      <c r="G273" s="73">
        <v>40843</v>
      </c>
      <c r="H273" s="94" t="s">
        <v>132</v>
      </c>
      <c r="I273" s="34" t="s">
        <v>933</v>
      </c>
      <c r="J273" s="34" t="s">
        <v>991</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ht="30" hidden="1">
      <c r="A274" s="165" t="s">
        <v>715</v>
      </c>
      <c r="B274" s="34" t="s">
        <v>889</v>
      </c>
      <c r="C274" s="34" t="str">
        <f>VLOOKUP(Observaciones[Caso de Prueba],CasoPrueba[[#All],[Código CP]:[Prioridad]],7,TRUE)</f>
        <v>Alta</v>
      </c>
      <c r="D274" s="34" t="s">
        <v>29</v>
      </c>
      <c r="E274" s="34" t="s">
        <v>49</v>
      </c>
      <c r="F274" s="73">
        <v>40838</v>
      </c>
      <c r="G274" s="73">
        <v>40843</v>
      </c>
      <c r="H274" s="94" t="s">
        <v>132</v>
      </c>
      <c r="I274" s="34" t="s">
        <v>934</v>
      </c>
      <c r="J274" s="34" t="s">
        <v>994</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ht="30" hidden="1">
      <c r="A275" s="165" t="s">
        <v>716</v>
      </c>
      <c r="B275" s="34" t="s">
        <v>889</v>
      </c>
      <c r="C275" s="34" t="str">
        <f>VLOOKUP(Observaciones[Caso de Prueba],CasoPrueba[[#All],[Código CP]:[Prioridad]],7,TRUE)</f>
        <v>Alta</v>
      </c>
      <c r="D275" s="34" t="s">
        <v>30</v>
      </c>
      <c r="E275" s="34" t="s">
        <v>49</v>
      </c>
      <c r="F275" s="73">
        <v>40838</v>
      </c>
      <c r="G275" s="73">
        <v>40843</v>
      </c>
      <c r="H275" s="94" t="s">
        <v>132</v>
      </c>
      <c r="I275" s="34" t="s">
        <v>935</v>
      </c>
      <c r="J275" s="34" t="s">
        <v>991</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45" hidden="1">
      <c r="A276" s="165" t="s">
        <v>717</v>
      </c>
      <c r="B276" s="34" t="s">
        <v>889</v>
      </c>
      <c r="C276" s="34" t="str">
        <f>VLOOKUP(Observaciones[Caso de Prueba],CasoPrueba[[#All],[Código CP]:[Prioridad]],7,TRUE)</f>
        <v>Alta</v>
      </c>
      <c r="D276" s="34" t="s">
        <v>162</v>
      </c>
      <c r="E276" s="34" t="s">
        <v>49</v>
      </c>
      <c r="F276" s="73">
        <v>40838</v>
      </c>
      <c r="G276" s="73">
        <v>40843</v>
      </c>
      <c r="H276" s="94" t="s">
        <v>132</v>
      </c>
      <c r="I276" s="34" t="s">
        <v>936</v>
      </c>
      <c r="J276" s="34" t="s">
        <v>989</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45" hidden="1">
      <c r="A277" s="165" t="s">
        <v>718</v>
      </c>
      <c r="B277" s="34" t="s">
        <v>890</v>
      </c>
      <c r="C277" s="34" t="str">
        <f>VLOOKUP(Observaciones[Caso de Prueba],CasoPrueba[[#All],[Código CP]:[Prioridad]],7,TRUE)</f>
        <v>Alta</v>
      </c>
      <c r="D277" s="34" t="s">
        <v>28</v>
      </c>
      <c r="E277" s="34" t="s">
        <v>49</v>
      </c>
      <c r="F277" s="73">
        <v>40838</v>
      </c>
      <c r="G277" s="73">
        <v>40843</v>
      </c>
      <c r="H277" s="94" t="s">
        <v>132</v>
      </c>
      <c r="I277" s="34" t="s">
        <v>597</v>
      </c>
      <c r="J277" s="34" t="s">
        <v>986</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45" hidden="1">
      <c r="A278" s="165" t="s">
        <v>719</v>
      </c>
      <c r="B278" s="34" t="s">
        <v>890</v>
      </c>
      <c r="C278" s="34" t="str">
        <f>VLOOKUP(Observaciones[Caso de Prueba],CasoPrueba[[#All],[Código CP]:[Prioridad]],7,TRUE)</f>
        <v>Alta</v>
      </c>
      <c r="D278" s="34" t="s">
        <v>162</v>
      </c>
      <c r="E278" s="34" t="s">
        <v>49</v>
      </c>
      <c r="F278" s="73">
        <v>40838</v>
      </c>
      <c r="G278" s="73">
        <v>40843</v>
      </c>
      <c r="H278" s="94" t="s">
        <v>132</v>
      </c>
      <c r="I278" s="34" t="s">
        <v>926</v>
      </c>
      <c r="J278" s="34" t="s">
        <v>987</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90" hidden="1">
      <c r="A279" s="165" t="s">
        <v>720</v>
      </c>
      <c r="B279" s="34" t="s">
        <v>890</v>
      </c>
      <c r="C279" s="34" t="str">
        <f>VLOOKUP(Observaciones[Caso de Prueba],CasoPrueba[[#All],[Código CP]:[Prioridad]],7,TRUE)</f>
        <v>Alta</v>
      </c>
      <c r="D279" s="34" t="s">
        <v>29</v>
      </c>
      <c r="E279" s="34" t="s">
        <v>49</v>
      </c>
      <c r="F279" s="73">
        <v>40838</v>
      </c>
      <c r="G279" s="73">
        <v>40843</v>
      </c>
      <c r="H279" s="94" t="s">
        <v>132</v>
      </c>
      <c r="I279" s="34" t="s">
        <v>599</v>
      </c>
      <c r="J279" s="34" t="s">
        <v>996</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45" hidden="1">
      <c r="A280" s="165" t="s">
        <v>721</v>
      </c>
      <c r="B280" s="34" t="s">
        <v>890</v>
      </c>
      <c r="C280" s="34" t="str">
        <f>VLOOKUP(Observaciones[Caso de Prueba],CasoPrueba[[#All],[Código CP]:[Prioridad]],7,TRUE)</f>
        <v>Alta</v>
      </c>
      <c r="D280" s="34" t="s">
        <v>28</v>
      </c>
      <c r="E280" s="34" t="s">
        <v>49</v>
      </c>
      <c r="F280" s="73">
        <v>40838</v>
      </c>
      <c r="G280" s="73">
        <v>40843</v>
      </c>
      <c r="H280" s="94" t="s">
        <v>132</v>
      </c>
      <c r="I280" s="34" t="s">
        <v>871</v>
      </c>
      <c r="J280" s="34" t="s">
        <v>998</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30" hidden="1">
      <c r="A281" s="165" t="s">
        <v>722</v>
      </c>
      <c r="B281" s="34" t="s">
        <v>890</v>
      </c>
      <c r="C281" s="34" t="str">
        <f>VLOOKUP(Observaciones[Caso de Prueba],CasoPrueba[[#All],[Código CP]:[Prioridad]],7,TRUE)</f>
        <v>Alta</v>
      </c>
      <c r="D281" s="34" t="s">
        <v>162</v>
      </c>
      <c r="E281" s="34" t="s">
        <v>49</v>
      </c>
      <c r="F281" s="73">
        <v>40840</v>
      </c>
      <c r="G281" s="73">
        <v>40843</v>
      </c>
      <c r="H281" s="94" t="s">
        <v>132</v>
      </c>
      <c r="I281" s="34" t="s">
        <v>937</v>
      </c>
      <c r="J281" s="34" t="s">
        <v>283</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45" hidden="1">
      <c r="A282" s="165" t="s">
        <v>723</v>
      </c>
      <c r="B282" s="34" t="s">
        <v>890</v>
      </c>
      <c r="C282" s="34" t="str">
        <f>VLOOKUP(Observaciones[Caso de Prueba],CasoPrueba[[#All],[Código CP]:[Prioridad]],7,TRUE)</f>
        <v>Alta</v>
      </c>
      <c r="D282" s="34" t="s">
        <v>29</v>
      </c>
      <c r="E282" s="34" t="s">
        <v>49</v>
      </c>
      <c r="F282" s="73">
        <v>40840</v>
      </c>
      <c r="G282" s="73">
        <v>40843</v>
      </c>
      <c r="H282" s="94" t="s">
        <v>132</v>
      </c>
      <c r="I282" s="34" t="s">
        <v>938</v>
      </c>
      <c r="J282" s="34" t="s">
        <v>997</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45" hidden="1">
      <c r="A283" s="165" t="s">
        <v>724</v>
      </c>
      <c r="B283" s="34" t="s">
        <v>891</v>
      </c>
      <c r="C283" s="34" t="str">
        <f>VLOOKUP(Observaciones[Caso de Prueba],CasoPrueba[[#All],[Código CP]:[Prioridad]],7,TRUE)</f>
        <v>Alta</v>
      </c>
      <c r="D283" s="34" t="s">
        <v>28</v>
      </c>
      <c r="E283" s="34" t="s">
        <v>49</v>
      </c>
      <c r="F283" s="73">
        <v>40840</v>
      </c>
      <c r="G283" s="73">
        <v>40843</v>
      </c>
      <c r="H283" s="94" t="s">
        <v>132</v>
      </c>
      <c r="I283" s="34" t="s">
        <v>597</v>
      </c>
      <c r="J283" s="34" t="s">
        <v>1002</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45" hidden="1">
      <c r="A284" s="165" t="s">
        <v>725</v>
      </c>
      <c r="B284" s="34" t="s">
        <v>891</v>
      </c>
      <c r="C284" s="34" t="str">
        <f>VLOOKUP(Observaciones[Caso de Prueba],CasoPrueba[[#All],[Código CP]:[Prioridad]],7,TRUE)</f>
        <v>Alta</v>
      </c>
      <c r="D284" s="34" t="s">
        <v>162</v>
      </c>
      <c r="E284" s="34" t="s">
        <v>49</v>
      </c>
      <c r="F284" s="73">
        <v>40840</v>
      </c>
      <c r="G284" s="73">
        <v>40843</v>
      </c>
      <c r="H284" s="94" t="s">
        <v>132</v>
      </c>
      <c r="I284" s="34" t="s">
        <v>926</v>
      </c>
      <c r="J284" s="34" t="s">
        <v>987</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90" hidden="1">
      <c r="A285" s="165" t="s">
        <v>726</v>
      </c>
      <c r="B285" s="34" t="s">
        <v>891</v>
      </c>
      <c r="C285" s="34" t="str">
        <f>VLOOKUP(Observaciones[Caso de Prueba],CasoPrueba[[#All],[Código CP]:[Prioridad]],7,TRUE)</f>
        <v>Alta</v>
      </c>
      <c r="D285" s="34" t="s">
        <v>29</v>
      </c>
      <c r="E285" s="34" t="s">
        <v>49</v>
      </c>
      <c r="F285" s="73">
        <v>40840</v>
      </c>
      <c r="G285" s="73">
        <v>40843</v>
      </c>
      <c r="H285" s="94" t="s">
        <v>132</v>
      </c>
      <c r="I285" s="34" t="s">
        <v>599</v>
      </c>
      <c r="J285" s="34" t="s">
        <v>996</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45" hidden="1">
      <c r="A286" s="165" t="s">
        <v>727</v>
      </c>
      <c r="B286" s="34" t="s">
        <v>891</v>
      </c>
      <c r="C286" s="34" t="str">
        <f>VLOOKUP(Observaciones[Caso de Prueba],CasoPrueba[[#All],[Código CP]:[Prioridad]],7,TRUE)</f>
        <v>Alta</v>
      </c>
      <c r="D286" s="34" t="s">
        <v>28</v>
      </c>
      <c r="E286" s="34" t="s">
        <v>49</v>
      </c>
      <c r="F286" s="73">
        <v>40840</v>
      </c>
      <c r="G286" s="73">
        <v>40843</v>
      </c>
      <c r="H286" s="94" t="s">
        <v>132</v>
      </c>
      <c r="I286" s="34" t="s">
        <v>871</v>
      </c>
      <c r="J286" s="34" t="s">
        <v>1001</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30" hidden="1">
      <c r="A287" s="165" t="s">
        <v>728</v>
      </c>
      <c r="B287" s="34" t="s">
        <v>891</v>
      </c>
      <c r="C287" s="34" t="str">
        <f>VLOOKUP(Observaciones[Caso de Prueba],CasoPrueba[[#All],[Código CP]:[Prioridad]],7,TRUE)</f>
        <v>Alta</v>
      </c>
      <c r="D287" s="34" t="s">
        <v>162</v>
      </c>
      <c r="E287" s="34" t="s">
        <v>49</v>
      </c>
      <c r="F287" s="73">
        <v>40840</v>
      </c>
      <c r="G287" s="73">
        <v>40843</v>
      </c>
      <c r="H287" s="94" t="s">
        <v>132</v>
      </c>
      <c r="I287" s="34" t="s">
        <v>939</v>
      </c>
      <c r="J287" s="34" t="s">
        <v>234</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45" hidden="1">
      <c r="A288" s="165" t="s">
        <v>729</v>
      </c>
      <c r="B288" s="34" t="s">
        <v>891</v>
      </c>
      <c r="C288" s="34" t="str">
        <f>VLOOKUP(Observaciones[Caso de Prueba],CasoPrueba[[#All],[Código CP]:[Prioridad]],7,TRUE)</f>
        <v>Alta</v>
      </c>
      <c r="D288" s="34" t="s">
        <v>162</v>
      </c>
      <c r="E288" s="34" t="s">
        <v>49</v>
      </c>
      <c r="F288" s="73">
        <v>40840</v>
      </c>
      <c r="G288" s="73">
        <v>40843</v>
      </c>
      <c r="H288" s="94" t="s">
        <v>132</v>
      </c>
      <c r="I288" s="34" t="s">
        <v>940</v>
      </c>
      <c r="J288" s="34" t="s">
        <v>982</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30" hidden="1">
      <c r="A289" s="165" t="s">
        <v>730</v>
      </c>
      <c r="B289" s="34" t="s">
        <v>891</v>
      </c>
      <c r="C289" s="34" t="str">
        <f>VLOOKUP(Observaciones[Caso de Prueba],CasoPrueba[[#All],[Código CP]:[Prioridad]],7,TRUE)</f>
        <v>Alta</v>
      </c>
      <c r="D289" s="34" t="s">
        <v>162</v>
      </c>
      <c r="E289" s="34" t="s">
        <v>49</v>
      </c>
      <c r="F289" s="73">
        <v>40840</v>
      </c>
      <c r="G289" s="73">
        <v>40843</v>
      </c>
      <c r="H289" s="94" t="s">
        <v>132</v>
      </c>
      <c r="I289" s="34" t="s">
        <v>941</v>
      </c>
      <c r="J289" s="34" t="s">
        <v>999</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45" hidden="1">
      <c r="A290" s="165" t="s">
        <v>731</v>
      </c>
      <c r="B290" s="34" t="s">
        <v>891</v>
      </c>
      <c r="C290" s="34" t="str">
        <f>VLOOKUP(Observaciones[Caso de Prueba],CasoPrueba[[#All],[Código CP]:[Prioridad]],7,TRUE)</f>
        <v>Alta</v>
      </c>
      <c r="D290" s="34" t="s">
        <v>29</v>
      </c>
      <c r="E290" s="34" t="s">
        <v>49</v>
      </c>
      <c r="F290" s="73">
        <v>40840</v>
      </c>
      <c r="G290" s="73">
        <v>40843</v>
      </c>
      <c r="H290" s="94" t="s">
        <v>132</v>
      </c>
      <c r="I290" s="34" t="s">
        <v>942</v>
      </c>
      <c r="J290" s="34" t="s">
        <v>1000</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30" hidden="1">
      <c r="A291" s="165" t="s">
        <v>732</v>
      </c>
      <c r="B291" s="34" t="s">
        <v>892</v>
      </c>
      <c r="C291" s="34" t="str">
        <f>VLOOKUP(Observaciones[Caso de Prueba],CasoPrueba[[#All],[Código CP]:[Prioridad]],7,TRUE)</f>
        <v>Alta</v>
      </c>
      <c r="D291" s="34" t="s">
        <v>162</v>
      </c>
      <c r="E291" s="34" t="s">
        <v>49</v>
      </c>
      <c r="F291" s="73">
        <v>40840</v>
      </c>
      <c r="G291" s="73">
        <v>40843</v>
      </c>
      <c r="H291" s="94" t="s">
        <v>132</v>
      </c>
      <c r="I291" s="34" t="s">
        <v>943</v>
      </c>
      <c r="J291" s="34" t="s">
        <v>976</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30" hidden="1">
      <c r="A292" s="165" t="s">
        <v>733</v>
      </c>
      <c r="B292" s="34" t="s">
        <v>892</v>
      </c>
      <c r="C292" s="34" t="str">
        <f>VLOOKUP(Observaciones[Caso de Prueba],CasoPrueba[[#All],[Código CP]:[Prioridad]],7,TRUE)</f>
        <v>Alta</v>
      </c>
      <c r="D292" s="34" t="s">
        <v>162</v>
      </c>
      <c r="E292" s="34" t="s">
        <v>49</v>
      </c>
      <c r="F292" s="73">
        <v>40840</v>
      </c>
      <c r="G292" s="73">
        <v>40843</v>
      </c>
      <c r="H292" s="94" t="s">
        <v>132</v>
      </c>
      <c r="I292" s="34" t="s">
        <v>944</v>
      </c>
      <c r="J292" s="34" t="s">
        <v>976</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90" hidden="1">
      <c r="A293" s="165" t="s">
        <v>734</v>
      </c>
      <c r="B293" s="34" t="s">
        <v>892</v>
      </c>
      <c r="C293" s="34" t="str">
        <f>VLOOKUP(Observaciones[Caso de Prueba],CasoPrueba[[#All],[Código CP]:[Prioridad]],7,TRUE)</f>
        <v>Alta</v>
      </c>
      <c r="D293" s="34" t="s">
        <v>29</v>
      </c>
      <c r="E293" s="34" t="s">
        <v>49</v>
      </c>
      <c r="F293" s="73">
        <v>40840</v>
      </c>
      <c r="G293" s="73">
        <v>40843</v>
      </c>
      <c r="H293" s="94" t="s">
        <v>132</v>
      </c>
      <c r="I293" s="34" t="s">
        <v>599</v>
      </c>
      <c r="J293" s="34" t="s">
        <v>817</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45" hidden="1">
      <c r="A294" s="165" t="s">
        <v>735</v>
      </c>
      <c r="B294" s="34" t="s">
        <v>892</v>
      </c>
      <c r="C294" s="34" t="str">
        <f>VLOOKUP(Observaciones[Caso de Prueba],CasoPrueba[[#All],[Código CP]:[Prioridad]],7,TRUE)</f>
        <v>Alta</v>
      </c>
      <c r="D294" s="34" t="s">
        <v>28</v>
      </c>
      <c r="E294" s="34" t="s">
        <v>49</v>
      </c>
      <c r="F294" s="73">
        <v>40840</v>
      </c>
      <c r="G294" s="73">
        <v>40843</v>
      </c>
      <c r="H294" s="94" t="s">
        <v>132</v>
      </c>
      <c r="I294" s="34" t="s">
        <v>871</v>
      </c>
      <c r="J294" s="34" t="s">
        <v>977</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30" hidden="1">
      <c r="A295" s="165" t="s">
        <v>736</v>
      </c>
      <c r="B295" s="34" t="s">
        <v>892</v>
      </c>
      <c r="C295" s="34" t="str">
        <f>VLOOKUP(Observaciones[Caso de Prueba],CasoPrueba[[#All],[Código CP]:[Prioridad]],7,TRUE)</f>
        <v>Alta</v>
      </c>
      <c r="D295" s="34" t="s">
        <v>30</v>
      </c>
      <c r="E295" s="34" t="s">
        <v>49</v>
      </c>
      <c r="F295" s="73">
        <v>40840</v>
      </c>
      <c r="G295" s="73">
        <v>40843</v>
      </c>
      <c r="H295" s="94" t="s">
        <v>132</v>
      </c>
      <c r="I295" s="34" t="s">
        <v>945</v>
      </c>
      <c r="J295" s="34" t="s">
        <v>261</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45" hidden="1">
      <c r="A296" s="165" t="s">
        <v>737</v>
      </c>
      <c r="B296" s="34" t="s">
        <v>892</v>
      </c>
      <c r="C296" s="34" t="str">
        <f>VLOOKUP(Observaciones[Caso de Prueba],CasoPrueba[[#All],[Código CP]:[Prioridad]],7,TRUE)</f>
        <v>Alta</v>
      </c>
      <c r="D296" s="34" t="s">
        <v>28</v>
      </c>
      <c r="E296" s="34" t="s">
        <v>49</v>
      </c>
      <c r="F296" s="73">
        <v>40840</v>
      </c>
      <c r="G296" s="73">
        <v>40843</v>
      </c>
      <c r="H296" s="94" t="s">
        <v>132</v>
      </c>
      <c r="I296" s="34" t="s">
        <v>946</v>
      </c>
      <c r="J296" s="34" t="s">
        <v>983</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30" hidden="1">
      <c r="A297" s="165" t="s">
        <v>738</v>
      </c>
      <c r="B297" s="34" t="s">
        <v>892</v>
      </c>
      <c r="C297" s="34" t="str">
        <f>VLOOKUP(Observaciones[Caso de Prueba],CasoPrueba[[#All],[Código CP]:[Prioridad]],7,TRUE)</f>
        <v>Alta</v>
      </c>
      <c r="D297" s="34" t="s">
        <v>162</v>
      </c>
      <c r="E297" s="34" t="s">
        <v>49</v>
      </c>
      <c r="F297" s="73">
        <v>40840</v>
      </c>
      <c r="G297" s="73">
        <v>40843</v>
      </c>
      <c r="H297" s="94" t="s">
        <v>132</v>
      </c>
      <c r="I297" s="34" t="s">
        <v>947</v>
      </c>
      <c r="J297" s="34" t="s">
        <v>968</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30" hidden="1">
      <c r="A298" s="165" t="s">
        <v>739</v>
      </c>
      <c r="B298" s="34" t="s">
        <v>892</v>
      </c>
      <c r="C298" s="34" t="str">
        <f>VLOOKUP(Observaciones[Caso de Prueba],CasoPrueba[[#All],[Código CP]:[Prioridad]],7,TRUE)</f>
        <v>Alta</v>
      </c>
      <c r="D298" s="34" t="s">
        <v>162</v>
      </c>
      <c r="E298" s="34" t="s">
        <v>49</v>
      </c>
      <c r="F298" s="73">
        <v>40840</v>
      </c>
      <c r="G298" s="73">
        <v>40843</v>
      </c>
      <c r="H298" s="94" t="s">
        <v>132</v>
      </c>
      <c r="I298" s="34" t="s">
        <v>948</v>
      </c>
      <c r="J298" s="34" t="s">
        <v>968</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45" hidden="1">
      <c r="A299" s="165" t="s">
        <v>740</v>
      </c>
      <c r="B299" s="34" t="s">
        <v>893</v>
      </c>
      <c r="C299" s="34" t="str">
        <f>VLOOKUP(Observaciones[Caso de Prueba],CasoPrueba[[#All],[Código CP]:[Prioridad]],7,TRUE)</f>
        <v>Alta</v>
      </c>
      <c r="D299" s="34" t="s">
        <v>28</v>
      </c>
      <c r="E299" s="34" t="s">
        <v>49</v>
      </c>
      <c r="F299" s="73">
        <v>40838</v>
      </c>
      <c r="G299" s="73">
        <v>40843</v>
      </c>
      <c r="H299" s="94" t="s">
        <v>132</v>
      </c>
      <c r="I299" s="34" t="s">
        <v>597</v>
      </c>
      <c r="J299" s="34" t="s">
        <v>984</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60" hidden="1">
      <c r="A300" s="165" t="s">
        <v>741</v>
      </c>
      <c r="B300" s="34" t="s">
        <v>893</v>
      </c>
      <c r="C300" s="34" t="str">
        <f>VLOOKUP(Observaciones[Caso de Prueba],CasoPrueba[[#All],[Código CP]:[Prioridad]],7,TRUE)</f>
        <v>Alta</v>
      </c>
      <c r="D300" s="34" t="s">
        <v>30</v>
      </c>
      <c r="E300" s="34" t="s">
        <v>49</v>
      </c>
      <c r="F300" s="73">
        <v>40838</v>
      </c>
      <c r="G300" s="73">
        <v>40843</v>
      </c>
      <c r="H300" s="94" t="s">
        <v>132</v>
      </c>
      <c r="I300" s="34" t="s">
        <v>949</v>
      </c>
      <c r="J300" s="34" t="s">
        <v>969</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90" hidden="1">
      <c r="A301" s="165" t="s">
        <v>742</v>
      </c>
      <c r="B301" s="34" t="s">
        <v>893</v>
      </c>
      <c r="C301" s="34" t="str">
        <f>VLOOKUP(Observaciones[Caso de Prueba],CasoPrueba[[#All],[Código CP]:[Prioridad]],7,TRUE)</f>
        <v>Alta</v>
      </c>
      <c r="D301" s="34" t="s">
        <v>29</v>
      </c>
      <c r="E301" s="34" t="s">
        <v>49</v>
      </c>
      <c r="F301" s="73">
        <v>40840</v>
      </c>
      <c r="G301" s="73">
        <v>40843</v>
      </c>
      <c r="H301" s="94" t="s">
        <v>132</v>
      </c>
      <c r="I301" s="34" t="s">
        <v>599</v>
      </c>
      <c r="J301" s="34" t="s">
        <v>981</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45" hidden="1">
      <c r="A302" s="165" t="s">
        <v>743</v>
      </c>
      <c r="B302" s="34" t="s">
        <v>893</v>
      </c>
      <c r="C302" s="34" t="str">
        <f>VLOOKUP(Observaciones[Caso de Prueba],CasoPrueba[[#All],[Código CP]:[Prioridad]],7,TRUE)</f>
        <v>Alta</v>
      </c>
      <c r="D302" s="34" t="s">
        <v>28</v>
      </c>
      <c r="E302" s="34" t="s">
        <v>49</v>
      </c>
      <c r="F302" s="73">
        <v>40840</v>
      </c>
      <c r="G302" s="73">
        <v>40843</v>
      </c>
      <c r="H302" s="94" t="s">
        <v>132</v>
      </c>
      <c r="I302" s="34" t="s">
        <v>871</v>
      </c>
      <c r="J302" s="34" t="s">
        <v>977</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hidden="1">
      <c r="A303" s="165" t="s">
        <v>744</v>
      </c>
      <c r="B303" s="34" t="s">
        <v>893</v>
      </c>
      <c r="C303" s="34" t="str">
        <f>VLOOKUP(Observaciones[Caso de Prueba],CasoPrueba[[#All],[Código CP]:[Prioridad]],7,TRUE)</f>
        <v>Alta</v>
      </c>
      <c r="D303" s="34" t="s">
        <v>30</v>
      </c>
      <c r="E303" s="34" t="s">
        <v>49</v>
      </c>
      <c r="F303" s="73">
        <v>40840</v>
      </c>
      <c r="G303" s="73">
        <v>40843</v>
      </c>
      <c r="H303" s="94" t="s">
        <v>132</v>
      </c>
      <c r="I303" s="34" t="s">
        <v>950</v>
      </c>
      <c r="J303" s="34" t="s">
        <v>985</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45" hidden="1">
      <c r="A304" s="165" t="s">
        <v>745</v>
      </c>
      <c r="B304" s="34" t="s">
        <v>893</v>
      </c>
      <c r="C304" s="34" t="str">
        <f>VLOOKUP(Observaciones[Caso de Prueba],CasoPrueba[[#All],[Código CP]:[Prioridad]],7,TRUE)</f>
        <v>Alta</v>
      </c>
      <c r="D304" s="34" t="s">
        <v>162</v>
      </c>
      <c r="E304" s="34" t="s">
        <v>49</v>
      </c>
      <c r="F304" s="73">
        <v>40840</v>
      </c>
      <c r="G304" s="73">
        <v>40843</v>
      </c>
      <c r="H304" s="94" t="s">
        <v>132</v>
      </c>
      <c r="I304" s="34" t="s">
        <v>951</v>
      </c>
      <c r="J304" s="34" t="s">
        <v>968</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30" hidden="1">
      <c r="A305" s="165" t="s">
        <v>746</v>
      </c>
      <c r="B305" s="163" t="s">
        <v>904</v>
      </c>
      <c r="C305" s="163" t="str">
        <f>VLOOKUP(Observaciones[Caso de Prueba],CasoPrueba[[#All],[Código CP]:[Prioridad]],7,TRUE)</f>
        <v>Alta</v>
      </c>
      <c r="D305" s="163" t="s">
        <v>162</v>
      </c>
      <c r="E305" s="34" t="s">
        <v>49</v>
      </c>
      <c r="F305" s="164">
        <v>40845</v>
      </c>
      <c r="G305" s="164">
        <v>40847</v>
      </c>
      <c r="H305" s="94" t="s">
        <v>132</v>
      </c>
      <c r="I305" s="163" t="s">
        <v>1003</v>
      </c>
      <c r="J305" s="163" t="s">
        <v>1042</v>
      </c>
      <c r="K305" s="163">
        <f>IF((Observaciones[[#This Row],[Fecha Levantamiento]]-Observaciones[[#This Row],[Fecha Detección]])&gt;=0,Observaciones[[#This Row],[Fecha Levantamiento]]-Observaciones[[#This Row],[Fecha Detección]]+1,0)</f>
        <v>3</v>
      </c>
      <c r="L305" s="163" t="str">
        <f>LOOKUP(Observaciones[[#This Row],[Caso de Prueba]],CasoPrueba[Código CP],CasoPrueba[Código de REQ])</f>
        <v>INSPECCIÓN</v>
      </c>
    </row>
    <row r="306" spans="1:12" ht="45" hidden="1">
      <c r="A306" s="165" t="s">
        <v>747</v>
      </c>
      <c r="B306" s="163" t="s">
        <v>904</v>
      </c>
      <c r="C306" s="163" t="str">
        <f>VLOOKUP(Observaciones[Caso de Prueba],CasoPrueba[[#All],[Código CP]:[Prioridad]],7,TRUE)</f>
        <v>Alta</v>
      </c>
      <c r="D306" s="34" t="s">
        <v>28</v>
      </c>
      <c r="E306" s="34" t="s">
        <v>49</v>
      </c>
      <c r="F306" s="164">
        <v>40845</v>
      </c>
      <c r="G306" s="164">
        <v>40847</v>
      </c>
      <c r="H306" s="94" t="s">
        <v>132</v>
      </c>
      <c r="I306" s="34" t="s">
        <v>871</v>
      </c>
      <c r="J306" s="163" t="s">
        <v>986</v>
      </c>
      <c r="K306" s="163">
        <f>IF((Observaciones[[#This Row],[Fecha Levantamiento]]-Observaciones[[#This Row],[Fecha Detección]])&gt;=0,Observaciones[[#This Row],[Fecha Levantamiento]]-Observaciones[[#This Row],[Fecha Detección]]+1,0)</f>
        <v>3</v>
      </c>
      <c r="L306" s="163" t="str">
        <f>LOOKUP(Observaciones[[#This Row],[Caso de Prueba]],CasoPrueba[Código CP],CasoPrueba[Código de REQ])</f>
        <v>INSPECCIÓN</v>
      </c>
    </row>
    <row r="307" spans="1:12" ht="45" hidden="1">
      <c r="A307" s="165" t="s">
        <v>748</v>
      </c>
      <c r="B307" s="163" t="s">
        <v>904</v>
      </c>
      <c r="C307" s="163" t="str">
        <f>VLOOKUP(Observaciones[Caso de Prueba],CasoPrueba[[#All],[Código CP]:[Prioridad]],7,TRUE)</f>
        <v>Alta</v>
      </c>
      <c r="D307" s="163" t="s">
        <v>29</v>
      </c>
      <c r="E307" s="34" t="s">
        <v>49</v>
      </c>
      <c r="F307" s="164">
        <v>40845</v>
      </c>
      <c r="G307" s="164">
        <v>40847</v>
      </c>
      <c r="H307" s="94" t="s">
        <v>132</v>
      </c>
      <c r="I307" s="163" t="s">
        <v>1004</v>
      </c>
      <c r="J307" s="163" t="s">
        <v>1043</v>
      </c>
      <c r="K307" s="163">
        <f>IF((Observaciones[[#This Row],[Fecha Levantamiento]]-Observaciones[[#This Row],[Fecha Detección]])&gt;=0,Observaciones[[#This Row],[Fecha Levantamiento]]-Observaciones[[#This Row],[Fecha Detección]]+1,0)</f>
        <v>3</v>
      </c>
      <c r="L307" s="163" t="str">
        <f>LOOKUP(Observaciones[[#This Row],[Caso de Prueba]],CasoPrueba[Código CP],CasoPrueba[Código de REQ])</f>
        <v>INSPECCIÓN</v>
      </c>
    </row>
    <row r="308" spans="1:12" ht="30" hidden="1">
      <c r="A308" s="165" t="s">
        <v>749</v>
      </c>
      <c r="B308" s="163" t="s">
        <v>904</v>
      </c>
      <c r="C308" s="163" t="str">
        <f>VLOOKUP(Observaciones[Caso de Prueba],CasoPrueba[[#All],[Código CP]:[Prioridad]],7,TRUE)</f>
        <v>Alta</v>
      </c>
      <c r="D308" s="163" t="s">
        <v>162</v>
      </c>
      <c r="E308" s="34" t="s">
        <v>49</v>
      </c>
      <c r="F308" s="164">
        <v>40845</v>
      </c>
      <c r="G308" s="164">
        <v>40847</v>
      </c>
      <c r="H308" s="94" t="s">
        <v>132</v>
      </c>
      <c r="I308" s="163" t="s">
        <v>1005</v>
      </c>
      <c r="J308" s="163" t="s">
        <v>1044</v>
      </c>
      <c r="K308" s="163">
        <f>IF((Observaciones[[#This Row],[Fecha Levantamiento]]-Observaciones[[#This Row],[Fecha Detección]])&gt;=0,Observaciones[[#This Row],[Fecha Levantamiento]]-Observaciones[[#This Row],[Fecha Detección]]+1,0)</f>
        <v>3</v>
      </c>
      <c r="L308" s="163" t="str">
        <f>LOOKUP(Observaciones[[#This Row],[Caso de Prueba]],CasoPrueba[Código CP],CasoPrueba[Código de REQ])</f>
        <v>INSPECCIÓN</v>
      </c>
    </row>
    <row r="309" spans="1:12" ht="60" hidden="1">
      <c r="A309" s="165" t="s">
        <v>750</v>
      </c>
      <c r="B309" s="163" t="s">
        <v>904</v>
      </c>
      <c r="C309" s="163" t="str">
        <f>VLOOKUP(Observaciones[Caso de Prueba],CasoPrueba[[#All],[Código CP]:[Prioridad]],7,TRUE)</f>
        <v>Alta</v>
      </c>
      <c r="D309" s="163" t="s">
        <v>30</v>
      </c>
      <c r="E309" s="34" t="s">
        <v>49</v>
      </c>
      <c r="F309" s="164">
        <v>40845</v>
      </c>
      <c r="G309" s="164">
        <v>40847</v>
      </c>
      <c r="H309" s="94" t="s">
        <v>132</v>
      </c>
      <c r="I309" s="163" t="s">
        <v>1006</v>
      </c>
      <c r="J309" s="163" t="s">
        <v>1045</v>
      </c>
      <c r="K309" s="163">
        <f>IF((Observaciones[[#This Row],[Fecha Levantamiento]]-Observaciones[[#This Row],[Fecha Detección]])&gt;=0,Observaciones[[#This Row],[Fecha Levantamiento]]-Observaciones[[#This Row],[Fecha Detección]]+1,0)</f>
        <v>3</v>
      </c>
      <c r="L309" s="163" t="str">
        <f>LOOKUP(Observaciones[[#This Row],[Caso de Prueba]],CasoPrueba[Código CP],CasoPrueba[Código de REQ])</f>
        <v>INSPECCIÓN</v>
      </c>
    </row>
    <row r="310" spans="1:12" ht="30" hidden="1">
      <c r="A310" s="165" t="s">
        <v>751</v>
      </c>
      <c r="B310" s="163" t="s">
        <v>904</v>
      </c>
      <c r="C310" s="163" t="str">
        <f>VLOOKUP(Observaciones[Caso de Prueba],CasoPrueba[[#All],[Código CP]:[Prioridad]],7,TRUE)</f>
        <v>Alta</v>
      </c>
      <c r="D310" s="163" t="s">
        <v>162</v>
      </c>
      <c r="E310" s="34" t="s">
        <v>49</v>
      </c>
      <c r="F310" s="164">
        <v>40845</v>
      </c>
      <c r="G310" s="164">
        <v>40847</v>
      </c>
      <c r="H310" s="94" t="s">
        <v>132</v>
      </c>
      <c r="I310" s="163" t="s">
        <v>1007</v>
      </c>
      <c r="J310" s="163" t="s">
        <v>823</v>
      </c>
      <c r="K310" s="163">
        <f>IF((Observaciones[[#This Row],[Fecha Levantamiento]]-Observaciones[[#This Row],[Fecha Detección]])&gt;=0,Observaciones[[#This Row],[Fecha Levantamiento]]-Observaciones[[#This Row],[Fecha Detección]]+1,0)</f>
        <v>3</v>
      </c>
      <c r="L310" s="163" t="str">
        <f>LOOKUP(Observaciones[[#This Row],[Caso de Prueba]],CasoPrueba[Código CP],CasoPrueba[Código de REQ])</f>
        <v>INSPECCIÓN</v>
      </c>
    </row>
    <row r="311" spans="1:12" ht="45" hidden="1">
      <c r="A311" s="165" t="s">
        <v>752</v>
      </c>
      <c r="B311" s="163" t="s">
        <v>904</v>
      </c>
      <c r="C311" s="163" t="str">
        <f>VLOOKUP(Observaciones[Caso de Prueba],CasoPrueba[[#All],[Código CP]:[Prioridad]],7,TRUE)</f>
        <v>Alta</v>
      </c>
      <c r="D311" s="163" t="s">
        <v>29</v>
      </c>
      <c r="E311" s="34" t="s">
        <v>49</v>
      </c>
      <c r="F311" s="164">
        <v>40845</v>
      </c>
      <c r="G311" s="164">
        <v>40847</v>
      </c>
      <c r="H311" s="94" t="s">
        <v>132</v>
      </c>
      <c r="I311" s="163" t="s">
        <v>1008</v>
      </c>
      <c r="J311" s="163" t="s">
        <v>1046</v>
      </c>
      <c r="K311" s="163">
        <f>IF((Observaciones[[#This Row],[Fecha Levantamiento]]-Observaciones[[#This Row],[Fecha Detección]])&gt;=0,Observaciones[[#This Row],[Fecha Levantamiento]]-Observaciones[[#This Row],[Fecha Detección]]+1,0)</f>
        <v>3</v>
      </c>
      <c r="L311" s="163" t="str">
        <f>LOOKUP(Observaciones[[#This Row],[Caso de Prueba]],CasoPrueba[Código CP],CasoPrueba[Código de REQ])</f>
        <v>INSPECCIÓN</v>
      </c>
    </row>
    <row r="312" spans="1:12" ht="30.75" hidden="1" customHeight="1">
      <c r="A312" s="165" t="s">
        <v>753</v>
      </c>
      <c r="B312" s="163" t="s">
        <v>904</v>
      </c>
      <c r="C312" s="163" t="str">
        <f>VLOOKUP(Observaciones[Caso de Prueba],CasoPrueba[[#All],[Código CP]:[Prioridad]],7,TRUE)</f>
        <v>Alta</v>
      </c>
      <c r="D312" s="163" t="s">
        <v>162</v>
      </c>
      <c r="E312" s="34" t="s">
        <v>49</v>
      </c>
      <c r="F312" s="164">
        <v>40845</v>
      </c>
      <c r="G312" s="164">
        <v>40847</v>
      </c>
      <c r="H312" s="94" t="s">
        <v>132</v>
      </c>
      <c r="I312" s="163" t="s">
        <v>1009</v>
      </c>
      <c r="J312" s="163" t="s">
        <v>1047</v>
      </c>
      <c r="K312" s="163">
        <f>IF((Observaciones[[#This Row],[Fecha Levantamiento]]-Observaciones[[#This Row],[Fecha Detección]])&gt;=0,Observaciones[[#This Row],[Fecha Levantamiento]]-Observaciones[[#This Row],[Fecha Detección]]+1,0)</f>
        <v>3</v>
      </c>
      <c r="L312" s="163" t="str">
        <f>LOOKUP(Observaciones[[#This Row],[Caso de Prueba]],CasoPrueba[Código CP],CasoPrueba[Código de REQ])</f>
        <v>INSPECCIÓN</v>
      </c>
    </row>
    <row r="313" spans="1:12" ht="45" hidden="1">
      <c r="A313" s="165" t="s">
        <v>754</v>
      </c>
      <c r="B313" s="163" t="s">
        <v>904</v>
      </c>
      <c r="C313" s="163" t="str">
        <f>VLOOKUP(Observaciones[Caso de Prueba],CasoPrueba[[#All],[Código CP]:[Prioridad]],7,TRUE)</f>
        <v>Alta</v>
      </c>
      <c r="D313" s="163" t="s">
        <v>162</v>
      </c>
      <c r="E313" s="34" t="s">
        <v>49</v>
      </c>
      <c r="F313" s="164">
        <v>40845</v>
      </c>
      <c r="G313" s="164">
        <v>40847</v>
      </c>
      <c r="H313" s="94" t="s">
        <v>132</v>
      </c>
      <c r="I313" s="163" t="s">
        <v>1010</v>
      </c>
      <c r="J313" s="163" t="s">
        <v>823</v>
      </c>
      <c r="K313" s="163">
        <f>IF((Observaciones[[#This Row],[Fecha Levantamiento]]-Observaciones[[#This Row],[Fecha Detección]])&gt;=0,Observaciones[[#This Row],[Fecha Levantamiento]]-Observaciones[[#This Row],[Fecha Detección]]+1,0)</f>
        <v>3</v>
      </c>
      <c r="L313" s="163" t="str">
        <f>LOOKUP(Observaciones[[#This Row],[Caso de Prueba]],CasoPrueba[Código CP],CasoPrueba[Código de REQ])</f>
        <v>INSPECCIÓN</v>
      </c>
    </row>
    <row r="314" spans="1:12" ht="30" hidden="1">
      <c r="A314" s="165" t="s">
        <v>755</v>
      </c>
      <c r="B314" s="163" t="s">
        <v>904</v>
      </c>
      <c r="C314" s="34" t="str">
        <f>VLOOKUP(Observaciones[Caso de Prueba],CasoPrueba[[#All],[Código CP]:[Prioridad]],7,TRUE)</f>
        <v>Alta</v>
      </c>
      <c r="D314" s="34" t="s">
        <v>30</v>
      </c>
      <c r="E314" s="34" t="s">
        <v>49</v>
      </c>
      <c r="F314" s="164">
        <v>40845</v>
      </c>
      <c r="G314" s="164">
        <v>40847</v>
      </c>
      <c r="H314" s="94" t="s">
        <v>132</v>
      </c>
      <c r="I314" s="34" t="s">
        <v>1011</v>
      </c>
      <c r="J314" s="34" t="s">
        <v>835</v>
      </c>
      <c r="K314" s="34">
        <f>IF((Observaciones[[#This Row],[Fecha Levantamiento]]-Observaciones[[#This Row],[Fecha Detección]])&gt;=0,Observaciones[[#This Row],[Fecha Levantamiento]]-Observaciones[[#This Row],[Fecha Detección]]+1,0)</f>
        <v>3</v>
      </c>
      <c r="L314" s="34" t="str">
        <f>LOOKUP(Observaciones[[#This Row],[Caso de Prueba]],CasoPrueba[Código CP],CasoPrueba[Código de REQ])</f>
        <v>INSPECCIÓN</v>
      </c>
    </row>
    <row r="315" spans="1:12" ht="45" hidden="1">
      <c r="A315" s="165" t="s">
        <v>756</v>
      </c>
      <c r="B315" s="163" t="s">
        <v>905</v>
      </c>
      <c r="C315" s="34" t="str">
        <f>VLOOKUP(Observaciones[Caso de Prueba],CasoPrueba[[#All],[Código CP]:[Prioridad]],7,TRUE)</f>
        <v>Alta</v>
      </c>
      <c r="D315" s="34" t="s">
        <v>28</v>
      </c>
      <c r="E315" s="34" t="s">
        <v>49</v>
      </c>
      <c r="F315" s="164">
        <v>40845</v>
      </c>
      <c r="G315" s="164">
        <v>40847</v>
      </c>
      <c r="H315" s="94" t="s">
        <v>132</v>
      </c>
      <c r="I315" s="34" t="s">
        <v>597</v>
      </c>
      <c r="J315" s="34" t="s">
        <v>1048</v>
      </c>
      <c r="K315" s="34">
        <f>IF((Observaciones[[#This Row],[Fecha Levantamiento]]-Observaciones[[#This Row],[Fecha Detección]])&gt;=0,Observaciones[[#This Row],[Fecha Levantamiento]]-Observaciones[[#This Row],[Fecha Detección]]+1,0)</f>
        <v>3</v>
      </c>
      <c r="L315" s="34" t="str">
        <f>LOOKUP(Observaciones[[#This Row],[Caso de Prueba]],CasoPrueba[Código CP],CasoPrueba[Código de REQ])</f>
        <v>INSPECCIÓN</v>
      </c>
    </row>
    <row r="316" spans="1:12" ht="30" hidden="1">
      <c r="A316" s="165" t="s">
        <v>757</v>
      </c>
      <c r="B316" s="163" t="s">
        <v>905</v>
      </c>
      <c r="C316" s="34" t="str">
        <f>VLOOKUP(Observaciones[Caso de Prueba],CasoPrueba[[#All],[Código CP]:[Prioridad]],7,TRUE)</f>
        <v>Alta</v>
      </c>
      <c r="D316" s="163" t="s">
        <v>162</v>
      </c>
      <c r="E316" s="34" t="s">
        <v>49</v>
      </c>
      <c r="F316" s="164">
        <v>40845</v>
      </c>
      <c r="G316" s="164">
        <v>40847</v>
      </c>
      <c r="H316" s="94" t="s">
        <v>132</v>
      </c>
      <c r="I316" s="34" t="s">
        <v>1012</v>
      </c>
      <c r="J316" s="34" t="s">
        <v>1049</v>
      </c>
      <c r="K316" s="34">
        <f>IF((Observaciones[[#This Row],[Fecha Levantamiento]]-Observaciones[[#This Row],[Fecha Detección]])&gt;=0,Observaciones[[#This Row],[Fecha Levantamiento]]-Observaciones[[#This Row],[Fecha Detección]]+1,0)</f>
        <v>3</v>
      </c>
      <c r="L316" s="34" t="str">
        <f>LOOKUP(Observaciones[[#This Row],[Caso de Prueba]],CasoPrueba[Código CP],CasoPrueba[Código de REQ])</f>
        <v>INSPECCIÓN</v>
      </c>
    </row>
    <row r="317" spans="1:12" ht="45" hidden="1">
      <c r="A317" s="165" t="s">
        <v>758</v>
      </c>
      <c r="B317" s="163" t="s">
        <v>905</v>
      </c>
      <c r="C317" s="34" t="str">
        <f>VLOOKUP(Observaciones[Caso de Prueba],CasoPrueba[[#All],[Código CP]:[Prioridad]],7,TRUE)</f>
        <v>Alta</v>
      </c>
      <c r="D317" s="34" t="s">
        <v>28</v>
      </c>
      <c r="E317" s="34" t="s">
        <v>49</v>
      </c>
      <c r="F317" s="164">
        <v>40845</v>
      </c>
      <c r="G317" s="164">
        <v>40847</v>
      </c>
      <c r="H317" s="94" t="s">
        <v>132</v>
      </c>
      <c r="I317" s="34" t="s">
        <v>1015</v>
      </c>
      <c r="J317" s="34" t="s">
        <v>1050</v>
      </c>
      <c r="K317" s="34">
        <f>IF((Observaciones[[#This Row],[Fecha Levantamiento]]-Observaciones[[#This Row],[Fecha Detección]])&gt;=0,Observaciones[[#This Row],[Fecha Levantamiento]]-Observaciones[[#This Row],[Fecha Detección]]+1,0)</f>
        <v>3</v>
      </c>
      <c r="L317" s="34" t="str">
        <f>LOOKUP(Observaciones[[#This Row],[Caso de Prueba]],CasoPrueba[Código CP],CasoPrueba[Código de REQ])</f>
        <v>INSPECCIÓN</v>
      </c>
    </row>
    <row r="318" spans="1:12" ht="75" hidden="1">
      <c r="A318" s="165" t="s">
        <v>759</v>
      </c>
      <c r="B318" s="163" t="s">
        <v>905</v>
      </c>
      <c r="C318" s="34" t="str">
        <f>VLOOKUP(Observaciones[Caso de Prueba],CasoPrueba[[#All],[Código CP]:[Prioridad]],7,TRUE)</f>
        <v>Alta</v>
      </c>
      <c r="D318" s="34" t="s">
        <v>29</v>
      </c>
      <c r="E318" s="34" t="s">
        <v>49</v>
      </c>
      <c r="F318" s="164">
        <v>40845</v>
      </c>
      <c r="G318" s="164">
        <v>40847</v>
      </c>
      <c r="H318" s="94" t="s">
        <v>132</v>
      </c>
      <c r="I318" s="34" t="s">
        <v>1019</v>
      </c>
      <c r="J318" s="34" t="s">
        <v>981</v>
      </c>
      <c r="K318" s="34">
        <f>IF((Observaciones[[#This Row],[Fecha Levantamiento]]-Observaciones[[#This Row],[Fecha Detección]])&gt;=0,Observaciones[[#This Row],[Fecha Levantamiento]]-Observaciones[[#This Row],[Fecha Detección]]+1,0)</f>
        <v>3</v>
      </c>
      <c r="L318" s="34" t="str">
        <f>LOOKUP(Observaciones[[#This Row],[Caso de Prueba]],CasoPrueba[Código CP],CasoPrueba[Código de REQ])</f>
        <v>INSPECCIÓN</v>
      </c>
    </row>
    <row r="319" spans="1:12" ht="60" hidden="1">
      <c r="A319" s="165" t="s">
        <v>760</v>
      </c>
      <c r="B319" s="163" t="s">
        <v>905</v>
      </c>
      <c r="C319" s="34" t="str">
        <f>VLOOKUP(Observaciones[Caso de Prueba],CasoPrueba[[#All],[Código CP]:[Prioridad]],7,TRUE)</f>
        <v>Alta</v>
      </c>
      <c r="D319" s="34" t="s">
        <v>28</v>
      </c>
      <c r="E319" s="34" t="s">
        <v>49</v>
      </c>
      <c r="F319" s="164">
        <v>40845</v>
      </c>
      <c r="G319" s="164">
        <v>40847</v>
      </c>
      <c r="H319" s="94" t="s">
        <v>132</v>
      </c>
      <c r="I319" s="34" t="s">
        <v>1013</v>
      </c>
      <c r="J319" s="34" t="s">
        <v>1051</v>
      </c>
      <c r="K319" s="34">
        <f>IF((Observaciones[[#This Row],[Fecha Levantamiento]]-Observaciones[[#This Row],[Fecha Detección]])&gt;=0,Observaciones[[#This Row],[Fecha Levantamiento]]-Observaciones[[#This Row],[Fecha Detección]]+1,0)</f>
        <v>3</v>
      </c>
      <c r="L319" s="34" t="str">
        <f>LOOKUP(Observaciones[[#This Row],[Caso de Prueba]],CasoPrueba[Código CP],CasoPrueba[Código de REQ])</f>
        <v>INSPECCIÓN</v>
      </c>
    </row>
    <row r="320" spans="1:12" ht="30" hidden="1">
      <c r="A320" s="165" t="s">
        <v>761</v>
      </c>
      <c r="B320" s="163" t="s">
        <v>905</v>
      </c>
      <c r="C320" s="34" t="str">
        <f>VLOOKUP(Observaciones[Caso de Prueba],CasoPrueba[[#All],[Código CP]:[Prioridad]],7,TRUE)</f>
        <v>Alta</v>
      </c>
      <c r="D320" s="34" t="s">
        <v>30</v>
      </c>
      <c r="E320" s="34" t="s">
        <v>49</v>
      </c>
      <c r="F320" s="164">
        <v>40845</v>
      </c>
      <c r="G320" s="164">
        <v>40847</v>
      </c>
      <c r="H320" s="94" t="s">
        <v>132</v>
      </c>
      <c r="I320" s="34" t="s">
        <v>1014</v>
      </c>
      <c r="J320" s="34" t="s">
        <v>1052</v>
      </c>
      <c r="K320" s="34">
        <f>IF((Observaciones[[#This Row],[Fecha Levantamiento]]-Observaciones[[#This Row],[Fecha Detección]])&gt;=0,Observaciones[[#This Row],[Fecha Levantamiento]]-Observaciones[[#This Row],[Fecha Detección]]+1,0)</f>
        <v>3</v>
      </c>
      <c r="L320" s="34" t="str">
        <f>LOOKUP(Observaciones[[#This Row],[Caso de Prueba]],CasoPrueba[Código CP],CasoPrueba[Código de REQ])</f>
        <v>INSPECCIÓN</v>
      </c>
    </row>
    <row r="321" spans="1:12" ht="30" hidden="1">
      <c r="A321" s="165" t="s">
        <v>762</v>
      </c>
      <c r="B321" s="163" t="s">
        <v>905</v>
      </c>
      <c r="C321" s="34" t="str">
        <f>VLOOKUP(Observaciones[Caso de Prueba],CasoPrueba[[#All],[Código CP]:[Prioridad]],7,TRUE)</f>
        <v>Alta</v>
      </c>
      <c r="D321" s="34" t="s">
        <v>162</v>
      </c>
      <c r="E321" s="34" t="s">
        <v>49</v>
      </c>
      <c r="F321" s="164">
        <v>40845</v>
      </c>
      <c r="G321" s="164">
        <v>40847</v>
      </c>
      <c r="H321" s="94" t="s">
        <v>132</v>
      </c>
      <c r="I321" s="34" t="s">
        <v>1059</v>
      </c>
      <c r="J321" s="34" t="s">
        <v>1053</v>
      </c>
      <c r="K321" s="34">
        <f>IF((Observaciones[[#This Row],[Fecha Levantamiento]]-Observaciones[[#This Row],[Fecha Detección]])&gt;=0,Observaciones[[#This Row],[Fecha Levantamiento]]-Observaciones[[#This Row],[Fecha Detección]]+1,0)</f>
        <v>3</v>
      </c>
      <c r="L321" s="34" t="str">
        <f>LOOKUP(Observaciones[[#This Row],[Caso de Prueba]],CasoPrueba[Código CP],CasoPrueba[Código de REQ])</f>
        <v>INSPECCIÓN</v>
      </c>
    </row>
    <row r="322" spans="1:12" ht="75" hidden="1">
      <c r="A322" s="165" t="s">
        <v>763</v>
      </c>
      <c r="B322" s="163" t="s">
        <v>905</v>
      </c>
      <c r="C322" s="34" t="str">
        <f>VLOOKUP(Observaciones[Caso de Prueba],CasoPrueba[[#All],[Código CP]:[Prioridad]],7,TRUE)</f>
        <v>Alta</v>
      </c>
      <c r="D322" s="34" t="s">
        <v>29</v>
      </c>
      <c r="E322" s="34" t="s">
        <v>49</v>
      </c>
      <c r="F322" s="164">
        <v>40845</v>
      </c>
      <c r="G322" s="164">
        <v>40847</v>
      </c>
      <c r="H322" s="94" t="s">
        <v>132</v>
      </c>
      <c r="I322" s="34" t="s">
        <v>1016</v>
      </c>
      <c r="J322" s="34" t="s">
        <v>1054</v>
      </c>
      <c r="K322" s="34">
        <f>IF((Observaciones[[#This Row],[Fecha Levantamiento]]-Observaciones[[#This Row],[Fecha Detección]])&gt;=0,Observaciones[[#This Row],[Fecha Levantamiento]]-Observaciones[[#This Row],[Fecha Detección]]+1,0)</f>
        <v>3</v>
      </c>
      <c r="L322" s="34" t="str">
        <f>LOOKUP(Observaciones[[#This Row],[Caso de Prueba]],CasoPrueba[Código CP],CasoPrueba[Código de REQ])</f>
        <v>INSPECCIÓN</v>
      </c>
    </row>
    <row r="323" spans="1:12" ht="30" hidden="1">
      <c r="A323" s="165" t="s">
        <v>764</v>
      </c>
      <c r="B323" s="163" t="s">
        <v>905</v>
      </c>
      <c r="C323" s="34" t="str">
        <f>VLOOKUP(Observaciones[Caso de Prueba],CasoPrueba[[#All],[Código CP]:[Prioridad]],7,TRUE)</f>
        <v>Alta</v>
      </c>
      <c r="D323" s="34" t="s">
        <v>162</v>
      </c>
      <c r="E323" s="34" t="s">
        <v>49</v>
      </c>
      <c r="F323" s="164">
        <v>40845</v>
      </c>
      <c r="G323" s="164">
        <v>40847</v>
      </c>
      <c r="H323" s="94" t="s">
        <v>132</v>
      </c>
      <c r="I323" s="34" t="s">
        <v>1017</v>
      </c>
      <c r="J323" s="34" t="s">
        <v>1055</v>
      </c>
      <c r="K323" s="34">
        <f>IF((Observaciones[[#This Row],[Fecha Levantamiento]]-Observaciones[[#This Row],[Fecha Detección]])&gt;=0,Observaciones[[#This Row],[Fecha Levantamiento]]-Observaciones[[#This Row],[Fecha Detección]]+1,0)</f>
        <v>3</v>
      </c>
      <c r="L323" s="34" t="str">
        <f>LOOKUP(Observaciones[[#This Row],[Caso de Prueba]],CasoPrueba[Código CP],CasoPrueba[Código de REQ])</f>
        <v>INSPECCIÓN</v>
      </c>
    </row>
    <row r="324" spans="1:12" ht="45" hidden="1">
      <c r="A324" s="165" t="s">
        <v>765</v>
      </c>
      <c r="B324" s="163" t="s">
        <v>906</v>
      </c>
      <c r="C324" s="34" t="str">
        <f>VLOOKUP(Observaciones[Caso de Prueba],CasoPrueba[[#All],[Código CP]:[Prioridad]],7,TRUE)</f>
        <v>Alta</v>
      </c>
      <c r="D324" s="34" t="s">
        <v>28</v>
      </c>
      <c r="E324" s="34" t="s">
        <v>49</v>
      </c>
      <c r="F324" s="164">
        <v>40845</v>
      </c>
      <c r="G324" s="164">
        <v>40847</v>
      </c>
      <c r="H324" s="94" t="s">
        <v>132</v>
      </c>
      <c r="I324" s="34" t="s">
        <v>597</v>
      </c>
      <c r="J324" s="34" t="s">
        <v>1056</v>
      </c>
      <c r="K324" s="34">
        <f>IF((Observaciones[[#This Row],[Fecha Levantamiento]]-Observaciones[[#This Row],[Fecha Detección]])&gt;=0,Observaciones[[#This Row],[Fecha Levantamiento]]-Observaciones[[#This Row],[Fecha Detección]]+1,0)</f>
        <v>3</v>
      </c>
      <c r="L324" s="34" t="str">
        <f>LOOKUP(Observaciones[[#This Row],[Caso de Prueba]],CasoPrueba[Código CP],CasoPrueba[Código de REQ])</f>
        <v>INSPECCIÓN</v>
      </c>
    </row>
    <row r="325" spans="1:12" ht="30" hidden="1">
      <c r="A325" s="165" t="s">
        <v>766</v>
      </c>
      <c r="B325" s="163" t="s">
        <v>906</v>
      </c>
      <c r="C325" s="34" t="str">
        <f>VLOOKUP(Observaciones[Caso de Prueba],CasoPrueba[[#All],[Código CP]:[Prioridad]],7,TRUE)</f>
        <v>Alta</v>
      </c>
      <c r="D325" s="163" t="s">
        <v>162</v>
      </c>
      <c r="E325" s="34" t="s">
        <v>49</v>
      </c>
      <c r="F325" s="164">
        <v>40845</v>
      </c>
      <c r="G325" s="164">
        <v>40847</v>
      </c>
      <c r="H325" s="94" t="s">
        <v>132</v>
      </c>
      <c r="I325" s="34" t="s">
        <v>1012</v>
      </c>
      <c r="J325" s="34" t="s">
        <v>1049</v>
      </c>
      <c r="K325" s="34">
        <f>IF((Observaciones[[#This Row],[Fecha Levantamiento]]-Observaciones[[#This Row],[Fecha Detección]])&gt;=0,Observaciones[[#This Row],[Fecha Levantamiento]]-Observaciones[[#This Row],[Fecha Detección]]+1,0)</f>
        <v>3</v>
      </c>
      <c r="L325" s="34" t="str">
        <f>LOOKUP(Observaciones[[#This Row],[Caso de Prueba]],CasoPrueba[Código CP],CasoPrueba[Código de REQ])</f>
        <v>INSPECCIÓN</v>
      </c>
    </row>
    <row r="326" spans="1:12" ht="60" hidden="1">
      <c r="A326" s="165" t="s">
        <v>767</v>
      </c>
      <c r="B326" s="163" t="s">
        <v>906</v>
      </c>
      <c r="C326" s="34" t="str">
        <f>VLOOKUP(Observaciones[Caso de Prueba],CasoPrueba[[#All],[Código CP]:[Prioridad]],7,TRUE)</f>
        <v>Alta</v>
      </c>
      <c r="D326" s="34" t="s">
        <v>28</v>
      </c>
      <c r="E326" s="34" t="s">
        <v>49</v>
      </c>
      <c r="F326" s="164">
        <v>40845</v>
      </c>
      <c r="G326" s="164">
        <v>40847</v>
      </c>
      <c r="H326" s="94" t="s">
        <v>132</v>
      </c>
      <c r="I326" s="34" t="s">
        <v>1018</v>
      </c>
      <c r="J326" s="34" t="s">
        <v>977</v>
      </c>
      <c r="K326" s="34">
        <f>IF((Observaciones[[#This Row],[Fecha Levantamiento]]-Observaciones[[#This Row],[Fecha Detección]])&gt;=0,Observaciones[[#This Row],[Fecha Levantamiento]]-Observaciones[[#This Row],[Fecha Detección]]+1,0)</f>
        <v>3</v>
      </c>
      <c r="L326" s="34" t="str">
        <f>LOOKUP(Observaciones[[#This Row],[Caso de Prueba]],CasoPrueba[Código CP],CasoPrueba[Código de REQ])</f>
        <v>INSPECCIÓN</v>
      </c>
    </row>
    <row r="327" spans="1:12" ht="30" hidden="1">
      <c r="A327" s="165" t="s">
        <v>768</v>
      </c>
      <c r="B327" s="163" t="s">
        <v>906</v>
      </c>
      <c r="C327" s="34" t="str">
        <f>VLOOKUP(Observaciones[Caso de Prueba],CasoPrueba[[#All],[Código CP]:[Prioridad]],7,TRUE)</f>
        <v>Alta</v>
      </c>
      <c r="D327" s="34" t="s">
        <v>162</v>
      </c>
      <c r="E327" s="34" t="s">
        <v>49</v>
      </c>
      <c r="F327" s="164">
        <v>40845</v>
      </c>
      <c r="G327" s="164">
        <v>40847</v>
      </c>
      <c r="H327" s="94" t="s">
        <v>132</v>
      </c>
      <c r="I327" s="34" t="s">
        <v>1020</v>
      </c>
      <c r="J327" s="34" t="s">
        <v>1057</v>
      </c>
      <c r="K327" s="34">
        <f>IF((Observaciones[[#This Row],[Fecha Levantamiento]]-Observaciones[[#This Row],[Fecha Detección]])&gt;=0,Observaciones[[#This Row],[Fecha Levantamiento]]-Observaciones[[#This Row],[Fecha Detección]]+1,0)</f>
        <v>3</v>
      </c>
      <c r="L327" s="34" t="str">
        <f>LOOKUP(Observaciones[[#This Row],[Caso de Prueba]],CasoPrueba[Código CP],CasoPrueba[Código de REQ])</f>
        <v>INSPECCIÓN</v>
      </c>
    </row>
    <row r="328" spans="1:12" ht="30" hidden="1">
      <c r="A328" s="165" t="s">
        <v>769</v>
      </c>
      <c r="B328" s="163" t="s">
        <v>906</v>
      </c>
      <c r="C328" s="34" t="str">
        <f>VLOOKUP(Observaciones[Caso de Prueba],CasoPrueba[[#All],[Código CP]:[Prioridad]],7,TRUE)</f>
        <v>Alta</v>
      </c>
      <c r="D328" s="34" t="s">
        <v>29</v>
      </c>
      <c r="E328" s="34" t="s">
        <v>49</v>
      </c>
      <c r="F328" s="164">
        <v>40845</v>
      </c>
      <c r="G328" s="164">
        <v>40847</v>
      </c>
      <c r="H328" s="94" t="s">
        <v>132</v>
      </c>
      <c r="I328" s="34" t="s">
        <v>1021</v>
      </c>
      <c r="J328" s="34" t="s">
        <v>1058</v>
      </c>
      <c r="K328" s="34">
        <f>IF((Observaciones[[#This Row],[Fecha Levantamiento]]-Observaciones[[#This Row],[Fecha Detección]])&gt;=0,Observaciones[[#This Row],[Fecha Levantamiento]]-Observaciones[[#This Row],[Fecha Detección]]+1,0)</f>
        <v>3</v>
      </c>
      <c r="L328" s="34" t="str">
        <f>LOOKUP(Observaciones[[#This Row],[Caso de Prueba]],CasoPrueba[Código CP],CasoPrueba[Código de REQ])</f>
        <v>INSPECCIÓN</v>
      </c>
    </row>
    <row r="329" spans="1:12" ht="30" hidden="1">
      <c r="A329" s="165" t="s">
        <v>770</v>
      </c>
      <c r="B329" s="163" t="s">
        <v>489</v>
      </c>
      <c r="C329" s="34" t="str">
        <f>VLOOKUP(Observaciones[Caso de Prueba],CasoPrueba[[#All],[Código CP]:[Prioridad]],7,TRUE)</f>
        <v>Alta</v>
      </c>
      <c r="D329" s="34" t="s">
        <v>30</v>
      </c>
      <c r="E329" s="34" t="s">
        <v>49</v>
      </c>
      <c r="F329" s="164">
        <v>40847</v>
      </c>
      <c r="G329" s="73">
        <v>40848</v>
      </c>
      <c r="H329" s="94" t="s">
        <v>132</v>
      </c>
      <c r="I329" s="34" t="s">
        <v>1014</v>
      </c>
      <c r="J329" s="34" t="s">
        <v>1032</v>
      </c>
      <c r="K329" s="34">
        <f>IF((Observaciones[[#This Row],[Fecha Levantamiento]]-Observaciones[[#This Row],[Fecha Detección]])&gt;=0,Observaciones[[#This Row],[Fecha Levantamiento]]-Observaciones[[#This Row],[Fecha Detección]]+1,0)</f>
        <v>2</v>
      </c>
      <c r="L329" s="34" t="str">
        <f>LOOKUP(Observaciones[[#This Row],[Caso de Prueba]],CasoPrueba[Código CP],CasoPrueba[Código de REQ])</f>
        <v>INSPECCIÓN</v>
      </c>
    </row>
    <row r="330" spans="1:12" ht="30" hidden="1">
      <c r="A330" s="165" t="s">
        <v>771</v>
      </c>
      <c r="B330" s="163" t="s">
        <v>489</v>
      </c>
      <c r="C330" s="34" t="str">
        <f>VLOOKUP(Observaciones[Caso de Prueba],CasoPrueba[[#All],[Código CP]:[Prioridad]],7,TRUE)</f>
        <v>Alta</v>
      </c>
      <c r="D330" s="34" t="s">
        <v>162</v>
      </c>
      <c r="E330" s="34" t="s">
        <v>49</v>
      </c>
      <c r="F330" s="164">
        <v>40847</v>
      </c>
      <c r="G330" s="73">
        <v>40848</v>
      </c>
      <c r="H330" s="94" t="s">
        <v>132</v>
      </c>
      <c r="I330" s="34" t="s">
        <v>1025</v>
      </c>
      <c r="J330" s="34" t="s">
        <v>199</v>
      </c>
      <c r="K330" s="34">
        <f>IF((Observaciones[[#This Row],[Fecha Levantamiento]]-Observaciones[[#This Row],[Fecha Detección]])&gt;=0,Observaciones[[#This Row],[Fecha Levantamiento]]-Observaciones[[#This Row],[Fecha Detección]]+1,0)</f>
        <v>2</v>
      </c>
      <c r="L330" s="34" t="str">
        <f>LOOKUP(Observaciones[[#This Row],[Caso de Prueba]],CasoPrueba[Código CP],CasoPrueba[Código de REQ])</f>
        <v>INSPECCIÓN</v>
      </c>
    </row>
    <row r="331" spans="1:12" ht="45" hidden="1">
      <c r="A331" s="163" t="s">
        <v>772</v>
      </c>
      <c r="B331" s="163" t="s">
        <v>614</v>
      </c>
      <c r="C331" s="34" t="str">
        <f>VLOOKUP(Observaciones[Caso de Prueba],CasoPrueba[[#All],[Código CP]:[Prioridad]],7,TRUE)</f>
        <v>Alta</v>
      </c>
      <c r="D331" s="34" t="s">
        <v>30</v>
      </c>
      <c r="E331" s="34" t="s">
        <v>49</v>
      </c>
      <c r="F331" s="164">
        <v>40847</v>
      </c>
      <c r="G331" s="73">
        <v>40848</v>
      </c>
      <c r="H331" s="94" t="s">
        <v>132</v>
      </c>
      <c r="I331" s="34" t="s">
        <v>1026</v>
      </c>
      <c r="J331" s="34" t="s">
        <v>818</v>
      </c>
      <c r="K331" s="34">
        <f>IF((Observaciones[[#This Row],[Fecha Levantamiento]]-Observaciones[[#This Row],[Fecha Detección]])&gt;=0,Observaciones[[#This Row],[Fecha Levantamiento]]-Observaciones[[#This Row],[Fecha Detección]]+1,0)</f>
        <v>2</v>
      </c>
      <c r="L331" s="34" t="str">
        <f>LOOKUP(Observaciones[[#This Row],[Caso de Prueba]],CasoPrueba[Código CP],CasoPrueba[Código de REQ])</f>
        <v>INSPECCIÓN</v>
      </c>
    </row>
    <row r="332" spans="1:12" ht="60" hidden="1">
      <c r="A332" s="165" t="s">
        <v>773</v>
      </c>
      <c r="B332" s="34" t="s">
        <v>619</v>
      </c>
      <c r="C332" s="34" t="str">
        <f>VLOOKUP(Observaciones[Caso de Prueba],CasoPrueba[[#All],[Código CP]:[Prioridad]],7,TRUE)</f>
        <v>Alta</v>
      </c>
      <c r="D332" s="34" t="s">
        <v>30</v>
      </c>
      <c r="E332" s="34" t="s">
        <v>49</v>
      </c>
      <c r="F332" s="164">
        <v>40847</v>
      </c>
      <c r="G332" s="73">
        <v>40848</v>
      </c>
      <c r="H332" s="94" t="s">
        <v>132</v>
      </c>
      <c r="I332" s="34" t="s">
        <v>1027</v>
      </c>
      <c r="J332" s="34" t="s">
        <v>1033</v>
      </c>
      <c r="K332" s="34">
        <f>IF((Observaciones[[#This Row],[Fecha Levantamiento]]-Observaciones[[#This Row],[Fecha Detección]])&gt;=0,Observaciones[[#This Row],[Fecha Levantamiento]]-Observaciones[[#This Row],[Fecha Detección]]+1,0)</f>
        <v>2</v>
      </c>
      <c r="L332" s="34" t="str">
        <f>LOOKUP(Observaciones[[#This Row],[Caso de Prueba]],CasoPrueba[Código CP],CasoPrueba[Código de REQ])</f>
        <v>INSPECCIÓN</v>
      </c>
    </row>
    <row r="333" spans="1:12" ht="30" hidden="1">
      <c r="A333" s="165" t="s">
        <v>774</v>
      </c>
      <c r="B333" s="34" t="s">
        <v>619</v>
      </c>
      <c r="C333" s="34" t="str">
        <f>VLOOKUP(Observaciones[Caso de Prueba],CasoPrueba[[#All],[Código CP]:[Prioridad]],7,TRUE)</f>
        <v>Alta</v>
      </c>
      <c r="D333" s="34" t="s">
        <v>162</v>
      </c>
      <c r="E333" s="34" t="s">
        <v>49</v>
      </c>
      <c r="F333" s="164">
        <v>40847</v>
      </c>
      <c r="G333" s="73">
        <v>40848</v>
      </c>
      <c r="H333" s="94" t="s">
        <v>132</v>
      </c>
      <c r="I333" s="34" t="s">
        <v>1028</v>
      </c>
      <c r="J333" s="34" t="s">
        <v>1034</v>
      </c>
      <c r="K333" s="34">
        <f>IF((Observaciones[[#This Row],[Fecha Levantamiento]]-Observaciones[[#This Row],[Fecha Detección]])&gt;=0,Observaciones[[#This Row],[Fecha Levantamiento]]-Observaciones[[#This Row],[Fecha Detección]]+1,0)</f>
        <v>2</v>
      </c>
      <c r="L333" s="34" t="str">
        <f>LOOKUP(Observaciones[[#This Row],[Caso de Prueba]],CasoPrueba[Código CP],CasoPrueba[Código de REQ])</f>
        <v>INSPECCIÓN</v>
      </c>
    </row>
    <row r="334" spans="1:12" ht="60" hidden="1">
      <c r="A334" s="165" t="s">
        <v>775</v>
      </c>
      <c r="B334" s="34" t="s">
        <v>653</v>
      </c>
      <c r="C334" s="34" t="str">
        <f>VLOOKUP(Observaciones[Caso de Prueba],CasoPrueba[[#All],[Código CP]:[Prioridad]],7,TRUE)</f>
        <v>Alta</v>
      </c>
      <c r="D334" s="34" t="s">
        <v>29</v>
      </c>
      <c r="E334" s="34" t="s">
        <v>49</v>
      </c>
      <c r="F334" s="164">
        <v>40847</v>
      </c>
      <c r="G334" s="73">
        <v>40848</v>
      </c>
      <c r="H334" s="94" t="s">
        <v>132</v>
      </c>
      <c r="I334" s="34" t="s">
        <v>1029</v>
      </c>
      <c r="J334" s="34" t="s">
        <v>266</v>
      </c>
      <c r="K334" s="34">
        <f>IF((Observaciones[[#This Row],[Fecha Levantamiento]]-Observaciones[[#This Row],[Fecha Detección]])&gt;=0,Observaciones[[#This Row],[Fecha Levantamiento]]-Observaciones[[#This Row],[Fecha Detección]]+1,0)</f>
        <v>2</v>
      </c>
      <c r="L334" s="34" t="str">
        <f>LOOKUP(Observaciones[[#This Row],[Caso de Prueba]],CasoPrueba[Código CP],CasoPrueba[Código de REQ])</f>
        <v>INSPECCIÓN</v>
      </c>
    </row>
    <row r="335" spans="1:12" ht="30" hidden="1">
      <c r="A335" s="165" t="s">
        <v>776</v>
      </c>
      <c r="B335" s="34" t="s">
        <v>653</v>
      </c>
      <c r="C335" s="34" t="str">
        <f>VLOOKUP(Observaciones[Caso de Prueba],CasoPrueba[[#All],[Código CP]:[Prioridad]],7,TRUE)</f>
        <v>Alta</v>
      </c>
      <c r="D335" s="34" t="s">
        <v>29</v>
      </c>
      <c r="E335" s="34" t="s">
        <v>49</v>
      </c>
      <c r="F335" s="164">
        <v>40847</v>
      </c>
      <c r="G335" s="73">
        <v>40848</v>
      </c>
      <c r="H335" s="94" t="s">
        <v>132</v>
      </c>
      <c r="I335" s="34" t="s">
        <v>1030</v>
      </c>
      <c r="J335" s="34" t="s">
        <v>266</v>
      </c>
      <c r="K335" s="34">
        <f>IF((Observaciones[[#This Row],[Fecha Levantamiento]]-Observaciones[[#This Row],[Fecha Detección]])&gt;=0,Observaciones[[#This Row],[Fecha Levantamiento]]-Observaciones[[#This Row],[Fecha Detección]]+1,0)</f>
        <v>2</v>
      </c>
      <c r="L335" s="34" t="str">
        <f>LOOKUP(Observaciones[[#This Row],[Caso de Prueba]],CasoPrueba[Código CP],CasoPrueba[Código de REQ])</f>
        <v>INSPECCIÓN</v>
      </c>
    </row>
    <row r="336" spans="1:12" ht="30">
      <c r="A336" s="165" t="s">
        <v>777</v>
      </c>
      <c r="B336" s="34" t="s">
        <v>887</v>
      </c>
      <c r="C336" s="34" t="str">
        <f>VLOOKUP(Observaciones[Caso de Prueba],CasoPrueba[[#All],[Código CP]:[Prioridad]],7,TRUE)</f>
        <v>Alta</v>
      </c>
      <c r="D336" s="34" t="s">
        <v>162</v>
      </c>
      <c r="E336" s="34" t="s">
        <v>47</v>
      </c>
      <c r="F336" s="73">
        <v>40848</v>
      </c>
      <c r="H336" s="94" t="s">
        <v>132</v>
      </c>
      <c r="I336" s="34" t="s">
        <v>1035</v>
      </c>
      <c r="J336" s="34" t="s">
        <v>851</v>
      </c>
      <c r="K336" s="34">
        <f>IF((Observaciones[[#This Row],[Fecha Levantamiento]]-Observaciones[[#This Row],[Fecha Detección]])&gt;=0,Observaciones[[#This Row],[Fecha Levantamiento]]-Observaciones[[#This Row],[Fecha Detección]]+1,0)</f>
        <v>0</v>
      </c>
      <c r="L336" s="34" t="str">
        <f>LOOKUP(Observaciones[[#This Row],[Caso de Prueba]],CasoPrueba[Código CP],CasoPrueba[Código de REQ])</f>
        <v>INSPECCIÓN</v>
      </c>
    </row>
    <row r="337" spans="1:12" ht="30">
      <c r="A337" s="165" t="s">
        <v>778</v>
      </c>
      <c r="B337" s="34" t="s">
        <v>887</v>
      </c>
      <c r="C337" s="34" t="str">
        <f>VLOOKUP(Observaciones[Caso de Prueba],CasoPrueba[[#All],[Código CP]:[Prioridad]],7,TRUE)</f>
        <v>Alta</v>
      </c>
      <c r="D337" s="34" t="s">
        <v>30</v>
      </c>
      <c r="E337" s="34" t="s">
        <v>47</v>
      </c>
      <c r="F337" s="73">
        <v>40848</v>
      </c>
      <c r="H337" s="94" t="s">
        <v>132</v>
      </c>
      <c r="I337" s="34" t="s">
        <v>1036</v>
      </c>
      <c r="J337" s="34" t="s">
        <v>1115</v>
      </c>
      <c r="K337" s="34">
        <f>IF((Observaciones[[#This Row],[Fecha Levantamiento]]-Observaciones[[#This Row],[Fecha Detección]])&gt;=0,Observaciones[[#This Row],[Fecha Levantamiento]]-Observaciones[[#This Row],[Fecha Detección]]+1,0)</f>
        <v>0</v>
      </c>
      <c r="L337" s="34" t="str">
        <f>LOOKUP(Observaciones[[#This Row],[Caso de Prueba]],CasoPrueba[Código CP],CasoPrueba[Código de REQ])</f>
        <v>INSPECCIÓN</v>
      </c>
    </row>
    <row r="338" spans="1:12" ht="30">
      <c r="A338" s="165" t="s">
        <v>779</v>
      </c>
      <c r="B338" s="34" t="s">
        <v>888</v>
      </c>
      <c r="C338" s="34" t="str">
        <f>VLOOKUP(Observaciones[Caso de Prueba],CasoPrueba[[#All],[Código CP]:[Prioridad]],7,TRUE)</f>
        <v>Alta</v>
      </c>
      <c r="D338" s="34" t="s">
        <v>30</v>
      </c>
      <c r="E338" s="34" t="s">
        <v>47</v>
      </c>
      <c r="F338" s="73">
        <v>40848</v>
      </c>
      <c r="H338" s="94" t="s">
        <v>132</v>
      </c>
      <c r="I338" s="34" t="s">
        <v>1014</v>
      </c>
      <c r="J338" s="34" t="s">
        <v>1116</v>
      </c>
      <c r="K338" s="34">
        <f>IF((Observaciones[[#This Row],[Fecha Levantamiento]]-Observaciones[[#This Row],[Fecha Detección]])&gt;=0,Observaciones[[#This Row],[Fecha Levantamiento]]-Observaciones[[#This Row],[Fecha Detección]]+1,0)</f>
        <v>0</v>
      </c>
      <c r="L338" s="34" t="str">
        <f>LOOKUP(Observaciones[[#This Row],[Caso de Prueba]],CasoPrueba[Código CP],CasoPrueba[Código de REQ])</f>
        <v>INSPECCIÓN</v>
      </c>
    </row>
    <row r="339" spans="1:12" ht="105">
      <c r="A339" s="163" t="s">
        <v>780</v>
      </c>
      <c r="B339" s="34" t="s">
        <v>889</v>
      </c>
      <c r="C339" s="34" t="str">
        <f>VLOOKUP(Observaciones[Caso de Prueba],CasoPrueba[[#All],[Código CP]:[Prioridad]],7,TRUE)</f>
        <v>Alta</v>
      </c>
      <c r="D339" s="34" t="s">
        <v>30</v>
      </c>
      <c r="E339" s="34" t="s">
        <v>47</v>
      </c>
      <c r="F339" s="73">
        <v>40848</v>
      </c>
      <c r="H339" s="94" t="s">
        <v>132</v>
      </c>
      <c r="I339" s="34" t="s">
        <v>1063</v>
      </c>
      <c r="J339" s="34" t="s">
        <v>1127</v>
      </c>
      <c r="K339" s="34">
        <f>IF((Observaciones[[#This Row],[Fecha Levantamiento]]-Observaciones[[#This Row],[Fecha Detección]])&gt;=0,Observaciones[[#This Row],[Fecha Levantamiento]]-Observaciones[[#This Row],[Fecha Detección]]+1,0)</f>
        <v>0</v>
      </c>
      <c r="L339" s="34" t="str">
        <f>LOOKUP(Observaciones[[#This Row],[Caso de Prueba]],CasoPrueba[Código CP],CasoPrueba[Código de REQ])</f>
        <v>INSPECCIÓN</v>
      </c>
    </row>
    <row r="340" spans="1:12" ht="30">
      <c r="A340" s="165" t="s">
        <v>781</v>
      </c>
      <c r="B340" s="34" t="s">
        <v>891</v>
      </c>
      <c r="C340" s="34" t="str">
        <f>VLOOKUP(Observaciones[Caso de Prueba],CasoPrueba[[#All],[Código CP]:[Prioridad]],7,TRUE)</f>
        <v>Alta</v>
      </c>
      <c r="D340" s="34" t="s">
        <v>162</v>
      </c>
      <c r="E340" s="34" t="s">
        <v>47</v>
      </c>
      <c r="F340" s="73">
        <v>40848</v>
      </c>
      <c r="H340" s="94" t="s">
        <v>132</v>
      </c>
      <c r="I340" s="34" t="s">
        <v>1038</v>
      </c>
      <c r="J340" s="34" t="s">
        <v>1126</v>
      </c>
      <c r="K340" s="34">
        <f>IF((Observaciones[[#This Row],[Fecha Levantamiento]]-Observaciones[[#This Row],[Fecha Detección]])&gt;=0,Observaciones[[#This Row],[Fecha Levantamiento]]-Observaciones[[#This Row],[Fecha Detección]]+1,0)</f>
        <v>0</v>
      </c>
      <c r="L340" s="34" t="str">
        <f>LOOKUP(Observaciones[[#This Row],[Caso de Prueba]],CasoPrueba[Código CP],CasoPrueba[Código de REQ])</f>
        <v>INSPECCIÓN</v>
      </c>
    </row>
    <row r="341" spans="1:12" ht="45">
      <c r="A341" s="165" t="s">
        <v>782</v>
      </c>
      <c r="B341" s="163" t="s">
        <v>614</v>
      </c>
      <c r="C341" s="34" t="str">
        <f>VLOOKUP(Observaciones[Caso de Prueba],CasoPrueba[[#All],[Código CP]:[Prioridad]],7,TRUE)</f>
        <v>Alta</v>
      </c>
      <c r="D341" s="34" t="s">
        <v>30</v>
      </c>
      <c r="E341" s="34" t="s">
        <v>47</v>
      </c>
      <c r="F341" s="73">
        <v>40848</v>
      </c>
      <c r="H341" s="94" t="s">
        <v>132</v>
      </c>
      <c r="I341" s="34" t="s">
        <v>1060</v>
      </c>
      <c r="J341" s="34" t="s">
        <v>858</v>
      </c>
      <c r="K341" s="34">
        <f>IF((Observaciones[[#This Row],[Fecha Levantamiento]]-Observaciones[[#This Row],[Fecha Detección]])&gt;=0,Observaciones[[#This Row],[Fecha Levantamiento]]-Observaciones[[#This Row],[Fecha Detección]]+1,0)</f>
        <v>0</v>
      </c>
      <c r="L341" s="34" t="str">
        <f>LOOKUP(Observaciones[[#This Row],[Caso de Prueba]],CasoPrueba[Código CP],CasoPrueba[Código de REQ])</f>
        <v>INSPECCIÓN</v>
      </c>
    </row>
    <row r="342" spans="1:12" ht="30">
      <c r="A342" s="165" t="s">
        <v>783</v>
      </c>
      <c r="B342" s="34" t="s">
        <v>619</v>
      </c>
      <c r="C342" s="34" t="str">
        <f>VLOOKUP(Observaciones[Caso de Prueba],CasoPrueba[[#All],[Código CP]:[Prioridad]],7,TRUE)</f>
        <v>Alta</v>
      </c>
      <c r="D342" s="34" t="s">
        <v>162</v>
      </c>
      <c r="E342" s="34" t="s">
        <v>47</v>
      </c>
      <c r="F342" s="73">
        <v>40848</v>
      </c>
      <c r="H342" s="94" t="s">
        <v>132</v>
      </c>
      <c r="I342" s="34" t="s">
        <v>1061</v>
      </c>
      <c r="J342" s="34" t="s">
        <v>1044</v>
      </c>
      <c r="K342" s="34">
        <f>IF((Observaciones[[#This Row],[Fecha Levantamiento]]-Observaciones[[#This Row],[Fecha Detección]])&gt;=0,Observaciones[[#This Row],[Fecha Levantamiento]]-Observaciones[[#This Row],[Fecha Detección]]+1,0)</f>
        <v>0</v>
      </c>
      <c r="L342" s="34" t="str">
        <f>LOOKUP(Observaciones[[#This Row],[Caso de Prueba]],CasoPrueba[Código CP],CasoPrueba[Código de REQ])</f>
        <v>INSPECCIÓN</v>
      </c>
    </row>
    <row r="343" spans="1:12" ht="30">
      <c r="A343" s="165" t="s">
        <v>784</v>
      </c>
      <c r="B343" s="34" t="s">
        <v>653</v>
      </c>
      <c r="C343" s="34" t="str">
        <f>VLOOKUP(Observaciones[Caso de Prueba],CasoPrueba[[#All],[Código CP]:[Prioridad]],7,TRUE)</f>
        <v>Alta</v>
      </c>
      <c r="D343" s="34" t="s">
        <v>162</v>
      </c>
      <c r="E343" s="34" t="s">
        <v>47</v>
      </c>
      <c r="F343" s="73">
        <v>40848</v>
      </c>
      <c r="H343" s="94" t="s">
        <v>132</v>
      </c>
      <c r="I343" s="34" t="s">
        <v>1062</v>
      </c>
      <c r="J343" s="34" t="s">
        <v>1117</v>
      </c>
      <c r="K343" s="34">
        <f>IF((Observaciones[[#This Row],[Fecha Levantamiento]]-Observaciones[[#This Row],[Fecha Detección]])&gt;=0,Observaciones[[#This Row],[Fecha Levantamiento]]-Observaciones[[#This Row],[Fecha Detección]]+1,0)</f>
        <v>0</v>
      </c>
      <c r="L343" s="34" t="str">
        <f>LOOKUP(Observaciones[[#This Row],[Caso de Prueba]],CasoPrueba[Código CP],CasoPrueba[Código de REQ])</f>
        <v>INSPECCIÓN</v>
      </c>
    </row>
    <row r="344" spans="1:12" ht="45">
      <c r="A344" s="165" t="s">
        <v>785</v>
      </c>
      <c r="B344" s="34" t="s">
        <v>88</v>
      </c>
      <c r="C344" s="34" t="str">
        <f>VLOOKUP(Observaciones[Caso de Prueba],CasoPrueba[[#All],[Código CP]:[Prioridad]],7,TRUE)</f>
        <v>Alta</v>
      </c>
      <c r="D344" s="34" t="s">
        <v>28</v>
      </c>
      <c r="E344" s="34" t="s">
        <v>47</v>
      </c>
      <c r="F344" s="73">
        <v>40848</v>
      </c>
      <c r="H344" s="94" t="s">
        <v>132</v>
      </c>
      <c r="I344" s="34" t="s">
        <v>871</v>
      </c>
      <c r="J344" s="34" t="s">
        <v>977</v>
      </c>
      <c r="K344" s="34">
        <f>IF((Observaciones[[#This Row],[Fecha Levantamiento]]-Observaciones[[#This Row],[Fecha Detección]])&gt;=0,Observaciones[[#This Row],[Fecha Levantamiento]]-Observaciones[[#This Row],[Fecha Detección]]+1,0)</f>
        <v>0</v>
      </c>
      <c r="L344" s="34" t="str">
        <f>LOOKUP(Observaciones[[#This Row],[Caso de Prueba]],CasoPrueba[Código CP],CasoPrueba[Código de REQ])</f>
        <v>INSPECCIÓN</v>
      </c>
    </row>
    <row r="345" spans="1:12" ht="45">
      <c r="A345" s="165" t="s">
        <v>786</v>
      </c>
      <c r="B345" s="34" t="s">
        <v>151</v>
      </c>
      <c r="C345" s="34" t="str">
        <f>VLOOKUP(Observaciones[Caso de Prueba],CasoPrueba[[#All],[Código CP]:[Prioridad]],7,TRUE)</f>
        <v>Alta</v>
      </c>
      <c r="D345" s="34" t="s">
        <v>28</v>
      </c>
      <c r="E345" s="34" t="s">
        <v>47</v>
      </c>
      <c r="F345" s="73">
        <v>40848</v>
      </c>
      <c r="H345" s="94" t="s">
        <v>132</v>
      </c>
      <c r="I345" s="34" t="s">
        <v>597</v>
      </c>
      <c r="J345" s="34" t="s">
        <v>1108</v>
      </c>
      <c r="K345" s="34">
        <f>IF((Observaciones[[#This Row],[Fecha Levantamiento]]-Observaciones[[#This Row],[Fecha Detección]])&gt;=0,Observaciones[[#This Row],[Fecha Levantamiento]]-Observaciones[[#This Row],[Fecha Detección]]+1,0)</f>
        <v>0</v>
      </c>
      <c r="L345" s="34" t="str">
        <f>LOOKUP(Observaciones[[#This Row],[Caso de Prueba]],CasoPrueba[Código CP],CasoPrueba[Código de REQ])</f>
        <v>INSPECCIÓN</v>
      </c>
    </row>
    <row r="346" spans="1:12" ht="45">
      <c r="A346" s="165" t="s">
        <v>787</v>
      </c>
      <c r="B346" s="34" t="s">
        <v>152</v>
      </c>
      <c r="C346" s="34" t="str">
        <f>VLOOKUP(Observaciones[Caso de Prueba],CasoPrueba[[#All],[Código CP]:[Prioridad]],7,TRUE)</f>
        <v>Alta</v>
      </c>
      <c r="D346" s="34" t="s">
        <v>28</v>
      </c>
      <c r="E346" s="34" t="s">
        <v>47</v>
      </c>
      <c r="F346" s="73">
        <v>40848</v>
      </c>
      <c r="H346" s="94" t="s">
        <v>132</v>
      </c>
      <c r="I346" s="34" t="s">
        <v>871</v>
      </c>
      <c r="J346" s="34" t="s">
        <v>955</v>
      </c>
      <c r="K346" s="34">
        <f>IF((Observaciones[[#This Row],[Fecha Levantamiento]]-Observaciones[[#This Row],[Fecha Detección]])&gt;=0,Observaciones[[#This Row],[Fecha Levantamiento]]-Observaciones[[#This Row],[Fecha Detección]]+1,0)</f>
        <v>0</v>
      </c>
      <c r="L346" s="34" t="str">
        <f>LOOKUP(Observaciones[[#This Row],[Caso de Prueba]],CasoPrueba[Código CP],CasoPrueba[Código de REQ])</f>
        <v>INSPECCIÓN</v>
      </c>
    </row>
    <row r="347" spans="1:12" ht="75">
      <c r="A347" s="165" t="s">
        <v>788</v>
      </c>
      <c r="B347" s="34" t="s">
        <v>152</v>
      </c>
      <c r="C347" s="34" t="str">
        <f>VLOOKUP(Observaciones[Caso de Prueba],CasoPrueba[[#All],[Código CP]:[Prioridad]],7,TRUE)</f>
        <v>Alta</v>
      </c>
      <c r="D347" s="34" t="s">
        <v>28</v>
      </c>
      <c r="E347" s="34" t="s">
        <v>47</v>
      </c>
      <c r="F347" s="73">
        <v>40848</v>
      </c>
      <c r="H347" s="94" t="s">
        <v>132</v>
      </c>
      <c r="I347" s="34" t="s">
        <v>1068</v>
      </c>
      <c r="J347" s="34" t="s">
        <v>817</v>
      </c>
      <c r="K347" s="34">
        <f>IF((Observaciones[[#This Row],[Fecha Levantamiento]]-Observaciones[[#This Row],[Fecha Detección]])&gt;=0,Observaciones[[#This Row],[Fecha Levantamiento]]-Observaciones[[#This Row],[Fecha Detección]]+1,0)</f>
        <v>0</v>
      </c>
      <c r="L347" s="34" t="str">
        <f>LOOKUP(Observaciones[[#This Row],[Caso de Prueba]],CasoPrueba[Código CP],CasoPrueba[Código de REQ])</f>
        <v>INSPECCIÓN</v>
      </c>
    </row>
    <row r="348" spans="1:12">
      <c r="A348" s="165" t="s">
        <v>789</v>
      </c>
      <c r="B348" s="34" t="s">
        <v>152</v>
      </c>
      <c r="C348" s="34" t="str">
        <f>VLOOKUP(Observaciones[Caso de Prueba],CasoPrueba[[#All],[Código CP]:[Prioridad]],7,TRUE)</f>
        <v>Alta</v>
      </c>
      <c r="D348" s="34" t="s">
        <v>28</v>
      </c>
      <c r="E348" s="34" t="s">
        <v>47</v>
      </c>
      <c r="F348" s="73">
        <v>40848</v>
      </c>
      <c r="H348" s="94" t="s">
        <v>132</v>
      </c>
      <c r="I348" s="34" t="s">
        <v>645</v>
      </c>
      <c r="J348" s="34" t="s">
        <v>1106</v>
      </c>
      <c r="K348" s="34">
        <f>IF((Observaciones[[#This Row],[Fecha Levantamiento]]-Observaciones[[#This Row],[Fecha Detección]])&gt;=0,Observaciones[[#This Row],[Fecha Levantamiento]]-Observaciones[[#This Row],[Fecha Detección]]+1,0)</f>
        <v>0</v>
      </c>
      <c r="L348" s="34" t="str">
        <f>LOOKUP(Observaciones[[#This Row],[Caso de Prueba]],CasoPrueba[Código CP],CasoPrueba[Código de REQ])</f>
        <v>INSPECCIÓN</v>
      </c>
    </row>
    <row r="349" spans="1:12" ht="45">
      <c r="A349" s="165" t="s">
        <v>790</v>
      </c>
      <c r="B349" s="34" t="s">
        <v>153</v>
      </c>
      <c r="C349" s="34" t="str">
        <f>VLOOKUP(Observaciones[Caso de Prueba],CasoPrueba[[#All],[Código CP]:[Prioridad]],7,TRUE)</f>
        <v>Alta</v>
      </c>
      <c r="D349" s="34" t="s">
        <v>28</v>
      </c>
      <c r="E349" s="34" t="s">
        <v>47</v>
      </c>
      <c r="F349" s="73">
        <v>40848</v>
      </c>
      <c r="H349" s="94" t="s">
        <v>132</v>
      </c>
      <c r="I349" s="34" t="s">
        <v>597</v>
      </c>
      <c r="J349" s="34" t="s">
        <v>1107</v>
      </c>
      <c r="K349" s="34">
        <f>IF((Observaciones[[#This Row],[Fecha Levantamiento]]-Observaciones[[#This Row],[Fecha Detección]])&gt;=0,Observaciones[[#This Row],[Fecha Levantamiento]]-Observaciones[[#This Row],[Fecha Detección]]+1,0)</f>
        <v>0</v>
      </c>
      <c r="L349" s="34" t="str">
        <f>LOOKUP(Observaciones[[#This Row],[Caso de Prueba]],CasoPrueba[Código CP],CasoPrueba[Código de REQ])</f>
        <v>INSPECCIÓN</v>
      </c>
    </row>
    <row r="350" spans="1:12" ht="45">
      <c r="A350" s="165" t="s">
        <v>791</v>
      </c>
      <c r="B350" s="34" t="s">
        <v>153</v>
      </c>
      <c r="C350" s="34" t="str">
        <f>VLOOKUP(Observaciones[Caso de Prueba],CasoPrueba[[#All],[Código CP]:[Prioridad]],7,TRUE)</f>
        <v>Alta</v>
      </c>
      <c r="D350" s="34" t="s">
        <v>30</v>
      </c>
      <c r="E350" s="34" t="s">
        <v>47</v>
      </c>
      <c r="F350" s="73">
        <v>40848</v>
      </c>
      <c r="H350" s="94" t="s">
        <v>132</v>
      </c>
      <c r="I350" s="34" t="s">
        <v>1069</v>
      </c>
      <c r="J350" s="34" t="s">
        <v>955</v>
      </c>
      <c r="K350" s="34">
        <f>IF((Observaciones[[#This Row],[Fecha Levantamiento]]-Observaciones[[#This Row],[Fecha Detección]])&gt;=0,Observaciones[[#This Row],[Fecha Levantamiento]]-Observaciones[[#This Row],[Fecha Detección]]+1,0)</f>
        <v>0</v>
      </c>
      <c r="L350" s="34" t="str">
        <f>LOOKUP(Observaciones[[#This Row],[Caso de Prueba]],CasoPrueba[Código CP],CasoPrueba[Código de REQ])</f>
        <v>INSPECCIÓN</v>
      </c>
    </row>
    <row r="351" spans="1:12" ht="45">
      <c r="A351" s="165" t="s">
        <v>792</v>
      </c>
      <c r="B351" s="34" t="s">
        <v>154</v>
      </c>
      <c r="C351" s="34" t="str">
        <f>VLOOKUP(Observaciones[Caso de Prueba],CasoPrueba[[#All],[Código CP]:[Prioridad]],7,TRUE)</f>
        <v>Alta</v>
      </c>
      <c r="D351" s="34" t="s">
        <v>28</v>
      </c>
      <c r="E351" s="34" t="s">
        <v>47</v>
      </c>
      <c r="F351" s="73">
        <v>40848</v>
      </c>
      <c r="H351" s="94" t="s">
        <v>132</v>
      </c>
      <c r="I351" s="34" t="s">
        <v>597</v>
      </c>
      <c r="J351" s="34" t="s">
        <v>1109</v>
      </c>
      <c r="K351" s="34">
        <f>IF((Observaciones[[#This Row],[Fecha Levantamiento]]-Observaciones[[#This Row],[Fecha Detección]])&gt;=0,Observaciones[[#This Row],[Fecha Levantamiento]]-Observaciones[[#This Row],[Fecha Detección]]+1,0)</f>
        <v>0</v>
      </c>
      <c r="L351" s="34" t="str">
        <f>LOOKUP(Observaciones[[#This Row],[Caso de Prueba]],CasoPrueba[Código CP],CasoPrueba[Código de REQ])</f>
        <v>INSPECCIÓN</v>
      </c>
    </row>
    <row r="352" spans="1:12" ht="45">
      <c r="A352" s="165" t="s">
        <v>793</v>
      </c>
      <c r="B352" s="34" t="s">
        <v>155</v>
      </c>
      <c r="C352" s="34" t="str">
        <f>VLOOKUP(Observaciones[Caso de Prueba],CasoPrueba[[#All],[Código CP]:[Prioridad]],7,TRUE)</f>
        <v>Alta</v>
      </c>
      <c r="D352" s="34" t="s">
        <v>28</v>
      </c>
      <c r="E352" s="34" t="s">
        <v>47</v>
      </c>
      <c r="F352" s="73">
        <v>40848</v>
      </c>
      <c r="H352" s="94" t="s">
        <v>132</v>
      </c>
      <c r="I352" s="34" t="s">
        <v>597</v>
      </c>
      <c r="J352" s="34" t="s">
        <v>1110</v>
      </c>
      <c r="K352" s="34">
        <f>IF((Observaciones[[#This Row],[Fecha Levantamiento]]-Observaciones[[#This Row],[Fecha Detección]])&gt;=0,Observaciones[[#This Row],[Fecha Levantamiento]]-Observaciones[[#This Row],[Fecha Detección]]+1,0)</f>
        <v>0</v>
      </c>
      <c r="L352" s="34" t="str">
        <f>LOOKUP(Observaciones[[#This Row],[Caso de Prueba]],CasoPrueba[Código CP],CasoPrueba[Código de REQ])</f>
        <v>INSPECCIÓN</v>
      </c>
    </row>
    <row r="353" spans="1:12" ht="45">
      <c r="A353" s="165" t="s">
        <v>794</v>
      </c>
      <c r="B353" s="34" t="s">
        <v>155</v>
      </c>
      <c r="C353" s="34" t="str">
        <f>VLOOKUP(Observaciones[Caso de Prueba],CasoPrueba[[#All],[Código CP]:[Prioridad]],7,TRUE)</f>
        <v>Alta</v>
      </c>
      <c r="D353" s="34" t="s">
        <v>28</v>
      </c>
      <c r="E353" s="34" t="s">
        <v>47</v>
      </c>
      <c r="F353" s="73">
        <v>40848</v>
      </c>
      <c r="H353" s="94" t="s">
        <v>132</v>
      </c>
      <c r="I353" s="34" t="s">
        <v>1085</v>
      </c>
      <c r="J353" s="34" t="s">
        <v>857</v>
      </c>
      <c r="K353" s="34">
        <f>IF((Observaciones[[#This Row],[Fecha Levantamiento]]-Observaciones[[#This Row],[Fecha Detección]])&gt;=0,Observaciones[[#This Row],[Fecha Levantamiento]]-Observaciones[[#This Row],[Fecha Detección]]+1,0)</f>
        <v>0</v>
      </c>
      <c r="L353" s="34" t="str">
        <f>LOOKUP(Observaciones[[#This Row],[Caso de Prueba]],CasoPrueba[Código CP],CasoPrueba[Código de REQ])</f>
        <v>INSPECCIÓN</v>
      </c>
    </row>
    <row r="354" spans="1:12" ht="75">
      <c r="A354" s="165" t="s">
        <v>795</v>
      </c>
      <c r="B354" s="34" t="s">
        <v>155</v>
      </c>
      <c r="C354" s="34" t="str">
        <f>VLOOKUP(Observaciones[Caso de Prueba],CasoPrueba[[#All],[Código CP]:[Prioridad]],7,TRUE)</f>
        <v>Alta</v>
      </c>
      <c r="D354" s="34" t="s">
        <v>28</v>
      </c>
      <c r="E354" s="34" t="s">
        <v>47</v>
      </c>
      <c r="F354" s="73">
        <v>40848</v>
      </c>
      <c r="H354" s="94" t="s">
        <v>132</v>
      </c>
      <c r="I354" s="34" t="s">
        <v>1081</v>
      </c>
      <c r="J354" s="34" t="s">
        <v>857</v>
      </c>
      <c r="K354" s="34">
        <f>IF((Observaciones[[#This Row],[Fecha Levantamiento]]-Observaciones[[#This Row],[Fecha Detección]])&gt;=0,Observaciones[[#This Row],[Fecha Levantamiento]]-Observaciones[[#This Row],[Fecha Detección]]+1,0)</f>
        <v>0</v>
      </c>
      <c r="L354" s="34" t="str">
        <f>LOOKUP(Observaciones[[#This Row],[Caso de Prueba]],CasoPrueba[Código CP],CasoPrueba[Código de REQ])</f>
        <v>INSPECCIÓN</v>
      </c>
    </row>
    <row r="355" spans="1:12" ht="45">
      <c r="A355" s="165" t="s">
        <v>796</v>
      </c>
      <c r="B355" s="34" t="s">
        <v>156</v>
      </c>
      <c r="C355" s="34" t="str">
        <f>VLOOKUP(Observaciones[Caso de Prueba],CasoPrueba[[#All],[Código CP]:[Prioridad]],7,TRUE)</f>
        <v>Alta</v>
      </c>
      <c r="D355" s="34" t="s">
        <v>28</v>
      </c>
      <c r="E355" s="34" t="s">
        <v>47</v>
      </c>
      <c r="F355" s="73">
        <v>40848</v>
      </c>
      <c r="H355" s="94" t="s">
        <v>132</v>
      </c>
      <c r="I355" s="34" t="s">
        <v>597</v>
      </c>
      <c r="J355" s="34" t="s">
        <v>1111</v>
      </c>
      <c r="K355" s="34">
        <f>IF((Observaciones[[#This Row],[Fecha Levantamiento]]-Observaciones[[#This Row],[Fecha Detección]])&gt;=0,Observaciones[[#This Row],[Fecha Levantamiento]]-Observaciones[[#This Row],[Fecha Detección]]+1,0)</f>
        <v>0</v>
      </c>
      <c r="L355" s="34" t="str">
        <f>LOOKUP(Observaciones[[#This Row],[Caso de Prueba]],CasoPrueba[Código CP],CasoPrueba[Código de REQ])</f>
        <v>INSPECCIÓN</v>
      </c>
    </row>
    <row r="356" spans="1:12" ht="45">
      <c r="A356" s="165" t="s">
        <v>797</v>
      </c>
      <c r="B356" s="34" t="s">
        <v>157</v>
      </c>
      <c r="C356" s="34" t="str">
        <f>VLOOKUP(Observaciones[Caso de Prueba],CasoPrueba[[#All],[Código CP]:[Prioridad]],7,TRUE)</f>
        <v>Alta</v>
      </c>
      <c r="D356" s="34" t="s">
        <v>28</v>
      </c>
      <c r="E356" s="34" t="s">
        <v>47</v>
      </c>
      <c r="F356" s="73">
        <v>40848</v>
      </c>
      <c r="H356" s="94" t="s">
        <v>132</v>
      </c>
      <c r="I356" s="34" t="s">
        <v>597</v>
      </c>
      <c r="J356" s="34" t="s">
        <v>1112</v>
      </c>
      <c r="K356" s="34">
        <f>IF((Observaciones[[#This Row],[Fecha Levantamiento]]-Observaciones[[#This Row],[Fecha Detección]])&gt;=0,Observaciones[[#This Row],[Fecha Levantamiento]]-Observaciones[[#This Row],[Fecha Detección]]+1,0)</f>
        <v>0</v>
      </c>
      <c r="L356" s="34" t="str">
        <f>LOOKUP(Observaciones[[#This Row],[Caso de Prueba]],CasoPrueba[Código CP],CasoPrueba[Código de REQ])</f>
        <v>INSPECCIÓN</v>
      </c>
    </row>
    <row r="357" spans="1:12" ht="45">
      <c r="A357" s="165" t="s">
        <v>798</v>
      </c>
      <c r="B357" s="34" t="s">
        <v>158</v>
      </c>
      <c r="C357" s="34" t="str">
        <f>VLOOKUP(Observaciones[Caso de Prueba],CasoPrueba[[#All],[Código CP]:[Prioridad]],7,TRUE)</f>
        <v>Alta</v>
      </c>
      <c r="D357" s="34" t="s">
        <v>28</v>
      </c>
      <c r="E357" s="34" t="s">
        <v>47</v>
      </c>
      <c r="F357" s="73">
        <v>40848</v>
      </c>
      <c r="H357" s="94" t="s">
        <v>132</v>
      </c>
      <c r="I357" s="34" t="s">
        <v>597</v>
      </c>
      <c r="J357" s="34" t="s">
        <v>1113</v>
      </c>
      <c r="K357" s="34">
        <f>IF((Observaciones[[#This Row],[Fecha Levantamiento]]-Observaciones[[#This Row],[Fecha Detección]])&gt;=0,Observaciones[[#This Row],[Fecha Levantamiento]]-Observaciones[[#This Row],[Fecha Detección]]+1,0)</f>
        <v>0</v>
      </c>
      <c r="L357" s="34" t="str">
        <f>LOOKUP(Observaciones[[#This Row],[Caso de Prueba]],CasoPrueba[Código CP],CasoPrueba[Código de REQ])</f>
        <v>INSPECCIÓN</v>
      </c>
    </row>
    <row r="358" spans="1:12" ht="45">
      <c r="A358" s="165" t="s">
        <v>799</v>
      </c>
      <c r="B358" s="34" t="s">
        <v>171</v>
      </c>
      <c r="C358" s="34" t="str">
        <f>VLOOKUP(Observaciones[Caso de Prueba],CasoPrueba[[#All],[Código CP]:[Prioridad]],7,TRUE)</f>
        <v>Alta</v>
      </c>
      <c r="D358" s="34" t="s">
        <v>28</v>
      </c>
      <c r="E358" s="34" t="s">
        <v>47</v>
      </c>
      <c r="F358" s="73">
        <v>40848</v>
      </c>
      <c r="H358" s="94" t="s">
        <v>132</v>
      </c>
      <c r="I358" s="34" t="s">
        <v>597</v>
      </c>
      <c r="J358" s="34" t="s">
        <v>1114</v>
      </c>
      <c r="K358" s="34">
        <f>IF((Observaciones[[#This Row],[Fecha Levantamiento]]-Observaciones[[#This Row],[Fecha Detección]])&gt;=0,Observaciones[[#This Row],[Fecha Levantamiento]]-Observaciones[[#This Row],[Fecha Detección]]+1,0)</f>
        <v>0</v>
      </c>
      <c r="L358" s="34" t="str">
        <f>LOOKUP(Observaciones[[#This Row],[Caso de Prueba]],CasoPrueba[Código CP],CasoPrueba[Código de REQ])</f>
        <v>INSPECCIÓN</v>
      </c>
    </row>
    <row r="359" spans="1:12" ht="45">
      <c r="A359" s="165" t="s">
        <v>800</v>
      </c>
      <c r="B359" s="34" t="s">
        <v>172</v>
      </c>
      <c r="C359" s="34" t="str">
        <f>VLOOKUP(Observaciones[Caso de Prueba],CasoPrueba[[#All],[Código CP]:[Prioridad]],7,TRUE)</f>
        <v>Alta</v>
      </c>
      <c r="D359" s="34" t="s">
        <v>28</v>
      </c>
      <c r="E359" s="34" t="s">
        <v>47</v>
      </c>
      <c r="F359" s="73">
        <v>40848</v>
      </c>
      <c r="H359" s="94" t="s">
        <v>132</v>
      </c>
      <c r="I359" s="34" t="s">
        <v>871</v>
      </c>
      <c r="J359" s="34" t="s">
        <v>1001</v>
      </c>
      <c r="K359" s="34">
        <f>IF((Observaciones[[#This Row],[Fecha Levantamiento]]-Observaciones[[#This Row],[Fecha Detección]])&gt;=0,Observaciones[[#This Row],[Fecha Levantamiento]]-Observaciones[[#This Row],[Fecha Detección]]+1,0)</f>
        <v>0</v>
      </c>
      <c r="L359" s="34" t="str">
        <f>LOOKUP(Observaciones[[#This Row],[Caso de Prueba]],CasoPrueba[Código CP],CasoPrueba[Código de REQ])</f>
        <v>INSPECCIÓN</v>
      </c>
    </row>
    <row r="360" spans="1:12" ht="45">
      <c r="A360" s="165" t="s">
        <v>801</v>
      </c>
      <c r="B360" s="34" t="s">
        <v>173</v>
      </c>
      <c r="C360" s="34" t="str">
        <f>VLOOKUP(Observaciones[Caso de Prueba],CasoPrueba[[#All],[Código CP]:[Prioridad]],7,TRUE)</f>
        <v>Alta</v>
      </c>
      <c r="D360" s="34" t="s">
        <v>28</v>
      </c>
      <c r="E360" s="34" t="s">
        <v>47</v>
      </c>
      <c r="F360" s="73">
        <v>40848</v>
      </c>
      <c r="H360" s="94" t="s">
        <v>132</v>
      </c>
      <c r="I360" s="34" t="s">
        <v>597</v>
      </c>
      <c r="J360" s="34" t="s">
        <v>1001</v>
      </c>
      <c r="K360" s="34">
        <f>IF((Observaciones[[#This Row],[Fecha Levantamiento]]-Observaciones[[#This Row],[Fecha Detección]])&gt;=0,Observaciones[[#This Row],[Fecha Levantamiento]]-Observaciones[[#This Row],[Fecha Detección]]+1,0)</f>
        <v>0</v>
      </c>
      <c r="L360" s="34" t="str">
        <f>LOOKUP(Observaciones[[#This Row],[Caso de Prueba]],CasoPrueba[Código CP],CasoPrueba[Código de REQ])</f>
        <v>INSPECCIÓN</v>
      </c>
    </row>
    <row r="361" spans="1:12" ht="60">
      <c r="A361" s="165" t="s">
        <v>802</v>
      </c>
      <c r="B361" s="34" t="s">
        <v>173</v>
      </c>
      <c r="C361" s="34" t="str">
        <f>VLOOKUP(Observaciones[Caso de Prueba],CasoPrueba[[#All],[Código CP]:[Prioridad]],7,TRUE)</f>
        <v>Alta</v>
      </c>
      <c r="D361" s="34" t="s">
        <v>28</v>
      </c>
      <c r="E361" s="34" t="s">
        <v>47</v>
      </c>
      <c r="F361" s="73">
        <v>40848</v>
      </c>
      <c r="H361" s="94" t="s">
        <v>132</v>
      </c>
      <c r="I361" s="34" t="s">
        <v>1082</v>
      </c>
      <c r="J361" s="34" t="s">
        <v>1001</v>
      </c>
      <c r="K361" s="34">
        <f>IF((Observaciones[[#This Row],[Fecha Levantamiento]]-Observaciones[[#This Row],[Fecha Detección]])&gt;=0,Observaciones[[#This Row],[Fecha Levantamiento]]-Observaciones[[#This Row],[Fecha Detección]]+1,0)</f>
        <v>0</v>
      </c>
      <c r="L361" s="34" t="str">
        <f>LOOKUP(Observaciones[[#This Row],[Caso de Prueba]],CasoPrueba[Código CP],CasoPrueba[Código de REQ])</f>
        <v>INSPECCIÓN</v>
      </c>
    </row>
    <row r="362" spans="1:12" ht="45">
      <c r="A362" s="165" t="s">
        <v>1070</v>
      </c>
      <c r="B362" s="34" t="s">
        <v>174</v>
      </c>
      <c r="C362" s="34" t="str">
        <f>VLOOKUP(Observaciones[Caso de Prueba],CasoPrueba[[#All],[Código CP]:[Prioridad]],7,TRUE)</f>
        <v>Alta</v>
      </c>
      <c r="D362" s="34" t="s">
        <v>28</v>
      </c>
      <c r="E362" s="34" t="s">
        <v>47</v>
      </c>
      <c r="F362" s="73">
        <v>40848</v>
      </c>
      <c r="H362" s="94" t="s">
        <v>132</v>
      </c>
      <c r="I362" s="34" t="s">
        <v>597</v>
      </c>
      <c r="J362" s="34" t="s">
        <v>1001</v>
      </c>
      <c r="K362" s="163">
        <f>IF((Observaciones[[#This Row],[Fecha Levantamiento]]-Observaciones[[#This Row],[Fecha Detección]])&gt;=0,Observaciones[[#This Row],[Fecha Levantamiento]]-Observaciones[[#This Row],[Fecha Detección]]+1,0)</f>
        <v>0</v>
      </c>
      <c r="L362" s="163" t="str">
        <f>LOOKUP(Observaciones[[#This Row],[Caso de Prueba]],CasoPrueba[Código CP],CasoPrueba[Código de REQ])</f>
        <v>INSPECCIÓN</v>
      </c>
    </row>
    <row r="363" spans="1:12" ht="30">
      <c r="A363" s="165" t="s">
        <v>1071</v>
      </c>
      <c r="B363" s="34" t="s">
        <v>174</v>
      </c>
      <c r="C363" s="34" t="str">
        <f>VLOOKUP(Observaciones[Caso de Prueba],CasoPrueba[[#All],[Código CP]:[Prioridad]],7,TRUE)</f>
        <v>Alta</v>
      </c>
      <c r="D363" s="34" t="s">
        <v>28</v>
      </c>
      <c r="E363" s="34" t="s">
        <v>47</v>
      </c>
      <c r="F363" s="73">
        <v>40848</v>
      </c>
      <c r="H363" s="94" t="s">
        <v>132</v>
      </c>
      <c r="I363" s="34" t="s">
        <v>1083</v>
      </c>
      <c r="J363" s="34" t="s">
        <v>1120</v>
      </c>
      <c r="K363" s="163">
        <f>IF((Observaciones[[#This Row],[Fecha Levantamiento]]-Observaciones[[#This Row],[Fecha Detección]])&gt;=0,Observaciones[[#This Row],[Fecha Levantamiento]]-Observaciones[[#This Row],[Fecha Detección]]+1,0)</f>
        <v>0</v>
      </c>
      <c r="L363" s="163" t="str">
        <f>LOOKUP(Observaciones[[#This Row],[Caso de Prueba]],CasoPrueba[Código CP],CasoPrueba[Código de REQ])</f>
        <v>INSPECCIÓN</v>
      </c>
    </row>
    <row r="364" spans="1:12" ht="45">
      <c r="A364" s="165" t="s">
        <v>1072</v>
      </c>
      <c r="B364" s="34" t="s">
        <v>174</v>
      </c>
      <c r="C364" s="34" t="str">
        <f>VLOOKUP(Observaciones[Caso de Prueba],CasoPrueba[[#All],[Código CP]:[Prioridad]],7,TRUE)</f>
        <v>Alta</v>
      </c>
      <c r="D364" s="34" t="s">
        <v>28</v>
      </c>
      <c r="E364" s="34" t="s">
        <v>47</v>
      </c>
      <c r="F364" s="73">
        <v>40848</v>
      </c>
      <c r="H364" s="94" t="s">
        <v>132</v>
      </c>
      <c r="I364" s="34" t="s">
        <v>1084</v>
      </c>
      <c r="J364" s="34" t="s">
        <v>1121</v>
      </c>
      <c r="K364" s="34">
        <f>IF((Observaciones[[#This Row],[Fecha Levantamiento]]-Observaciones[[#This Row],[Fecha Detección]])&gt;=0,Observaciones[[#This Row],[Fecha Levantamiento]]-Observaciones[[#This Row],[Fecha Detección]]+1,0)</f>
        <v>0</v>
      </c>
      <c r="L364" s="34" t="str">
        <f>LOOKUP(Observaciones[[#This Row],[Caso de Prueba]],CasoPrueba[Código CP],CasoPrueba[Código de REQ])</f>
        <v>INSPECCIÓN</v>
      </c>
    </row>
    <row r="365" spans="1:12" ht="45">
      <c r="A365" s="165" t="s">
        <v>1073</v>
      </c>
      <c r="B365" s="34" t="s">
        <v>175</v>
      </c>
      <c r="C365" s="34" t="str">
        <f>VLOOKUP(Observaciones[Caso de Prueba],CasoPrueba[[#All],[Código CP]:[Prioridad]],7,TRUE)</f>
        <v>Alta</v>
      </c>
      <c r="D365" s="34" t="s">
        <v>28</v>
      </c>
      <c r="E365" s="34" t="s">
        <v>47</v>
      </c>
      <c r="F365" s="73">
        <v>40848</v>
      </c>
      <c r="H365" s="94" t="s">
        <v>132</v>
      </c>
      <c r="I365" s="34" t="s">
        <v>597</v>
      </c>
      <c r="J365" s="34" t="s">
        <v>1122</v>
      </c>
      <c r="K365" s="34">
        <f>IF((Observaciones[[#This Row],[Fecha Levantamiento]]-Observaciones[[#This Row],[Fecha Detección]])&gt;=0,Observaciones[[#This Row],[Fecha Levantamiento]]-Observaciones[[#This Row],[Fecha Detección]]+1,0)</f>
        <v>0</v>
      </c>
      <c r="L365" s="34" t="str">
        <f>LOOKUP(Observaciones[[#This Row],[Caso de Prueba]],CasoPrueba[Código CP],CasoPrueba[Código de REQ])</f>
        <v>INSPECCIÓN</v>
      </c>
    </row>
    <row r="366" spans="1:12">
      <c r="A366" s="165" t="s">
        <v>1074</v>
      </c>
      <c r="B366" s="34" t="s">
        <v>175</v>
      </c>
      <c r="C366" s="34" t="str">
        <f>VLOOKUP(Observaciones[Caso de Prueba],CasoPrueba[[#All],[Código CP]:[Prioridad]],7,TRUE)</f>
        <v>Alta</v>
      </c>
      <c r="D366" s="34" t="s">
        <v>28</v>
      </c>
      <c r="E366" s="34" t="s">
        <v>47</v>
      </c>
      <c r="F366" s="73">
        <v>40848</v>
      </c>
      <c r="H366" s="94" t="s">
        <v>132</v>
      </c>
      <c r="I366" s="34" t="s">
        <v>1086</v>
      </c>
      <c r="J366" s="34" t="s">
        <v>1123</v>
      </c>
      <c r="K366" s="34">
        <f>IF((Observaciones[[#This Row],[Fecha Levantamiento]]-Observaciones[[#This Row],[Fecha Detección]])&gt;=0,Observaciones[[#This Row],[Fecha Levantamiento]]-Observaciones[[#This Row],[Fecha Detección]]+1,0)</f>
        <v>0</v>
      </c>
      <c r="L366" s="34" t="str">
        <f>LOOKUP(Observaciones[[#This Row],[Caso de Prueba]],CasoPrueba[Código CP],CasoPrueba[Código de REQ])</f>
        <v>INSPECCIÓN</v>
      </c>
    </row>
    <row r="367" spans="1:12" ht="45">
      <c r="A367" s="165" t="s">
        <v>1075</v>
      </c>
      <c r="B367" s="34" t="s">
        <v>175</v>
      </c>
      <c r="C367" s="34" t="str">
        <f>VLOOKUP(Observaciones[Caso de Prueba],CasoPrueba[[#All],[Código CP]:[Prioridad]],7,TRUE)</f>
        <v>Alta</v>
      </c>
      <c r="D367" s="34" t="s">
        <v>28</v>
      </c>
      <c r="E367" s="34" t="s">
        <v>47</v>
      </c>
      <c r="F367" s="73">
        <v>40848</v>
      </c>
      <c r="H367" s="94" t="s">
        <v>132</v>
      </c>
      <c r="I367" s="34" t="s">
        <v>1087</v>
      </c>
      <c r="J367" s="34" t="s">
        <v>1121</v>
      </c>
      <c r="K367" s="34">
        <f>IF((Observaciones[[#This Row],[Fecha Levantamiento]]-Observaciones[[#This Row],[Fecha Detección]])&gt;=0,Observaciones[[#This Row],[Fecha Levantamiento]]-Observaciones[[#This Row],[Fecha Detección]]+1,0)</f>
        <v>0</v>
      </c>
      <c r="L367" s="34" t="str">
        <f>LOOKUP(Observaciones[[#This Row],[Caso de Prueba]],CasoPrueba[Código CP],CasoPrueba[Código de REQ])</f>
        <v>INSPECCIÓN</v>
      </c>
    </row>
    <row r="368" spans="1:12" ht="105">
      <c r="A368" s="165" t="s">
        <v>1076</v>
      </c>
      <c r="B368" s="34" t="s">
        <v>175</v>
      </c>
      <c r="C368" s="34" t="str">
        <f>VLOOKUP(Observaciones[Caso de Prueba],CasoPrueba[[#All],[Código CP]:[Prioridad]],7,TRUE)</f>
        <v>Alta</v>
      </c>
      <c r="D368" s="34" t="s">
        <v>28</v>
      </c>
      <c r="E368" s="34" t="s">
        <v>47</v>
      </c>
      <c r="F368" s="73">
        <v>40848</v>
      </c>
      <c r="H368" s="94" t="s">
        <v>132</v>
      </c>
      <c r="I368" s="34" t="s">
        <v>1088</v>
      </c>
      <c r="J368" s="34" t="s">
        <v>1124</v>
      </c>
      <c r="K368" s="34">
        <f>IF((Observaciones[[#This Row],[Fecha Levantamiento]]-Observaciones[[#This Row],[Fecha Detección]])&gt;=0,Observaciones[[#This Row],[Fecha Levantamiento]]-Observaciones[[#This Row],[Fecha Detección]]+1,0)</f>
        <v>0</v>
      </c>
      <c r="L368" s="34" t="str">
        <f>LOOKUP(Observaciones[[#This Row],[Caso de Prueba]],CasoPrueba[Código CP],CasoPrueba[Código de REQ])</f>
        <v>INSPECCIÓN</v>
      </c>
    </row>
    <row r="369" spans="1:12" ht="45">
      <c r="A369" s="165" t="s">
        <v>1077</v>
      </c>
      <c r="B369" s="34" t="s">
        <v>176</v>
      </c>
      <c r="C369" s="34" t="str">
        <f>VLOOKUP(Observaciones[Caso de Prueba],CasoPrueba[[#All],[Código CP]:[Prioridad]],7,TRUE)</f>
        <v>Alta</v>
      </c>
      <c r="D369" s="34" t="s">
        <v>28</v>
      </c>
      <c r="E369" s="34" t="s">
        <v>47</v>
      </c>
      <c r="F369" s="73">
        <v>40848</v>
      </c>
      <c r="H369" s="94" t="s">
        <v>132</v>
      </c>
      <c r="I369" s="34" t="s">
        <v>597</v>
      </c>
      <c r="J369" s="34" t="s">
        <v>1122</v>
      </c>
      <c r="K369" s="34">
        <f>IF((Observaciones[[#This Row],[Fecha Levantamiento]]-Observaciones[[#This Row],[Fecha Detección]])&gt;=0,Observaciones[[#This Row],[Fecha Levantamiento]]-Observaciones[[#This Row],[Fecha Detección]]+1,0)</f>
        <v>0</v>
      </c>
      <c r="L369" s="34" t="str">
        <f>LOOKUP(Observaciones[[#This Row],[Caso de Prueba]],CasoPrueba[Código CP],CasoPrueba[Código de REQ])</f>
        <v>INSPECCIÓN</v>
      </c>
    </row>
    <row r="370" spans="1:12">
      <c r="A370" s="165" t="s">
        <v>1078</v>
      </c>
      <c r="B370" s="34" t="s">
        <v>176</v>
      </c>
      <c r="C370" s="34" t="str">
        <f>VLOOKUP(Observaciones[Caso de Prueba],CasoPrueba[[#All],[Código CP]:[Prioridad]],7,TRUE)</f>
        <v>Alta</v>
      </c>
      <c r="D370" s="34" t="s">
        <v>28</v>
      </c>
      <c r="E370" s="34" t="s">
        <v>47</v>
      </c>
      <c r="F370" s="73">
        <v>40848</v>
      </c>
      <c r="H370" s="94" t="s">
        <v>132</v>
      </c>
      <c r="I370" s="34" t="s">
        <v>1086</v>
      </c>
      <c r="J370" s="34" t="s">
        <v>1123</v>
      </c>
      <c r="K370" s="34">
        <f>IF((Observaciones[[#This Row],[Fecha Levantamiento]]-Observaciones[[#This Row],[Fecha Detección]])&gt;=0,Observaciones[[#This Row],[Fecha Levantamiento]]-Observaciones[[#This Row],[Fecha Detección]]+1,0)</f>
        <v>0</v>
      </c>
      <c r="L370" s="34" t="str">
        <f>LOOKUP(Observaciones[[#This Row],[Caso de Prueba]],CasoPrueba[Código CP],CasoPrueba[Código de REQ])</f>
        <v>INSPECCIÓN</v>
      </c>
    </row>
    <row r="371" spans="1:12" ht="45">
      <c r="A371" s="165" t="s">
        <v>1079</v>
      </c>
      <c r="B371" s="34" t="s">
        <v>176</v>
      </c>
      <c r="C371" s="34" t="str">
        <f>VLOOKUP(Observaciones[Caso de Prueba],CasoPrueba[[#All],[Código CP]:[Prioridad]],7,TRUE)</f>
        <v>Alta</v>
      </c>
      <c r="D371" s="34" t="s">
        <v>28</v>
      </c>
      <c r="E371" s="34" t="s">
        <v>47</v>
      </c>
      <c r="F371" s="73">
        <v>40848</v>
      </c>
      <c r="H371" s="94" t="s">
        <v>132</v>
      </c>
      <c r="I371" s="34" t="s">
        <v>1089</v>
      </c>
      <c r="J371" s="34" t="s">
        <v>1125</v>
      </c>
      <c r="K371" s="34">
        <f>IF((Observaciones[[#This Row],[Fecha Levantamiento]]-Observaciones[[#This Row],[Fecha Detección]])&gt;=0,Observaciones[[#This Row],[Fecha Levantamiento]]-Observaciones[[#This Row],[Fecha Detección]]+1,0)</f>
        <v>0</v>
      </c>
      <c r="L371" s="34" t="str">
        <f>LOOKUP(Observaciones[[#This Row],[Caso de Prueba]],CasoPrueba[Código CP],CasoPrueba[Código de REQ])</f>
        <v>INSPECCIÓN</v>
      </c>
    </row>
    <row r="372" spans="1:12" hidden="1">
      <c r="A372" s="165" t="s">
        <v>1080</v>
      </c>
      <c r="C372" s="34" t="e">
        <f>VLOOKUP(Observaciones[Caso de Prueba],CasoPrueba[[#All],[Código CP]:[Prioridad]],7,TRUE)</f>
        <v>#N/A</v>
      </c>
      <c r="K372" s="34">
        <f>IF((Observaciones[[#This Row],[Fecha Levantamiento]]-Observaciones[[#This Row],[Fecha Detección]])&gt;=0,Observaciones[[#This Row],[Fecha Levantamiento]]-Observaciones[[#This Row],[Fecha Detección]]+1,0)</f>
        <v>1</v>
      </c>
      <c r="L372" s="34" t="e">
        <f>LOOKUP(Observaciones[[#This Row],[Caso de Prueba]],CasoPrueba[Código CP],CasoPrueba[Código de REQ])</f>
        <v>#N/A</v>
      </c>
    </row>
  </sheetData>
  <mergeCells count="1">
    <mergeCell ref="A1:K1"/>
  </mergeCells>
  <dataValidations count="1">
    <dataValidation type="list" allowBlank="1" showInputMessage="1" showErrorMessage="1" sqref="H3:H372">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13"/>
  <sheetViews>
    <sheetView zoomScale="85" zoomScaleNormal="85" workbookViewId="0">
      <selection activeCell="H16" sqref="H16"/>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2011-11-03T05:03:54Z</dcterms:modified>
</cp:coreProperties>
</file>