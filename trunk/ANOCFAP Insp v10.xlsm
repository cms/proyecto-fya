
<file path=[Content_Types].xml><?xml version="1.0" encoding="utf-8"?>
<Types xmlns="http://schemas.openxmlformats.org/package/2006/content-types">
  <Override PartName="/xl/pivotTables/pivotTable6.xml" ContentType="application/vnd.openxmlformats-officedocument.spreadsheetml.pivotTable+xml"/>
  <Override PartName="/xl/charts/chart6.xml" ContentType="application/vnd.openxmlformats-officedocument.drawingml.chart+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tables/table2.xml" ContentType="application/vnd.openxmlformats-officedocument.spreadsheetml.table+xml"/>
  <Override PartName="/xl/worksheets/sheet7.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5.xml" ContentType="application/vnd.openxmlformats-officedocument.spreadsheetml.pivotCacheRecords+xml"/>
  <Override PartName="/xl/pivotCache/pivotCacheRecords6.xml" ContentType="application/vnd.openxmlformats-officedocument.spreadsheetml.pivotCacheRecords+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pivotCache/pivotCacheRecords3.xml" ContentType="application/vnd.openxmlformats-officedocument.spreadsheetml.pivotCacheRecords+xml"/>
  <Override PartName="/xl/pivotCache/pivotCacheRecords4.xml" ContentType="application/vnd.openxmlformats-officedocument.spreadsheetml.pivotCacheRecords+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harts/chart8.xml" ContentType="application/vnd.openxmlformats-officedocument.drawingml.chart+xml"/>
  <Override PartName="/xl/charts/chart9.xml" ContentType="application/vnd.openxmlformats-officedocument.drawingml.chart+xml"/>
  <Override PartName="/xl/tables/table5.xml" ContentType="application/vnd.openxmlformats-officedocument.spreadsheetml.table+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tables/table3.xml" ContentType="application/vnd.openxmlformats-officedocument.spreadsheetml.table+xml"/>
  <Override PartName="/xl/pivotTables/pivotTable3.xml" ContentType="application/vnd.openxmlformats-officedocument.spreadsheetml.pivotTable+xml"/>
  <Override PartName="/xl/charts/chart5.xml" ContentType="application/vnd.openxmlformats-officedocument.drawingml.chart+xml"/>
  <Override PartName="/xl/tables/table1.xml" ContentType="application/vnd.openxmlformats-officedocument.spreadsheetml.table+xml"/>
  <Override PartName="/xl/worksheets/sheet6.xml" ContentType="application/vnd.openxmlformats-officedocument.spreadsheetml.worksheet+xml"/>
  <Default Extension="jpeg" ContentType="image/jpeg"/>
  <Override PartName="/xl/pivotTables/pivotTable1.xml" ContentType="application/vnd.openxmlformats-officedocument.spreadsheetml.pivotTable+xml"/>
  <Override PartName="/xl/charts/chart3.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135" windowWidth="15480" windowHeight="7950" tabRatio="783" firstSheet="1" activeTab="1"/>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externalReferences>
    <externalReference r:id="rId8"/>
    <externalReference r:id="rId9"/>
  </externalReferences>
  <calcPr calcId="125725"/>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D4" i="2"/>
  <c r="J4" i="6"/>
  <c r="J5"/>
  <c r="J6"/>
  <c r="J7"/>
  <c r="J8"/>
  <c r="J9"/>
  <c r="J10"/>
  <c r="J11"/>
  <c r="J12"/>
  <c r="J13"/>
  <c r="Q40" i="3"/>
  <c r="Q39"/>
  <c r="Q38"/>
  <c r="Q37"/>
  <c r="Q36"/>
  <c r="Q35"/>
  <c r="Q34"/>
  <c r="Q33"/>
  <c r="Q32"/>
  <c r="Q31"/>
  <c r="Q30"/>
  <c r="Q29"/>
  <c r="Q28"/>
  <c r="Q27"/>
  <c r="Q26"/>
  <c r="Q25"/>
  <c r="Q24"/>
  <c r="Q23"/>
  <c r="Q22"/>
  <c r="Q21"/>
  <c r="Q20"/>
  <c r="Q19"/>
  <c r="Q18"/>
  <c r="Q17"/>
  <c r="Q16"/>
  <c r="Q15"/>
  <c r="Q14"/>
  <c r="Q13"/>
  <c r="Q12"/>
  <c r="Q11"/>
  <c r="Q10"/>
  <c r="Q9"/>
  <c r="Q8"/>
  <c r="Q7"/>
  <c r="Q6"/>
  <c r="L40"/>
  <c r="F40"/>
  <c r="O13" i="6"/>
  <c r="C371" i="4"/>
  <c r="C370"/>
  <c r="C368"/>
  <c r="C367"/>
  <c r="C366"/>
  <c r="C369"/>
  <c r="C365"/>
  <c r="C364"/>
  <c r="C363"/>
  <c r="C354"/>
  <c r="C353"/>
  <c r="C372"/>
  <c r="K364"/>
  <c r="K365"/>
  <c r="K366"/>
  <c r="K367"/>
  <c r="K368"/>
  <c r="K369"/>
  <c r="K370"/>
  <c r="K371"/>
  <c r="K372"/>
  <c r="L364"/>
  <c r="L365"/>
  <c r="L366"/>
  <c r="L367"/>
  <c r="L368"/>
  <c r="L369"/>
  <c r="L370"/>
  <c r="L371"/>
  <c r="L372"/>
  <c r="K363"/>
  <c r="L363"/>
  <c r="K362"/>
  <c r="L362"/>
  <c r="C349"/>
  <c r="C348"/>
  <c r="C347"/>
  <c r="C341"/>
  <c r="C339" l="1"/>
  <c r="O12" i="6" l="1"/>
  <c r="C318" i="4"/>
  <c r="C324"/>
  <c r="C325"/>
  <c r="C326"/>
  <c r="C327"/>
  <c r="C328"/>
  <c r="C329"/>
  <c r="C330"/>
  <c r="C331"/>
  <c r="C332"/>
  <c r="C333"/>
  <c r="C334"/>
  <c r="C335"/>
  <c r="C336"/>
  <c r="C337"/>
  <c r="C338"/>
  <c r="C340"/>
  <c r="C342"/>
  <c r="C343"/>
  <c r="C344"/>
  <c r="C345"/>
  <c r="C346"/>
  <c r="C350"/>
  <c r="C351"/>
  <c r="C352"/>
  <c r="C355"/>
  <c r="C356"/>
  <c r="C357"/>
  <c r="C358"/>
  <c r="C359"/>
  <c r="C360"/>
  <c r="C361"/>
  <c r="C36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L323"/>
  <c r="L324"/>
  <c r="L325"/>
  <c r="L326"/>
  <c r="L327"/>
  <c r="L328"/>
  <c r="L329"/>
  <c r="L330"/>
  <c r="L331"/>
  <c r="L332"/>
  <c r="L333"/>
  <c r="L334"/>
  <c r="L335"/>
  <c r="L336"/>
  <c r="L337"/>
  <c r="L338"/>
  <c r="L339"/>
  <c r="L340"/>
  <c r="L341"/>
  <c r="L342"/>
  <c r="L343"/>
  <c r="L344"/>
  <c r="L345"/>
  <c r="L346"/>
  <c r="L347"/>
  <c r="L348"/>
  <c r="L349"/>
  <c r="L350"/>
  <c r="L351"/>
  <c r="L352"/>
  <c r="L353"/>
  <c r="L354"/>
  <c r="L355"/>
  <c r="L356"/>
  <c r="L357"/>
  <c r="L358"/>
  <c r="L359"/>
  <c r="L360"/>
  <c r="L361"/>
  <c r="C314" l="1"/>
  <c r="C315"/>
  <c r="C316"/>
  <c r="C317"/>
  <c r="C319"/>
  <c r="C320"/>
  <c r="C321"/>
  <c r="C322"/>
  <c r="C323"/>
  <c r="K314"/>
  <c r="K315"/>
  <c r="K316"/>
  <c r="K317"/>
  <c r="K318"/>
  <c r="K319"/>
  <c r="K320"/>
  <c r="K321"/>
  <c r="K322"/>
  <c r="L314"/>
  <c r="L315"/>
  <c r="L316"/>
  <c r="L317"/>
  <c r="L318"/>
  <c r="L319"/>
  <c r="L320"/>
  <c r="L321"/>
  <c r="L322"/>
  <c r="C313"/>
  <c r="K313"/>
  <c r="L313"/>
  <c r="C312"/>
  <c r="K312"/>
  <c r="L312"/>
  <c r="C311"/>
  <c r="K311"/>
  <c r="L311"/>
  <c r="C310"/>
  <c r="K310"/>
  <c r="L310"/>
  <c r="C309"/>
  <c r="K309"/>
  <c r="L309"/>
  <c r="C308"/>
  <c r="K308"/>
  <c r="L308"/>
  <c r="C307"/>
  <c r="K307"/>
  <c r="L307"/>
  <c r="C306"/>
  <c r="K306"/>
  <c r="L306"/>
  <c r="C305"/>
  <c r="K305"/>
  <c r="L305"/>
  <c r="J226" l="1"/>
  <c r="J225"/>
  <c r="O11" i="6" l="1"/>
  <c r="K302" i="4"/>
  <c r="L302"/>
  <c r="K303"/>
  <c r="L303"/>
  <c r="C299"/>
  <c r="K292"/>
  <c r="L292"/>
  <c r="F13" i="2"/>
  <c r="O10" i="6"/>
  <c r="K272" i="4"/>
  <c r="L272"/>
  <c r="K270"/>
  <c r="K266"/>
  <c r="L266"/>
  <c r="K246"/>
  <c r="F37" i="3"/>
  <c r="F38"/>
  <c r="F39"/>
  <c r="L39"/>
  <c r="L38"/>
  <c r="L37"/>
  <c r="F30"/>
  <c r="L30"/>
  <c r="F31"/>
  <c r="L31"/>
  <c r="F32"/>
  <c r="L32"/>
  <c r="F33"/>
  <c r="L33"/>
  <c r="F34"/>
  <c r="L34"/>
  <c r="F35"/>
  <c r="L35"/>
  <c r="F36"/>
  <c r="L36"/>
  <c r="O9" i="6"/>
  <c r="C238" i="4"/>
  <c r="C237"/>
  <c r="C236"/>
  <c r="C235"/>
  <c r="K235"/>
  <c r="L235"/>
  <c r="C234"/>
  <c r="C233"/>
  <c r="C232"/>
  <c r="K232"/>
  <c r="L232"/>
  <c r="C231"/>
  <c r="K231"/>
  <c r="L231"/>
  <c r="C230"/>
  <c r="C229"/>
  <c r="C228"/>
  <c r="C227"/>
  <c r="C226"/>
  <c r="C225"/>
  <c r="C224"/>
  <c r="C223"/>
  <c r="C222"/>
  <c r="C221"/>
  <c r="C220"/>
  <c r="C219"/>
  <c r="C218"/>
  <c r="O8" i="6" l="1"/>
  <c r="C216" i="4"/>
  <c r="C217"/>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300"/>
  <c r="C301"/>
  <c r="C302"/>
  <c r="C303"/>
  <c r="C304"/>
  <c r="K216"/>
  <c r="K217"/>
  <c r="K218"/>
  <c r="K219"/>
  <c r="K220"/>
  <c r="K221"/>
  <c r="K222"/>
  <c r="K223"/>
  <c r="K224"/>
  <c r="K225"/>
  <c r="K226"/>
  <c r="K227"/>
  <c r="K228"/>
  <c r="K229"/>
  <c r="K230"/>
  <c r="K233"/>
  <c r="K234"/>
  <c r="K236"/>
  <c r="K237"/>
  <c r="K238"/>
  <c r="K239"/>
  <c r="K240"/>
  <c r="K241"/>
  <c r="K242"/>
  <c r="K243"/>
  <c r="K244"/>
  <c r="K245"/>
  <c r="K247"/>
  <c r="K248"/>
  <c r="K249"/>
  <c r="K250"/>
  <c r="K251"/>
  <c r="K252"/>
  <c r="K253"/>
  <c r="K254"/>
  <c r="K255"/>
  <c r="K256"/>
  <c r="K257"/>
  <c r="K258"/>
  <c r="K259"/>
  <c r="K260"/>
  <c r="K261"/>
  <c r="K262"/>
  <c r="K263"/>
  <c r="K264"/>
  <c r="K265"/>
  <c r="K267"/>
  <c r="K268"/>
  <c r="K269"/>
  <c r="K271"/>
  <c r="K273"/>
  <c r="K274"/>
  <c r="K275"/>
  <c r="K276"/>
  <c r="K277"/>
  <c r="K278"/>
  <c r="K279"/>
  <c r="K280"/>
  <c r="K281"/>
  <c r="K282"/>
  <c r="K283"/>
  <c r="K284"/>
  <c r="K285"/>
  <c r="K286"/>
  <c r="K287"/>
  <c r="K288"/>
  <c r="K289"/>
  <c r="K290"/>
  <c r="K291"/>
  <c r="K293"/>
  <c r="K294"/>
  <c r="K295"/>
  <c r="K296"/>
  <c r="K297"/>
  <c r="K298"/>
  <c r="K299"/>
  <c r="K300"/>
  <c r="K301"/>
  <c r="K304"/>
  <c r="L216"/>
  <c r="L217"/>
  <c r="L218"/>
  <c r="L219"/>
  <c r="L220"/>
  <c r="L221"/>
  <c r="L222"/>
  <c r="L223"/>
  <c r="L224"/>
  <c r="L225"/>
  <c r="L226"/>
  <c r="L227"/>
  <c r="L228"/>
  <c r="L229"/>
  <c r="L230"/>
  <c r="L233"/>
  <c r="L234"/>
  <c r="L236"/>
  <c r="L238"/>
  <c r="L239"/>
  <c r="L240"/>
  <c r="L241"/>
  <c r="L242"/>
  <c r="L243"/>
  <c r="L244"/>
  <c r="L245"/>
  <c r="L246"/>
  <c r="L247"/>
  <c r="L248"/>
  <c r="L249"/>
  <c r="L250"/>
  <c r="L251"/>
  <c r="L252"/>
  <c r="L253"/>
  <c r="L254"/>
  <c r="L255"/>
  <c r="L256"/>
  <c r="L257"/>
  <c r="L258"/>
  <c r="L259"/>
  <c r="L260"/>
  <c r="L261"/>
  <c r="L262"/>
  <c r="L263"/>
  <c r="L264"/>
  <c r="L265"/>
  <c r="L267"/>
  <c r="L268"/>
  <c r="L269"/>
  <c r="L270"/>
  <c r="L271"/>
  <c r="L273"/>
  <c r="L274"/>
  <c r="L275"/>
  <c r="L276"/>
  <c r="L277"/>
  <c r="L278"/>
  <c r="L279"/>
  <c r="L280"/>
  <c r="L281"/>
  <c r="L282"/>
  <c r="L283"/>
  <c r="L284"/>
  <c r="L285"/>
  <c r="L286"/>
  <c r="L287"/>
  <c r="L288"/>
  <c r="L289"/>
  <c r="L290"/>
  <c r="L291"/>
  <c r="L293"/>
  <c r="L294"/>
  <c r="L295"/>
  <c r="L296"/>
  <c r="L297"/>
  <c r="L298"/>
  <c r="L299"/>
  <c r="L300"/>
  <c r="L301"/>
  <c r="L304"/>
  <c r="F28" i="3"/>
  <c r="L28"/>
  <c r="F29"/>
  <c r="L29"/>
  <c r="C194" i="4"/>
  <c r="C195"/>
  <c r="C192"/>
  <c r="C188"/>
  <c r="C189"/>
  <c r="C177" l="1"/>
  <c r="C176"/>
  <c r="F24" i="3"/>
  <c r="L24"/>
  <c r="F25"/>
  <c r="L25"/>
  <c r="F26"/>
  <c r="L26"/>
  <c r="F27"/>
  <c r="L27"/>
  <c r="F23"/>
  <c r="L23"/>
  <c r="C129" i="4"/>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8"/>
  <c r="C179"/>
  <c r="C180"/>
  <c r="C181"/>
  <c r="C182"/>
  <c r="C183"/>
  <c r="C184"/>
  <c r="C185"/>
  <c r="C186"/>
  <c r="C187"/>
  <c r="C190"/>
  <c r="C191"/>
  <c r="C193"/>
  <c r="C196"/>
  <c r="C197"/>
  <c r="C198"/>
  <c r="C199"/>
  <c r="C200"/>
  <c r="C201"/>
  <c r="C202"/>
  <c r="C203"/>
  <c r="C204"/>
  <c r="C205"/>
  <c r="C206"/>
  <c r="C207"/>
  <c r="C208"/>
  <c r="C209"/>
  <c r="C210"/>
  <c r="C211"/>
  <c r="C212"/>
  <c r="C213"/>
  <c r="C214"/>
  <c r="C215"/>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Q5" i="3" l="1"/>
  <c r="F21"/>
  <c r="F22"/>
  <c r="L21"/>
  <c r="L22"/>
  <c r="F20"/>
  <c r="L20"/>
  <c r="O7" i="6"/>
  <c r="C124" i="4"/>
  <c r="C125"/>
  <c r="C126"/>
  <c r="C127"/>
  <c r="C128"/>
  <c r="K124"/>
  <c r="K125"/>
  <c r="K126"/>
  <c r="K127"/>
  <c r="K128"/>
  <c r="L124"/>
  <c r="L125"/>
  <c r="L126"/>
  <c r="L127"/>
  <c r="L128"/>
  <c r="C123"/>
  <c r="K123"/>
  <c r="L123"/>
  <c r="O6" i="6"/>
  <c r="O5"/>
  <c r="O4"/>
  <c r="C108" i="4"/>
  <c r="K108"/>
  <c r="L108"/>
  <c r="C109"/>
  <c r="K109"/>
  <c r="L109"/>
  <c r="C110"/>
  <c r="K110"/>
  <c r="L110"/>
  <c r="C111"/>
  <c r="K111"/>
  <c r="L111"/>
  <c r="C112"/>
  <c r="C113"/>
  <c r="K113"/>
  <c r="L113"/>
  <c r="C114"/>
  <c r="K114"/>
  <c r="L114"/>
  <c r="C115"/>
  <c r="K115"/>
  <c r="L115"/>
  <c r="C116"/>
  <c r="K116"/>
  <c r="L116"/>
  <c r="C117"/>
  <c r="K117"/>
  <c r="L117"/>
  <c r="C118"/>
  <c r="C119"/>
  <c r="C120"/>
  <c r="C121"/>
  <c r="C122"/>
  <c r="K118"/>
  <c r="K119"/>
  <c r="K120"/>
  <c r="K121"/>
  <c r="K122"/>
  <c r="L118"/>
  <c r="L119"/>
  <c r="L120"/>
  <c r="L121"/>
  <c r="L122"/>
  <c r="L4"/>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3"/>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3"/>
  <c r="F5" i="3"/>
  <c r="F6"/>
  <c r="F7"/>
  <c r="F8"/>
  <c r="F14"/>
  <c r="F15"/>
  <c r="F16"/>
  <c r="F17"/>
  <c r="F18"/>
  <c r="F19"/>
  <c r="L14"/>
  <c r="L15"/>
  <c r="L16"/>
  <c r="L17"/>
  <c r="L18"/>
  <c r="L19"/>
  <c r="F9" l="1"/>
  <c r="F10"/>
  <c r="F11"/>
  <c r="F12"/>
  <c r="F13"/>
  <c r="L6"/>
  <c r="L7"/>
  <c r="L8"/>
  <c r="L9"/>
  <c r="L10"/>
  <c r="L11"/>
  <c r="L12"/>
  <c r="L13"/>
  <c r="K33" i="2"/>
  <c r="C30"/>
  <c r="E30"/>
  <c r="I30"/>
  <c r="J30"/>
  <c r="K30"/>
  <c r="C31"/>
  <c r="E31"/>
  <c r="C32"/>
  <c r="E32"/>
  <c r="C33"/>
  <c r="E33"/>
  <c r="I33"/>
  <c r="J33" l="1"/>
  <c r="E34"/>
  <c r="C34"/>
  <c r="J32" l="1"/>
  <c r="I32"/>
  <c r="K32"/>
  <c r="I13" l="1"/>
  <c r="K13"/>
  <c r="L5" i="3"/>
  <c r="C3" i="5"/>
  <c r="J3"/>
  <c r="I31" i="2" l="1"/>
  <c r="I34" s="1"/>
  <c r="K31"/>
  <c r="K34" s="1"/>
  <c r="J31"/>
  <c r="J34" s="1"/>
  <c r="K20"/>
  <c r="K19"/>
  <c r="K18"/>
  <c r="I20"/>
  <c r="I19"/>
  <c r="I18"/>
  <c r="G20"/>
  <c r="G19"/>
  <c r="G18"/>
  <c r="M20"/>
  <c r="M19"/>
  <c r="M18"/>
  <c r="E20"/>
  <c r="E19"/>
  <c r="E18"/>
  <c r="C20"/>
  <c r="C19"/>
  <c r="C18"/>
  <c r="J13"/>
  <c r="H13"/>
  <c r="G13"/>
  <c r="E13"/>
  <c r="C14"/>
  <c r="C13"/>
  <c r="C12"/>
  <c r="G2" i="3"/>
  <c r="G89" i="7"/>
  <c r="C10" i="2"/>
  <c r="E2" i="3"/>
  <c r="G2" i="2"/>
  <c r="D2"/>
  <c r="D30" l="1"/>
  <c r="D31"/>
  <c r="F33"/>
  <c r="F32"/>
  <c r="D32"/>
  <c r="F30"/>
  <c r="D33"/>
  <c r="F31"/>
  <c r="C11"/>
  <c r="D6" s="1"/>
  <c r="D18"/>
  <c r="K14"/>
  <c r="G68" i="7"/>
  <c r="C21" i="2"/>
  <c r="F20"/>
  <c r="J19"/>
  <c r="L20"/>
  <c r="F19"/>
  <c r="N20"/>
  <c r="L19"/>
  <c r="F18"/>
  <c r="N19"/>
  <c r="H20"/>
  <c r="L18"/>
  <c r="N18"/>
  <c r="H19"/>
  <c r="J20"/>
  <c r="I21"/>
  <c r="G21"/>
  <c r="M21"/>
  <c r="K21"/>
  <c r="J18"/>
  <c r="H18"/>
  <c r="E21"/>
  <c r="D19"/>
  <c r="D20"/>
  <c r="F14"/>
  <c r="J14"/>
  <c r="E14"/>
  <c r="I14"/>
  <c r="H14"/>
  <c r="G14"/>
  <c r="F34" l="1"/>
  <c r="D34"/>
  <c r="L21"/>
  <c r="G4"/>
  <c r="J21"/>
  <c r="F21"/>
  <c r="N21"/>
  <c r="H21"/>
  <c r="D21"/>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<sst xmlns="http://schemas.openxmlformats.org/spreadsheetml/2006/main" count="3118" uniqueCount="1106">
  <si>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</si>
  <si>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</si>
  <si>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</si>
  <si>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</si>
  <si>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</si>
  <si>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</si>
  <si>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</si>
  <si>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</si>
  <si>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</si>
  <si>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</si>
  <si>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</si>
  <si>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</si>
  <si>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</si>
  <si>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</si>
  <si>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</si>
  <si>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</si>
  <si>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</si>
  <si>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</si>
  <si>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</si>
  <si>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</si>
  <si>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</si>
  <si>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</si>
  <si>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</si>
  <si>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</si>
  <si>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</si>
  <si>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</si>
  <si>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</si>
  <si>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</si>
  <si>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</si>
  <si>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</si>
  <si>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</si>
  <si>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</si>
  <si>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</si>
  <si>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</si>
  <si>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</si>
  <si>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</si>
  <si>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</si>
  <si>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</si>
  <si>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</si>
  <si>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</si>
  <si>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</si>
  <si>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</si>
  <si>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</si>
  <si>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</si>
  <si>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</si>
  <si>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</si>
  <si>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</si>
  <si>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</si>
  <si>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</si>
  <si>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</si>
  <si>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</si>
  <si>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</si>
  <si>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</si>
  <si>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</si>
  <si>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</si>
  <si>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</si>
  <si>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</si>
  <si>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</si>
  <si>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</si>
  <si>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</si>
  <si>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</si>
  <si>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</si>
  <si>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</si>
  <si>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</si>
  <si>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</si>
  <si>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</si>
  <si>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</si>
  <si>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</si>
  <si>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</si>
  <si>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</si>
  <si>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</si>
  <si>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</si>
  <si>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</si>
  <si>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</si>
  <si>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</si>
  <si>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</si>
  <si>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</si>
  <si>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</si>
  <si>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</si>
  <si>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</si>
  <si>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</si>
  <si>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</si>
  <si>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</si>
  <si>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</si>
  <si>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</si>
  <si>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</si>
  <si>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</si>
  <si>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</si>
  <si>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</si>
  <si>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</si>
  <si>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</si>
  <si>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</si>
  <si>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</si>
  <si>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</si>
  <si>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</si>
  <si>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</si>
  <si>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</si>
  <si>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</si>
  <si>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</si>
  <si>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</si>
  <si>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</si>
  <si>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</si>
  <si>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</si>
  <si>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</si>
  <si>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</si>
  <si>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</si>
  <si>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</si>
  <si>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</si>
  <si>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</si>
  <si>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</si>
  <si>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</si>
  <si>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</si>
  <si>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</si>
  <si>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</si>
  <si>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</si>
  <si>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</si>
  <si>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</si>
  <si>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</si>
  <si>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</si>
  <si>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</si>
  <si>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</si>
  <si>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</si>
  <si>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</si>
  <si>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</si>
  <si>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</si>
  <si>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</si>
  <si>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</si>
  <si>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</si>
  <si>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</si>
  <si>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</si>
  <si>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</si>
  <si>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</si>
  <si>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</si>
  <si>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</si>
  <si>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</si>
  <si>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</si>
  <si>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</si>
  <si>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</si>
  <si>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</si>
  <si>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</si>
  <si>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</si>
  <si>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</si>
  <si>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</si>
  <si>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</si>
  <si>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</si>
  <si>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</si>
  <si>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</si>
  <si>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</si>
  <si>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</si>
  <si>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</si>
  <si>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</si>
  <si>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</si>
  <si>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</si>
  <si>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</si>
  <si>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</si>
  <si>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</si>
  <si>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</si>
  <si>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</si>
  <si>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</si>
  <si>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</si>
  <si>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</si>
  <si>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</si>
  <si>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</si>
  <si>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</si>
  <si>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</si>
  <si>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</si>
  <si>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</si>
  <si>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</si>
  <si>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</si>
  <si>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</si>
  <si>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</si>
  <si>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</si>
  <si>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</si>
  <si>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</si>
  <si>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</si>
  <si>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</si>
  <si>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</si>
  <si>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</si>
  <si>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</si>
  <si>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</si>
  <si>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</si>
  <si>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</si>
  <si>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</si>
  <si>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</si>
  <si>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</si>
  <si>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</si>
  <si>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</si>
  <si>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</si>
  <si>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</si>
  <si>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</si>
  <si>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</si>
  <si>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</si>
  <si>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</si>
  <si>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</si>
  <si>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</si>
  <si>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</si>
  <si>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</si>
  <si>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</si>
  <si>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</si>
  <si>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</si>
  <si>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</si>
  <si>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</si>
  <si>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</si>
  <si>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</si>
  <si>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</si>
  <si>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</si>
  <si>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</si>
  <si>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</si>
  <si>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</si>
  <si>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</si>
  <si>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</si>
  <si>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</si>
  <si>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</si>
  <si>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</si>
  <si>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</si>
  <si>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</si>
  <si>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</si>
  <si>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</si>
  <si>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</si>
  <si>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</si>
  <si>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</si>
  <si>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</si>
  <si>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</si>
  <si>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</si>
  <si>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</si>
  <si>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</si>
  <si>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</si>
  <si>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</si>
  <si>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</si>
  <si>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</si>
  <si>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</si>
  <si>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</si>
  <si>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</si>
  <si>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</si>
  <si>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</si>
  <si>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</si>
  <si>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</si>
  <si>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</si>
  <si>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</si>
  <si>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</si>
  <si>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</si>
  <si>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</si>
  <si>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</si>
  <si>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</si>
  <si>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</si>
  <si>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</si>
  <si>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</si>
  <si>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</si>
  <si>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</si>
  <si>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</si>
  <si>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</si>
  <si>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</si>
  <si>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</si>
  <si>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</si>
  <si>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</si>
  <si>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</si>
  <si>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</si>
  <si>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</si>
  <si>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</si>
  <si>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</si>
  <si>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</si>
  <si>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</si>
  <si>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</si>
  <si>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</si>
  <si>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</si>
  <si>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</si>
  <si>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</si>
  <si>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</si>
  <si>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</si>
  <si>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</si>
  <si>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</si>
  <si>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</si>
  <si>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</si>
  <si>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</si>
  <si>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</si>
  <si>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</si>
  <si>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</si>
  <si>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</si>
  <si>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</si>
  <si>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</si>
  <si>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</si>
  <si>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</si>
  <si>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</si>
  <si>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</si>
  <si>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</si>
  <si>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</si>
  <si>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</si>
  <si>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</si>
  <si>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</si>
  <si>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</si>
  <si>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</si>
  <si>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</si>
  <si>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</si>
  <si>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</si>
  <si>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</si>
  <si>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</si>
  <si>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</si>
  <si>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</si>
  <si>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</si>
  <si>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</si>
  <si>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</si>
  <si>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</si>
  <si>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</si>
  <si>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</si>
  <si>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</si>
  <si>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</si>
  <si>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</si>
  <si>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</si>
  <si>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</si>
  <si>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</si>
  <si>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</si>
  <si>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</si>
  <si>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</si>
  <si>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</si>
  <si>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</si>
  <si>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</si>
  <si>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</si>
  <si>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</si>
  <si>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</si>
  <si>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</si>
  <si>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</si>
  <si>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</si>
  <si>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</si>
  <si>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</si>
  <si>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</si>
  <si>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</si>
  <si>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</si>
  <si>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</si>
  <si>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</si>
  <si>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</si>
  <si>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</si>
  <si>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</si>
  <si>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</si>
  <si>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</si>
  <si>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</si>
  <si>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</si>
  <si>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</si>
  <si>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</si>
  <si>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</si>
  <si>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</si>
  <si>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</si>
  <si>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</si>
  <si>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</si>
  <si>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</si>
  <si>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</si>
  <si>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</si>
  <si>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</si>
  <si>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</si>
  <si>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</si>
  <si>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</si>
  <si>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</si>
  <si>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</si>
  <si>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</si>
  <si>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</si>
  <si>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</si>
  <si>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</si>
  <si>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</si>
  <si>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</si>
  <si>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</si>
  <si>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</si>
  <si>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</si>
  <si>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</si>
  <si>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</si>
  <si>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</si>
  <si>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</si>
  <si>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</si>
  <si>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</si>
  <si>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</si>
  <si>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</si>
  <si>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</si>
  <si>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</si>
  <si>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</si>
  <si>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</si>
  <si>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</si>
  <si>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</si>
  <si>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</si>
  <si>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</si>
  <si>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</si>
  <si>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</si>
  <si>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</si>
  <si>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</si>
  <si>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</si>
  <si>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</si>
  <si>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</si>
  <si>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</si>
  <si>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</si>
  <si>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</si>
  <si>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</si>
  <si>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</si>
  <si>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</si>
  <si>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</si>
  <si>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</si>
  <si>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</si>
  <si>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</si>
  <si>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</si>
  <si>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</si>
  <si>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</si>
  <si>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</si>
  <si>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</si>
  <si>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</si>
  <si>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</si>
  <si>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</si>
  <si>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</si>
  <si>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</si>
  <si>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</si>
  <si>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</si>
  <si>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</si>
  <si>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</si>
  <si>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</si>
  <si>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</si>
  <si>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</si>
  <si>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</si>
  <si>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</si>
  <si>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</si>
  <si>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</si>
  <si>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</si>
  <si>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</si>
  <si>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</si>
  <si>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</si>
  <si>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</si>
  <si>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</si>
  <si>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</si>
  <si>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</si>
  <si>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</si>
  <si>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</si>
  <si>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</si>
  <si>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</si>
  <si>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</si>
  <si>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</si>
  <si>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</si>
  <si>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</si>
  <si>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</si>
  <si>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</si>
  <si>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</si>
  <si>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</si>
  <si>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</si>
  <si>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</si>
  <si>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</si>
  <si>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</si>
  <si>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</si>
  <si>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</si>
  <si>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</si>
  <si>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</si>
  <si>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</si>
  <si>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</si>
  <si>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</si>
  <si>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</si>
  <si>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</si>
  <si>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</si>
  <si>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</si>
  <si>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</si>
  <si>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</si>
  <si>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</si>
  <si>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</si>
  <si>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</si>
  <si>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</si>
  <si>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</si>
  <si>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</si>
  <si>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</si>
  <si>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</si>
  <si>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</si>
  <si>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</si>
  <si>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</si>
  <si>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</si>
  <si>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</si>
  <si>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</si>
  <si>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</si>
  <si>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</si>
  <si>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</si>
  <si>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</si>
  <si>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</si>
  <si>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</si>
  <si>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</si>
  <si>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</si>
  <si>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</si>
  <si>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</si>
  <si>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</si>
  <si>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</si>
  <si>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</si>
  <si>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</si>
  <si>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</si>
  <si>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</si>
  <si>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</si>
  <si>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</si>
  <si>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</si>
  <si>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</si>
  <si>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</si>
  <si>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</si>
  <si>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</si>
  <si>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</si>
  <si>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</si>
  <si>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</si>
  <si>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</si>
  <si>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</si>
  <si>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</si>
  <si>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</si>
  <si>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</si>
  <si>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</si>
  <si>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</si>
  <si>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</si>
  <si>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</si>
  <si>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</si>
  <si>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</si>
  <si>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</si>
  <si>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</si>
  <si>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</si>
  <si>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</si>
  <si>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</si>
  <si>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</si>
  <si>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</si>
  <si>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</si>
  <si>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</si>
  <si>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</si>
  <si>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</si>
  <si>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</si>
  <si>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</si>
  <si>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</si>
  <si>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</si>
  <si>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</si>
  <si>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</si>
  <si>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</si>
  <si>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</si>
  <si>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</si>
  <si>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</si>
  <si>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</si>
  <si>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</si>
  <si>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</si>
  <si>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</si>
  <si>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</si>
  <si>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</si>
  <si>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</si>
  <si>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</si>
  <si>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</si>
  <si>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</si>
  <si>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</si>
  <si>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</si>
  <si>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</si>
  <si>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</si>
  <si>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</si>
  <si>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</si>
  <si>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</si>
  <si>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</si>
  <si>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</si>
  <si>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</si>
  <si>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</si>
  <si>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</si>
  <si>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</si>
  <si>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</si>
  <si>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</si>
  <si>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</si>
  <si>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</si>
  <si>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</si>
  <si>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</si>
  <si>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</si>
  <si>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</si>
  <si>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</si>
  <si>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</si>
  <si>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</si>
  <si>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</si>
  <si>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</si>
  <si>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</si>
  <si>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</si>
  <si>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</si>
  <si>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</si>
  <si>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</si>
  <si>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</si>
  <si>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</si>
  <si>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</si>
  <si>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</si>
  <si>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</si>
  <si>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</si>
  <si>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</si>
  <si>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</si>
  <si>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</si>
  <si>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</si>
  <si>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</si>
  <si>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</si>
  <si>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</si>
  <si>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</si>
  <si>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</si>
  <si>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</si>
  <si>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</si>
  <si>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</si>
  <si>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</si>
  <si>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</si>
  <si>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</si>
  <si>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</si>
  <si>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</si>
  <si>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</si>
  <si>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</si>
  <si>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</si>
  <si>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</si>
  <si>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</si>
  <si>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</si>
  <si>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</si>
  <si>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</si>
  <si>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</si>
  <si>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</si>
  <si>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</si>
  <si>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</si>
  <si>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</si>
  <si>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</si>
  <si>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</si>
  <si>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</si>
  <si>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</si>
  <si>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</si>
  <si>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</si>
  <si>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</si>
  <si>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</si>
  <si>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</si>
  <si>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</si>
  <si>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</si>
  <si>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</si>
  <si>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</si>
  <si>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</si>
  <si>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</si>
  <si>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</si>
  <si>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</si>
  <si>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</si>
  <si>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</si>
  <si>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</si>
  <si>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</si>
  <si>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</si>
  <si>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</si>
  <si>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</si>
  <si>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</si>
  <si>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</si>
  <si>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</si>
  <si>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</si>
  <si>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</si>
  <si>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</si>
  <si>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</si>
  <si>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</si>
  <si>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</si>
  <si>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</si>
  <si>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</si>
  <si>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</si>
  <si>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</si>
  <si>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</si>
  <si>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</si>
  <si>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</si>
  <si>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</si>
  <si>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</si>
  <si>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</si>
  <si>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</si>
  <si>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</si>
  <si>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</si>
  <si>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</si>
  <si>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</si>
  <si>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</si>
  <si>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</si>
  <si>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</si>
  <si>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</si>
  <si>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</si>
  <si>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</si>
  <si>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</si>
  <si>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</si>
  <si>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</si>
  <si>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</si>
  <si>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</si>
  <si>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</si>
  <si>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</si>
  <si>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</si>
  <si>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</si>
  <si>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</si>
  <si>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</si>
  <si>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</si>
  <si>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</si>
  <si>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</si>
  <si>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</si>
  <si>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</si>
  <si>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</si>
  <si>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</si>
  <si>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</si>
  <si>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</si>
  <si>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</si>
  <si>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</si>
  <si>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</si>
  <si>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</si>
  <si>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</si>
  <si>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</si>
  <si>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</si>
  <si>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</si>
  <si>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</si>
  <si>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</si>
  <si>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</si>
  <si>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</si>
  <si>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</si>
  <si>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</si>
  <si>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</si>
  <si>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</si>
  <si>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</si>
  <si>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</si>
  <si>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</si>
  <si>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</si>
  <si>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</si>
  <si>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</si>
  <si>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</si>
  <si>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</si>
  <si>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</si>
  <si>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</si>
  <si>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</si>
  <si>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</si>
  <si>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</si>
  <si>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</si>
  <si>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</si>
  <si>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</si>
  <si>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</si>
  <si>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</si>
  <si>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</si>
  <si>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</si>
  <si>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</si>
  <si>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</si>
  <si>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</si>
  <si>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</si>
  <si>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</si>
  <si>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</si>
  <si>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</si>
  <si>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</si>
  <si>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</si>
  <si>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</si>
  <si>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</si>
  <si>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</si>
  <si>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</si>
  <si>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</si>
  <si>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</si>
  <si>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</si>
  <si>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</si>
  <si>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</si>
  <si>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</si>
  <si>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</si>
  <si>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</si>
  <si>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</si>
  <si>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</si>
  <si>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</si>
  <si>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</si>
  <si>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</si>
  <si>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</si>
  <si>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</si>
  <si>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</si>
  <si>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</si>
  <si>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</si>
  <si>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</si>
  <si>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</si>
  <si>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</si>
  <si>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</si>
  <si>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</si>
  <si>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</si>
  <si>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</si>
  <si>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</si>
  <si>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</si>
  <si>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</si>
  <si>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</si>
  <si>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</si>
  <si>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</si>
  <si>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</si>
  <si>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</si>
  <si>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</si>
  <si>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</si>
  <si>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</si>
  <si>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</si>
  <si>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</si>
  <si>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</si>
  <si>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</si>
  <si>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</si>
  <si>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</si>
  <si>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</si>
  <si>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</si>
  <si>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</si>
  <si>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</si>
  <si>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</si>
  <si>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</si>
  <si>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</si>
  <si>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</si>
  <si>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</si>
  <si>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</si>
  <si>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</si>
  <si>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</si>
  <si>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</si>
  <si>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</si>
  <si>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</si>
  <si>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</si>
  <si>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</si>
  <si>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</si>
  <si>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</si>
  <si>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</si>
  <si>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</si>
  <si>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</si>
  <si>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</si>
  <si>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</si>
  <si>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</si>
  <si>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</si>
  <si>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</si>
  <si>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</si>
  <si>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</si>
  <si>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</si>
  <si>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</si>
  <si>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</si>
  <si>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</si>
  <si>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</si>
  <si>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</si>
  <si>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</si>
  <si>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</si>
  <si>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</si>
  <si>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</si>
  <si>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</si>
  <si>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</si>
  <si>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</si>
  <si>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</si>
  <si>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</si>
  <si>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</si>
  <si>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</si>
  <si>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</si>
  <si>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</si>
  <si>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</si>
  <si>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</si>
  <si>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</si>
  <si>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</si>
  <si>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</si>
  <si>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</si>
  <si>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</si>
  <si>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</si>
  <si>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</si>
  <si>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</si>
  <si>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</si>
  <si>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</si>
  <si>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</si>
  <si>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</si>
  <si>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</si>
  <si>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</si>
  <si>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</si>
  <si>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</si>
  <si>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</si>
  <si>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</si>
  <si>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</si>
  <si>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</si>
  <si>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</si>
  <si>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</si>
  <si>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</si>
  <si>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</si>
  <si>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</si>
  <si>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</si>
  <si>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</si>
  <si>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</si>
  <si>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</si>
  <si>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</si>
  <si>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</si>
  <si>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</si>
  <si>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</si>
  <si>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</si>
  <si>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</si>
  <si>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</si>
  <si>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</si>
  <si>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</si>
  <si>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</si>
  <si>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</si>
  <si>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</si>
  <si>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</si>
  <si>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</si>
  <si>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</si>
  <si>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</si>
  <si>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</si>
  <si>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</si>
  <si>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</si>
  <si>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</si>
  <si>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</si>
  <si>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</si>
  <si>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</si>
  <si>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</si>
  <si>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</si>
  <si>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</si>
  <si>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</si>
  <si>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</si>
  <si>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</si>
  <si>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</si>
  <si>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</si>
  <si>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</si>
  <si>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</si>
  <si>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</si>
  <si>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</si>
  <si>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</si>
  <si>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</si>
  <si>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</si>
  <si>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</si>
  <si>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</si>
  <si>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</si>
  <si>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</si>
  <si>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</si>
  <si>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</si>
  <si>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</si>
  <si>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</si>
  <si>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</si>
  <si>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</si>
  <si>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</si>
  <si>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</si>
  <si>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</si>
  <si>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</si>
  <si>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</si>
  <si>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</si>
  <si>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</si>
  <si>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</si>
  <si>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</si>
  <si>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</si>
  <si>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</si>
  <si>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</si>
  <si>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</si>
  <si>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</si>
  <si>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</si>
  <si>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</si>
  <si>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</si>
  <si>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</si>
  <si>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</si>
  <si>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</si>
  <si>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</si>
  <si>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</si>
  <si>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</si>
  <si>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</si>
  <si>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</si>
  <si>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</si>
  <si>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</si>
  <si>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</si>
  <si>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</si>
  <si>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</si>
  <si>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</si>
  <si>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</si>
  <si>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</si>
  <si>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</si>
  <si>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</si>
  <si>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</si>
  <si>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</si>
  <si>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</si>
  <si>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</si>
  <si>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</si>
  <si>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</si>
  <si>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</si>
  <si>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</si>
  <si>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</si>
  <si>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</si>
  <si>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</si>
  <si>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</si>
  <si>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</si>
  <si>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</si>
  <si>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</si>
  <si>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</si>
  <si>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</si>
  <si>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</si>
  <si>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</si>
  <si>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</si>
  <si>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</si>
  <si>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</si>
  <si>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</si>
  <si>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</si>
  <si>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</si>
  <si>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</si>
  <si>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</si>
  <si>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</si>
  <si>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</si>
  <si>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</si>
  <si>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</si>
  <si>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</si>
  <si>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</si>
  <si>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</si>
  <si>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</si>
  <si>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</si>
  <si>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</si>
  <si>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</si>
  <si>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</si>
  <si>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</si>
  <si>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</si>
  <si>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</si>
  <si>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</si>
  <si>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</si>
  <si>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</si>
  <si>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</si>
  <si>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</si>
  <si>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</si>
  <si>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</si>
  <si>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</si>
  <si>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</si>
  <si>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</si>
  <si>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</si>
  <si>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</si>
  <si>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</si>
  <si>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</si>
  <si>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</si>
  <si>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</si>
  <si>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</si>
  <si>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</si>
  <si>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</si>
  <si>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</si>
  <si>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</si>
  <si>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</si>
  <si>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</si>
  <si>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</si>
  <si>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</si>
  <si>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</si>
  <si>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</si>
  <si>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</si>
  <si>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</si>
  <si>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</si>
  <si>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</si>
  <si>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</si>
  <si>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</si>
  <si>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</si>
  <si>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</si>
  <si>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</si>
  <si>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</si>
  <si>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</si>
  <si>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</si>
  <si>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</si>
  <si>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</si>
  <si>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</si>
  <si>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</si>
  <si>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</si>
  <si>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</si>
  <si>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</si>
  <si>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</si>
  <si>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</si>
  <si>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</si>
  <si>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</si>
  <si>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</si>
  <si>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</si>
  <si>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</si>
  <si>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</si>
  <si>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</si>
  <si>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</si>
  <si>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</si>
  <si>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</si>
  <si>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</si>
  <si>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</si>
  <si>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</si>
  <si>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</si>
  <si>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</si>
  <si>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</si>
  <si>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</si>
  <si>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</si>
  <si>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</si>
  <si>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</si>
  <si>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</si>
  <si>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</si>
  <si>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</si>
  <si>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</si>
  <si>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</si>
  <si>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</si>
  <si>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</si>
  <si>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</si>
  <si>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</si>
  <si>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</si>
  <si>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</si>
  <si>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</si>
  <si>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</si>
  <si>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</si>
  <si>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</si>
  <si>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</si>
  <si>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</si>
  <si>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</si>
  <si>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</si>
  <si>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</si>
  <si>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</si>
  <si>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</si>
  <si>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</si>
  <si>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</si>
  <si>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</si>
  <si>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</si>
  <si>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</si>
  <si>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</si>
  <si>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</si>
  <si>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</si>
  <si>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</si>
  <si>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</si>
  <si>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</si>
  <si>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</si>
  <si>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</si>
  <si>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</si>
  <si>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</si>
  <si>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</si>
  <si>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</si>
  <si>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</si>
  <si>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</si>
  <si>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</si>
  <si>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</si>
  <si>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</si>
  <si>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</si>
  <si>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</si>
  <si>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</si>
  <si>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</si>
  <si>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</si>
  <si>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</si>
  <si>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</si>
  <si>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</si>
  <si>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[OBS342]Toda tarea, actividad: proceso, subproceso, gateway, evento tiene que empezar con un verbo infinitivo. (-ar, -er, -ir)._x000D_
</t>
  </si>
  <si>
    <t xml:space="preserve">[OBS343]El nombre de un proceso debe comenzar con un verbo en infinitivo, solo los nombres de los Macroprocesos no cumplen con esa regla._x000D_
</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</si>
  <si>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</si>
  <si>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[OBS347]El nombre de un proceso debe comenzar con un verbo en infinitivo, solo los nombres de los Macroprocesos no cumplen con esa regla._x000D_
[OBS348]Toda tarea, actividad: proceso, subproceso, gateway, evento tiene que empezar con un verbo infinitivo. (-ar, -er, -ir). Gateway 2._x000D_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</si>
  <si>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</si>
  <si>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</si>
  <si>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</si>
  <si>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</si>
  <si>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</si>
  <si>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</si>
  <si>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</si>
  <si>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</si>
  <si>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</si>
  <si>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</si>
  <si>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 xml:space="preserve">[OBS367]El nombre de un proceso debe comenzar con un verbo en infinitivo, solo los nombres de los Macroprocesos no cumplen con esa regla._x000D_
[OBS368]El inicio debe estar en el flujo principal._x000D_
[OBS369]El conector que interactúan con el proceso externo 3 no es el correcto, debe ser Flujo de mensaje._x000D_
</t>
  </si>
  <si>
    <t>Arquitectura de Procesos</t>
  </si>
</sst>
</file>

<file path=xl/styles.xml><?xml version="1.0" encoding="utf-8"?>
<styleSheet xmlns="http://schemas.openxmlformats.org/spreadsheetml/2006/main">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ual"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indent="0"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indent="0"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indent="0"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indent="0"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relativeIndent="255" justifyLastLine="0" shrinkToFit="0" readingOrder="0"/>
    </dxf>
    <dxf>
      <numFmt numFmtId="164" formatCode="dd/mm/yyyy;@"/>
      <alignment horizontal="center" vertical="center" textRotation="0" wrapText="1" indent="0" relativeIndent="255" justifyLastLine="0" shrinkToFit="0" readingOrder="0"/>
    </dxf>
    <dxf>
      <numFmt numFmtId="164" formatCode="dd/mm/yyyy;@"/>
      <alignment horizontal="general" vertical="center" textRotation="0" wrapText="1" indent="0"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relativeIndent="255"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alignment horizontal="general" vertical="center" textRotation="0" wrapText="1" indent="0"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indent="0"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indent="0" relativeIndent="0" justifyLastLine="0" shrinkToFit="0" readingOrder="0"/>
    </dxf>
    <dxf>
      <font>
        <strike val="0"/>
        <outline val="0"/>
        <shadow val="0"/>
        <u val="none"/>
        <vertAlign val="baseline"/>
        <sz val="8"/>
        <color theme="1"/>
        <name val="Calibri"/>
        <scheme val="minor"/>
      </font>
      <alignment horizontal="general" vertical="center" textRotation="0" wrapText="1" indent="0" relativeIndent="255"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relativeIndent="255"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indent="0"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lang val="es-PE"/>
  <c:chart>
    <c:title>
      <c:tx>
        <c:rich>
          <a:bodyPr/>
          <a:lstStyle/>
          <a:p>
            <a:pPr>
              <a:defRPr lang="es-ES" sz="1600"/>
            </a:pPr>
            <a:r>
              <a:rPr lang="es-ES" sz="1600"/>
              <a:t>Distribución Porcentual de los Estados de Casos de Prueba</a:t>
            </a:r>
          </a:p>
        </c:rich>
      </c:tx>
    </c:title>
    <c:plotArea>
      <c:layout>
        <c:manualLayout>
          <c:layoutTarget val="inner"/>
          <c:xMode val="edge"/>
          <c:yMode val="edge"/>
          <c:x val="0.21306389798620609"/>
          <c:y val="0.20151813899974841"/>
          <c:w val="0.501424941351345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Percent val="1"/>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0.3611111111111111</c:v>
                </c:pt>
                <c:pt idx="1">
                  <c:v>0.61111111111111116</c:v>
                </c:pt>
                <c:pt idx="2">
                  <c:v>0</c:v>
                </c:pt>
                <c:pt idx="3">
                  <c:v>2.7777777777777776E-2</c:v>
                </c:pt>
                <c:pt idx="4">
                  <c:v>0</c:v>
                </c:pt>
                <c:pt idx="5">
                  <c:v>0</c:v>
                </c:pt>
              </c:numCache>
            </c:numRef>
          </c:val>
        </c:ser>
        <c:dLbls>
          <c:showPercent val="1"/>
        </c:dLbls>
        <c:firstSliceAng val="0"/>
      </c:pieChart>
    </c:plotArea>
    <c:legend>
      <c:legendPos val="r"/>
      <c:txPr>
        <a:bodyPr/>
        <a:lstStyle/>
        <a:p>
          <a:pPr>
            <a:defRPr lang="es-ES"/>
          </a:pPr>
          <a:endParaRPr lang="es-PE"/>
        </a:p>
      </c:txPr>
    </c:legend>
    <c:plotVisOnly val="1"/>
    <c:dispBlanksAs val="zero"/>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PE"/>
  <c:chart>
    <c:title>
      <c:tx>
        <c:rich>
          <a:bodyPr/>
          <a:lstStyle/>
          <a:p>
            <a:pPr>
              <a:defRPr lang="es-ES"/>
            </a:pPr>
            <a:r>
              <a:rPr lang="es-ES"/>
              <a:t>Distribución Porcentual de los Estados de las Incidencias</a:t>
            </a:r>
          </a:p>
        </c:rich>
      </c:tx>
    </c:title>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Percent val="1"/>
            <c:showLeaderLines val="1"/>
          </c:dLbls>
          <c:cat>
            <c:multiLvlStrRef>
              <c:f>(Resumen!$C$28,Resumen!$E$28)</c:f>
            </c:multiLvlStrRef>
          </c:cat>
          <c:val>
            <c:numRef>
              <c:f>(Resumen!$C$34,Resumen!$E$34)</c:f>
            </c:numRef>
          </c:val>
        </c:ser>
        <c:dLbls>
          <c:showPercent val="1"/>
        </c:dLbls>
        <c:firstSliceAng val="0"/>
      </c:pieChart>
    </c:plotArea>
    <c:legend>
      <c:legendPos val="r"/>
      <c:txPr>
        <a:bodyPr/>
        <a:lstStyle/>
        <a:p>
          <a:pPr rtl="0">
            <a:defRPr lang="es-ES"/>
          </a:pPr>
          <a:endParaRPr lang="es-PE"/>
        </a:p>
      </c:txPr>
    </c:legend>
    <c:plotVisOnly val="1"/>
    <c:dispBlanksAs val="zero"/>
  </c:chart>
  <c:printSettings>
    <c:headerFooter/>
    <c:pageMargins b="0.75000000000000977" l="0.70000000000000062" r="0.70000000000000062" t="0.750000000000009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PE"/>
  <c:chart>
    <c:plotArea>
      <c:layout/>
      <c:lineChart>
        <c:grouping val="standard"/>
        <c:ser>
          <c:idx val="0"/>
          <c:order val="0"/>
          <c:tx>
            <c:strRef>
              <c:f>HistoricoAvance!$C$3</c:f>
              <c:strCache>
                <c:ptCount val="1"/>
                <c:pt idx="0">
                  <c:v>Aciertos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HistoricoAvance!$C$4:$C$13</c:f>
              <c:numCache>
                <c:formatCode>0</c:formatCode>
                <c:ptCount val="10"/>
                <c:pt idx="0">
                  <c:v>0</c:v>
                </c:pt>
                <c:pt idx="1">
                  <c:v>0</c:v>
                </c:pt>
                <c:pt idx="2">
                  <c:v>5</c:v>
                </c:pt>
                <c:pt idx="3">
                  <c:v>14</c:v>
                </c:pt>
                <c:pt idx="4">
                  <c:v>15</c:v>
                </c:pt>
                <c:pt idx="5">
                  <c:v>15</c:v>
                </c:pt>
                <c:pt idx="6">
                  <c:v>15</c:v>
                </c:pt>
                <c:pt idx="7">
                  <c:v>16</c:v>
                </c:pt>
                <c:pt idx="8">
                  <c:v>15</c:v>
                </c:pt>
                <c:pt idx="9">
                  <c:v>13</c:v>
                </c:pt>
              </c:numCache>
            </c:numRef>
          </c:val>
        </c:ser>
        <c:ser>
          <c:idx val="1"/>
          <c:order val="1"/>
          <c:tx>
            <c:strRef>
              <c:f>HistoricoAvance!$D$3</c:f>
              <c:strCache>
                <c:ptCount val="1"/>
                <c:pt idx="0">
                  <c:v>Fallos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HistoricoAvance!$D$4:$D$13</c:f>
              <c:numCache>
                <c:formatCode>0</c:formatCode>
                <c:ptCount val="10"/>
                <c:pt idx="0">
                  <c:v>10</c:v>
                </c:pt>
                <c:pt idx="1">
                  <c:v>15</c:v>
                </c:pt>
                <c:pt idx="2">
                  <c:v>10</c:v>
                </c:pt>
                <c:pt idx="3">
                  <c:v>1</c:v>
                </c:pt>
                <c:pt idx="4">
                  <c:v>10</c:v>
                </c:pt>
                <c:pt idx="5">
                  <c:v>10</c:v>
                </c:pt>
                <c:pt idx="6">
                  <c:v>20</c:v>
                </c:pt>
                <c:pt idx="7">
                  <c:v>19</c:v>
                </c:pt>
                <c:pt idx="8">
                  <c:v>20</c:v>
                </c:pt>
                <c:pt idx="9">
                  <c:v>22</c:v>
                </c:pt>
              </c:numCache>
            </c:numRef>
          </c:val>
        </c:ser>
        <c:ser>
          <c:idx val="2"/>
          <c:order val="2"/>
          <c:tx>
            <c:strRef>
              <c:f>HistoricoAvance!$E$3</c:f>
              <c:strCache>
                <c:ptCount val="1"/>
                <c:pt idx="0">
                  <c:v>Bloqueado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HistoricoAvance!$E$4:$E$13</c:f>
              <c:numCache>
                <c:formatCode>0</c:formatCode>
                <c:ptCount val="10"/>
                <c:pt idx="0">
                  <c:v>0</c:v>
                </c:pt>
                <c:pt idx="1">
                  <c:v>0</c:v>
                </c:pt>
                <c:pt idx="2">
                  <c:v>0</c:v>
                </c:pt>
                <c:pt idx="3">
                  <c:v>0</c:v>
                </c:pt>
                <c:pt idx="4">
                  <c:v>0</c:v>
                </c:pt>
                <c:pt idx="5">
                  <c:v>0</c:v>
                </c:pt>
                <c:pt idx="6">
                  <c:v>0</c:v>
                </c:pt>
                <c:pt idx="7">
                  <c:v>0</c:v>
                </c:pt>
                <c:pt idx="8">
                  <c:v>0</c:v>
                </c:pt>
                <c:pt idx="9">
                  <c:v>0</c:v>
                </c:pt>
              </c:numCache>
            </c:numRef>
          </c:val>
        </c:ser>
        <c:ser>
          <c:idx val="3"/>
          <c:order val="3"/>
          <c:tx>
            <c:strRef>
              <c:f>HistoricoAvance!$F$3</c:f>
              <c:strCache>
                <c:ptCount val="1"/>
                <c:pt idx="0">
                  <c:v>Pendiente</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HistoricoAvance!$F$4:$F$13</c:f>
              <c:numCache>
                <c:formatCode>0</c:formatCode>
                <c:ptCount val="10"/>
                <c:pt idx="0">
                  <c:v>0</c:v>
                </c:pt>
                <c:pt idx="1">
                  <c:v>0</c:v>
                </c:pt>
                <c:pt idx="2">
                  <c:v>0</c:v>
                </c:pt>
                <c:pt idx="3">
                  <c:v>0</c:v>
                </c:pt>
                <c:pt idx="4">
                  <c:v>0</c:v>
                </c:pt>
                <c:pt idx="5">
                  <c:v>0</c:v>
                </c:pt>
                <c:pt idx="6">
                  <c:v>0</c:v>
                </c:pt>
                <c:pt idx="7">
                  <c:v>0</c:v>
                </c:pt>
                <c:pt idx="8">
                  <c:v>0</c:v>
                </c:pt>
                <c:pt idx="9">
                  <c:v>1</c:v>
                </c:pt>
              </c:numCache>
            </c:numRef>
          </c:val>
        </c:ser>
        <c:ser>
          <c:idx val="4"/>
          <c:order val="4"/>
          <c:tx>
            <c:strRef>
              <c:f>HistoricoAvance!$G$3</c:f>
              <c:strCache>
                <c:ptCount val="1"/>
                <c:pt idx="0">
                  <c:v>No Aplica</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HistoricoAvance!$G$4:$G$13</c:f>
              <c:numCache>
                <c:formatCode>0</c:formatCode>
                <c:ptCount val="10"/>
                <c:pt idx="0">
                  <c:v>0</c:v>
                </c:pt>
                <c:pt idx="1">
                  <c:v>0</c:v>
                </c:pt>
                <c:pt idx="2">
                  <c:v>0</c:v>
                </c:pt>
                <c:pt idx="3">
                  <c:v>0</c:v>
                </c:pt>
                <c:pt idx="4">
                  <c:v>0</c:v>
                </c:pt>
                <c:pt idx="5">
                  <c:v>0</c:v>
                </c:pt>
                <c:pt idx="6">
                  <c:v>0</c:v>
                </c:pt>
                <c:pt idx="7">
                  <c:v>0</c:v>
                </c:pt>
                <c:pt idx="8">
                  <c:v>0</c:v>
                </c:pt>
                <c:pt idx="9">
                  <c:v>0</c:v>
                </c:pt>
              </c:numCache>
            </c:numRef>
          </c:val>
        </c:ser>
        <c:ser>
          <c:idx val="5"/>
          <c:order val="5"/>
          <c:tx>
            <c:strRef>
              <c:f>HistoricoAvance!$H$3</c:f>
              <c:strCache>
                <c:ptCount val="1"/>
                <c:pt idx="0">
                  <c:v>En Proceso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HistoricoAvance!$H$4:$H$13</c:f>
              <c:numCache>
                <c:formatCode>0</c:formatCode>
                <c:ptCount val="10"/>
                <c:pt idx="0">
                  <c:v>0</c:v>
                </c:pt>
                <c:pt idx="1">
                  <c:v>0</c:v>
                </c:pt>
                <c:pt idx="2">
                  <c:v>0</c:v>
                </c:pt>
                <c:pt idx="3">
                  <c:v>0</c:v>
                </c:pt>
                <c:pt idx="4">
                  <c:v>0</c:v>
                </c:pt>
                <c:pt idx="5">
                  <c:v>0</c:v>
                </c:pt>
                <c:pt idx="6">
                  <c:v>0</c:v>
                </c:pt>
                <c:pt idx="7">
                  <c:v>0</c:v>
                </c:pt>
                <c:pt idx="8">
                  <c:v>0</c:v>
                </c:pt>
                <c:pt idx="9">
                  <c:v>0</c:v>
                </c:pt>
              </c:numCache>
            </c:numRef>
          </c:val>
        </c:ser>
        <c:ser>
          <c:idx val="6"/>
          <c:order val="6"/>
          <c:tx>
            <c:strRef>
              <c:f>HistoricoAvance!$I$3</c:f>
              <c:strCache>
                <c:ptCount val="1"/>
                <c:pt idx="0">
                  <c:v>Reejecuciones</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HistoricoAvance!$I$4:$I$13</c:f>
              <c:numCache>
                <c:formatCode>0</c:formatCode>
                <c:ptCount val="10"/>
                <c:pt idx="0">
                  <c:v>0</c:v>
                </c:pt>
                <c:pt idx="1">
                  <c:v>0</c:v>
                </c:pt>
                <c:pt idx="2">
                  <c:v>0</c:v>
                </c:pt>
                <c:pt idx="3">
                  <c:v>0</c:v>
                </c:pt>
                <c:pt idx="4">
                  <c:v>0</c:v>
                </c:pt>
                <c:pt idx="5">
                  <c:v>0</c:v>
                </c:pt>
                <c:pt idx="6">
                  <c:v>0</c:v>
                </c:pt>
                <c:pt idx="7">
                  <c:v>0</c:v>
                </c:pt>
                <c:pt idx="8">
                  <c:v>0</c:v>
                </c:pt>
                <c:pt idx="9">
                  <c:v>0</c:v>
                </c:pt>
              </c:numCache>
            </c:numRef>
          </c:val>
        </c:ser>
        <c:ser>
          <c:idx val="7"/>
          <c:order val="7"/>
          <c:tx>
            <c:strRef>
              <c:f>HistoricoAvance!$J$3</c:f>
              <c:strCache>
                <c:ptCount val="1"/>
                <c:pt idx="0">
                  <c:v>Totales</c:v>
                </c:pt>
              </c:strCache>
            </c:strRef>
          </c:tx>
          <c:spPr>
            <a:ln w="50800" cmpd="sng">
              <a:solidFill>
                <a:schemeClr val="tx1"/>
              </a:solidFill>
            </a:ln>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HistoricoAvance!$J$4:$J$13</c:f>
              <c:numCache>
                <c:formatCode>General</c:formatCode>
                <c:ptCount val="10"/>
                <c:pt idx="0">
                  <c:v>10</c:v>
                </c:pt>
                <c:pt idx="1">
                  <c:v>15</c:v>
                </c:pt>
                <c:pt idx="2">
                  <c:v>15</c:v>
                </c:pt>
                <c:pt idx="3">
                  <c:v>15</c:v>
                </c:pt>
                <c:pt idx="4">
                  <c:v>25</c:v>
                </c:pt>
                <c:pt idx="5">
                  <c:v>25</c:v>
                </c:pt>
                <c:pt idx="6">
                  <c:v>35</c:v>
                </c:pt>
                <c:pt idx="7">
                  <c:v>35</c:v>
                </c:pt>
                <c:pt idx="8">
                  <c:v>35</c:v>
                </c:pt>
                <c:pt idx="9">
                  <c:v>36</c:v>
                </c:pt>
              </c:numCache>
            </c:numRef>
          </c:val>
        </c:ser>
        <c:marker val="1"/>
        <c:axId val="109347968"/>
        <c:axId val="109349504"/>
      </c:lineChart>
      <c:dateAx>
        <c:axId val="109347968"/>
        <c:scaling>
          <c:orientation val="minMax"/>
        </c:scaling>
        <c:axPos val="b"/>
        <c:numFmt formatCode="dd/mm/yyyy" sourceLinked="1"/>
        <c:tickLblPos val="nextTo"/>
        <c:txPr>
          <a:bodyPr/>
          <a:lstStyle/>
          <a:p>
            <a:pPr>
              <a:defRPr lang="es-ES"/>
            </a:pPr>
            <a:endParaRPr lang="es-PE"/>
          </a:p>
        </c:txPr>
        <c:crossAx val="109349504"/>
        <c:crosses val="autoZero"/>
        <c:auto val="1"/>
        <c:lblOffset val="100"/>
        <c:baseTimeUnit val="days"/>
      </c:dateAx>
      <c:valAx>
        <c:axId val="109349504"/>
        <c:scaling>
          <c:orientation val="minMax"/>
        </c:scaling>
        <c:axPos val="l"/>
        <c:majorGridlines/>
        <c:numFmt formatCode="0" sourceLinked="1"/>
        <c:tickLblPos val="nextTo"/>
        <c:txPr>
          <a:bodyPr/>
          <a:lstStyle/>
          <a:p>
            <a:pPr>
              <a:defRPr lang="es-ES"/>
            </a:pPr>
            <a:endParaRPr lang="es-PE"/>
          </a:p>
        </c:txPr>
        <c:crossAx val="109347968"/>
        <c:crosses val="autoZero"/>
        <c:crossBetween val="between"/>
      </c:valAx>
    </c:plotArea>
    <c:legend>
      <c:legendPos val="r"/>
      <c:txPr>
        <a:bodyPr/>
        <a:lstStyle/>
        <a:p>
          <a:pPr>
            <a:defRPr lang="es-ES"/>
          </a:pPr>
          <a:endParaRPr lang="es-PE"/>
        </a:p>
      </c:txPr>
    </c:legend>
    <c:plotVisOnly val="1"/>
    <c:dispBlanksAs val="gap"/>
  </c:chart>
  <c:printSettings>
    <c:headerFooter/>
    <c:pageMargins b="0.75000000000000977" l="0.70000000000000062" r="0.70000000000000062" t="0.750000000000009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PE"/>
  <c:chart>
    <c:plotArea>
      <c:layout/>
      <c:lineChart>
        <c:grouping val="standard"/>
        <c:ser>
          <c:idx val="0"/>
          <c:order val="0"/>
          <c:tx>
            <c:strRef>
              <c:f>HistoricoAvance!$M$3</c:f>
              <c:strCache>
                <c:ptCount val="1"/>
                <c:pt idx="0">
                  <c:v>Abiertas</c:v>
                </c:pt>
              </c:strCache>
            </c:strRef>
          </c:tx>
          <c:spPr>
            <a:ln w="50800">
              <a:solidFill>
                <a:schemeClr val="accent2"/>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HistoricoAvance!$M$4:$M$13</c:f>
              <c:numCache>
                <c:formatCode>0</c:formatCode>
                <c:ptCount val="10"/>
                <c:pt idx="0">
                  <c:v>55</c:v>
                </c:pt>
                <c:pt idx="1">
                  <c:v>101</c:v>
                </c:pt>
                <c:pt idx="2">
                  <c:v>19</c:v>
                </c:pt>
                <c:pt idx="3">
                  <c:v>3</c:v>
                </c:pt>
                <c:pt idx="4">
                  <c:v>92</c:v>
                </c:pt>
                <c:pt idx="5">
                  <c:v>21</c:v>
                </c:pt>
                <c:pt idx="6">
                  <c:v>63</c:v>
                </c:pt>
                <c:pt idx="7">
                  <c:v>87</c:v>
                </c:pt>
                <c:pt idx="8">
                  <c:v>111</c:v>
                </c:pt>
                <c:pt idx="9">
                  <c:v>36</c:v>
                </c:pt>
              </c:numCache>
            </c:numRef>
          </c:val>
        </c:ser>
        <c:ser>
          <c:idx val="1"/>
          <c:order val="1"/>
          <c:tx>
            <c:strRef>
              <c:f>HistoricoAvance!$N$3</c:f>
              <c:strCache>
                <c:ptCount val="1"/>
                <c:pt idx="0">
                  <c:v>Cerradas</c:v>
                </c:pt>
              </c:strCache>
            </c:strRef>
          </c:tx>
          <c:spPr>
            <a:ln w="50800">
              <a:solidFill>
                <a:schemeClr val="accent1"/>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HistoricoAvance!$N$4:$N$13</c:f>
              <c:numCache>
                <c:formatCode>0</c:formatCode>
                <c:ptCount val="10"/>
                <c:pt idx="0">
                  <c:v>0</c:v>
                </c:pt>
                <c:pt idx="1">
                  <c:v>0</c:v>
                </c:pt>
                <c:pt idx="2">
                  <c:v>101</c:v>
                </c:pt>
                <c:pt idx="3">
                  <c:v>120</c:v>
                </c:pt>
                <c:pt idx="4">
                  <c:v>123</c:v>
                </c:pt>
                <c:pt idx="5">
                  <c:v>215</c:v>
                </c:pt>
                <c:pt idx="6">
                  <c:v>215</c:v>
                </c:pt>
                <c:pt idx="7">
                  <c:v>215</c:v>
                </c:pt>
                <c:pt idx="8">
                  <c:v>215</c:v>
                </c:pt>
                <c:pt idx="9">
                  <c:v>333</c:v>
                </c:pt>
              </c:numCache>
            </c:numRef>
          </c:val>
        </c:ser>
        <c:ser>
          <c:idx val="2"/>
          <c:order val="2"/>
          <c:tx>
            <c:strRef>
              <c:f>HistoricoAvance!$O$3</c:f>
              <c:strCache>
                <c:ptCount val="1"/>
                <c:pt idx="0">
                  <c:v>Totales</c:v>
                </c:pt>
              </c:strCache>
            </c:strRef>
          </c:tx>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HistoricoAvance!$O$4:$O$13</c:f>
              <c:numCache>
                <c:formatCode>General</c:formatCode>
                <c:ptCount val="10"/>
                <c:pt idx="0">
                  <c:v>55</c:v>
                </c:pt>
                <c:pt idx="1">
                  <c:v>101</c:v>
                </c:pt>
                <c:pt idx="2">
                  <c:v>120</c:v>
                </c:pt>
                <c:pt idx="3">
                  <c:v>123</c:v>
                </c:pt>
                <c:pt idx="4">
                  <c:v>215</c:v>
                </c:pt>
                <c:pt idx="5">
                  <c:v>236</c:v>
                </c:pt>
                <c:pt idx="6">
                  <c:v>278</c:v>
                </c:pt>
                <c:pt idx="7">
                  <c:v>302</c:v>
                </c:pt>
                <c:pt idx="8">
                  <c:v>326</c:v>
                </c:pt>
                <c:pt idx="9">
                  <c:v>369</c:v>
                </c:pt>
              </c:numCache>
            </c:numRef>
          </c:val>
        </c:ser>
        <c:marker val="1"/>
        <c:axId val="109256064"/>
        <c:axId val="109270144"/>
      </c:lineChart>
      <c:dateAx>
        <c:axId val="109256064"/>
        <c:scaling>
          <c:orientation val="minMax"/>
        </c:scaling>
        <c:axPos val="b"/>
        <c:numFmt formatCode="dd/mm/yyyy" sourceLinked="1"/>
        <c:tickLblPos val="nextTo"/>
        <c:txPr>
          <a:bodyPr/>
          <a:lstStyle/>
          <a:p>
            <a:pPr>
              <a:defRPr lang="es-ES"/>
            </a:pPr>
            <a:endParaRPr lang="es-PE"/>
          </a:p>
        </c:txPr>
        <c:crossAx val="109270144"/>
        <c:crosses val="autoZero"/>
        <c:auto val="1"/>
        <c:lblOffset val="100"/>
        <c:baseTimeUnit val="days"/>
      </c:dateAx>
      <c:valAx>
        <c:axId val="109270144"/>
        <c:scaling>
          <c:orientation val="minMax"/>
        </c:scaling>
        <c:axPos val="l"/>
        <c:majorGridlines/>
        <c:numFmt formatCode="0" sourceLinked="1"/>
        <c:tickLblPos val="nextTo"/>
        <c:txPr>
          <a:bodyPr/>
          <a:lstStyle/>
          <a:p>
            <a:pPr>
              <a:defRPr lang="es-ES"/>
            </a:pPr>
            <a:endParaRPr lang="es-PE"/>
          </a:p>
        </c:txPr>
        <c:crossAx val="109256064"/>
        <c:crosses val="autoZero"/>
        <c:crossBetween val="between"/>
      </c:valAx>
    </c:plotArea>
    <c:legend>
      <c:legendPos val="r"/>
      <c:txPr>
        <a:bodyPr/>
        <a:lstStyle/>
        <a:p>
          <a:pPr>
            <a:defRPr lang="es-ES"/>
          </a:pPr>
          <a:endParaRPr lang="es-PE"/>
        </a:p>
      </c:txPr>
    </c:legend>
    <c:plotVisOnly val="1"/>
    <c:dispBlanksAs val="gap"/>
  </c:chart>
  <c:printSettings>
    <c:headerFooter/>
    <c:pageMargins b="0.75000000000000999" l="0.70000000000000062" r="0.70000000000000062" t="0.750000000000009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dinámica1</c:name>
    <c:fmtId val="0"/>
  </c:pivotSource>
  <c:chart>
    <c:title>
      <c:tx>
        <c:rich>
          <a:bodyPr/>
          <a:lstStyle/>
          <a:p>
            <a:pPr>
              <a:defRPr lang="es-ES"/>
            </a:pPr>
            <a:r>
              <a:rPr lang="en-US"/>
              <a:t>Distribución</a:t>
            </a:r>
            <a:r>
              <a:rPr lang="en-US" baseline="0"/>
              <a:t> por Severidad</a:t>
            </a:r>
            <a:endParaRPr lang="en-US"/>
          </a:p>
        </c:rich>
      </c:tx>
    </c:title>
    <c:pivotFmts>
      <c:pivotFmt>
        <c:idx val="0"/>
        <c:marker>
          <c:symbol val="none"/>
        </c:marker>
        <c:dLbl>
          <c:idx val="0"/>
          <c:spPr/>
          <c:txPr>
            <a:bodyPr/>
            <a:lstStyle/>
            <a:p>
              <a:pPr>
                <a:defRPr lang="es-ES"/>
              </a:pPr>
              <a:endParaRPr lang="es-PE"/>
            </a:p>
          </c:txPr>
          <c:showVal val="1"/>
        </c:dLbl>
      </c:pivotFmt>
    </c:pivotFmts>
    <c:plotArea>
      <c:layout/>
      <c:barChart>
        <c:barDir val="col"/>
        <c:grouping val="clustered"/>
        <c:ser>
          <c:idx val="0"/>
          <c:order val="0"/>
          <c:tx>
            <c:strRef>
              <c:f>CuadrosResumen!$C$70</c:f>
              <c:strCache>
                <c:ptCount val="1"/>
                <c:pt idx="0">
                  <c:v>Total</c:v>
                </c:pt>
              </c:strCache>
            </c:strRef>
          </c:tx>
          <c:dLbls>
            <c:spPr/>
            <c:txPr>
              <a:bodyPr/>
              <a:lstStyle/>
              <a:p>
                <a:pPr>
                  <a:defRPr lang="es-ES"/>
                </a:pPr>
                <a:endParaRPr lang="es-PE"/>
              </a:p>
            </c:txPr>
            <c:showVal val="1"/>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axId val="109282432"/>
        <c:axId val="109283968"/>
      </c:barChart>
      <c:catAx>
        <c:axId val="109282432"/>
        <c:scaling>
          <c:orientation val="minMax"/>
        </c:scaling>
        <c:axPos val="b"/>
        <c:tickLblPos val="nextTo"/>
        <c:txPr>
          <a:bodyPr/>
          <a:lstStyle/>
          <a:p>
            <a:pPr>
              <a:defRPr lang="es-ES"/>
            </a:pPr>
            <a:endParaRPr lang="es-PE"/>
          </a:p>
        </c:txPr>
        <c:crossAx val="109283968"/>
        <c:crosses val="autoZero"/>
        <c:auto val="1"/>
        <c:lblAlgn val="ctr"/>
        <c:lblOffset val="100"/>
      </c:catAx>
      <c:valAx>
        <c:axId val="109283968"/>
        <c:scaling>
          <c:orientation val="minMax"/>
        </c:scaling>
        <c:axPos val="l"/>
        <c:majorGridlines/>
        <c:numFmt formatCode="General" sourceLinked="1"/>
        <c:tickLblPos val="nextTo"/>
        <c:txPr>
          <a:bodyPr/>
          <a:lstStyle/>
          <a:p>
            <a:pPr>
              <a:defRPr lang="es-ES"/>
            </a:pPr>
            <a:endParaRPr lang="es-PE"/>
          </a:p>
        </c:txPr>
        <c:crossAx val="109282432"/>
        <c:crosses val="autoZero"/>
        <c:crossBetween val="between"/>
      </c:valAx>
    </c:plotArea>
    <c:plotVisOnly val="1"/>
    <c:dispBlanksAs val="gap"/>
  </c:chart>
  <c:printSettings>
    <c:headerFooter/>
    <c:pageMargins b="0.75000000000000966" l="0.70000000000000062" r="0.70000000000000062" t="0.750000000000009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dinámica2</c:name>
    <c:fmtId val="0"/>
  </c:pivotSource>
  <c:chart>
    <c:title>
      <c:tx>
        <c:rich>
          <a:bodyPr/>
          <a:lstStyle/>
          <a:p>
            <a:pPr>
              <a:defRPr lang="es-ES"/>
            </a:pPr>
            <a:r>
              <a:rPr lang="en-US"/>
              <a:t>Distribución por Prioridad</a:t>
            </a:r>
          </a:p>
        </c:rich>
      </c:tx>
    </c:title>
    <c:pivotFmts>
      <c:pivotFmt>
        <c:idx val="0"/>
        <c:marker>
          <c:symbol val="none"/>
        </c:marker>
        <c:dLbl>
          <c:idx val="0"/>
          <c:spPr/>
          <c:txPr>
            <a:bodyPr/>
            <a:lstStyle/>
            <a:p>
              <a:pPr>
                <a:defRPr lang="es-ES"/>
              </a:pPr>
              <a:endParaRPr lang="es-PE"/>
            </a:p>
          </c:txPr>
          <c:showVal val="1"/>
        </c:dLbl>
      </c:pivotFmt>
    </c:pivotFmts>
    <c:plotArea>
      <c:layout/>
      <c:barChart>
        <c:barDir val="col"/>
        <c:grouping val="clustered"/>
        <c:ser>
          <c:idx val="0"/>
          <c:order val="0"/>
          <c:tx>
            <c:strRef>
              <c:f>CuadrosResumen!$H$70</c:f>
              <c:strCache>
                <c:ptCount val="1"/>
                <c:pt idx="0">
                  <c:v>Total</c:v>
                </c:pt>
              </c:strCache>
            </c:strRef>
          </c:tx>
          <c:dLbls>
            <c:spPr/>
            <c:txPr>
              <a:bodyPr/>
              <a:lstStyle/>
              <a:p>
                <a:pPr>
                  <a:defRPr lang="es-ES"/>
                </a:pPr>
                <a:endParaRPr lang="es-PE"/>
              </a:p>
            </c:txPr>
            <c:showVal val="1"/>
          </c:dLbls>
          <c:cat>
            <c:strRef>
              <c:f>CuadrosResumen!$G$71:$G$72</c:f>
              <c:strCache>
                <c:ptCount val="1"/>
                <c:pt idx="0">
                  <c:v>Alta</c:v>
                </c:pt>
              </c:strCache>
            </c:strRef>
          </c:cat>
          <c:val>
            <c:numRef>
              <c:f>CuadrosResumen!$H$71:$H$72</c:f>
              <c:numCache>
                <c:formatCode>General</c:formatCode>
                <c:ptCount val="1"/>
                <c:pt idx="0">
                  <c:v>2</c:v>
                </c:pt>
              </c:numCache>
            </c:numRef>
          </c:val>
        </c:ser>
        <c:axId val="109456000"/>
        <c:axId val="109461888"/>
      </c:barChart>
      <c:catAx>
        <c:axId val="109456000"/>
        <c:scaling>
          <c:orientation val="minMax"/>
        </c:scaling>
        <c:axPos val="b"/>
        <c:tickLblPos val="nextTo"/>
        <c:txPr>
          <a:bodyPr/>
          <a:lstStyle/>
          <a:p>
            <a:pPr>
              <a:defRPr lang="es-ES"/>
            </a:pPr>
            <a:endParaRPr lang="es-PE"/>
          </a:p>
        </c:txPr>
        <c:crossAx val="109461888"/>
        <c:crosses val="autoZero"/>
        <c:auto val="1"/>
        <c:lblAlgn val="ctr"/>
        <c:lblOffset val="100"/>
      </c:catAx>
      <c:valAx>
        <c:axId val="109461888"/>
        <c:scaling>
          <c:orientation val="minMax"/>
        </c:scaling>
        <c:axPos val="l"/>
        <c:majorGridlines/>
        <c:numFmt formatCode="General" sourceLinked="1"/>
        <c:tickLblPos val="nextTo"/>
        <c:txPr>
          <a:bodyPr/>
          <a:lstStyle/>
          <a:p>
            <a:pPr>
              <a:defRPr lang="es-ES"/>
            </a:pPr>
            <a:endParaRPr lang="es-PE"/>
          </a:p>
        </c:txPr>
        <c:crossAx val="109456000"/>
        <c:crosses val="autoZero"/>
        <c:crossBetween val="between"/>
      </c:valAx>
    </c:plotArea>
    <c:plotVisOnly val="1"/>
    <c:dispBlanksAs val="gap"/>
  </c:chart>
  <c:printSettings>
    <c:headerFooter/>
    <c:pageMargins b="0.75000000000000966" l="0.70000000000000062" r="0.70000000000000062" t="0.750000000000009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dinámica3</c:name>
    <c:fmtId val="0"/>
  </c:pivotSource>
  <c:chart>
    <c:title>
      <c:txPr>
        <a:bodyPr/>
        <a:lstStyle/>
        <a:p>
          <a:pPr>
            <a:defRPr lang="es-ES"/>
          </a:pPr>
          <a:endParaRPr lang="es-PE"/>
        </a:p>
      </c:txPr>
    </c:title>
    <c:pivotFmts>
      <c:pivotFmt>
        <c:idx val="0"/>
        <c:marker>
          <c:symbol val="none"/>
        </c:marker>
        <c:dLbl>
          <c:idx val="0"/>
          <c:spPr/>
          <c:txPr>
            <a:bodyPr/>
            <a:lstStyle/>
            <a:p>
              <a:pPr>
                <a:defRPr lang="es-ES"/>
              </a:pPr>
              <a:endParaRPr lang="es-PE"/>
            </a:p>
          </c:txPr>
          <c:showVal val="1"/>
        </c:dLbl>
      </c:pivotFmt>
    </c:pivotFmts>
    <c:plotArea>
      <c:layout/>
      <c:barChart>
        <c:barDir val="col"/>
        <c:grouping val="clustered"/>
        <c:ser>
          <c:idx val="0"/>
          <c:order val="0"/>
          <c:tx>
            <c:strRef>
              <c:f>CuadrosResumen!$M$70</c:f>
              <c:strCache>
                <c:ptCount val="1"/>
                <c:pt idx="0">
                  <c:v>Total</c:v>
                </c:pt>
              </c:strCache>
            </c:strRef>
          </c:tx>
          <c:dLbls>
            <c:spPr/>
            <c:txPr>
              <a:bodyPr/>
              <a:lstStyle/>
              <a:p>
                <a:pPr>
                  <a:defRPr lang="es-ES"/>
                </a:pPr>
                <a:endParaRPr lang="es-PE"/>
              </a:p>
            </c:txPr>
            <c:showVal val="1"/>
          </c:dLbls>
          <c:cat>
            <c:strRef>
              <c:f>CuadrosResumen!$L$71:$L$72</c:f>
              <c:strCache>
                <c:ptCount val="1"/>
                <c:pt idx="0">
                  <c:v>Cerrada</c:v>
                </c:pt>
              </c:strCache>
            </c:strRef>
          </c:cat>
          <c:val>
            <c:numRef>
              <c:f>CuadrosResumen!$M$71:$M$72</c:f>
              <c:numCache>
                <c:formatCode>General</c:formatCode>
                <c:ptCount val="1"/>
                <c:pt idx="0">
                  <c:v>2</c:v>
                </c:pt>
              </c:numCache>
            </c:numRef>
          </c:val>
        </c:ser>
        <c:axId val="109490560"/>
        <c:axId val="109492096"/>
      </c:barChart>
      <c:catAx>
        <c:axId val="109490560"/>
        <c:scaling>
          <c:orientation val="minMax"/>
        </c:scaling>
        <c:axPos val="b"/>
        <c:tickLblPos val="nextTo"/>
        <c:txPr>
          <a:bodyPr/>
          <a:lstStyle/>
          <a:p>
            <a:pPr>
              <a:defRPr lang="es-ES"/>
            </a:pPr>
            <a:endParaRPr lang="es-PE"/>
          </a:p>
        </c:txPr>
        <c:crossAx val="109492096"/>
        <c:crosses val="autoZero"/>
        <c:auto val="1"/>
        <c:lblAlgn val="ctr"/>
        <c:lblOffset val="100"/>
      </c:catAx>
      <c:valAx>
        <c:axId val="109492096"/>
        <c:scaling>
          <c:orientation val="minMax"/>
        </c:scaling>
        <c:axPos val="l"/>
        <c:majorGridlines/>
        <c:numFmt formatCode="General" sourceLinked="1"/>
        <c:tickLblPos val="nextTo"/>
        <c:txPr>
          <a:bodyPr/>
          <a:lstStyle/>
          <a:p>
            <a:pPr>
              <a:defRPr lang="es-ES"/>
            </a:pPr>
            <a:endParaRPr lang="es-PE"/>
          </a:p>
        </c:txPr>
        <c:crossAx val="109490560"/>
        <c:crosses val="autoZero"/>
        <c:crossBetween val="between"/>
      </c:valAx>
    </c:plotArea>
    <c:plotVisOnly val="1"/>
    <c:dispBlanksAs val="gap"/>
  </c:chart>
  <c:printSettings>
    <c:headerFooter/>
    <c:pageMargins b="0.75000000000000966" l="0.70000000000000062" r="0.70000000000000062" t="0.750000000000009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dinámica5</c:name>
    <c:fmtId val="0"/>
  </c:pivotSource>
  <c:chart>
    <c:title>
      <c:tx>
        <c:rich>
          <a:bodyPr/>
          <a:lstStyle/>
          <a:p>
            <a:pPr>
              <a:defRPr lang="es-ES"/>
            </a:pPr>
            <a:r>
              <a:rPr lang="en-US"/>
              <a:t>Distribución por Responsable</a:t>
            </a:r>
          </a:p>
        </c:rich>
      </c:tx>
      <c:layout/>
    </c:title>
    <c:pivotFmts>
      <c:pivotFmt>
        <c:idx val="0"/>
        <c:marker>
          <c:symbol val="none"/>
        </c:marker>
        <c:dLbl>
          <c:idx val="0"/>
          <c:spPr/>
          <c:txPr>
            <a:bodyPr/>
            <a:lstStyle/>
            <a:p>
              <a:pPr>
                <a:defRPr lang="es-ES"/>
              </a:pPr>
              <a:endParaRPr lang="es-PE"/>
            </a:p>
          </c:txPr>
          <c:showVal val="1"/>
        </c:dLbl>
      </c:pivotFmt>
    </c:pivotFmts>
    <c:plotArea>
      <c:layout/>
      <c:barChart>
        <c:barDir val="col"/>
        <c:grouping val="clustered"/>
        <c:ser>
          <c:idx val="0"/>
          <c:order val="0"/>
          <c:tx>
            <c:strRef>
              <c:f>CuadrosResumen!$C$91</c:f>
              <c:strCache>
                <c:ptCount val="1"/>
                <c:pt idx="0">
                  <c:v>Total</c:v>
                </c:pt>
              </c:strCache>
            </c:strRef>
          </c:tx>
          <c:dLbls>
            <c:spPr/>
            <c:txPr>
              <a:bodyPr/>
              <a:lstStyle/>
              <a:p>
                <a:pPr>
                  <a:defRPr lang="es-ES"/>
                </a:pPr>
                <a:endParaRPr lang="es-PE"/>
              </a:p>
            </c:txPr>
            <c:showVal val="1"/>
          </c:dLbls>
          <c:cat>
            <c:strRef>
              <c:f>CuadrosResumen!$B$92:$B$93</c:f>
              <c:strCache>
                <c:ptCount val="1"/>
                <c:pt idx="0">
                  <c:v>(en blanco)</c:v>
                </c:pt>
              </c:strCache>
            </c:strRef>
          </c:cat>
          <c:val>
            <c:numRef>
              <c:f>CuadrosResumen!$C$92:$C$93</c:f>
              <c:numCache>
                <c:formatCode>General</c:formatCode>
                <c:ptCount val="1"/>
              </c:numCache>
            </c:numRef>
          </c:val>
        </c:ser>
        <c:axId val="109385216"/>
        <c:axId val="109386752"/>
      </c:barChart>
      <c:catAx>
        <c:axId val="109385216"/>
        <c:scaling>
          <c:orientation val="minMax"/>
        </c:scaling>
        <c:axPos val="b"/>
        <c:tickLblPos val="nextTo"/>
        <c:txPr>
          <a:bodyPr/>
          <a:lstStyle/>
          <a:p>
            <a:pPr>
              <a:defRPr lang="es-ES"/>
            </a:pPr>
            <a:endParaRPr lang="es-PE"/>
          </a:p>
        </c:txPr>
        <c:crossAx val="109386752"/>
        <c:crosses val="autoZero"/>
        <c:auto val="1"/>
        <c:lblAlgn val="ctr"/>
        <c:lblOffset val="100"/>
      </c:catAx>
      <c:valAx>
        <c:axId val="109386752"/>
        <c:scaling>
          <c:orientation val="minMax"/>
        </c:scaling>
        <c:axPos val="l"/>
        <c:majorGridlines/>
        <c:numFmt formatCode="General" sourceLinked="1"/>
        <c:tickLblPos val="nextTo"/>
        <c:txPr>
          <a:bodyPr/>
          <a:lstStyle/>
          <a:p>
            <a:pPr>
              <a:defRPr lang="es-ES"/>
            </a:pPr>
            <a:endParaRPr lang="es-PE"/>
          </a:p>
        </c:txPr>
        <c:crossAx val="109385216"/>
        <c:crosses val="autoZero"/>
        <c:crossBetween val="between"/>
      </c:valAx>
    </c:plotArea>
    <c:plotVisOnly val="1"/>
    <c:dispBlanksAs val="gap"/>
  </c:chart>
  <c:printSettings>
    <c:headerFooter/>
    <c:pageMargins b="0.75000000000000955" l="0.70000000000000062" r="0.70000000000000062" t="0.750000000000009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dinámica6</c:name>
    <c:fmtId val="0"/>
  </c:pivotSource>
  <c:chart>
    <c:title>
      <c:tx>
        <c:rich>
          <a:bodyPr/>
          <a:lstStyle/>
          <a:p>
            <a:pPr>
              <a:defRPr lang="es-ES"/>
            </a:pPr>
            <a:r>
              <a:rPr lang="es-ES"/>
              <a:t>Distribución por Prioridad</a:t>
            </a:r>
          </a:p>
        </c:rich>
      </c:tx>
      <c:layout/>
    </c:title>
    <c:pivotFmts>
      <c:pivotFmt>
        <c:idx val="0"/>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CuadrosResumen!$H$91</c:f>
              <c:strCache>
                <c:ptCount val="1"/>
                <c:pt idx="0">
                  <c:v>Total</c:v>
                </c:pt>
              </c:strCache>
            </c:strRef>
          </c:tx>
          <c:dLbls>
            <c:spPr/>
            <c:txPr>
              <a:bodyPr/>
              <a:lstStyle/>
              <a:p>
                <a:pPr>
                  <a:defRPr lang="es-ES"/>
                </a:pPr>
                <a:endParaRPr lang="es-PE"/>
              </a:p>
            </c:txPr>
            <c:showVal val="1"/>
          </c:dLbls>
          <c:cat>
            <c:strRef>
              <c:f>CuadrosResumen!$G$92:$G$93</c:f>
              <c:strCache>
                <c:ptCount val="1"/>
                <c:pt idx="0">
                  <c:v>#N/A</c:v>
                </c:pt>
              </c:strCache>
            </c:strRef>
          </c:cat>
          <c:val>
            <c:numRef>
              <c:f>CuadrosResumen!$H$92:$H$93</c:f>
              <c:numCache>
                <c:formatCode>General</c:formatCode>
                <c:ptCount val="1"/>
                <c:pt idx="0">
                  <c:v>1</c:v>
                </c:pt>
              </c:numCache>
            </c:numRef>
          </c:val>
        </c:ser>
        <c:axId val="109435904"/>
        <c:axId val="109785856"/>
      </c:barChart>
      <c:catAx>
        <c:axId val="109435904"/>
        <c:scaling>
          <c:orientation val="minMax"/>
        </c:scaling>
        <c:axPos val="b"/>
        <c:tickLblPos val="nextTo"/>
        <c:txPr>
          <a:bodyPr/>
          <a:lstStyle/>
          <a:p>
            <a:pPr>
              <a:defRPr lang="es-ES"/>
            </a:pPr>
            <a:endParaRPr lang="es-PE"/>
          </a:p>
        </c:txPr>
        <c:crossAx val="109785856"/>
        <c:crosses val="autoZero"/>
        <c:auto val="1"/>
        <c:lblAlgn val="ctr"/>
        <c:lblOffset val="100"/>
      </c:catAx>
      <c:valAx>
        <c:axId val="109785856"/>
        <c:scaling>
          <c:orientation val="minMax"/>
        </c:scaling>
        <c:axPos val="l"/>
        <c:majorGridlines/>
        <c:numFmt formatCode="General" sourceLinked="1"/>
        <c:tickLblPos val="nextTo"/>
        <c:txPr>
          <a:bodyPr/>
          <a:lstStyle/>
          <a:p>
            <a:pPr>
              <a:defRPr lang="es-ES"/>
            </a:pPr>
            <a:endParaRPr lang="es-PE"/>
          </a:p>
        </c:txPr>
        <c:crossAx val="109435904"/>
        <c:crosses val="autoZero"/>
        <c:crossBetween val="between"/>
      </c:valAx>
    </c:plotArea>
    <c:plotVisOnly val="1"/>
    <c:dispBlanksAs val="gap"/>
  </c:chart>
  <c:printSettings>
    <c:headerFooter/>
    <c:pageMargins b="0.75000000000000955" l="0.70000000000000062" r="0.70000000000000062" t="0.750000000000009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PE"/>
  <c:pivotSource>
    <c:name>[ANOCFAP Insp v9.xlsm]CuadrosResumen!Tabla dinámica7</c:name>
    <c:fmtId val="0"/>
  </c:pivotSource>
  <c:chart>
    <c:title>
      <c:tx>
        <c:rich>
          <a:bodyPr/>
          <a:lstStyle/>
          <a:p>
            <a:pPr>
              <a:defRPr lang="es-ES"/>
            </a:pPr>
            <a:r>
              <a:rPr lang="en-US"/>
              <a:t>Distribución</a:t>
            </a:r>
            <a:r>
              <a:rPr lang="en-US" baseline="0"/>
              <a:t> por Estado</a:t>
            </a:r>
          </a:p>
        </c:rich>
      </c:tx>
      <c:layout/>
    </c:title>
    <c:pivotFmts>
      <c:pivotFmt>
        <c:idx val="0"/>
        <c:marker>
          <c:symbol val="none"/>
        </c:marker>
        <c:dLbl>
          <c:idx val="0"/>
          <c:spPr/>
          <c:txPr>
            <a:bodyPr/>
            <a:lstStyle/>
            <a:p>
              <a:pPr>
                <a:defRPr/>
              </a:pPr>
              <a:endParaRPr lang="es-PE"/>
            </a:p>
          </c:txPr>
          <c:showVal val="1"/>
        </c:dLbl>
      </c:pivotFmt>
      <c:pivotFmt>
        <c:idx val="1"/>
        <c:marker>
          <c:symbol val="none"/>
        </c:marker>
        <c:dLbl>
          <c:idx val="0"/>
          <c:layout/>
          <c:spPr/>
          <c:txPr>
            <a:bodyPr/>
            <a:lstStyle/>
            <a:p>
              <a:pPr>
                <a:defRPr lang="es-ES"/>
              </a:pPr>
              <a:endParaRPr lang="es-PE"/>
            </a:p>
          </c:txPr>
          <c:showVal val="1"/>
        </c:dLbl>
      </c:pivotFmt>
    </c:pivotFmts>
    <c:plotArea>
      <c:layout/>
      <c:barChart>
        <c:barDir val="col"/>
        <c:grouping val="clustered"/>
        <c:ser>
          <c:idx val="0"/>
          <c:order val="0"/>
          <c:tx>
            <c:strRef>
              <c:f>CuadrosResumen!$M$91</c:f>
              <c:strCache>
                <c:ptCount val="1"/>
                <c:pt idx="0">
                  <c:v>Total</c:v>
                </c:pt>
              </c:strCache>
            </c:strRef>
          </c:tx>
          <c:dLbls>
            <c:spPr/>
            <c:txPr>
              <a:bodyPr/>
              <a:lstStyle/>
              <a:p>
                <a:pPr>
                  <a:defRPr lang="es-ES"/>
                </a:pPr>
                <a:endParaRPr lang="es-PE"/>
              </a:p>
            </c:txPr>
            <c:showVal val="1"/>
          </c:dLbls>
          <c:cat>
            <c:strRef>
              <c:f>CuadrosResumen!$L$92:$L$93</c:f>
              <c:strCache>
                <c:ptCount val="1"/>
                <c:pt idx="0">
                  <c:v>Cerrada</c:v>
                </c:pt>
              </c:strCache>
            </c:strRef>
          </c:cat>
          <c:val>
            <c:numRef>
              <c:f>CuadrosResumen!$M$92:$M$93</c:f>
              <c:numCache>
                <c:formatCode>General</c:formatCode>
                <c:ptCount val="1"/>
                <c:pt idx="0">
                  <c:v>1</c:v>
                </c:pt>
              </c:numCache>
            </c:numRef>
          </c:val>
        </c:ser>
        <c:axId val="109802624"/>
        <c:axId val="109804160"/>
      </c:barChart>
      <c:catAx>
        <c:axId val="109802624"/>
        <c:scaling>
          <c:orientation val="minMax"/>
        </c:scaling>
        <c:axPos val="b"/>
        <c:tickLblPos val="nextTo"/>
        <c:txPr>
          <a:bodyPr/>
          <a:lstStyle/>
          <a:p>
            <a:pPr>
              <a:defRPr lang="es-ES"/>
            </a:pPr>
            <a:endParaRPr lang="es-PE"/>
          </a:p>
        </c:txPr>
        <c:crossAx val="109804160"/>
        <c:crosses val="autoZero"/>
        <c:auto val="1"/>
        <c:lblAlgn val="ctr"/>
        <c:lblOffset val="100"/>
      </c:catAx>
      <c:valAx>
        <c:axId val="109804160"/>
        <c:scaling>
          <c:orientation val="minMax"/>
        </c:scaling>
        <c:axPos val="l"/>
        <c:majorGridlines/>
        <c:numFmt formatCode="General" sourceLinked="1"/>
        <c:tickLblPos val="nextTo"/>
        <c:txPr>
          <a:bodyPr/>
          <a:lstStyle/>
          <a:p>
            <a:pPr>
              <a:defRPr lang="es-ES"/>
            </a:pPr>
            <a:endParaRPr lang="es-PE"/>
          </a:p>
        </c:txPr>
        <c:crossAx val="109802624"/>
        <c:crosses val="autoZero"/>
        <c:crossBetween val="between"/>
      </c:valAx>
    </c:plotArea>
    <c:plotVisOnly val="1"/>
    <c:dispBlanksAs val="gap"/>
  </c:chart>
  <c:printSettings>
    <c:headerFooter/>
    <c:pageMargins b="0.75000000000000955" l="0.70000000000000062" r="0.70000000000000062" t="0.750000000000009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68" dataDxfId="66" headerRowBorderDxfId="67" tableBorderDxfId="65">
  <autoFilter ref="A4:Q40"/>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72" totalsRowShown="0" headerRowDxfId="47" dataDxfId="45" headerRowBorderDxfId="46" tableBorderDxfId="44">
  <autoFilter ref="A2:L372">
    <filterColumn colId="4"/>
  </autoFilter>
  <sortState ref="A243:M304">
    <sortCondition ref="J2:J361"/>
  </sortState>
  <tableColumns count="12">
    <tableColumn id="1" name="Cod. Obs." dataDxfId="43"/>
    <tableColumn id="2" name="Caso de Prueba" dataDxfId="42"/>
    <tableColumn id="3" name="Prioridad" dataDxfId="41">
      <calculatedColumnFormula>VLOOKUP([Caso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3" totalsRowShown="0" headerRowDxfId="6" headerRowBorderDxfId="5" tableBorderDxfId="4">
  <tableColumns count="4">
    <tableColumn id="1" name="Fecha" dataDxfId="3"/>
    <tableColumn id="2" name="Abiertas" dataDxfId="2"/>
    <tableColumn id="4" name="Cerradas" dataDxfId="1"/>
    <tableColumn id="5" name="Totales" dataDxfId="0">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3" totalsRowShown="0" headerRowDxfId="19" dataDxfId="17" headerRowBorderDxfId="18" tableBorderDxfId="16">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vmlDrawing" Target="../drawings/vmlDrawing2.v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Hoja2"/>
  <dimension ref="A1:R38"/>
  <sheetViews>
    <sheetView tabSelected="1" zoomScale="85" zoomScaleNormal="85" workbookViewId="0">
      <pane ySplit="7" topLeftCell="A8" activePane="bottomLeft" state="frozen"/>
      <selection sqref="A1:R1"/>
      <selection pane="bottomLeft" activeCell="D5" sqref="D5"/>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0.3611111111111111</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22</v>
      </c>
      <c r="D13" s="74"/>
      <c r="E13" s="5">
        <f>COUNTIF(CasoPrueba[[#All],[Estado Testing]],$P$28)</f>
        <v>13</v>
      </c>
      <c r="F13" s="5">
        <f>COUNTIF(CasoPrueba[[#All],[Estado Testing]],$P$29)</f>
        <v>22</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0.3611111111111111</v>
      </c>
      <c r="F14" s="15">
        <f t="shared" si="0"/>
        <v>0.61111111111111116</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13</v>
      </c>
      <c r="D18" s="45">
        <f>C18/$C$10</f>
        <v>0.3611111111111111</v>
      </c>
      <c r="E18" s="46">
        <f>COUNTIFS(CasoPrueba[[#All],[Estado Testing]],$P$29,CasoPrueba[[#All],[Prioridad]],$P$17)</f>
        <v>22</v>
      </c>
      <c r="F18" s="47">
        <f>E18/$C$10</f>
        <v>0.61111111111111116</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22</v>
      </c>
      <c r="N18" s="53">
        <f>M18/$C$10</f>
        <v>0.61111111111111116</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13</v>
      </c>
      <c r="D21" s="63">
        <f t="shared" ref="D21:N21" si="2">SUM(D18:D20)</f>
        <v>0.3611111111111111</v>
      </c>
      <c r="E21" s="62">
        <f t="shared" si="2"/>
        <v>22</v>
      </c>
      <c r="F21" s="63">
        <f t="shared" si="2"/>
        <v>0.61111111111111116</v>
      </c>
      <c r="G21" s="62">
        <f t="shared" si="2"/>
        <v>0</v>
      </c>
      <c r="H21" s="63">
        <f t="shared" si="2"/>
        <v>0</v>
      </c>
      <c r="I21" s="62">
        <f t="shared" si="2"/>
        <v>1</v>
      </c>
      <c r="J21" s="63">
        <f t="shared" si="2"/>
        <v>2.7777777777777776E-2</v>
      </c>
      <c r="K21" s="62">
        <f>SUM(K18:K20)</f>
        <v>0</v>
      </c>
      <c r="L21" s="63">
        <f>SUM(L18:L20)</f>
        <v>0</v>
      </c>
      <c r="M21" s="62">
        <f t="shared" si="2"/>
        <v>22</v>
      </c>
      <c r="N21" s="63">
        <f t="shared" si="2"/>
        <v>0.61111111111111116</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27</v>
      </c>
      <c r="D30" s="124">
        <f>C30/$C$10</f>
        <v>0.75</v>
      </c>
      <c r="E30" s="125">
        <f>COUNTIFS(Observaciones[[#All],[Estado]],Resumen!$P$24,Observaciones[[#All],[Severidad]],Resumen!$P$11)</f>
        <v>56</v>
      </c>
      <c r="F30" s="124">
        <f>E30/$C$10</f>
        <v>1.5555555555555556</v>
      </c>
      <c r="G30" s="119"/>
      <c r="H30" s="122" t="s">
        <v>33</v>
      </c>
      <c r="I30" s="126">
        <f>COUNTIFS(Observaciones[[#All],[Severidad]],Resumen!$P$11,Observaciones[[#All],[Prioridad]],Resumen!$P$17)</f>
        <v>83</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5</v>
      </c>
      <c r="D32" s="124">
        <f>C32/$C$10</f>
        <v>0.1388888888888889</v>
      </c>
      <c r="E32" s="125">
        <f>COUNTIFS(Observaciones[[#All],[Estado]],Resumen!$P$24,Observaciones[[#All],[Severidad]],Resumen!$P$13)</f>
        <v>72</v>
      </c>
      <c r="F32" s="124">
        <f>E32/$C$10</f>
        <v>2</v>
      </c>
      <c r="G32" s="119"/>
      <c r="H32" s="122" t="s">
        <v>37</v>
      </c>
      <c r="I32" s="126">
        <f>COUNTIFS(Observaciones[[#All],[Severidad]],Resumen!$P$13,Observaciones[[#All],[Prioridad]],Resumen!$P$17)</f>
        <v>77</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4</v>
      </c>
      <c r="D33" s="124">
        <f>C33/$C$10</f>
        <v>0.1111111111111111</v>
      </c>
      <c r="E33" s="125">
        <f>COUNTIFS(Observaciones[[#All],[Estado]],Resumen!$P$24,Observaciones[[#All],[Severidad]],Resumen!$P$14)</f>
        <v>88</v>
      </c>
      <c r="F33" s="124">
        <f>E33/$C$10</f>
        <v>2.4444444444444446</v>
      </c>
      <c r="G33" s="119"/>
      <c r="H33" s="122" t="s">
        <v>39</v>
      </c>
      <c r="I33" s="126">
        <f>COUNTIFS(Observaciones[[#All],[Severidad]],Resumen!$P$14,Observaciones[[#All],[Prioridad]],Resumen!$P$17)</f>
        <v>92</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36</v>
      </c>
      <c r="D34" s="129">
        <f>SUM(D30:D33)</f>
        <v>1</v>
      </c>
      <c r="E34" s="128">
        <f>SUM(E30:E33)</f>
        <v>333</v>
      </c>
      <c r="F34" s="129">
        <f>SUM(F30:F33)</f>
        <v>9.25</v>
      </c>
      <c r="G34" s="119"/>
      <c r="H34" s="122" t="s">
        <v>72</v>
      </c>
      <c r="I34" s="130">
        <f>SUM(I30:I33)</f>
        <v>369</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Hoja3"/>
  <dimension ref="A1:R93"/>
  <sheetViews>
    <sheetView topLeftCell="B88"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7.7994579945799458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sheetPr codeName="Hoja4"/>
  <dimension ref="A1:W40"/>
  <sheetViews>
    <sheetView topLeftCell="A38" zoomScaleNormal="100" workbookViewId="0">
      <selection activeCell="A40" sqref="A40"/>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1090</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28</v>
      </c>
      <c r="J6" s="90" t="s">
        <v>47</v>
      </c>
      <c r="K6" s="90"/>
      <c r="L6" s="93">
        <f>General!$A$10</f>
        <v>0</v>
      </c>
      <c r="M6" s="93"/>
      <c r="N6" s="90"/>
      <c r="O6" s="90"/>
      <c r="P6" s="92" t="s">
        <v>1091</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28</v>
      </c>
      <c r="J7" s="90" t="s">
        <v>47</v>
      </c>
      <c r="K7" s="90"/>
      <c r="L7" s="93">
        <f>General!$A$10</f>
        <v>0</v>
      </c>
      <c r="M7" s="93"/>
      <c r="N7" s="90"/>
      <c r="O7" s="90"/>
      <c r="P7" s="92" t="s">
        <v>1092</v>
      </c>
      <c r="Q7" s="90" t="str">
        <f>CONCATENATE(General!$B$7," ",General!$B$6)</f>
        <v>Nicolay García José Ramos Ramírez</v>
      </c>
    </row>
    <row r="8" spans="1:18" ht="56.2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28</v>
      </c>
      <c r="J8" s="90" t="s">
        <v>47</v>
      </c>
      <c r="K8" s="90"/>
      <c r="L8" s="93">
        <f>General!$A$10</f>
        <v>0</v>
      </c>
      <c r="M8" s="93"/>
      <c r="N8" s="90"/>
      <c r="O8" s="90"/>
      <c r="P8" s="92" t="s">
        <v>1093</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28</v>
      </c>
      <c r="J9" s="90" t="s">
        <v>47</v>
      </c>
      <c r="K9" s="90"/>
      <c r="L9" s="93">
        <f>General!$A$10</f>
        <v>0</v>
      </c>
      <c r="M9" s="93"/>
      <c r="N9" s="90"/>
      <c r="O9" s="90"/>
      <c r="P9" s="92" t="s">
        <v>1094</v>
      </c>
      <c r="Q9" s="90" t="str">
        <f>CONCATENATE(General!$B$7," ",General!$B$6)</f>
        <v>Nicolay García José Ramos Ramírez</v>
      </c>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NO OK</v>
      </c>
      <c r="G10" s="90" t="s">
        <v>20</v>
      </c>
      <c r="H10" s="90" t="s">
        <v>28</v>
      </c>
      <c r="I10" s="92" t="s">
        <v>28</v>
      </c>
      <c r="J10" s="90" t="s">
        <v>47</v>
      </c>
      <c r="K10" s="90"/>
      <c r="L10" s="93">
        <f>General!$A$10</f>
        <v>0</v>
      </c>
      <c r="M10" s="93"/>
      <c r="N10" s="90"/>
      <c r="O10" s="90"/>
      <c r="P10" s="92" t="s">
        <v>1095</v>
      </c>
      <c r="Q10" s="90" t="str">
        <f>CONCATENATE(General!$B$7," ",General!$B$6)</f>
        <v>Nicolay García José Ramos Ramírez</v>
      </c>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NO OK</v>
      </c>
      <c r="G11" s="90" t="s">
        <v>20</v>
      </c>
      <c r="H11" s="90" t="s">
        <v>28</v>
      </c>
      <c r="I11" s="92" t="s">
        <v>28</v>
      </c>
      <c r="J11" s="90" t="s">
        <v>47</v>
      </c>
      <c r="K11" s="90"/>
      <c r="L11" s="93">
        <f>General!$A$10</f>
        <v>0</v>
      </c>
      <c r="M11" s="93"/>
      <c r="N11" s="90"/>
      <c r="O11" s="90"/>
      <c r="P11" s="92" t="s">
        <v>1096</v>
      </c>
      <c r="Q11" s="90" t="str">
        <f>CONCATENATE(General!$B$7," ",General!$B$6)</f>
        <v>Nicolay García José Ramos Ramírez</v>
      </c>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NO OK</v>
      </c>
      <c r="G12" s="90" t="s">
        <v>20</v>
      </c>
      <c r="H12" s="90" t="s">
        <v>28</v>
      </c>
      <c r="I12" s="92" t="s">
        <v>28</v>
      </c>
      <c r="J12" s="90" t="s">
        <v>47</v>
      </c>
      <c r="K12" s="90"/>
      <c r="L12" s="93">
        <f>General!$A$10</f>
        <v>0</v>
      </c>
      <c r="M12" s="93"/>
      <c r="N12" s="90"/>
      <c r="O12" s="90"/>
      <c r="P12" s="92" t="s">
        <v>1097</v>
      </c>
      <c r="Q12" s="90" t="str">
        <f>CONCATENATE(General!$B$7," ",General!$B$6)</f>
        <v>Nicolay García José Ramos Ramírez</v>
      </c>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1098</v>
      </c>
      <c r="Q13" s="90" t="str">
        <f>CONCATENATE(General!$B$7," ",General!$B$6)</f>
        <v>Nicolay García José Ramos Ramírez</v>
      </c>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28</v>
      </c>
      <c r="J14" s="90" t="s">
        <v>47</v>
      </c>
      <c r="K14" s="90"/>
      <c r="L14" s="93">
        <f>General!$A$10</f>
        <v>0</v>
      </c>
      <c r="M14" s="93"/>
      <c r="N14" s="90"/>
      <c r="O14" s="90"/>
      <c r="P14" s="92" t="s">
        <v>1099</v>
      </c>
      <c r="Q14" s="90" t="str">
        <f>CONCATENATE(General!$B$7," ",General!$B$6)</f>
        <v>Nicolay García José Ramos Ramírez</v>
      </c>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NO OK</v>
      </c>
      <c r="G15" s="90" t="s">
        <v>20</v>
      </c>
      <c r="H15" s="90" t="s">
        <v>28</v>
      </c>
      <c r="I15" s="92" t="s">
        <v>28</v>
      </c>
      <c r="J15" s="90" t="s">
        <v>47</v>
      </c>
      <c r="K15" s="90"/>
      <c r="L15" s="93">
        <f>General!$A$10</f>
        <v>0</v>
      </c>
      <c r="M15" s="93"/>
      <c r="N15" s="90"/>
      <c r="O15" s="90"/>
      <c r="P15" s="92" t="s">
        <v>1100</v>
      </c>
      <c r="Q15" s="90" t="str">
        <f>CONCATENATE(General!$B$7," ",General!$B$6)</f>
        <v>Nicolay García José Ramos Ramírez</v>
      </c>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NO OK</v>
      </c>
      <c r="G16" s="90" t="s">
        <v>20</v>
      </c>
      <c r="H16" s="90" t="s">
        <v>28</v>
      </c>
      <c r="I16" s="92" t="s">
        <v>28</v>
      </c>
      <c r="J16" s="90" t="s">
        <v>47</v>
      </c>
      <c r="K16" s="90"/>
      <c r="L16" s="93">
        <f>General!$A$10</f>
        <v>0</v>
      </c>
      <c r="M16" s="93"/>
      <c r="N16" s="90"/>
      <c r="O16" s="90"/>
      <c r="P16" s="92" t="s">
        <v>1101</v>
      </c>
      <c r="Q16" s="90" t="str">
        <f>CONCATENATE(General!$B$7," ",General!$B$6)</f>
        <v>Nicolay García José Ramos Ramírez</v>
      </c>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NO OK</v>
      </c>
      <c r="G17" s="90" t="s">
        <v>20</v>
      </c>
      <c r="H17" s="90" t="s">
        <v>28</v>
      </c>
      <c r="I17" s="92" t="s">
        <v>28</v>
      </c>
      <c r="J17" s="90" t="s">
        <v>47</v>
      </c>
      <c r="K17" s="90"/>
      <c r="L17" s="93">
        <f>General!$A$10</f>
        <v>0</v>
      </c>
      <c r="M17" s="93"/>
      <c r="N17" s="90"/>
      <c r="O17" s="90"/>
      <c r="P17" s="92" t="s">
        <v>1102</v>
      </c>
      <c r="Q17" s="90" t="str">
        <f>CONCATENATE(General!$B$7," ",General!$B$6)</f>
        <v>Nicolay García José Ramos Ramírez</v>
      </c>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NO OK</v>
      </c>
      <c r="G18" s="90" t="s">
        <v>20</v>
      </c>
      <c r="H18" s="90" t="s">
        <v>28</v>
      </c>
      <c r="I18" s="92" t="s">
        <v>28</v>
      </c>
      <c r="J18" s="90" t="s">
        <v>47</v>
      </c>
      <c r="K18" s="90"/>
      <c r="L18" s="93">
        <f>General!$A$10</f>
        <v>0</v>
      </c>
      <c r="M18" s="93"/>
      <c r="N18" s="90"/>
      <c r="O18" s="90"/>
      <c r="P18" s="92" t="s">
        <v>1103</v>
      </c>
      <c r="Q18" s="90" t="str">
        <f>CONCATENATE(General!$B$7," ",General!$B$6)</f>
        <v>Nicolay García José Ramos Ramírez</v>
      </c>
    </row>
    <row r="19" spans="1:17" ht="6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28</v>
      </c>
      <c r="J19" s="90" t="s">
        <v>47</v>
      </c>
      <c r="K19" s="90"/>
      <c r="L19" s="93">
        <f>General!$A$10</f>
        <v>0</v>
      </c>
      <c r="M19" s="93"/>
      <c r="N19" s="90"/>
      <c r="O19" s="90"/>
      <c r="P19" s="92" t="s">
        <v>1104</v>
      </c>
      <c r="Q19" s="90" t="str">
        <f>CONCATENATE(General!$B$7," ",General!$B$6)</f>
        <v>Nicolay García José Ramos Ramírez</v>
      </c>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30</v>
      </c>
      <c r="J23" s="90" t="s">
        <v>47</v>
      </c>
      <c r="K23" s="90"/>
      <c r="L23" s="93">
        <f>General!$A$10</f>
        <v>0</v>
      </c>
      <c r="M23" s="93"/>
      <c r="N23" s="90"/>
      <c r="O23" s="90"/>
      <c r="P23" s="92" t="s">
        <v>1064</v>
      </c>
      <c r="Q23" s="90" t="str">
        <f>CONCATENATE(General!$B$7," ",General!$B$6)</f>
        <v>Nicolay García José Ramos Ramírez</v>
      </c>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162</v>
      </c>
      <c r="J27" s="90" t="s">
        <v>47</v>
      </c>
      <c r="K27" s="90"/>
      <c r="L27" s="93">
        <f>General!$A$10</f>
        <v>0</v>
      </c>
      <c r="M27" s="93"/>
      <c r="N27" s="90"/>
      <c r="O27" s="90"/>
      <c r="P27" s="92" t="s">
        <v>1065</v>
      </c>
      <c r="Q27" s="90" t="str">
        <f>CONCATENATE(General!$B$7," ",General!$B$6)</f>
        <v>Nicolay García José Ramos Ramírez</v>
      </c>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162</v>
      </c>
      <c r="J28" s="90" t="s">
        <v>47</v>
      </c>
      <c r="K28" s="90"/>
      <c r="L28" s="93">
        <f>General!$A$10</f>
        <v>0</v>
      </c>
      <c r="M28" s="93"/>
      <c r="N28" s="90"/>
      <c r="O28" s="90"/>
      <c r="P28" s="92" t="s">
        <v>1066</v>
      </c>
      <c r="Q28" s="90" t="str">
        <f>CONCATENATE(General!$B$7," ",General!$B$6)</f>
        <v>Nicolay García José Ramos Ramírez</v>
      </c>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30</v>
      </c>
      <c r="J30" s="90" t="s">
        <v>47</v>
      </c>
      <c r="K30" s="90"/>
      <c r="L30" s="93">
        <f>General!$A$10</f>
        <v>0</v>
      </c>
      <c r="M30" s="93"/>
      <c r="N30" s="90"/>
      <c r="O30" s="90"/>
      <c r="P30" s="92" t="s">
        <v>1039</v>
      </c>
      <c r="Q30" s="90" t="str">
        <f>CONCATENATE(General!$B$7," ",General!$B$6)</f>
        <v>Nicolay García José Ramos Ramírez</v>
      </c>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30</v>
      </c>
      <c r="J31" s="90" t="s">
        <v>47</v>
      </c>
      <c r="K31" s="90"/>
      <c r="L31" s="93">
        <f>General!$A$10</f>
        <v>0</v>
      </c>
      <c r="M31" s="93"/>
      <c r="N31" s="90"/>
      <c r="O31" s="90"/>
      <c r="P31" s="92" t="s">
        <v>1040</v>
      </c>
      <c r="Q31" s="90" t="str">
        <f>CONCATENATE(General!$B$7," ",General!$B$6)</f>
        <v>Nicolay García José Ramos Ramírez</v>
      </c>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30</v>
      </c>
      <c r="J32" s="90" t="s">
        <v>47</v>
      </c>
      <c r="K32" s="90"/>
      <c r="L32" s="93">
        <f>General!$A$10</f>
        <v>0</v>
      </c>
      <c r="M32" s="93"/>
      <c r="N32" s="90"/>
      <c r="O32" s="90"/>
      <c r="P32" s="92" t="s">
        <v>1067</v>
      </c>
      <c r="Q32" s="90" t="str">
        <f>CONCATENATE(General!$B$7," ",General!$B$6)</f>
        <v>Nicolay García José Ramos Ramírez</v>
      </c>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162</v>
      </c>
      <c r="J34" s="90" t="s">
        <v>47</v>
      </c>
      <c r="K34" s="90"/>
      <c r="L34" s="93">
        <f>General!$A$10</f>
        <v>0</v>
      </c>
      <c r="M34" s="93"/>
      <c r="N34" s="90"/>
      <c r="O34" s="90"/>
      <c r="P34" s="92" t="s">
        <v>1041</v>
      </c>
      <c r="Q34" s="90" t="str">
        <f>CONCATENATE(General!$B$7," ",General!$B$6)</f>
        <v>Nicolay García José Ramos Ramírez</v>
      </c>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22.5">
      <c r="A40" s="168" t="s">
        <v>159</v>
      </c>
      <c r="B40" s="168" t="s">
        <v>906</v>
      </c>
      <c r="C40" s="90" t="s">
        <v>170</v>
      </c>
      <c r="D40" s="169" t="s">
        <v>1105</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8"/>
      <c r="L40" s="172">
        <f>General!$A$10</f>
        <v>0</v>
      </c>
      <c r="M40" s="172"/>
      <c r="N40" s="168"/>
      <c r="O40" s="168"/>
      <c r="P40" s="171"/>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sheetPr codeName="Hoja5"/>
  <dimension ref="A1:N372"/>
  <sheetViews>
    <sheetView topLeftCell="A351" zoomScale="85" zoomScaleNormal="85" workbookViewId="0">
      <selection activeCell="F371" sqref="F371"/>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c r="A3" s="72" t="s">
        <v>97</v>
      </c>
      <c r="B3" s="34" t="s">
        <v>88</v>
      </c>
      <c r="C3" s="34" t="str">
        <f>VLOOKUP([Caso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c r="A4" s="166" t="s">
        <v>161</v>
      </c>
      <c r="B4" s="164" t="s">
        <v>88</v>
      </c>
      <c r="C4" s="34" t="str">
        <f>VLOOKUP([Caso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c r="A5" s="166" t="s">
        <v>194</v>
      </c>
      <c r="B5" s="164" t="s">
        <v>88</v>
      </c>
      <c r="C5" s="34" t="str">
        <f>VLOOKUP([Caso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c r="A6" s="166" t="s">
        <v>197</v>
      </c>
      <c r="B6" s="164" t="s">
        <v>88</v>
      </c>
      <c r="C6" s="34" t="str">
        <f>VLOOKUP([Caso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c r="A7" s="166" t="s">
        <v>200</v>
      </c>
      <c r="B7" s="164" t="s">
        <v>88</v>
      </c>
      <c r="C7" s="34" t="str">
        <f>VLOOKUP([Caso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c r="A8" s="166" t="s">
        <v>202</v>
      </c>
      <c r="B8" s="164" t="s">
        <v>88</v>
      </c>
      <c r="C8" s="34" t="str">
        <f>VLOOKUP([Caso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c r="A9" s="166" t="s">
        <v>205</v>
      </c>
      <c r="B9" s="164" t="s">
        <v>88</v>
      </c>
      <c r="C9" s="34" t="str">
        <f>VLOOKUP([Caso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c r="A10" s="166" t="s">
        <v>208</v>
      </c>
      <c r="B10" s="164" t="s">
        <v>88</v>
      </c>
      <c r="C10" s="34" t="str">
        <f>VLOOKUP([Caso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c r="A11" s="166" t="s">
        <v>211</v>
      </c>
      <c r="B11" s="164" t="s">
        <v>88</v>
      </c>
      <c r="C11" s="34" t="str">
        <f>VLOOKUP([Caso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c r="A12" s="166" t="s">
        <v>214</v>
      </c>
      <c r="B12" s="164" t="s">
        <v>88</v>
      </c>
      <c r="C12" s="34" t="str">
        <f>VLOOKUP([Caso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c r="A13" s="166" t="s">
        <v>217</v>
      </c>
      <c r="B13" s="164" t="s">
        <v>88</v>
      </c>
      <c r="C13" s="34" t="str">
        <f>VLOOKUP([Caso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c r="A14" s="166" t="s">
        <v>220</v>
      </c>
      <c r="B14" s="164" t="s">
        <v>88</v>
      </c>
      <c r="C14" s="34" t="str">
        <f>VLOOKUP([Caso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c r="A15" s="166" t="s">
        <v>223</v>
      </c>
      <c r="B15" s="164" t="s">
        <v>88</v>
      </c>
      <c r="C15" s="34" t="str">
        <f>VLOOKUP([Caso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c r="A16" s="166" t="s">
        <v>226</v>
      </c>
      <c r="B16" s="164" t="s">
        <v>151</v>
      </c>
      <c r="C16" s="34" t="str">
        <f>VLOOKUP([Caso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c r="A17" s="166" t="s">
        <v>229</v>
      </c>
      <c r="B17" s="164" t="s">
        <v>151</v>
      </c>
      <c r="C17" s="34" t="str">
        <f>VLOOKUP([Caso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c r="A18" s="166" t="s">
        <v>232</v>
      </c>
      <c r="B18" s="164" t="s">
        <v>151</v>
      </c>
      <c r="C18" s="34" t="str">
        <f>VLOOKUP([Caso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c r="A19" s="166" t="s">
        <v>235</v>
      </c>
      <c r="B19" s="164" t="s">
        <v>151</v>
      </c>
      <c r="C19" s="34" t="str">
        <f>VLOOKUP([Caso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c r="A20" s="166" t="s">
        <v>238</v>
      </c>
      <c r="B20" s="164" t="s">
        <v>151</v>
      </c>
      <c r="C20" s="34" t="str">
        <f>VLOOKUP([Caso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c r="A21" s="166" t="s">
        <v>241</v>
      </c>
      <c r="B21" s="164" t="s">
        <v>151</v>
      </c>
      <c r="C21" s="34" t="str">
        <f>VLOOKUP([Caso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c r="A22" s="166" t="s">
        <v>244</v>
      </c>
      <c r="B22" s="164" t="s">
        <v>151</v>
      </c>
      <c r="C22" s="34" t="str">
        <f>VLOOKUP([Caso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c r="A23" s="166" t="s">
        <v>247</v>
      </c>
      <c r="B23" s="164" t="s">
        <v>151</v>
      </c>
      <c r="C23" s="34" t="str">
        <f>VLOOKUP([Caso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c r="A24" s="166" t="s">
        <v>249</v>
      </c>
      <c r="B24" s="164" t="s">
        <v>151</v>
      </c>
      <c r="C24" s="34" t="str">
        <f>VLOOKUP([Caso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c r="A25" s="166" t="s">
        <v>252</v>
      </c>
      <c r="B25" s="164" t="s">
        <v>152</v>
      </c>
      <c r="C25" s="34" t="str">
        <f>VLOOKUP([Caso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c r="A26" s="166" t="s">
        <v>254</v>
      </c>
      <c r="B26" s="164" t="s">
        <v>152</v>
      </c>
      <c r="C26" s="34" t="str">
        <f>VLOOKUP([Caso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c r="A27" s="166" t="s">
        <v>256</v>
      </c>
      <c r="B27" s="164" t="s">
        <v>152</v>
      </c>
      <c r="C27" s="34" t="str">
        <f>VLOOKUP([Caso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c r="A28" s="166" t="s">
        <v>259</v>
      </c>
      <c r="B28" s="164" t="s">
        <v>152</v>
      </c>
      <c r="C28" s="34" t="str">
        <f>VLOOKUP([Caso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c r="A29" s="166" t="s">
        <v>262</v>
      </c>
      <c r="B29" s="164" t="s">
        <v>152</v>
      </c>
      <c r="C29" s="34" t="str">
        <f>VLOOKUP([Caso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c r="A30" s="166" t="s">
        <v>265</v>
      </c>
      <c r="B30" s="164" t="s">
        <v>152</v>
      </c>
      <c r="C30" s="34" t="str">
        <f>VLOOKUP([Caso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c r="A31" s="166" t="s">
        <v>267</v>
      </c>
      <c r="B31" s="164" t="s">
        <v>153</v>
      </c>
      <c r="C31" s="34" t="str">
        <f>VLOOKUP([Caso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c r="A32" s="166" t="s">
        <v>270</v>
      </c>
      <c r="B32" s="164" t="s">
        <v>153</v>
      </c>
      <c r="C32" s="34" t="str">
        <f>VLOOKUP([Caso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c r="A33" s="166" t="s">
        <v>271</v>
      </c>
      <c r="B33" s="164" t="s">
        <v>153</v>
      </c>
      <c r="C33" s="34" t="str">
        <f>VLOOKUP([Caso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c r="A34" s="166" t="s">
        <v>273</v>
      </c>
      <c r="B34" s="164" t="s">
        <v>153</v>
      </c>
      <c r="C34" s="34" t="str">
        <f>VLOOKUP([Caso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c r="A35" s="166" t="s">
        <v>275</v>
      </c>
      <c r="B35" s="164" t="s">
        <v>153</v>
      </c>
      <c r="C35" s="34" t="str">
        <f>VLOOKUP([Caso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c r="A36" s="166" t="s">
        <v>278</v>
      </c>
      <c r="B36" s="164" t="s">
        <v>153</v>
      </c>
      <c r="C36" s="34" t="str">
        <f>VLOOKUP([Caso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c r="A37" s="166" t="s">
        <v>281</v>
      </c>
      <c r="B37" s="164" t="s">
        <v>153</v>
      </c>
      <c r="C37" s="34" t="str">
        <f>VLOOKUP([Caso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c r="A38" s="166" t="s">
        <v>284</v>
      </c>
      <c r="B38" s="164" t="s">
        <v>153</v>
      </c>
      <c r="C38" s="34" t="str">
        <f>VLOOKUP([Caso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c r="A39" s="166" t="s">
        <v>287</v>
      </c>
      <c r="B39" s="164" t="s">
        <v>153</v>
      </c>
      <c r="C39" s="34" t="str">
        <f>VLOOKUP([Caso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c r="A40" s="166" t="s">
        <v>290</v>
      </c>
      <c r="B40" s="164" t="s">
        <v>153</v>
      </c>
      <c r="C40" s="34" t="str">
        <f>VLOOKUP([Caso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c r="A41" s="166" t="s">
        <v>292</v>
      </c>
      <c r="B41" s="164" t="s">
        <v>153</v>
      </c>
      <c r="C41" s="34" t="str">
        <f>VLOOKUP([Caso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c r="A42" s="166" t="s">
        <v>295</v>
      </c>
      <c r="B42" s="164" t="s">
        <v>153</v>
      </c>
      <c r="C42" s="34" t="str">
        <f>VLOOKUP([Caso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c r="A43" s="166" t="s">
        <v>298</v>
      </c>
      <c r="B43" s="164" t="s">
        <v>154</v>
      </c>
      <c r="C43" s="34" t="str">
        <f>VLOOKUP([Caso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c r="A44" s="166" t="s">
        <v>299</v>
      </c>
      <c r="B44" s="164" t="s">
        <v>154</v>
      </c>
      <c r="C44" s="34" t="str">
        <f>VLOOKUP([Caso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c r="A45" s="166" t="s">
        <v>300</v>
      </c>
      <c r="B45" s="164" t="s">
        <v>154</v>
      </c>
      <c r="C45" s="34" t="str">
        <f>VLOOKUP([Caso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c r="A46" s="166" t="s">
        <v>302</v>
      </c>
      <c r="B46" s="164" t="s">
        <v>154</v>
      </c>
      <c r="C46" s="34" t="str">
        <f>VLOOKUP([Caso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c r="A47" s="166" t="s">
        <v>304</v>
      </c>
      <c r="B47" s="164" t="s">
        <v>154</v>
      </c>
      <c r="C47" s="34" t="str">
        <f>VLOOKUP([Caso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c r="A48" s="166" t="s">
        <v>306</v>
      </c>
      <c r="B48" s="164" t="s">
        <v>155</v>
      </c>
      <c r="C48" s="34" t="str">
        <f>VLOOKUP([Caso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c r="A49" s="166" t="s">
        <v>307</v>
      </c>
      <c r="B49" s="164" t="s">
        <v>155</v>
      </c>
      <c r="C49" s="34" t="str">
        <f>VLOOKUP([Caso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c r="A50" s="166" t="s">
        <v>308</v>
      </c>
      <c r="B50" s="164" t="s">
        <v>155</v>
      </c>
      <c r="C50" s="34" t="str">
        <f>VLOOKUP([Caso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c r="A51" s="166" t="s">
        <v>309</v>
      </c>
      <c r="B51" s="164" t="s">
        <v>156</v>
      </c>
      <c r="C51" s="34" t="str">
        <f>VLOOKUP([Caso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c r="A52" s="166" t="s">
        <v>310</v>
      </c>
      <c r="B52" s="164" t="s">
        <v>156</v>
      </c>
      <c r="C52" s="34" t="str">
        <f>VLOOKUP([Caso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c r="A53" s="166" t="s">
        <v>311</v>
      </c>
      <c r="B53" s="164" t="s">
        <v>156</v>
      </c>
      <c r="C53" s="34" t="str">
        <f>VLOOKUP([Caso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c r="A54" s="166" t="s">
        <v>314</v>
      </c>
      <c r="B54" s="164" t="s">
        <v>156</v>
      </c>
      <c r="C54" s="34" t="str">
        <f>VLOOKUP([Caso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c r="A55" s="166" t="s">
        <v>316</v>
      </c>
      <c r="B55" s="164" t="s">
        <v>156</v>
      </c>
      <c r="C55" s="34" t="str">
        <f>VLOOKUP([Caso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c r="A56" s="166" t="s">
        <v>319</v>
      </c>
      <c r="B56" s="164" t="s">
        <v>156</v>
      </c>
      <c r="C56" s="34" t="str">
        <f>VLOOKUP([Caso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c r="A57" s="166" t="s">
        <v>322</v>
      </c>
      <c r="B57" s="164" t="s">
        <v>156</v>
      </c>
      <c r="C57" s="34" t="str">
        <f>VLOOKUP([Caso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c r="A58" s="166" t="s">
        <v>325</v>
      </c>
      <c r="B58" s="164" t="s">
        <v>157</v>
      </c>
      <c r="C58" s="34" t="str">
        <f>VLOOKUP([Caso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c r="A59" s="166" t="s">
        <v>326</v>
      </c>
      <c r="B59" s="164" t="s">
        <v>157</v>
      </c>
      <c r="C59" s="34" t="str">
        <f>VLOOKUP([Caso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c r="A60" s="166" t="s">
        <v>327</v>
      </c>
      <c r="B60" s="164" t="s">
        <v>157</v>
      </c>
      <c r="C60" s="34" t="str">
        <f>VLOOKUP([Caso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c r="A61" s="166" t="s">
        <v>329</v>
      </c>
      <c r="B61" s="164" t="s">
        <v>157</v>
      </c>
      <c r="C61" s="34" t="str">
        <f>VLOOKUP([Caso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c r="A62" s="166" t="s">
        <v>332</v>
      </c>
      <c r="B62" s="164" t="s">
        <v>157</v>
      </c>
      <c r="C62" s="34" t="str">
        <f>VLOOKUP([Caso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c r="A63" s="166" t="s">
        <v>334</v>
      </c>
      <c r="B63" s="164" t="s">
        <v>157</v>
      </c>
      <c r="C63" s="34" t="str">
        <f>VLOOKUP([Caso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c r="A64" s="166" t="s">
        <v>336</v>
      </c>
      <c r="B64" s="164" t="s">
        <v>158</v>
      </c>
      <c r="C64" s="34" t="str">
        <f>VLOOKUP([Caso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c r="A65" s="166" t="s">
        <v>337</v>
      </c>
      <c r="B65" s="164" t="s">
        <v>158</v>
      </c>
      <c r="C65" s="34" t="str">
        <f>VLOOKUP([Caso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c r="A66" s="166" t="s">
        <v>338</v>
      </c>
      <c r="B66" s="164" t="s">
        <v>158</v>
      </c>
      <c r="C66" s="34" t="str">
        <f>VLOOKUP([Caso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c r="A67" s="166" t="s">
        <v>339</v>
      </c>
      <c r="B67" s="164" t="s">
        <v>158</v>
      </c>
      <c r="C67" s="34" t="str">
        <f>VLOOKUP([Caso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c r="A68" s="166" t="s">
        <v>341</v>
      </c>
      <c r="B68" s="164" t="s">
        <v>158</v>
      </c>
      <c r="C68" s="34" t="str">
        <f>VLOOKUP([Caso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c r="A69" s="166" t="s">
        <v>343</v>
      </c>
      <c r="B69" s="164" t="s">
        <v>158</v>
      </c>
      <c r="C69" s="34" t="str">
        <f>VLOOKUP([Caso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c r="A70" s="166" t="s">
        <v>344</v>
      </c>
      <c r="B70" s="164" t="s">
        <v>171</v>
      </c>
      <c r="C70" s="34" t="str">
        <f>VLOOKUP([Caso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c r="A71" s="166" t="s">
        <v>345</v>
      </c>
      <c r="B71" s="164" t="s">
        <v>171</v>
      </c>
      <c r="C71" s="34" t="str">
        <f>VLOOKUP([Caso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c r="A72" s="166" t="s">
        <v>346</v>
      </c>
      <c r="B72" s="164" t="s">
        <v>171</v>
      </c>
      <c r="C72" s="34" t="str">
        <f>VLOOKUP([Caso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c r="A73" s="166" t="s">
        <v>347</v>
      </c>
      <c r="B73" s="164" t="s">
        <v>171</v>
      </c>
      <c r="C73" s="34" t="str">
        <f>VLOOKUP([Caso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c r="A74" s="166" t="s">
        <v>348</v>
      </c>
      <c r="B74" s="164" t="s">
        <v>172</v>
      </c>
      <c r="C74" s="34" t="str">
        <f>VLOOKUP([Caso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c r="A75" s="166" t="s">
        <v>350</v>
      </c>
      <c r="B75" s="164" t="s">
        <v>172</v>
      </c>
      <c r="C75" s="34" t="str">
        <f>VLOOKUP([Caso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c r="A76" s="166" t="s">
        <v>353</v>
      </c>
      <c r="B76" s="164" t="s">
        <v>172</v>
      </c>
      <c r="C76" s="34" t="str">
        <f>VLOOKUP([Caso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c r="A77" s="166" t="s">
        <v>356</v>
      </c>
      <c r="B77" s="164" t="s">
        <v>172</v>
      </c>
      <c r="C77" s="34" t="str">
        <f>VLOOKUP([Caso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c r="A78" s="166" t="s">
        <v>359</v>
      </c>
      <c r="B78" s="164" t="s">
        <v>172</v>
      </c>
      <c r="C78" s="34" t="str">
        <f>VLOOKUP([Caso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c r="A79" s="166" t="s">
        <v>361</v>
      </c>
      <c r="B79" s="164" t="s">
        <v>172</v>
      </c>
      <c r="C79" s="34" t="str">
        <f>VLOOKUP([Caso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c r="A80" s="166" t="s">
        <v>363</v>
      </c>
      <c r="B80" s="164" t="s">
        <v>172</v>
      </c>
      <c r="C80" s="34" t="str">
        <f>VLOOKUP([Caso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c r="A81" s="166" t="s">
        <v>366</v>
      </c>
      <c r="B81" s="164" t="s">
        <v>172</v>
      </c>
      <c r="C81" s="34" t="str">
        <f>VLOOKUP([Caso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c r="A82" s="166" t="s">
        <v>368</v>
      </c>
      <c r="B82" s="164" t="s">
        <v>172</v>
      </c>
      <c r="C82" s="34" t="str">
        <f>VLOOKUP([Caso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c r="A83" s="166" t="s">
        <v>371</v>
      </c>
      <c r="B83" s="164" t="s">
        <v>172</v>
      </c>
      <c r="C83" s="34" t="str">
        <f>VLOOKUP([Caso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c r="A84" s="166" t="s">
        <v>373</v>
      </c>
      <c r="B84" s="164" t="s">
        <v>172</v>
      </c>
      <c r="C84" s="34" t="str">
        <f>VLOOKUP([Caso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c r="A85" s="166" t="s">
        <v>376</v>
      </c>
      <c r="B85" s="164" t="s">
        <v>172</v>
      </c>
      <c r="C85" s="34" t="str">
        <f>VLOOKUP([Caso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c r="A86" s="166" t="s">
        <v>379</v>
      </c>
      <c r="B86" s="164" t="s">
        <v>172</v>
      </c>
      <c r="C86" s="34" t="str">
        <f>VLOOKUP([Caso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c r="A87" s="166" t="s">
        <v>381</v>
      </c>
      <c r="B87" s="164" t="s">
        <v>172</v>
      </c>
      <c r="C87" s="34" t="str">
        <f>VLOOKUP([Caso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c r="A88" s="166" t="s">
        <v>384</v>
      </c>
      <c r="B88" s="164" t="s">
        <v>173</v>
      </c>
      <c r="C88" s="34" t="str">
        <f>VLOOKUP([Caso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c r="A89" s="166" t="s">
        <v>387</v>
      </c>
      <c r="B89" s="164" t="s">
        <v>173</v>
      </c>
      <c r="C89" s="34" t="str">
        <f>VLOOKUP([Caso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c r="A90" s="166" t="s">
        <v>390</v>
      </c>
      <c r="B90" s="164" t="s">
        <v>173</v>
      </c>
      <c r="C90" s="34" t="str">
        <f>VLOOKUP([Caso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c r="A91" s="166" t="s">
        <v>392</v>
      </c>
      <c r="B91" s="164" t="s">
        <v>173</v>
      </c>
      <c r="C91" s="34" t="str">
        <f>VLOOKUP([Caso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c r="A92" s="166" t="s">
        <v>395</v>
      </c>
      <c r="B92" s="164" t="s">
        <v>173</v>
      </c>
      <c r="C92" s="34" t="str">
        <f>VLOOKUP([Caso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c r="A93" s="166" t="s">
        <v>398</v>
      </c>
      <c r="B93" s="164" t="s">
        <v>173</v>
      </c>
      <c r="C93" s="34" t="str">
        <f>VLOOKUP([Caso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c r="A94" s="166" t="s">
        <v>401</v>
      </c>
      <c r="B94" s="164" t="s">
        <v>173</v>
      </c>
      <c r="C94" s="34" t="str">
        <f>VLOOKUP([Caso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c r="A95" s="166" t="s">
        <v>404</v>
      </c>
      <c r="B95" s="164" t="s">
        <v>175</v>
      </c>
      <c r="C95" s="34" t="str">
        <f>VLOOKUP([Caso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c r="A96" s="166" t="s">
        <v>407</v>
      </c>
      <c r="B96" s="164" t="s">
        <v>175</v>
      </c>
      <c r="C96" s="34" t="str">
        <f>VLOOKUP([Caso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c r="A97" s="166" t="s">
        <v>409</v>
      </c>
      <c r="B97" s="164" t="s">
        <v>175</v>
      </c>
      <c r="C97" s="34" t="str">
        <f>VLOOKUP([Caso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customHeight="1">
      <c r="A98" s="166" t="s">
        <v>412</v>
      </c>
      <c r="B98" s="164" t="s">
        <v>175</v>
      </c>
      <c r="C98" s="34" t="str">
        <f>VLOOKUP([Caso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c r="A99" s="166" t="s">
        <v>415</v>
      </c>
      <c r="B99" s="164" t="s">
        <v>175</v>
      </c>
      <c r="C99" s="34" t="str">
        <f>VLOOKUP([Caso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c r="A100" s="166" t="s">
        <v>418</v>
      </c>
      <c r="B100" s="164" t="s">
        <v>175</v>
      </c>
      <c r="C100" s="34" t="str">
        <f>VLOOKUP([Caso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c r="A101" s="166" t="s">
        <v>420</v>
      </c>
      <c r="B101" s="164" t="s">
        <v>176</v>
      </c>
      <c r="C101" s="34" t="str">
        <f>VLOOKUP([Caso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c r="A102" s="166" t="s">
        <v>421</v>
      </c>
      <c r="B102" s="164" t="s">
        <v>176</v>
      </c>
      <c r="C102" s="34" t="str">
        <f>VLOOKUP([Caso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c r="A103" s="166" t="s">
        <v>423</v>
      </c>
      <c r="B103" s="164" t="s">
        <v>176</v>
      </c>
      <c r="C103" s="34" t="str">
        <f>VLOOKUP([Caso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c r="A104" s="166" t="s">
        <v>427</v>
      </c>
      <c r="B104" s="34" t="s">
        <v>88</v>
      </c>
      <c r="C104" s="34" t="str">
        <f>VLOOKUP([Caso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customHeight="1">
      <c r="A105" s="166" t="s">
        <v>428</v>
      </c>
      <c r="B105" s="34" t="s">
        <v>88</v>
      </c>
      <c r="C105" s="34" t="str">
        <f>VLOOKUP([Caso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customHeight="1">
      <c r="A106" s="166" t="s">
        <v>429</v>
      </c>
      <c r="B106" s="34" t="s">
        <v>88</v>
      </c>
      <c r="C106" s="34" t="str">
        <f>VLOOKUP([Caso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c r="A107" s="166" t="s">
        <v>430</v>
      </c>
      <c r="B107" s="34" t="s">
        <v>88</v>
      </c>
      <c r="C107" s="34" t="str">
        <f>VLOOKUP([Caso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c r="A108" s="166" t="s">
        <v>431</v>
      </c>
      <c r="B108" s="34" t="s">
        <v>151</v>
      </c>
      <c r="C108" s="34" t="str">
        <f>VLOOKUP([Caso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c r="A109" s="166" t="s">
        <v>432</v>
      </c>
      <c r="B109" s="34" t="s">
        <v>152</v>
      </c>
      <c r="C109" s="34" t="str">
        <f>VLOOKUP([Caso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c r="A110" s="166" t="s">
        <v>433</v>
      </c>
      <c r="B110" s="34" t="s">
        <v>153</v>
      </c>
      <c r="C110" s="34" t="str">
        <f>VLOOKUP([Caso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c r="A111" s="166" t="s">
        <v>434</v>
      </c>
      <c r="B111" s="34" t="s">
        <v>153</v>
      </c>
      <c r="C111" s="34" t="str">
        <f>VLOOKUP([Caso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c r="A112" s="166" t="s">
        <v>435</v>
      </c>
      <c r="B112" s="34" t="s">
        <v>153</v>
      </c>
      <c r="C112" s="34" t="str">
        <f>VLOOKUP([Caso de Prueba],CasoPrueba[[#All],[Código CP]:[Prioridad]],7,TRUE)</f>
        <v>Alta</v>
      </c>
      <c r="D112" s="34" t="s">
        <v>29</v>
      </c>
      <c r="E112" s="34" t="s">
        <v>49</v>
      </c>
      <c r="F112" s="73">
        <v>40800</v>
      </c>
      <c r="G112" s="73">
        <v>40803</v>
      </c>
      <c r="H112" s="94" t="s">
        <v>132</v>
      </c>
      <c r="I112" s="34" t="s">
        <v>446</v>
      </c>
      <c r="J112" s="34" t="s">
        <v>469</v>
      </c>
      <c r="K112" s="34"/>
      <c r="L112" s="34"/>
    </row>
    <row r="113" spans="1:12" ht="120">
      <c r="A113" s="166" t="s">
        <v>436</v>
      </c>
      <c r="B113" s="34" t="s">
        <v>154</v>
      </c>
      <c r="C113" s="34" t="str">
        <f>VLOOKUP([Caso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c r="A114" s="166" t="s">
        <v>437</v>
      </c>
      <c r="B114" s="34" t="s">
        <v>154</v>
      </c>
      <c r="C114" s="34" t="str">
        <f>VLOOKUP([Caso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c r="A115" s="166" t="s">
        <v>447</v>
      </c>
      <c r="B115" s="34" t="s">
        <v>156</v>
      </c>
      <c r="C115" s="34" t="str">
        <f>VLOOKUP([Caso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c r="A116" s="166" t="s">
        <v>448</v>
      </c>
      <c r="B116" s="34" t="s">
        <v>156</v>
      </c>
      <c r="C116" s="34" t="str">
        <f>VLOOKUP([Caso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c r="A117" s="166" t="s">
        <v>449</v>
      </c>
      <c r="B117" s="34" t="s">
        <v>158</v>
      </c>
      <c r="C117" s="34" t="str">
        <f>VLOOKUP([Caso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c r="A118" s="166" t="s">
        <v>450</v>
      </c>
      <c r="B118" s="34" t="s">
        <v>172</v>
      </c>
      <c r="C118" s="34" t="str">
        <f>VLOOKUP([Caso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customHeight="1">
      <c r="A119" s="166" t="s">
        <v>451</v>
      </c>
      <c r="B119" s="34" t="s">
        <v>172</v>
      </c>
      <c r="C119" s="34" t="str">
        <f>VLOOKUP([Caso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c r="A120" s="166" t="s">
        <v>452</v>
      </c>
      <c r="B120" s="34" t="s">
        <v>172</v>
      </c>
      <c r="C120" s="34" t="str">
        <f>VLOOKUP([Caso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c r="A121" s="166" t="s">
        <v>453</v>
      </c>
      <c r="B121" s="34" t="s">
        <v>173</v>
      </c>
      <c r="C121" s="34" t="str">
        <f>VLOOKUP([Caso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c r="A122" s="166" t="s">
        <v>454</v>
      </c>
      <c r="B122" s="34" t="s">
        <v>174</v>
      </c>
      <c r="C122" s="34" t="str">
        <f>VLOOKUP([Caso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c r="A123" s="166" t="s">
        <v>478</v>
      </c>
      <c r="B123" s="34" t="s">
        <v>173</v>
      </c>
      <c r="C123" s="34" t="str">
        <f>VLOOKUP([Caso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customHeight="1">
      <c r="A124" s="166" t="s">
        <v>479</v>
      </c>
      <c r="B124" s="34" t="s">
        <v>173</v>
      </c>
      <c r="C124" s="34" t="str">
        <f>VLOOKUP([Caso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c r="A125" s="166" t="s">
        <v>480</v>
      </c>
      <c r="B125" s="34" t="s">
        <v>173</v>
      </c>
      <c r="C125" s="34" t="str">
        <f>VLOOKUP([Caso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c r="A126" s="166" t="s">
        <v>481</v>
      </c>
      <c r="B126" s="34" t="s">
        <v>487</v>
      </c>
      <c r="C126" s="34" t="str">
        <f>VLOOKUP([Caso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c r="A127" s="166" t="s">
        <v>482</v>
      </c>
      <c r="B127" s="34" t="s">
        <v>487</v>
      </c>
      <c r="C127" s="34" t="str">
        <f>VLOOKUP([Caso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c r="A128" s="166" t="s">
        <v>483</v>
      </c>
      <c r="B128" s="34" t="s">
        <v>487</v>
      </c>
      <c r="C128" s="34" t="str">
        <f>VLOOKUP([Caso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c r="A129" s="166" t="s">
        <v>496</v>
      </c>
      <c r="B129" s="34" t="s">
        <v>487</v>
      </c>
      <c r="C129" s="34" t="str">
        <f>VLOOKUP([Caso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c r="A130" s="166" t="s">
        <v>497</v>
      </c>
      <c r="B130" s="34" t="s">
        <v>487</v>
      </c>
      <c r="C130" s="34" t="str">
        <f>VLOOKUP([Caso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c r="A131" s="166" t="s">
        <v>498</v>
      </c>
      <c r="B131" s="34" t="s">
        <v>487</v>
      </c>
      <c r="C131" s="34" t="str">
        <f>VLOOKUP([Caso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c r="A132" s="166" t="s">
        <v>499</v>
      </c>
      <c r="B132" s="34" t="s">
        <v>487</v>
      </c>
      <c r="C132" s="34" t="str">
        <f>VLOOKUP([Caso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c r="A133" s="166" t="s">
        <v>500</v>
      </c>
      <c r="B133" s="34" t="s">
        <v>487</v>
      </c>
      <c r="C133" s="34" t="str">
        <f>VLOOKUP([Caso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c r="A134" s="166" t="s">
        <v>501</v>
      </c>
      <c r="B134" s="34" t="s">
        <v>487</v>
      </c>
      <c r="C134" s="34" t="str">
        <f>VLOOKUP([Caso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c r="A135" s="166" t="s">
        <v>502</v>
      </c>
      <c r="B135" s="34" t="s">
        <v>487</v>
      </c>
      <c r="C135" s="34" t="str">
        <f>VLOOKUP([Caso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c r="A136" s="166" t="s">
        <v>503</v>
      </c>
      <c r="B136" s="34" t="s">
        <v>487</v>
      </c>
      <c r="C136" s="34" t="str">
        <f>VLOOKUP([Caso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c r="A137" s="166" t="s">
        <v>504</v>
      </c>
      <c r="B137" s="34" t="s">
        <v>487</v>
      </c>
      <c r="C137" s="34" t="str">
        <f>VLOOKUP([Caso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c r="A138" s="166" t="s">
        <v>505</v>
      </c>
      <c r="B138" s="34" t="s">
        <v>487</v>
      </c>
      <c r="C138" s="34" t="str">
        <f>VLOOKUP([Caso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customHeight="1">
      <c r="A139" s="166" t="s">
        <v>506</v>
      </c>
      <c r="B139" s="34" t="s">
        <v>487</v>
      </c>
      <c r="C139" s="34" t="str">
        <f>VLOOKUP([Caso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c r="A140" s="166" t="s">
        <v>507</v>
      </c>
      <c r="B140" s="34" t="s">
        <v>487</v>
      </c>
      <c r="C140" s="34" t="str">
        <f>VLOOKUP([Caso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c r="A141" s="166" t="s">
        <v>508</v>
      </c>
      <c r="B141" s="34" t="s">
        <v>487</v>
      </c>
      <c r="C141" s="34" t="str">
        <f>VLOOKUP([Caso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c r="A142" s="166" t="s">
        <v>509</v>
      </c>
      <c r="B142" s="34" t="s">
        <v>487</v>
      </c>
      <c r="C142" s="34" t="str">
        <f>VLOOKUP([Caso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customHeight="1">
      <c r="A143" s="166" t="s">
        <v>510</v>
      </c>
      <c r="B143" s="34" t="s">
        <v>488</v>
      </c>
      <c r="C143" s="34" t="str">
        <f>VLOOKUP([Caso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c r="A144" s="166" t="s">
        <v>511</v>
      </c>
      <c r="B144" s="34" t="s">
        <v>488</v>
      </c>
      <c r="C144" s="34" t="str">
        <f>VLOOKUP([Caso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c r="A145" s="166" t="s">
        <v>512</v>
      </c>
      <c r="B145" s="34" t="s">
        <v>488</v>
      </c>
      <c r="C145" s="34" t="str">
        <f>VLOOKUP([Caso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c r="A146" s="166" t="s">
        <v>513</v>
      </c>
      <c r="B146" s="34" t="s">
        <v>488</v>
      </c>
      <c r="C146" s="34" t="str">
        <f>VLOOKUP([Caso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c r="A147" s="166" t="s">
        <v>514</v>
      </c>
      <c r="B147" s="34" t="s">
        <v>488</v>
      </c>
      <c r="C147" s="34" t="str">
        <f>VLOOKUP([Caso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customHeight="1">
      <c r="A148" s="166" t="s">
        <v>515</v>
      </c>
      <c r="B148" s="34" t="s">
        <v>488</v>
      </c>
      <c r="C148" s="34" t="str">
        <f>VLOOKUP([Caso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customHeight="1">
      <c r="A149" s="166" t="s">
        <v>516</v>
      </c>
      <c r="B149" s="34" t="s">
        <v>488</v>
      </c>
      <c r="C149" s="34" t="str">
        <f>VLOOKUP([Caso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customHeight="1">
      <c r="A150" s="166" t="s">
        <v>517</v>
      </c>
      <c r="B150" s="34" t="s">
        <v>488</v>
      </c>
      <c r="C150" s="34" t="str">
        <f>VLOOKUP([Caso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c r="A151" s="166" t="s">
        <v>518</v>
      </c>
      <c r="B151" s="34" t="s">
        <v>488</v>
      </c>
      <c r="C151" s="34" t="str">
        <f>VLOOKUP([Caso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c r="A152" s="166" t="s">
        <v>519</v>
      </c>
      <c r="B152" s="34" t="s">
        <v>488</v>
      </c>
      <c r="C152" s="34" t="str">
        <f>VLOOKUP([Caso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customHeight="1">
      <c r="A153" s="166" t="s">
        <v>520</v>
      </c>
      <c r="B153" s="34" t="s">
        <v>489</v>
      </c>
      <c r="C153" s="34" t="str">
        <f>VLOOKUP([Caso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c r="A154" s="166" t="s">
        <v>521</v>
      </c>
      <c r="B154" s="34" t="s">
        <v>489</v>
      </c>
      <c r="C154" s="34" t="str">
        <f>VLOOKUP([Caso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c r="A155" s="166" t="s">
        <v>522</v>
      </c>
      <c r="B155" s="34" t="s">
        <v>489</v>
      </c>
      <c r="C155" s="34" t="str">
        <f>VLOOKUP([Caso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c r="A156" s="166" t="s">
        <v>523</v>
      </c>
      <c r="B156" s="34" t="s">
        <v>489</v>
      </c>
      <c r="C156" s="34" t="str">
        <f>VLOOKUP([Caso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c r="A157" s="166" t="s">
        <v>524</v>
      </c>
      <c r="B157" s="34" t="s">
        <v>489</v>
      </c>
      <c r="C157" s="34" t="str">
        <f>VLOOKUP([Caso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c r="A158" s="166" t="s">
        <v>525</v>
      </c>
      <c r="B158" s="34" t="s">
        <v>489</v>
      </c>
      <c r="C158" s="34" t="str">
        <f>VLOOKUP([Caso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c r="A159" s="166" t="s">
        <v>526</v>
      </c>
      <c r="B159" s="34" t="s">
        <v>489</v>
      </c>
      <c r="C159" s="34" t="str">
        <f>VLOOKUP([Caso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c r="A160" s="166" t="s">
        <v>527</v>
      </c>
      <c r="B160" s="34" t="s">
        <v>489</v>
      </c>
      <c r="C160" s="34" t="str">
        <f>VLOOKUP([Caso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c r="A161" s="166" t="s">
        <v>528</v>
      </c>
      <c r="B161" s="34" t="s">
        <v>489</v>
      </c>
      <c r="C161" s="34" t="str">
        <f>VLOOKUP([Caso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c r="A162" s="166" t="s">
        <v>529</v>
      </c>
      <c r="B162" s="34" t="s">
        <v>489</v>
      </c>
      <c r="C162" s="34" t="str">
        <f>VLOOKUP([Caso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c r="A163" s="166" t="s">
        <v>530</v>
      </c>
      <c r="B163" s="34" t="s">
        <v>489</v>
      </c>
      <c r="C163" s="34" t="str">
        <f>VLOOKUP([Caso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customHeight="1">
      <c r="A164" s="166" t="s">
        <v>531</v>
      </c>
      <c r="B164" s="34" t="s">
        <v>489</v>
      </c>
      <c r="C164" s="34" t="str">
        <f>VLOOKUP([Caso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c r="A165" s="166" t="s">
        <v>532</v>
      </c>
      <c r="B165" s="34" t="s">
        <v>614</v>
      </c>
      <c r="C165" s="34" t="str">
        <f>VLOOKUP([Caso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c r="A166" s="166" t="s">
        <v>533</v>
      </c>
      <c r="B166" s="34" t="s">
        <v>614</v>
      </c>
      <c r="C166" s="34" t="str">
        <f>VLOOKUP([Caso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c r="A167" s="166" t="s">
        <v>534</v>
      </c>
      <c r="B167" s="34" t="s">
        <v>614</v>
      </c>
      <c r="C167" s="34" t="str">
        <f>VLOOKUP([Caso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c r="A168" s="166" t="s">
        <v>535</v>
      </c>
      <c r="B168" s="34" t="s">
        <v>614</v>
      </c>
      <c r="C168" s="34" t="str">
        <f>VLOOKUP([Caso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c r="A169" s="166" t="s">
        <v>536</v>
      </c>
      <c r="B169" s="34" t="s">
        <v>614</v>
      </c>
      <c r="C169" s="34" t="str">
        <f>VLOOKUP([Caso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c r="A170" s="166" t="s">
        <v>537</v>
      </c>
      <c r="B170" s="34" t="s">
        <v>614</v>
      </c>
      <c r="C170" s="34" t="str">
        <f>VLOOKUP([Caso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c r="A171" s="166" t="s">
        <v>538</v>
      </c>
      <c r="B171" s="34" t="s">
        <v>614</v>
      </c>
      <c r="C171" s="34" t="str">
        <f>VLOOKUP([Caso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c r="A172" s="166" t="s">
        <v>539</v>
      </c>
      <c r="B172" s="34" t="s">
        <v>614</v>
      </c>
      <c r="C172" s="34" t="str">
        <f>VLOOKUP([Caso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c r="A173" s="166" t="s">
        <v>540</v>
      </c>
      <c r="B173" s="34" t="s">
        <v>614</v>
      </c>
      <c r="C173" s="34" t="str">
        <f>VLOOKUP([Caso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c r="A174" s="166" t="s">
        <v>541</v>
      </c>
      <c r="B174" s="34" t="s">
        <v>614</v>
      </c>
      <c r="C174" s="34" t="str">
        <f>VLOOKUP([Caso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c r="A175" s="166" t="s">
        <v>542</v>
      </c>
      <c r="B175" s="34" t="s">
        <v>614</v>
      </c>
      <c r="C175" s="34" t="str">
        <f>VLOOKUP([Caso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c r="A176" s="166" t="s">
        <v>543</v>
      </c>
      <c r="B176" s="34" t="s">
        <v>616</v>
      </c>
      <c r="C176" s="34" t="str">
        <f>VLOOKUP([Caso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c r="A177" s="166" t="s">
        <v>544</v>
      </c>
      <c r="B177" s="34" t="s">
        <v>616</v>
      </c>
      <c r="C177" s="34" t="str">
        <f>VLOOKUP([Caso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c r="A178" s="166" t="s">
        <v>545</v>
      </c>
      <c r="B178" s="34" t="s">
        <v>616</v>
      </c>
      <c r="C178" s="34" t="str">
        <f>VLOOKUP([Caso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c r="A179" s="166" t="s">
        <v>546</v>
      </c>
      <c r="B179" s="34" t="s">
        <v>616</v>
      </c>
      <c r="C179" s="34" t="str">
        <f>VLOOKUP([Caso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c r="A180" s="166" t="s">
        <v>547</v>
      </c>
      <c r="B180" s="34" t="s">
        <v>616</v>
      </c>
      <c r="C180" s="34" t="str">
        <f>VLOOKUP([Caso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c r="A181" s="166" t="s">
        <v>548</v>
      </c>
      <c r="B181" s="34" t="s">
        <v>616</v>
      </c>
      <c r="C181" s="34" t="str">
        <f>VLOOKUP([Caso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customHeight="1">
      <c r="A182" s="166" t="s">
        <v>549</v>
      </c>
      <c r="B182" s="34" t="s">
        <v>616</v>
      </c>
      <c r="C182" s="34" t="str">
        <f>VLOOKUP([Caso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c r="A183" s="166" t="s">
        <v>550</v>
      </c>
      <c r="B183" s="34" t="s">
        <v>616</v>
      </c>
      <c r="C183" s="34" t="str">
        <f>VLOOKUP([Caso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customHeight="1">
      <c r="A184" s="166" t="s">
        <v>551</v>
      </c>
      <c r="B184" s="34" t="s">
        <v>617</v>
      </c>
      <c r="C184" s="34" t="str">
        <f>VLOOKUP([Caso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c r="A185" s="166" t="s">
        <v>552</v>
      </c>
      <c r="B185" s="34" t="s">
        <v>617</v>
      </c>
      <c r="C185" s="34" t="str">
        <f>VLOOKUP([Caso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c r="A186" s="166" t="s">
        <v>553</v>
      </c>
      <c r="B186" s="34" t="s">
        <v>617</v>
      </c>
      <c r="C186" s="34" t="str">
        <f>VLOOKUP([Caso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c r="A187" s="166" t="s">
        <v>554</v>
      </c>
      <c r="B187" s="34" t="s">
        <v>617</v>
      </c>
      <c r="C187" s="34" t="str">
        <f>VLOOKUP([Caso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customHeight="1">
      <c r="A188" s="166" t="s">
        <v>555</v>
      </c>
      <c r="B188" s="34" t="s">
        <v>617</v>
      </c>
      <c r="C188" s="34" t="str">
        <f>VLOOKUP([Caso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c r="A189" s="166" t="s">
        <v>556</v>
      </c>
      <c r="B189" s="34" t="s">
        <v>617</v>
      </c>
      <c r="C189" s="34" t="str">
        <f>VLOOKUP([Caso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c r="A190" s="166" t="s">
        <v>557</v>
      </c>
      <c r="B190" s="34" t="s">
        <v>618</v>
      </c>
      <c r="C190" s="34" t="str">
        <f>VLOOKUP([Caso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c r="A191" s="166" t="s">
        <v>558</v>
      </c>
      <c r="B191" s="34" t="s">
        <v>618</v>
      </c>
      <c r="C191" s="34" t="str">
        <f>VLOOKUP([Caso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c r="A192" s="166" t="s">
        <v>559</v>
      </c>
      <c r="B192" s="34" t="s">
        <v>618</v>
      </c>
      <c r="C192" s="34" t="str">
        <f>VLOOKUP([Caso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c r="A193" s="166" t="s">
        <v>560</v>
      </c>
      <c r="B193" s="34" t="s">
        <v>618</v>
      </c>
      <c r="C193" s="34" t="str">
        <f>VLOOKUP([Caso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c r="A194" s="166" t="s">
        <v>561</v>
      </c>
      <c r="B194" s="34" t="s">
        <v>619</v>
      </c>
      <c r="C194" s="34" t="str">
        <f>VLOOKUP([Caso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c r="A195" s="166" t="s">
        <v>562</v>
      </c>
      <c r="B195" s="34" t="s">
        <v>619</v>
      </c>
      <c r="C195" s="34" t="str">
        <f>VLOOKUP([Caso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c r="A196" s="166" t="s">
        <v>563</v>
      </c>
      <c r="B196" s="34" t="s">
        <v>619</v>
      </c>
      <c r="C196" s="34" t="str">
        <f>VLOOKUP([Caso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c r="A197" s="166" t="s">
        <v>564</v>
      </c>
      <c r="B197" s="34" t="s">
        <v>619</v>
      </c>
      <c r="C197" s="34" t="str">
        <f>VLOOKUP([Caso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c r="A198" s="166" t="s">
        <v>565</v>
      </c>
      <c r="B198" s="34" t="s">
        <v>619</v>
      </c>
      <c r="C198" s="34" t="str">
        <f>VLOOKUP([Caso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c r="A199" s="166" t="s">
        <v>566</v>
      </c>
      <c r="B199" s="34" t="s">
        <v>619</v>
      </c>
      <c r="C199" s="34" t="str">
        <f>VLOOKUP([Caso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c r="A200" s="166" t="s">
        <v>567</v>
      </c>
      <c r="B200" s="34" t="s">
        <v>653</v>
      </c>
      <c r="C200" s="34" t="str">
        <f>VLOOKUP([Caso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c r="A201" s="166" t="s">
        <v>568</v>
      </c>
      <c r="B201" s="34" t="s">
        <v>653</v>
      </c>
      <c r="C201" s="34" t="str">
        <f>VLOOKUP([Caso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c r="A202" s="166" t="s">
        <v>569</v>
      </c>
      <c r="B202" s="34" t="s">
        <v>653</v>
      </c>
      <c r="C202" s="34" t="str">
        <f>VLOOKUP([Caso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c r="A203" s="166" t="s">
        <v>570</v>
      </c>
      <c r="B203" s="34" t="s">
        <v>653</v>
      </c>
      <c r="C203" s="34" t="str">
        <f>VLOOKUP([Caso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c r="A204" s="166" t="s">
        <v>571</v>
      </c>
      <c r="B204" s="34" t="s">
        <v>653</v>
      </c>
      <c r="C204" s="34" t="str">
        <f>VLOOKUP([Caso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c r="A205" s="166" t="s">
        <v>572</v>
      </c>
      <c r="B205" s="34" t="s">
        <v>653</v>
      </c>
      <c r="C205" s="34" t="str">
        <f>VLOOKUP([Caso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c r="A206" s="166" t="s">
        <v>573</v>
      </c>
      <c r="B206" s="34" t="s">
        <v>653</v>
      </c>
      <c r="C206" s="34" t="str">
        <f>VLOOKUP([Caso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c r="A207" s="166" t="s">
        <v>574</v>
      </c>
      <c r="B207" s="34" t="s">
        <v>653</v>
      </c>
      <c r="C207" s="34" t="str">
        <f>VLOOKUP([Caso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c r="A208" s="166" t="s">
        <v>575</v>
      </c>
      <c r="B208" s="34" t="s">
        <v>653</v>
      </c>
      <c r="C208" s="34" t="str">
        <f>VLOOKUP([Caso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c r="A209" s="166" t="s">
        <v>576</v>
      </c>
      <c r="B209" s="34" t="s">
        <v>653</v>
      </c>
      <c r="C209" s="34" t="str">
        <f>VLOOKUP([Caso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c r="A210" s="166" t="s">
        <v>577</v>
      </c>
      <c r="B210" s="34" t="s">
        <v>653</v>
      </c>
      <c r="C210" s="34" t="str">
        <f>VLOOKUP([Caso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c r="A211" s="166" t="s">
        <v>578</v>
      </c>
      <c r="B211" s="34" t="s">
        <v>653</v>
      </c>
      <c r="C211" s="34" t="str">
        <f>VLOOKUP([Caso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c r="A212" s="166" t="s">
        <v>579</v>
      </c>
      <c r="B212" s="34" t="s">
        <v>654</v>
      </c>
      <c r="C212" s="34" t="str">
        <f>VLOOKUP([Caso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c r="A213" s="166" t="s">
        <v>580</v>
      </c>
      <c r="B213" s="34" t="s">
        <v>654</v>
      </c>
      <c r="C213" s="34" t="str">
        <f>VLOOKUP([Caso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c r="A214" s="166" t="s">
        <v>581</v>
      </c>
      <c r="B214" s="34" t="s">
        <v>654</v>
      </c>
      <c r="C214" s="34" t="str">
        <f>VLOOKUP([Caso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c r="A215" s="166" t="s">
        <v>582</v>
      </c>
      <c r="B215" s="34" t="s">
        <v>654</v>
      </c>
      <c r="C215" s="34" t="str">
        <f>VLOOKUP([Caso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c r="A216" s="166" t="s">
        <v>657</v>
      </c>
      <c r="B216" s="34" t="s">
        <v>654</v>
      </c>
      <c r="C216" s="34" t="str">
        <f>VLOOKUP([Caso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c r="A217" s="166" t="s">
        <v>658</v>
      </c>
      <c r="B217" s="34" t="s">
        <v>654</v>
      </c>
      <c r="C217" s="34" t="str">
        <f>VLOOKUP([Caso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c r="A218" s="166" t="s">
        <v>659</v>
      </c>
      <c r="B218" s="34" t="s">
        <v>487</v>
      </c>
      <c r="C218" s="34" t="str">
        <f>VLOOKUP([Caso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customHeight="1">
      <c r="A219" s="166" t="s">
        <v>660</v>
      </c>
      <c r="B219" s="34" t="s">
        <v>488</v>
      </c>
      <c r="C219" s="34" t="str">
        <f>VLOOKUP([Caso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c r="A220" s="166" t="s">
        <v>661</v>
      </c>
      <c r="B220" s="34" t="s">
        <v>488</v>
      </c>
      <c r="C220" s="34" t="str">
        <f>VLOOKUP([Caso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c r="A221" s="166" t="s">
        <v>662</v>
      </c>
      <c r="B221" s="34" t="s">
        <v>489</v>
      </c>
      <c r="C221" s="34" t="str">
        <f>VLOOKUP([Caso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c r="A222" s="166" t="s">
        <v>663</v>
      </c>
      <c r="B222" s="34" t="s">
        <v>489</v>
      </c>
      <c r="C222" s="34" t="str">
        <f>VLOOKUP([Caso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c r="A223" s="166" t="s">
        <v>664</v>
      </c>
      <c r="B223" s="34" t="s">
        <v>614</v>
      </c>
      <c r="C223" s="34" t="str">
        <f>VLOOKUP([Caso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c r="A224" s="166" t="s">
        <v>665</v>
      </c>
      <c r="B224" s="34" t="s">
        <v>616</v>
      </c>
      <c r="C224" s="34" t="str">
        <f>VLOOKUP([Caso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customHeight="1">
      <c r="A225" s="166" t="s">
        <v>666</v>
      </c>
      <c r="B225" s="34" t="s">
        <v>616</v>
      </c>
      <c r="C225" s="34" t="str">
        <f>VLOOKUP([Caso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c r="A226" s="166" t="s">
        <v>667</v>
      </c>
      <c r="B226" s="34" t="s">
        <v>616</v>
      </c>
      <c r="C226" s="34" t="str">
        <f>VLOOKUP([Caso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c r="A227" s="166" t="s">
        <v>668</v>
      </c>
      <c r="B227" s="34" t="s">
        <v>617</v>
      </c>
      <c r="C227" s="34" t="str">
        <f>VLOOKUP([Caso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c r="A228" s="166" t="s">
        <v>669</v>
      </c>
      <c r="B228" s="34" t="s">
        <v>618</v>
      </c>
      <c r="C228" s="34" t="str">
        <f>VLOOKUP([Caso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c r="A229" s="166" t="s">
        <v>670</v>
      </c>
      <c r="B229" s="34" t="s">
        <v>619</v>
      </c>
      <c r="C229" s="34" t="str">
        <f>VLOOKUP([Caso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c r="A230" s="166" t="s">
        <v>671</v>
      </c>
      <c r="B230" s="34" t="s">
        <v>619</v>
      </c>
      <c r="C230" s="34" t="str">
        <f>VLOOKUP([Caso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c r="A231" s="166" t="s">
        <v>672</v>
      </c>
      <c r="B231" s="34" t="s">
        <v>619</v>
      </c>
      <c r="C231" s="34" t="str">
        <f>VLOOKUP([Caso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c r="A232" s="166" t="s">
        <v>673</v>
      </c>
      <c r="B232" s="34" t="s">
        <v>619</v>
      </c>
      <c r="C232" s="34" t="str">
        <f>VLOOKUP([Caso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c r="A233" s="166" t="s">
        <v>674</v>
      </c>
      <c r="B233" s="34" t="s">
        <v>619</v>
      </c>
      <c r="C233" s="34" t="str">
        <f>VLOOKUP([Caso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customHeight="1">
      <c r="A234" s="166" t="s">
        <v>675</v>
      </c>
      <c r="B234" s="34" t="s">
        <v>619</v>
      </c>
      <c r="C234" s="34" t="str">
        <f>VLOOKUP([Caso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c r="A235" s="166" t="s">
        <v>676</v>
      </c>
      <c r="B235" s="34" t="s">
        <v>619</v>
      </c>
      <c r="C235" s="34" t="str">
        <f>VLOOKUP([Caso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c r="A236" s="166" t="s">
        <v>677</v>
      </c>
      <c r="B236" s="34" t="s">
        <v>653</v>
      </c>
      <c r="C236" s="34" t="str">
        <f>VLOOKUP([Caso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c r="A237" s="166" t="s">
        <v>678</v>
      </c>
      <c r="B237" s="34" t="s">
        <v>654</v>
      </c>
      <c r="C237" s="34" t="str">
        <f>VLOOKUP([Caso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c r="A238" s="166" t="s">
        <v>679</v>
      </c>
      <c r="B238" s="34" t="s">
        <v>654</v>
      </c>
      <c r="C238" s="34" t="str">
        <f>VLOOKUP([Caso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c r="A239" s="166" t="s">
        <v>680</v>
      </c>
      <c r="B239" s="34" t="s">
        <v>887</v>
      </c>
      <c r="C239" s="34" t="str">
        <f>VLOOKUP([Caso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customHeight="1">
      <c r="A240" s="166" t="s">
        <v>681</v>
      </c>
      <c r="B240" s="34" t="s">
        <v>887</v>
      </c>
      <c r="C240" s="34" t="str">
        <f>VLOOKUP([Caso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c r="A241" s="166" t="s">
        <v>682</v>
      </c>
      <c r="B241" s="34" t="s">
        <v>887</v>
      </c>
      <c r="C241" s="34" t="str">
        <f>VLOOKUP([Caso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c r="A242" s="166" t="s">
        <v>683</v>
      </c>
      <c r="B242" s="34" t="s">
        <v>887</v>
      </c>
      <c r="C242" s="34" t="str">
        <f>VLOOKUP([Caso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c r="A243" s="166" t="s">
        <v>684</v>
      </c>
      <c r="B243" s="34" t="s">
        <v>887</v>
      </c>
      <c r="C243" s="34" t="str">
        <f>VLOOKUP([Caso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c r="A244" s="166" t="s">
        <v>685</v>
      </c>
      <c r="B244" s="34" t="s">
        <v>887</v>
      </c>
      <c r="C244" s="34" t="str">
        <f>VLOOKUP([Caso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c r="A245" s="166" t="s">
        <v>686</v>
      </c>
      <c r="B245" s="34" t="s">
        <v>887</v>
      </c>
      <c r="C245" s="34" t="str">
        <f>VLOOKUP([Caso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c r="A246" s="166" t="s">
        <v>687</v>
      </c>
      <c r="B246" s="34" t="s">
        <v>887</v>
      </c>
      <c r="C246" s="34" t="str">
        <f>VLOOKUP([Caso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c r="A247" s="166" t="s">
        <v>688</v>
      </c>
      <c r="B247" s="34" t="s">
        <v>887</v>
      </c>
      <c r="C247" s="34" t="str">
        <f>VLOOKUP([Caso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c r="A248" s="166" t="s">
        <v>689</v>
      </c>
      <c r="B248" s="34" t="s">
        <v>887</v>
      </c>
      <c r="C248" s="34" t="str">
        <f>VLOOKUP([Caso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customHeight="1">
      <c r="A249" s="166" t="s">
        <v>690</v>
      </c>
      <c r="B249" s="34" t="s">
        <v>887</v>
      </c>
      <c r="C249" s="34" t="str">
        <f>VLOOKUP([Caso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c r="A250" s="166" t="s">
        <v>691</v>
      </c>
      <c r="B250" s="34" t="s">
        <v>887</v>
      </c>
      <c r="C250" s="34" t="str">
        <f>VLOOKUP([Caso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c r="A251" s="166" t="s">
        <v>692</v>
      </c>
      <c r="B251" s="34" t="s">
        <v>887</v>
      </c>
      <c r="C251" s="34" t="str">
        <f>VLOOKUP([Caso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c r="A252" s="166" t="s">
        <v>693</v>
      </c>
      <c r="B252" s="34" t="s">
        <v>887</v>
      </c>
      <c r="C252" s="34" t="str">
        <f>VLOOKUP([Caso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c r="A253" s="166" t="s">
        <v>694</v>
      </c>
      <c r="B253" s="34" t="s">
        <v>888</v>
      </c>
      <c r="C253" s="34" t="str">
        <f>VLOOKUP([Caso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c r="A254" s="166" t="s">
        <v>695</v>
      </c>
      <c r="B254" s="34" t="s">
        <v>888</v>
      </c>
      <c r="C254" s="34" t="str">
        <f>VLOOKUP([Caso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c r="A255" s="166" t="s">
        <v>696</v>
      </c>
      <c r="B255" s="34" t="s">
        <v>888</v>
      </c>
      <c r="C255" s="34" t="str">
        <f>VLOOKUP([Caso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c r="A256" s="166" t="s">
        <v>697</v>
      </c>
      <c r="B256" s="34" t="s">
        <v>888</v>
      </c>
      <c r="C256" s="34" t="str">
        <f>VLOOKUP([Caso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c r="A257" s="166" t="s">
        <v>698</v>
      </c>
      <c r="B257" s="34" t="s">
        <v>888</v>
      </c>
      <c r="C257" s="34" t="str">
        <f>VLOOKUP([Caso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customHeight="1">
      <c r="A258" s="166" t="s">
        <v>699</v>
      </c>
      <c r="B258" s="34" t="s">
        <v>888</v>
      </c>
      <c r="C258" s="34" t="str">
        <f>VLOOKUP([Caso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c r="A259" s="166" t="s">
        <v>700</v>
      </c>
      <c r="B259" s="34" t="s">
        <v>888</v>
      </c>
      <c r="C259" s="34" t="str">
        <f>VLOOKUP([Caso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c r="A260" s="166" t="s">
        <v>701</v>
      </c>
      <c r="B260" s="34" t="s">
        <v>888</v>
      </c>
      <c r="C260" s="34" t="str">
        <f>VLOOKUP([Caso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customHeight="1">
      <c r="A261" s="166" t="s">
        <v>702</v>
      </c>
      <c r="B261" s="34" t="s">
        <v>888</v>
      </c>
      <c r="C261" s="34" t="str">
        <f>VLOOKUP([Caso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c r="A262" s="166" t="s">
        <v>703</v>
      </c>
      <c r="B262" s="34" t="s">
        <v>888</v>
      </c>
      <c r="C262" s="34" t="str">
        <f>VLOOKUP([Caso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c r="A263" s="166" t="s">
        <v>704</v>
      </c>
      <c r="B263" s="34" t="s">
        <v>888</v>
      </c>
      <c r="C263" s="34" t="str">
        <f>VLOOKUP([Caso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c r="A264" s="166" t="s">
        <v>705</v>
      </c>
      <c r="B264" s="34" t="s">
        <v>889</v>
      </c>
      <c r="C264" s="34" t="str">
        <f>VLOOKUP([Caso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c r="A265" s="166" t="s">
        <v>706</v>
      </c>
      <c r="B265" s="34" t="s">
        <v>889</v>
      </c>
      <c r="C265" s="34" t="str">
        <f>VLOOKUP([Caso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c r="A266" s="166" t="s">
        <v>707</v>
      </c>
      <c r="B266" s="34" t="s">
        <v>889</v>
      </c>
      <c r="C266" s="34" t="str">
        <f>VLOOKUP([Caso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c r="A267" s="166" t="s">
        <v>708</v>
      </c>
      <c r="B267" s="34" t="s">
        <v>889</v>
      </c>
      <c r="C267" s="34" t="str">
        <f>VLOOKUP([Caso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c r="A268" s="166" t="s">
        <v>709</v>
      </c>
      <c r="B268" s="34" t="s">
        <v>889</v>
      </c>
      <c r="C268" s="34" t="str">
        <f>VLOOKUP([Caso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c r="A269" s="166" t="s">
        <v>710</v>
      </c>
      <c r="B269" s="34" t="s">
        <v>889</v>
      </c>
      <c r="C269" s="34" t="str">
        <f>VLOOKUP([Caso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c r="A270" s="166" t="s">
        <v>711</v>
      </c>
      <c r="B270" s="34" t="s">
        <v>889</v>
      </c>
      <c r="C270" s="34" t="str">
        <f>VLOOKUP([Caso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c r="A271" s="166" t="s">
        <v>712</v>
      </c>
      <c r="B271" s="34" t="s">
        <v>889</v>
      </c>
      <c r="C271" s="34" t="str">
        <f>VLOOKUP([Caso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c r="A272" s="166" t="s">
        <v>713</v>
      </c>
      <c r="B272" s="34" t="s">
        <v>889</v>
      </c>
      <c r="C272" s="34" t="str">
        <f>VLOOKUP([Caso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c r="A273" s="166" t="s">
        <v>714</v>
      </c>
      <c r="B273" s="34" t="s">
        <v>889</v>
      </c>
      <c r="C273" s="34" t="str">
        <f>VLOOKUP([Caso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c r="A274" s="166" t="s">
        <v>715</v>
      </c>
      <c r="B274" s="34" t="s">
        <v>889</v>
      </c>
      <c r="C274" s="34" t="str">
        <f>VLOOKUP([Caso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c r="A275" s="166" t="s">
        <v>716</v>
      </c>
      <c r="B275" s="34" t="s">
        <v>889</v>
      </c>
      <c r="C275" s="34" t="str">
        <f>VLOOKUP([Caso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c r="A276" s="166" t="s">
        <v>717</v>
      </c>
      <c r="B276" s="34" t="s">
        <v>889</v>
      </c>
      <c r="C276" s="34" t="str">
        <f>VLOOKUP([Caso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c r="A277" s="166" t="s">
        <v>718</v>
      </c>
      <c r="B277" s="34" t="s">
        <v>890</v>
      </c>
      <c r="C277" s="34" t="str">
        <f>VLOOKUP([Caso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c r="A278" s="166" t="s">
        <v>719</v>
      </c>
      <c r="B278" s="34" t="s">
        <v>890</v>
      </c>
      <c r="C278" s="34" t="str">
        <f>VLOOKUP([Caso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c r="A279" s="166" t="s">
        <v>720</v>
      </c>
      <c r="B279" s="34" t="s">
        <v>890</v>
      </c>
      <c r="C279" s="34" t="str">
        <f>VLOOKUP([Caso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c r="A280" s="166" t="s">
        <v>721</v>
      </c>
      <c r="B280" s="34" t="s">
        <v>890</v>
      </c>
      <c r="C280" s="34" t="str">
        <f>VLOOKUP([Caso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c r="A281" s="166" t="s">
        <v>722</v>
      </c>
      <c r="B281" s="34" t="s">
        <v>890</v>
      </c>
      <c r="C281" s="34" t="str">
        <f>VLOOKUP([Caso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c r="A282" s="166" t="s">
        <v>723</v>
      </c>
      <c r="B282" s="34" t="s">
        <v>890</v>
      </c>
      <c r="C282" s="34" t="str">
        <f>VLOOKUP([Caso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c r="A283" s="166" t="s">
        <v>724</v>
      </c>
      <c r="B283" s="34" t="s">
        <v>891</v>
      </c>
      <c r="C283" s="34" t="str">
        <f>VLOOKUP([Caso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c r="A284" s="166" t="s">
        <v>725</v>
      </c>
      <c r="B284" s="34" t="s">
        <v>891</v>
      </c>
      <c r="C284" s="34" t="str">
        <f>VLOOKUP([Caso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c r="A285" s="166" t="s">
        <v>726</v>
      </c>
      <c r="B285" s="34" t="s">
        <v>891</v>
      </c>
      <c r="C285" s="34" t="str">
        <f>VLOOKUP([Caso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c r="A286" s="166" t="s">
        <v>727</v>
      </c>
      <c r="B286" s="34" t="s">
        <v>891</v>
      </c>
      <c r="C286" s="34" t="str">
        <f>VLOOKUP([Caso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c r="A287" s="166" t="s">
        <v>728</v>
      </c>
      <c r="B287" s="34" t="s">
        <v>891</v>
      </c>
      <c r="C287" s="34" t="str">
        <f>VLOOKUP([Caso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c r="A288" s="166" t="s">
        <v>729</v>
      </c>
      <c r="B288" s="34" t="s">
        <v>891</v>
      </c>
      <c r="C288" s="34" t="str">
        <f>VLOOKUP([Caso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c r="A289" s="166" t="s">
        <v>730</v>
      </c>
      <c r="B289" s="34" t="s">
        <v>891</v>
      </c>
      <c r="C289" s="34" t="str">
        <f>VLOOKUP([Caso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c r="A290" s="166" t="s">
        <v>731</v>
      </c>
      <c r="B290" s="34" t="s">
        <v>891</v>
      </c>
      <c r="C290" s="34" t="str">
        <f>VLOOKUP([Caso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c r="A291" s="166" t="s">
        <v>732</v>
      </c>
      <c r="B291" s="34" t="s">
        <v>892</v>
      </c>
      <c r="C291" s="34" t="str">
        <f>VLOOKUP([Caso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c r="A292" s="166" t="s">
        <v>733</v>
      </c>
      <c r="B292" s="34" t="s">
        <v>892</v>
      </c>
      <c r="C292" s="34" t="str">
        <f>VLOOKUP([Caso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c r="A293" s="166" t="s">
        <v>734</v>
      </c>
      <c r="B293" s="34" t="s">
        <v>892</v>
      </c>
      <c r="C293" s="34" t="str">
        <f>VLOOKUP([Caso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c r="A294" s="166" t="s">
        <v>735</v>
      </c>
      <c r="B294" s="34" t="s">
        <v>892</v>
      </c>
      <c r="C294" s="34" t="str">
        <f>VLOOKUP([Caso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c r="A295" s="166" t="s">
        <v>736</v>
      </c>
      <c r="B295" s="34" t="s">
        <v>892</v>
      </c>
      <c r="C295" s="34" t="str">
        <f>VLOOKUP([Caso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c r="A296" s="166" t="s">
        <v>737</v>
      </c>
      <c r="B296" s="34" t="s">
        <v>892</v>
      </c>
      <c r="C296" s="34" t="str">
        <f>VLOOKUP([Caso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c r="A297" s="166" t="s">
        <v>738</v>
      </c>
      <c r="B297" s="34" t="s">
        <v>892</v>
      </c>
      <c r="C297" s="34" t="str">
        <f>VLOOKUP([Caso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c r="A298" s="166" t="s">
        <v>739</v>
      </c>
      <c r="B298" s="34" t="s">
        <v>892</v>
      </c>
      <c r="C298" s="34" t="str">
        <f>VLOOKUP([Caso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c r="A299" s="166" t="s">
        <v>740</v>
      </c>
      <c r="B299" s="34" t="s">
        <v>893</v>
      </c>
      <c r="C299" s="34" t="str">
        <f>VLOOKUP([Caso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c r="A300" s="166" t="s">
        <v>741</v>
      </c>
      <c r="B300" s="34" t="s">
        <v>893</v>
      </c>
      <c r="C300" s="34" t="str">
        <f>VLOOKUP([Caso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c r="A301" s="166" t="s">
        <v>742</v>
      </c>
      <c r="B301" s="34" t="s">
        <v>893</v>
      </c>
      <c r="C301" s="34" t="str">
        <f>VLOOKUP([Caso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c r="A302" s="166" t="s">
        <v>743</v>
      </c>
      <c r="B302" s="34" t="s">
        <v>893</v>
      </c>
      <c r="C302" s="34" t="str">
        <f>VLOOKUP([Caso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c r="A303" s="166" t="s">
        <v>744</v>
      </c>
      <c r="B303" s="34" t="s">
        <v>893</v>
      </c>
      <c r="C303" s="34" t="str">
        <f>VLOOKUP([Caso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c r="A304" s="166" t="s">
        <v>745</v>
      </c>
      <c r="B304" s="34" t="s">
        <v>893</v>
      </c>
      <c r="C304" s="34" t="str">
        <f>VLOOKUP([Caso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c r="A305" s="166" t="s">
        <v>746</v>
      </c>
      <c r="B305" s="164" t="s">
        <v>904</v>
      </c>
      <c r="C305" s="164" t="str">
        <f>VLOOKUP([Caso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c r="A306" s="166" t="s">
        <v>747</v>
      </c>
      <c r="B306" s="164" t="s">
        <v>904</v>
      </c>
      <c r="C306" s="164" t="str">
        <f>VLOOKUP([Caso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c r="A307" s="166" t="s">
        <v>748</v>
      </c>
      <c r="B307" s="164" t="s">
        <v>904</v>
      </c>
      <c r="C307" s="164" t="str">
        <f>VLOOKUP([Caso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c r="A308" s="166" t="s">
        <v>749</v>
      </c>
      <c r="B308" s="164" t="s">
        <v>904</v>
      </c>
      <c r="C308" s="164" t="str">
        <f>VLOOKUP([Caso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c r="A309" s="166" t="s">
        <v>750</v>
      </c>
      <c r="B309" s="164" t="s">
        <v>904</v>
      </c>
      <c r="C309" s="164" t="str">
        <f>VLOOKUP([Caso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c r="A310" s="166" t="s">
        <v>751</v>
      </c>
      <c r="B310" s="164" t="s">
        <v>904</v>
      </c>
      <c r="C310" s="164" t="str">
        <f>VLOOKUP([Caso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c r="A311" s="166" t="s">
        <v>752</v>
      </c>
      <c r="B311" s="164" t="s">
        <v>904</v>
      </c>
      <c r="C311" s="164" t="str">
        <f>VLOOKUP([Caso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customHeight="1">
      <c r="A312" s="166" t="s">
        <v>753</v>
      </c>
      <c r="B312" s="164" t="s">
        <v>904</v>
      </c>
      <c r="C312" s="164" t="str">
        <f>VLOOKUP([Caso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c r="A313" s="166" t="s">
        <v>754</v>
      </c>
      <c r="B313" s="164" t="s">
        <v>904</v>
      </c>
      <c r="C313" s="164" t="str">
        <f>VLOOKUP([Caso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c r="A314" s="166" t="s">
        <v>755</v>
      </c>
      <c r="B314" s="164" t="s">
        <v>904</v>
      </c>
      <c r="C314" s="34" t="str">
        <f>VLOOKUP([Caso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c r="A315" s="166" t="s">
        <v>756</v>
      </c>
      <c r="B315" s="164" t="s">
        <v>905</v>
      </c>
      <c r="C315" s="34" t="str">
        <f>VLOOKUP([Caso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c r="A316" s="166" t="s">
        <v>757</v>
      </c>
      <c r="B316" s="164" t="s">
        <v>905</v>
      </c>
      <c r="C316" s="34" t="str">
        <f>VLOOKUP([Caso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c r="A317" s="166" t="s">
        <v>758</v>
      </c>
      <c r="B317" s="164" t="s">
        <v>905</v>
      </c>
      <c r="C317" s="34" t="str">
        <f>VLOOKUP([Caso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c r="A318" s="166" t="s">
        <v>759</v>
      </c>
      <c r="B318" s="164" t="s">
        <v>905</v>
      </c>
      <c r="C318" s="34" t="str">
        <f>VLOOKUP([Caso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c r="A319" s="166" t="s">
        <v>760</v>
      </c>
      <c r="B319" s="164" t="s">
        <v>905</v>
      </c>
      <c r="C319" s="34" t="str">
        <f>VLOOKUP([Caso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c r="A320" s="166" t="s">
        <v>761</v>
      </c>
      <c r="B320" s="164" t="s">
        <v>905</v>
      </c>
      <c r="C320" s="34" t="str">
        <f>VLOOKUP([Caso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c r="A321" s="166" t="s">
        <v>762</v>
      </c>
      <c r="B321" s="164" t="s">
        <v>905</v>
      </c>
      <c r="C321" s="34" t="str">
        <f>VLOOKUP([Caso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c r="A322" s="166" t="s">
        <v>763</v>
      </c>
      <c r="B322" s="164" t="s">
        <v>905</v>
      </c>
      <c r="C322" s="34" t="str">
        <f>VLOOKUP([Caso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c r="A323" s="166" t="s">
        <v>764</v>
      </c>
      <c r="B323" s="164" t="s">
        <v>905</v>
      </c>
      <c r="C323" s="34" t="str">
        <f>VLOOKUP([Caso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c r="A324" s="166" t="s">
        <v>765</v>
      </c>
      <c r="B324" s="164" t="s">
        <v>906</v>
      </c>
      <c r="C324" s="34" t="str">
        <f>VLOOKUP([Caso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c r="A325" s="166" t="s">
        <v>766</v>
      </c>
      <c r="B325" s="164" t="s">
        <v>906</v>
      </c>
      <c r="C325" s="34" t="str">
        <f>VLOOKUP([Caso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c r="A326" s="166" t="s">
        <v>767</v>
      </c>
      <c r="B326" s="164" t="s">
        <v>906</v>
      </c>
      <c r="C326" s="34" t="str">
        <f>VLOOKUP([Caso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c r="A327" s="166" t="s">
        <v>768</v>
      </c>
      <c r="B327" s="164" t="s">
        <v>906</v>
      </c>
      <c r="C327" s="34" t="str">
        <f>VLOOKUP([Caso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c r="A328" s="166" t="s">
        <v>769</v>
      </c>
      <c r="B328" s="164" t="s">
        <v>906</v>
      </c>
      <c r="C328" s="34" t="str">
        <f>VLOOKUP([Caso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c r="A329" s="166" t="s">
        <v>770</v>
      </c>
      <c r="B329" s="164" t="s">
        <v>489</v>
      </c>
      <c r="C329" s="34" t="str">
        <f>VLOOKUP([Caso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c r="A330" s="166" t="s">
        <v>771</v>
      </c>
      <c r="B330" s="164" t="s">
        <v>489</v>
      </c>
      <c r="C330" s="34" t="str">
        <f>VLOOKUP([Caso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45">
      <c r="A331" s="164" t="s">
        <v>772</v>
      </c>
      <c r="B331" s="164" t="s">
        <v>614</v>
      </c>
      <c r="C331" s="34" t="str">
        <f>VLOOKUP([Caso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c r="A332" s="166" t="s">
        <v>773</v>
      </c>
      <c r="B332" s="34" t="s">
        <v>619</v>
      </c>
      <c r="C332" s="34" t="str">
        <f>VLOOKUP([Caso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c r="A333" s="166" t="s">
        <v>774</v>
      </c>
      <c r="B333" s="34" t="s">
        <v>619</v>
      </c>
      <c r="C333" s="34" t="str">
        <f>VLOOKUP([Caso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c r="A334" s="166" t="s">
        <v>775</v>
      </c>
      <c r="B334" s="34" t="s">
        <v>653</v>
      </c>
      <c r="C334" s="34" t="str">
        <f>VLOOKUP([Caso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c r="A335" s="166" t="s">
        <v>776</v>
      </c>
      <c r="B335" s="34" t="s">
        <v>653</v>
      </c>
      <c r="C335" s="34" t="str">
        <f>VLOOKUP([Caso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c r="A336" s="166" t="s">
        <v>777</v>
      </c>
      <c r="B336" s="34" t="s">
        <v>887</v>
      </c>
      <c r="C336" s="34" t="str">
        <f>VLOOKUP([Caso de Prueba],CasoPrueba[[#All],[Código CP]:[Prioridad]],7,TRUE)</f>
        <v>Alta</v>
      </c>
      <c r="D336" s="34" t="s">
        <v>162</v>
      </c>
      <c r="E336" s="34" t="s">
        <v>47</v>
      </c>
      <c r="F336" s="73">
        <v>40848</v>
      </c>
      <c r="H336" s="94" t="s">
        <v>132</v>
      </c>
      <c r="I336" s="34" t="s">
        <v>1035</v>
      </c>
      <c r="K336" s="34">
        <f>IF((Observaciones[[#This Row],[Fecha Levantamiento]]-Observaciones[[#This Row],[Fecha Detección]])&gt;=0,Observaciones[[#This Row],[Fecha Levantamiento]]-Observaciones[[#This Row],[Fecha Detección]]+1,0)</f>
        <v>0</v>
      </c>
      <c r="L336" s="34" t="str">
        <f>LOOKUP(Observaciones[[#This Row],[Caso de Prueba]],CasoPrueba[Código CP],CasoPrueba[Código de REQ])</f>
        <v>INSPECCIÓN</v>
      </c>
    </row>
    <row r="337" spans="1:12" ht="30">
      <c r="A337" s="166" t="s">
        <v>778</v>
      </c>
      <c r="B337" s="34" t="s">
        <v>887</v>
      </c>
      <c r="C337" s="34" t="str">
        <f>VLOOKUP([Caso de Prueba],CasoPrueba[[#All],[Código CP]:[Prioridad]],7,TRUE)</f>
        <v>Alta</v>
      </c>
      <c r="D337" s="34" t="s">
        <v>30</v>
      </c>
      <c r="E337" s="34" t="s">
        <v>47</v>
      </c>
      <c r="F337" s="73">
        <v>40848</v>
      </c>
      <c r="H337" s="94" t="s">
        <v>132</v>
      </c>
      <c r="I337" s="34" t="s">
        <v>1036</v>
      </c>
      <c r="K337" s="34">
        <f>IF((Observaciones[[#This Row],[Fecha Levantamiento]]-Observaciones[[#This Row],[Fecha Detección]])&gt;=0,Observaciones[[#This Row],[Fecha Levantamiento]]-Observaciones[[#This Row],[Fecha Detección]]+1,0)</f>
        <v>0</v>
      </c>
      <c r="L337" s="34" t="str">
        <f>LOOKUP(Observaciones[[#This Row],[Caso de Prueba]],CasoPrueba[Código CP],CasoPrueba[Código de REQ])</f>
        <v>INSPECCIÓN</v>
      </c>
    </row>
    <row r="338" spans="1:12" ht="30">
      <c r="A338" s="166" t="s">
        <v>779</v>
      </c>
      <c r="B338" s="34" t="s">
        <v>888</v>
      </c>
      <c r="C338" s="34" t="str">
        <f>VLOOKUP([Caso de Prueba],CasoPrueba[[#All],[Código CP]:[Prioridad]],7,TRUE)</f>
        <v>Alta</v>
      </c>
      <c r="D338" s="34" t="s">
        <v>30</v>
      </c>
      <c r="E338" s="34" t="s">
        <v>47</v>
      </c>
      <c r="F338" s="73">
        <v>40848</v>
      </c>
      <c r="H338" s="94" t="s">
        <v>132</v>
      </c>
      <c r="I338" s="34" t="s">
        <v>1014</v>
      </c>
      <c r="K338" s="34">
        <f>IF((Observaciones[[#This Row],[Fecha Levantamiento]]-Observaciones[[#This Row],[Fecha Detección]])&gt;=0,Observaciones[[#This Row],[Fecha Levantamiento]]-Observaciones[[#This Row],[Fecha Detección]]+1,0)</f>
        <v>0</v>
      </c>
      <c r="L338" s="34" t="str">
        <f>LOOKUP(Observaciones[[#This Row],[Caso de Prueba]],CasoPrueba[Código CP],CasoPrueba[Código de REQ])</f>
        <v>INSPECCIÓN</v>
      </c>
    </row>
    <row r="339" spans="1:12" ht="105">
      <c r="A339" s="164" t="s">
        <v>780</v>
      </c>
      <c r="B339" s="34" t="s">
        <v>889</v>
      </c>
      <c r="C339" s="34" t="str">
        <f>VLOOKUP([Caso de Prueba],CasoPrueba[[#All],[Código CP]:[Prioridad]],7,TRUE)</f>
        <v>Alta</v>
      </c>
      <c r="D339" s="34" t="s">
        <v>30</v>
      </c>
      <c r="E339" s="34" t="s">
        <v>47</v>
      </c>
      <c r="F339" s="73">
        <v>40848</v>
      </c>
      <c r="H339" s="94" t="s">
        <v>132</v>
      </c>
      <c r="I339" s="34" t="s">
        <v>1063</v>
      </c>
      <c r="K339" s="34">
        <f>IF((Observaciones[[#This Row],[Fecha Levantamiento]]-Observaciones[[#This Row],[Fecha Detección]])&gt;=0,Observaciones[[#This Row],[Fecha Levantamiento]]-Observaciones[[#This Row],[Fecha Detección]]+1,0)</f>
        <v>0</v>
      </c>
      <c r="L339" s="34" t="str">
        <f>LOOKUP(Observaciones[[#This Row],[Caso de Prueba]],CasoPrueba[Código CP],CasoPrueba[Código de REQ])</f>
        <v>INSPECCIÓN</v>
      </c>
    </row>
    <row r="340" spans="1:12" ht="30">
      <c r="A340" s="166" t="s">
        <v>781</v>
      </c>
      <c r="B340" s="34" t="s">
        <v>891</v>
      </c>
      <c r="C340" s="34" t="str">
        <f>VLOOKUP([Caso de Prueba],CasoPrueba[[#All],[Código CP]:[Prioridad]],7,TRUE)</f>
        <v>Alta</v>
      </c>
      <c r="D340" s="34" t="s">
        <v>162</v>
      </c>
      <c r="E340" s="34" t="s">
        <v>47</v>
      </c>
      <c r="F340" s="73">
        <v>40848</v>
      </c>
      <c r="H340" s="94" t="s">
        <v>132</v>
      </c>
      <c r="I340" s="34" t="s">
        <v>1038</v>
      </c>
      <c r="K340" s="34">
        <f>IF((Observaciones[[#This Row],[Fecha Levantamiento]]-Observaciones[[#This Row],[Fecha Detección]])&gt;=0,Observaciones[[#This Row],[Fecha Levantamiento]]-Observaciones[[#This Row],[Fecha Detección]]+1,0)</f>
        <v>0</v>
      </c>
      <c r="L340" s="34" t="str">
        <f>LOOKUP(Observaciones[[#This Row],[Caso de Prueba]],CasoPrueba[Código CP],CasoPrueba[Código de REQ])</f>
        <v>INSPECCIÓN</v>
      </c>
    </row>
    <row r="341" spans="1:12" ht="45">
      <c r="A341" s="166" t="s">
        <v>782</v>
      </c>
      <c r="B341" s="164" t="s">
        <v>614</v>
      </c>
      <c r="C341" s="34" t="str">
        <f>VLOOKUP([Caso de Prueba],CasoPrueba[[#All],[Código CP]:[Prioridad]],7,TRUE)</f>
        <v>Alta</v>
      </c>
      <c r="D341" s="34" t="s">
        <v>30</v>
      </c>
      <c r="E341" s="34" t="s">
        <v>47</v>
      </c>
      <c r="F341" s="73">
        <v>40848</v>
      </c>
      <c r="H341" s="94" t="s">
        <v>132</v>
      </c>
      <c r="I341" s="34" t="s">
        <v>1060</v>
      </c>
      <c r="K341" s="34">
        <f>IF((Observaciones[[#This Row],[Fecha Levantamiento]]-Observaciones[[#This Row],[Fecha Detección]])&gt;=0,Observaciones[[#This Row],[Fecha Levantamiento]]-Observaciones[[#This Row],[Fecha Detección]]+1,0)</f>
        <v>0</v>
      </c>
      <c r="L341" s="34" t="str">
        <f>LOOKUP(Observaciones[[#This Row],[Caso de Prueba]],CasoPrueba[Código CP],CasoPrueba[Código de REQ])</f>
        <v>INSPECCIÓN</v>
      </c>
    </row>
    <row r="342" spans="1:12" ht="30">
      <c r="A342" s="166" t="s">
        <v>783</v>
      </c>
      <c r="B342" s="34" t="s">
        <v>619</v>
      </c>
      <c r="C342" s="34" t="str">
        <f>VLOOKUP([Caso de Prueba],CasoPrueba[[#All],[Código CP]:[Prioridad]],7,TRUE)</f>
        <v>Alta</v>
      </c>
      <c r="D342" s="34" t="s">
        <v>162</v>
      </c>
      <c r="E342" s="34" t="s">
        <v>47</v>
      </c>
      <c r="F342" s="73">
        <v>40848</v>
      </c>
      <c r="H342" s="94" t="s">
        <v>132</v>
      </c>
      <c r="I342" s="34" t="s">
        <v>1061</v>
      </c>
      <c r="K342" s="34">
        <f>IF((Observaciones[[#This Row],[Fecha Levantamiento]]-Observaciones[[#This Row],[Fecha Detección]])&gt;=0,Observaciones[[#This Row],[Fecha Levantamiento]]-Observaciones[[#This Row],[Fecha Detección]]+1,0)</f>
        <v>0</v>
      </c>
      <c r="L342" s="34" t="str">
        <f>LOOKUP(Observaciones[[#This Row],[Caso de Prueba]],CasoPrueba[Código CP],CasoPrueba[Código de REQ])</f>
        <v>INSPECCIÓN</v>
      </c>
    </row>
    <row r="343" spans="1:12" ht="30">
      <c r="A343" s="166" t="s">
        <v>784</v>
      </c>
      <c r="B343" s="34" t="s">
        <v>653</v>
      </c>
      <c r="C343" s="34" t="str">
        <f>VLOOKUP([Caso de Prueba],CasoPrueba[[#All],[Código CP]:[Prioridad]],7,TRUE)</f>
        <v>Alta</v>
      </c>
      <c r="D343" s="34" t="s">
        <v>162</v>
      </c>
      <c r="E343" s="34" t="s">
        <v>47</v>
      </c>
      <c r="F343" s="73">
        <v>40848</v>
      </c>
      <c r="H343" s="94" t="s">
        <v>132</v>
      </c>
      <c r="I343" s="34" t="s">
        <v>1062</v>
      </c>
      <c r="K343" s="34">
        <f>IF((Observaciones[[#This Row],[Fecha Levantamiento]]-Observaciones[[#This Row],[Fecha Detección]])&gt;=0,Observaciones[[#This Row],[Fecha Levantamiento]]-Observaciones[[#This Row],[Fecha Detección]]+1,0)</f>
        <v>0</v>
      </c>
      <c r="L343" s="34" t="str">
        <f>LOOKUP(Observaciones[[#This Row],[Caso de Prueba]],CasoPrueba[Código CP],CasoPrueba[Código de REQ])</f>
        <v>INSPECCIÓN</v>
      </c>
    </row>
    <row r="344" spans="1:12" ht="45">
      <c r="A344" s="166" t="s">
        <v>785</v>
      </c>
      <c r="B344" s="34" t="s">
        <v>88</v>
      </c>
      <c r="C344" s="34" t="str">
        <f>VLOOKUP([Caso de Prueba],CasoPrueba[[#All],[Código CP]:[Prioridad]],7,TRUE)</f>
        <v>Alta</v>
      </c>
      <c r="D344" s="34" t="s">
        <v>28</v>
      </c>
      <c r="E344" s="34" t="s">
        <v>47</v>
      </c>
      <c r="F344" s="73">
        <v>40848</v>
      </c>
      <c r="H344" s="94" t="s">
        <v>132</v>
      </c>
      <c r="I344" s="34" t="s">
        <v>871</v>
      </c>
      <c r="K344" s="34">
        <f>IF((Observaciones[[#This Row],[Fecha Levantamiento]]-Observaciones[[#This Row],[Fecha Detección]])&gt;=0,Observaciones[[#This Row],[Fecha Levantamiento]]-Observaciones[[#This Row],[Fecha Detección]]+1,0)</f>
        <v>0</v>
      </c>
      <c r="L344" s="34" t="str">
        <f>LOOKUP(Observaciones[[#This Row],[Caso de Prueba]],CasoPrueba[Código CP],CasoPrueba[Código de REQ])</f>
        <v>INSPECCIÓN</v>
      </c>
    </row>
    <row r="345" spans="1:12" ht="45">
      <c r="A345" s="166" t="s">
        <v>786</v>
      </c>
      <c r="B345" s="34" t="s">
        <v>151</v>
      </c>
      <c r="C345" s="34" t="str">
        <f>VLOOKUP([Caso de Prueba],CasoPrueba[[#All],[Código CP]:[Prioridad]],7,TRUE)</f>
        <v>Alta</v>
      </c>
      <c r="D345" s="34" t="s">
        <v>28</v>
      </c>
      <c r="E345" s="34" t="s">
        <v>47</v>
      </c>
      <c r="F345" s="73">
        <v>40848</v>
      </c>
      <c r="H345" s="94" t="s">
        <v>132</v>
      </c>
      <c r="I345" s="34" t="s">
        <v>597</v>
      </c>
      <c r="K345" s="34">
        <f>IF((Observaciones[[#This Row],[Fecha Levantamiento]]-Observaciones[[#This Row],[Fecha Detección]])&gt;=0,Observaciones[[#This Row],[Fecha Levantamiento]]-Observaciones[[#This Row],[Fecha Detección]]+1,0)</f>
        <v>0</v>
      </c>
      <c r="L345" s="34" t="str">
        <f>LOOKUP(Observaciones[[#This Row],[Caso de Prueba]],CasoPrueba[Código CP],CasoPrueba[Código de REQ])</f>
        <v>INSPECCIÓN</v>
      </c>
    </row>
    <row r="346" spans="1:12" ht="45">
      <c r="A346" s="166" t="s">
        <v>787</v>
      </c>
      <c r="B346" s="34" t="s">
        <v>152</v>
      </c>
      <c r="C346" s="34" t="str">
        <f>VLOOKUP([Caso de Prueba],CasoPrueba[[#All],[Código CP]:[Prioridad]],7,TRUE)</f>
        <v>Alta</v>
      </c>
      <c r="D346" s="34" t="s">
        <v>28</v>
      </c>
      <c r="E346" s="34" t="s">
        <v>47</v>
      </c>
      <c r="F346" s="73">
        <v>40848</v>
      </c>
      <c r="H346" s="94" t="s">
        <v>132</v>
      </c>
      <c r="I346" s="34" t="s">
        <v>871</v>
      </c>
      <c r="K346" s="34">
        <f>IF((Observaciones[[#This Row],[Fecha Levantamiento]]-Observaciones[[#This Row],[Fecha Detección]])&gt;=0,Observaciones[[#This Row],[Fecha Levantamiento]]-Observaciones[[#This Row],[Fecha Detección]]+1,0)</f>
        <v>0</v>
      </c>
      <c r="L346" s="34" t="str">
        <f>LOOKUP(Observaciones[[#This Row],[Caso de Prueba]],CasoPrueba[Código CP],CasoPrueba[Código de REQ])</f>
        <v>INSPECCIÓN</v>
      </c>
    </row>
    <row r="347" spans="1:12" ht="75">
      <c r="A347" s="166" t="s">
        <v>788</v>
      </c>
      <c r="B347" s="34" t="s">
        <v>152</v>
      </c>
      <c r="C347" s="34" t="str">
        <f>VLOOKUP([Caso de Prueba],CasoPrueba[[#All],[Código CP]:[Prioridad]],7,TRUE)</f>
        <v>Alta</v>
      </c>
      <c r="D347" s="34" t="s">
        <v>28</v>
      </c>
      <c r="E347" s="34" t="s">
        <v>47</v>
      </c>
      <c r="F347" s="73">
        <v>40848</v>
      </c>
      <c r="H347" s="94" t="s">
        <v>132</v>
      </c>
      <c r="I347" s="34" t="s">
        <v>1068</v>
      </c>
      <c r="K347" s="34">
        <f>IF((Observaciones[[#This Row],[Fecha Levantamiento]]-Observaciones[[#This Row],[Fecha Detección]])&gt;=0,Observaciones[[#This Row],[Fecha Levantamiento]]-Observaciones[[#This Row],[Fecha Detección]]+1,0)</f>
        <v>0</v>
      </c>
      <c r="L347" s="34" t="str">
        <f>LOOKUP(Observaciones[[#This Row],[Caso de Prueba]],CasoPrueba[Código CP],CasoPrueba[Código de REQ])</f>
        <v>INSPECCIÓN</v>
      </c>
    </row>
    <row r="348" spans="1:12">
      <c r="A348" s="166" t="s">
        <v>789</v>
      </c>
      <c r="B348" s="34" t="s">
        <v>152</v>
      </c>
      <c r="C348" s="34" t="str">
        <f>VLOOKUP([Caso de Prueba],CasoPrueba[[#All],[Código CP]:[Prioridad]],7,TRUE)</f>
        <v>Alta</v>
      </c>
      <c r="D348" s="34" t="s">
        <v>28</v>
      </c>
      <c r="E348" s="34" t="s">
        <v>47</v>
      </c>
      <c r="F348" s="73">
        <v>40848</v>
      </c>
      <c r="H348" s="94" t="s">
        <v>132</v>
      </c>
      <c r="I348" s="34" t="s">
        <v>645</v>
      </c>
      <c r="K348" s="34">
        <f>IF((Observaciones[[#This Row],[Fecha Levantamiento]]-Observaciones[[#This Row],[Fecha Detección]])&gt;=0,Observaciones[[#This Row],[Fecha Levantamiento]]-Observaciones[[#This Row],[Fecha Detección]]+1,0)</f>
        <v>0</v>
      </c>
      <c r="L348" s="34" t="str">
        <f>LOOKUP(Observaciones[[#This Row],[Caso de Prueba]],CasoPrueba[Código CP],CasoPrueba[Código de REQ])</f>
        <v>INSPECCIÓN</v>
      </c>
    </row>
    <row r="349" spans="1:12" ht="45">
      <c r="A349" s="166" t="s">
        <v>790</v>
      </c>
      <c r="B349" s="34" t="s">
        <v>153</v>
      </c>
      <c r="C349" s="34" t="str">
        <f>VLOOKUP([Caso de Prueba],CasoPrueba[[#All],[Código CP]:[Prioridad]],7,TRUE)</f>
        <v>Alta</v>
      </c>
      <c r="D349" s="34" t="s">
        <v>28</v>
      </c>
      <c r="E349" s="34" t="s">
        <v>47</v>
      </c>
      <c r="F349" s="73">
        <v>40848</v>
      </c>
      <c r="H349" s="94" t="s">
        <v>132</v>
      </c>
      <c r="I349" s="34" t="s">
        <v>597</v>
      </c>
      <c r="K349" s="34">
        <f>IF((Observaciones[[#This Row],[Fecha Levantamiento]]-Observaciones[[#This Row],[Fecha Detección]])&gt;=0,Observaciones[[#This Row],[Fecha Levantamiento]]-Observaciones[[#This Row],[Fecha Detección]]+1,0)</f>
        <v>0</v>
      </c>
      <c r="L349" s="34" t="str">
        <f>LOOKUP(Observaciones[[#This Row],[Caso de Prueba]],CasoPrueba[Código CP],CasoPrueba[Código de REQ])</f>
        <v>INSPECCIÓN</v>
      </c>
    </row>
    <row r="350" spans="1:12" ht="45">
      <c r="A350" s="166" t="s">
        <v>791</v>
      </c>
      <c r="B350" s="34" t="s">
        <v>153</v>
      </c>
      <c r="C350" s="34" t="str">
        <f>VLOOKUP([Caso de Prueba],CasoPrueba[[#All],[Código CP]:[Prioridad]],7,TRUE)</f>
        <v>Alta</v>
      </c>
      <c r="D350" s="34" t="s">
        <v>30</v>
      </c>
      <c r="E350" s="34" t="s">
        <v>47</v>
      </c>
      <c r="F350" s="73">
        <v>40848</v>
      </c>
      <c r="H350" s="94" t="s">
        <v>132</v>
      </c>
      <c r="I350" s="34" t="s">
        <v>1069</v>
      </c>
      <c r="K350" s="34">
        <f>IF((Observaciones[[#This Row],[Fecha Levantamiento]]-Observaciones[[#This Row],[Fecha Detección]])&gt;=0,Observaciones[[#This Row],[Fecha Levantamiento]]-Observaciones[[#This Row],[Fecha Detección]]+1,0)</f>
        <v>0</v>
      </c>
      <c r="L350" s="34" t="str">
        <f>LOOKUP(Observaciones[[#This Row],[Caso de Prueba]],CasoPrueba[Código CP],CasoPrueba[Código de REQ])</f>
        <v>INSPECCIÓN</v>
      </c>
    </row>
    <row r="351" spans="1:12" ht="45">
      <c r="A351" s="166" t="s">
        <v>792</v>
      </c>
      <c r="B351" s="34" t="s">
        <v>154</v>
      </c>
      <c r="C351" s="34" t="str">
        <f>VLOOKUP([Caso de Prueba],CasoPrueba[[#All],[Código CP]:[Prioridad]],7,TRUE)</f>
        <v>Alta</v>
      </c>
      <c r="D351" s="34" t="s">
        <v>28</v>
      </c>
      <c r="E351" s="34" t="s">
        <v>47</v>
      </c>
      <c r="F351" s="73">
        <v>40848</v>
      </c>
      <c r="H351" s="94" t="s">
        <v>132</v>
      </c>
      <c r="I351" s="34" t="s">
        <v>597</v>
      </c>
      <c r="K351" s="34">
        <f>IF((Observaciones[[#This Row],[Fecha Levantamiento]]-Observaciones[[#This Row],[Fecha Detección]])&gt;=0,Observaciones[[#This Row],[Fecha Levantamiento]]-Observaciones[[#This Row],[Fecha Detección]]+1,0)</f>
        <v>0</v>
      </c>
      <c r="L351" s="34" t="str">
        <f>LOOKUP(Observaciones[[#This Row],[Caso de Prueba]],CasoPrueba[Código CP],CasoPrueba[Código de REQ])</f>
        <v>INSPECCIÓN</v>
      </c>
    </row>
    <row r="352" spans="1:12" ht="45">
      <c r="A352" s="166" t="s">
        <v>793</v>
      </c>
      <c r="B352" s="34" t="s">
        <v>155</v>
      </c>
      <c r="C352" s="34" t="str">
        <f>VLOOKUP([Caso de Prueba],CasoPrueba[[#All],[Código CP]:[Prioridad]],7,TRUE)</f>
        <v>Alta</v>
      </c>
      <c r="D352" s="34" t="s">
        <v>28</v>
      </c>
      <c r="E352" s="34" t="s">
        <v>47</v>
      </c>
      <c r="F352" s="73">
        <v>40848</v>
      </c>
      <c r="H352" s="94" t="s">
        <v>132</v>
      </c>
      <c r="I352" s="34" t="s">
        <v>597</v>
      </c>
      <c r="K352" s="34">
        <f>IF((Observaciones[[#This Row],[Fecha Levantamiento]]-Observaciones[[#This Row],[Fecha Detección]])&gt;=0,Observaciones[[#This Row],[Fecha Levantamiento]]-Observaciones[[#This Row],[Fecha Detección]]+1,0)</f>
        <v>0</v>
      </c>
      <c r="L352" s="34" t="str">
        <f>LOOKUP(Observaciones[[#This Row],[Caso de Prueba]],CasoPrueba[Código CP],CasoPrueba[Código de REQ])</f>
        <v>INSPECCIÓN</v>
      </c>
    </row>
    <row r="353" spans="1:12" ht="45">
      <c r="A353" s="166" t="s">
        <v>794</v>
      </c>
      <c r="B353" s="34" t="s">
        <v>155</v>
      </c>
      <c r="C353" s="34" t="str">
        <f>VLOOKUP([Caso de Prueba],CasoPrueba[[#All],[Código CP]:[Prioridad]],7,TRUE)</f>
        <v>Alta</v>
      </c>
      <c r="D353" s="34" t="s">
        <v>28</v>
      </c>
      <c r="E353" s="34" t="s">
        <v>47</v>
      </c>
      <c r="F353" s="73">
        <v>40848</v>
      </c>
      <c r="H353" s="94" t="s">
        <v>132</v>
      </c>
      <c r="I353" s="34" t="s">
        <v>1085</v>
      </c>
      <c r="K353" s="34">
        <f>IF((Observaciones[[#This Row],[Fecha Levantamiento]]-Observaciones[[#This Row],[Fecha Detección]])&gt;=0,Observaciones[[#This Row],[Fecha Levantamiento]]-Observaciones[[#This Row],[Fecha Detección]]+1,0)</f>
        <v>0</v>
      </c>
      <c r="L353" s="34" t="str">
        <f>LOOKUP(Observaciones[[#This Row],[Caso de Prueba]],CasoPrueba[Código CP],CasoPrueba[Código de REQ])</f>
        <v>INSPECCIÓN</v>
      </c>
    </row>
    <row r="354" spans="1:12" ht="75">
      <c r="A354" s="166" t="s">
        <v>795</v>
      </c>
      <c r="B354" s="34" t="s">
        <v>155</v>
      </c>
      <c r="C354" s="34" t="str">
        <f>VLOOKUP([Caso de Prueba],CasoPrueba[[#All],[Código CP]:[Prioridad]],7,TRUE)</f>
        <v>Alta</v>
      </c>
      <c r="D354" s="34" t="s">
        <v>28</v>
      </c>
      <c r="E354" s="34" t="s">
        <v>47</v>
      </c>
      <c r="F354" s="73">
        <v>40848</v>
      </c>
      <c r="H354" s="94" t="s">
        <v>132</v>
      </c>
      <c r="I354" s="34" t="s">
        <v>1081</v>
      </c>
      <c r="K354" s="34">
        <f>IF((Observaciones[[#This Row],[Fecha Levantamiento]]-Observaciones[[#This Row],[Fecha Detección]])&gt;=0,Observaciones[[#This Row],[Fecha Levantamiento]]-Observaciones[[#This Row],[Fecha Detección]]+1,0)</f>
        <v>0</v>
      </c>
      <c r="L354" s="34" t="str">
        <f>LOOKUP(Observaciones[[#This Row],[Caso de Prueba]],CasoPrueba[Código CP],CasoPrueba[Código de REQ])</f>
        <v>INSPECCIÓN</v>
      </c>
    </row>
    <row r="355" spans="1:12" ht="45">
      <c r="A355" s="166" t="s">
        <v>796</v>
      </c>
      <c r="B355" s="34" t="s">
        <v>156</v>
      </c>
      <c r="C355" s="34" t="str">
        <f>VLOOKUP([Caso de Prueba],CasoPrueba[[#All],[Código CP]:[Prioridad]],7,TRUE)</f>
        <v>Alta</v>
      </c>
      <c r="D355" s="34" t="s">
        <v>28</v>
      </c>
      <c r="E355" s="34" t="s">
        <v>47</v>
      </c>
      <c r="F355" s="73">
        <v>40848</v>
      </c>
      <c r="H355" s="94" t="s">
        <v>132</v>
      </c>
      <c r="I355" s="34" t="s">
        <v>597</v>
      </c>
      <c r="K355" s="34">
        <f>IF((Observaciones[[#This Row],[Fecha Levantamiento]]-Observaciones[[#This Row],[Fecha Detección]])&gt;=0,Observaciones[[#This Row],[Fecha Levantamiento]]-Observaciones[[#This Row],[Fecha Detección]]+1,0)</f>
        <v>0</v>
      </c>
      <c r="L355" s="34" t="str">
        <f>LOOKUP(Observaciones[[#This Row],[Caso de Prueba]],CasoPrueba[Código CP],CasoPrueba[Código de REQ])</f>
        <v>INSPECCIÓN</v>
      </c>
    </row>
    <row r="356" spans="1:12" ht="45">
      <c r="A356" s="166" t="s">
        <v>797</v>
      </c>
      <c r="B356" s="34" t="s">
        <v>157</v>
      </c>
      <c r="C356" s="34" t="str">
        <f>VLOOKUP([Caso de Prueba],CasoPrueba[[#All],[Código CP]:[Prioridad]],7,TRUE)</f>
        <v>Alta</v>
      </c>
      <c r="D356" s="34" t="s">
        <v>28</v>
      </c>
      <c r="E356" s="34" t="s">
        <v>47</v>
      </c>
      <c r="F356" s="73">
        <v>40848</v>
      </c>
      <c r="H356" s="94" t="s">
        <v>132</v>
      </c>
      <c r="I356" s="34" t="s">
        <v>597</v>
      </c>
      <c r="K356" s="34">
        <f>IF((Observaciones[[#This Row],[Fecha Levantamiento]]-Observaciones[[#This Row],[Fecha Detección]])&gt;=0,Observaciones[[#This Row],[Fecha Levantamiento]]-Observaciones[[#This Row],[Fecha Detección]]+1,0)</f>
        <v>0</v>
      </c>
      <c r="L356" s="34" t="str">
        <f>LOOKUP(Observaciones[[#This Row],[Caso de Prueba]],CasoPrueba[Código CP],CasoPrueba[Código de REQ])</f>
        <v>INSPECCIÓN</v>
      </c>
    </row>
    <row r="357" spans="1:12" ht="45">
      <c r="A357" s="166" t="s">
        <v>798</v>
      </c>
      <c r="B357" s="34" t="s">
        <v>158</v>
      </c>
      <c r="C357" s="34" t="str">
        <f>VLOOKUP([Caso de Prueba],CasoPrueba[[#All],[Código CP]:[Prioridad]],7,TRUE)</f>
        <v>Alta</v>
      </c>
      <c r="D357" s="34" t="s">
        <v>28</v>
      </c>
      <c r="E357" s="34" t="s">
        <v>47</v>
      </c>
      <c r="F357" s="73">
        <v>40848</v>
      </c>
      <c r="H357" s="94" t="s">
        <v>132</v>
      </c>
      <c r="I357" s="34" t="s">
        <v>597</v>
      </c>
      <c r="K357" s="34">
        <f>IF((Observaciones[[#This Row],[Fecha Levantamiento]]-Observaciones[[#This Row],[Fecha Detección]])&gt;=0,Observaciones[[#This Row],[Fecha Levantamiento]]-Observaciones[[#This Row],[Fecha Detección]]+1,0)</f>
        <v>0</v>
      </c>
      <c r="L357" s="34" t="str">
        <f>LOOKUP(Observaciones[[#This Row],[Caso de Prueba]],CasoPrueba[Código CP],CasoPrueba[Código de REQ])</f>
        <v>INSPECCIÓN</v>
      </c>
    </row>
    <row r="358" spans="1:12" ht="45">
      <c r="A358" s="166" t="s">
        <v>799</v>
      </c>
      <c r="B358" s="34" t="s">
        <v>171</v>
      </c>
      <c r="C358" s="34" t="str">
        <f>VLOOKUP([Caso de Prueba],CasoPrueba[[#All],[Código CP]:[Prioridad]],7,TRUE)</f>
        <v>Alta</v>
      </c>
      <c r="D358" s="34" t="s">
        <v>28</v>
      </c>
      <c r="E358" s="34" t="s">
        <v>47</v>
      </c>
      <c r="F358" s="73">
        <v>40848</v>
      </c>
      <c r="H358" s="94" t="s">
        <v>132</v>
      </c>
      <c r="I358" s="34" t="s">
        <v>597</v>
      </c>
      <c r="K358" s="34">
        <f>IF((Observaciones[[#This Row],[Fecha Levantamiento]]-Observaciones[[#This Row],[Fecha Detección]])&gt;=0,Observaciones[[#This Row],[Fecha Levantamiento]]-Observaciones[[#This Row],[Fecha Detección]]+1,0)</f>
        <v>0</v>
      </c>
      <c r="L358" s="34" t="str">
        <f>LOOKUP(Observaciones[[#This Row],[Caso de Prueba]],CasoPrueba[Código CP],CasoPrueba[Código de REQ])</f>
        <v>INSPECCIÓN</v>
      </c>
    </row>
    <row r="359" spans="1:12" ht="45">
      <c r="A359" s="166" t="s">
        <v>800</v>
      </c>
      <c r="B359" s="34" t="s">
        <v>172</v>
      </c>
      <c r="C359" s="34" t="str">
        <f>VLOOKUP([Caso de Prueba],CasoPrueba[[#All],[Código CP]:[Prioridad]],7,TRUE)</f>
        <v>Alta</v>
      </c>
      <c r="D359" s="34" t="s">
        <v>28</v>
      </c>
      <c r="E359" s="34" t="s">
        <v>47</v>
      </c>
      <c r="F359" s="73">
        <v>40848</v>
      </c>
      <c r="H359" s="94" t="s">
        <v>132</v>
      </c>
      <c r="I359" s="34" t="s">
        <v>871</v>
      </c>
      <c r="K359" s="34">
        <f>IF((Observaciones[[#This Row],[Fecha Levantamiento]]-Observaciones[[#This Row],[Fecha Detección]])&gt;=0,Observaciones[[#This Row],[Fecha Levantamiento]]-Observaciones[[#This Row],[Fecha Detección]]+1,0)</f>
        <v>0</v>
      </c>
      <c r="L359" s="34" t="str">
        <f>LOOKUP(Observaciones[[#This Row],[Caso de Prueba]],CasoPrueba[Código CP],CasoPrueba[Código de REQ])</f>
        <v>INSPECCIÓN</v>
      </c>
    </row>
    <row r="360" spans="1:12" ht="45">
      <c r="A360" s="166" t="s">
        <v>801</v>
      </c>
      <c r="B360" s="34" t="s">
        <v>173</v>
      </c>
      <c r="C360" s="34" t="str">
        <f>VLOOKUP([Caso de Prueba],CasoPrueba[[#All],[Código CP]:[Prioridad]],7,TRUE)</f>
        <v>Alta</v>
      </c>
      <c r="D360" s="34" t="s">
        <v>28</v>
      </c>
      <c r="E360" s="34" t="s">
        <v>47</v>
      </c>
      <c r="F360" s="73">
        <v>40848</v>
      </c>
      <c r="H360" s="94" t="s">
        <v>132</v>
      </c>
      <c r="I360" s="34" t="s">
        <v>597</v>
      </c>
      <c r="K360" s="34">
        <f>IF((Observaciones[[#This Row],[Fecha Levantamiento]]-Observaciones[[#This Row],[Fecha Detección]])&gt;=0,Observaciones[[#This Row],[Fecha Levantamiento]]-Observaciones[[#This Row],[Fecha Detección]]+1,0)</f>
        <v>0</v>
      </c>
      <c r="L360" s="34" t="str">
        <f>LOOKUP(Observaciones[[#This Row],[Caso de Prueba]],CasoPrueba[Código CP],CasoPrueba[Código de REQ])</f>
        <v>INSPECCIÓN</v>
      </c>
    </row>
    <row r="361" spans="1:12" ht="60">
      <c r="A361" s="166" t="s">
        <v>802</v>
      </c>
      <c r="B361" s="34" t="s">
        <v>173</v>
      </c>
      <c r="C361" s="34" t="str">
        <f>VLOOKUP([Caso de Prueba],CasoPrueba[[#All],[Código CP]:[Prioridad]],7,TRUE)</f>
        <v>Alta</v>
      </c>
      <c r="D361" s="34" t="s">
        <v>28</v>
      </c>
      <c r="E361" s="34" t="s">
        <v>47</v>
      </c>
      <c r="F361" s="73">
        <v>40848</v>
      </c>
      <c r="H361" s="94" t="s">
        <v>132</v>
      </c>
      <c r="I361" s="34" t="s">
        <v>1082</v>
      </c>
      <c r="K361" s="34">
        <f>IF((Observaciones[[#This Row],[Fecha Levantamiento]]-Observaciones[[#This Row],[Fecha Detección]])&gt;=0,Observaciones[[#This Row],[Fecha Levantamiento]]-Observaciones[[#This Row],[Fecha Detección]]+1,0)</f>
        <v>0</v>
      </c>
      <c r="L361" s="34" t="str">
        <f>LOOKUP(Observaciones[[#This Row],[Caso de Prueba]],CasoPrueba[Código CP],CasoPrueba[Código de REQ])</f>
        <v>INSPECCIÓN</v>
      </c>
    </row>
    <row r="362" spans="1:12" ht="45">
      <c r="A362" s="166" t="s">
        <v>1070</v>
      </c>
      <c r="B362" s="34" t="s">
        <v>174</v>
      </c>
      <c r="C362" s="34" t="str">
        <f>VLOOKUP([Caso de Prueba],CasoPrueba[[#All],[Código CP]:[Prioridad]],7,TRUE)</f>
        <v>Alta</v>
      </c>
      <c r="D362" s="34" t="s">
        <v>28</v>
      </c>
      <c r="E362" s="34" t="s">
        <v>47</v>
      </c>
      <c r="F362" s="73">
        <v>40848</v>
      </c>
      <c r="H362" s="94" t="s">
        <v>132</v>
      </c>
      <c r="I362" s="34" t="s">
        <v>597</v>
      </c>
      <c r="J362" s="164"/>
      <c r="K362" s="164">
        <f>IF((Observaciones[[#This Row],[Fecha Levantamiento]]-Observaciones[[#This Row],[Fecha Detección]])&gt;=0,Observaciones[[#This Row],[Fecha Levantamiento]]-Observaciones[[#This Row],[Fecha Detección]]+1,0)</f>
        <v>0</v>
      </c>
      <c r="L362" s="164" t="str">
        <f>LOOKUP(Observaciones[[#This Row],[Caso de Prueba]],CasoPrueba[Código CP],CasoPrueba[Código de REQ])</f>
        <v>INSPECCIÓN</v>
      </c>
    </row>
    <row r="363" spans="1:12" ht="30">
      <c r="A363" s="166" t="s">
        <v>1071</v>
      </c>
      <c r="B363" s="34" t="s">
        <v>174</v>
      </c>
      <c r="C363" s="34" t="str">
        <f>VLOOKUP([Caso de Prueba],CasoPrueba[[#All],[Código CP]:[Prioridad]],7,TRUE)</f>
        <v>Alta</v>
      </c>
      <c r="D363" s="34" t="s">
        <v>28</v>
      </c>
      <c r="E363" s="34" t="s">
        <v>47</v>
      </c>
      <c r="F363" s="73">
        <v>40848</v>
      </c>
      <c r="H363" s="94" t="s">
        <v>132</v>
      </c>
      <c r="I363" s="34" t="s">
        <v>1083</v>
      </c>
      <c r="J363" s="164"/>
      <c r="K363" s="164">
        <f>IF((Observaciones[[#This Row],[Fecha Levantamiento]]-Observaciones[[#This Row],[Fecha Detección]])&gt;=0,Observaciones[[#This Row],[Fecha Levantamiento]]-Observaciones[[#This Row],[Fecha Detección]]+1,0)</f>
        <v>0</v>
      </c>
      <c r="L363" s="164" t="str">
        <f>LOOKUP(Observaciones[[#This Row],[Caso de Prueba]],CasoPrueba[Código CP],CasoPrueba[Código de REQ])</f>
        <v>INSPECCIÓN</v>
      </c>
    </row>
    <row r="364" spans="1:12" ht="45">
      <c r="A364" s="166" t="s">
        <v>1072</v>
      </c>
      <c r="B364" s="34" t="s">
        <v>174</v>
      </c>
      <c r="C364" s="34" t="str">
        <f>VLOOKUP([Caso de Prueba],CasoPrueba[[#All],[Código CP]:[Prioridad]],7,TRUE)</f>
        <v>Alta</v>
      </c>
      <c r="D364" s="34" t="s">
        <v>28</v>
      </c>
      <c r="E364" s="34" t="s">
        <v>47</v>
      </c>
      <c r="F364" s="73">
        <v>40848</v>
      </c>
      <c r="H364" s="94" t="s">
        <v>132</v>
      </c>
      <c r="I364" s="34" t="s">
        <v>1084</v>
      </c>
      <c r="K364" s="34">
        <f>IF((Observaciones[[#This Row],[Fecha Levantamiento]]-Observaciones[[#This Row],[Fecha Detección]])&gt;=0,Observaciones[[#This Row],[Fecha Levantamiento]]-Observaciones[[#This Row],[Fecha Detección]]+1,0)</f>
        <v>0</v>
      </c>
      <c r="L364" s="34" t="str">
        <f>LOOKUP(Observaciones[[#This Row],[Caso de Prueba]],CasoPrueba[Código CP],CasoPrueba[Código de REQ])</f>
        <v>INSPECCIÓN</v>
      </c>
    </row>
    <row r="365" spans="1:12" ht="45">
      <c r="A365" s="166" t="s">
        <v>1073</v>
      </c>
      <c r="B365" s="34" t="s">
        <v>175</v>
      </c>
      <c r="C365" s="34" t="str">
        <f>VLOOKUP([Caso de Prueba],CasoPrueba[[#All],[Código CP]:[Prioridad]],7,TRUE)</f>
        <v>Alta</v>
      </c>
      <c r="D365" s="34" t="s">
        <v>28</v>
      </c>
      <c r="E365" s="34" t="s">
        <v>47</v>
      </c>
      <c r="F365" s="73">
        <v>40848</v>
      </c>
      <c r="H365" s="94" t="s">
        <v>132</v>
      </c>
      <c r="I365" s="34" t="s">
        <v>597</v>
      </c>
      <c r="K365" s="34">
        <f>IF((Observaciones[[#This Row],[Fecha Levantamiento]]-Observaciones[[#This Row],[Fecha Detección]])&gt;=0,Observaciones[[#This Row],[Fecha Levantamiento]]-Observaciones[[#This Row],[Fecha Detección]]+1,0)</f>
        <v>0</v>
      </c>
      <c r="L365" s="34" t="str">
        <f>LOOKUP(Observaciones[[#This Row],[Caso de Prueba]],CasoPrueba[Código CP],CasoPrueba[Código de REQ])</f>
        <v>INSPECCIÓN</v>
      </c>
    </row>
    <row r="366" spans="1:12">
      <c r="A366" s="166" t="s">
        <v>1074</v>
      </c>
      <c r="B366" s="34" t="s">
        <v>175</v>
      </c>
      <c r="C366" s="34" t="str">
        <f>VLOOKUP([Caso de Prueba],CasoPrueba[[#All],[Código CP]:[Prioridad]],7,TRUE)</f>
        <v>Alta</v>
      </c>
      <c r="D366" s="34" t="s">
        <v>28</v>
      </c>
      <c r="E366" s="34" t="s">
        <v>47</v>
      </c>
      <c r="F366" s="73">
        <v>40848</v>
      </c>
      <c r="H366" s="94" t="s">
        <v>132</v>
      </c>
      <c r="I366" s="34" t="s">
        <v>1086</v>
      </c>
      <c r="K366" s="34">
        <f>IF((Observaciones[[#This Row],[Fecha Levantamiento]]-Observaciones[[#This Row],[Fecha Detección]])&gt;=0,Observaciones[[#This Row],[Fecha Levantamiento]]-Observaciones[[#This Row],[Fecha Detección]]+1,0)</f>
        <v>0</v>
      </c>
      <c r="L366" s="34" t="str">
        <f>LOOKUP(Observaciones[[#This Row],[Caso de Prueba]],CasoPrueba[Código CP],CasoPrueba[Código de REQ])</f>
        <v>INSPECCIÓN</v>
      </c>
    </row>
    <row r="367" spans="1:12" ht="45">
      <c r="A367" s="166" t="s">
        <v>1075</v>
      </c>
      <c r="B367" s="34" t="s">
        <v>175</v>
      </c>
      <c r="C367" s="34" t="str">
        <f>VLOOKUP([Caso de Prueba],CasoPrueba[[#All],[Código CP]:[Prioridad]],7,TRUE)</f>
        <v>Alta</v>
      </c>
      <c r="D367" s="34" t="s">
        <v>28</v>
      </c>
      <c r="E367" s="34" t="s">
        <v>47</v>
      </c>
      <c r="F367" s="73">
        <v>40848</v>
      </c>
      <c r="H367" s="94" t="s">
        <v>132</v>
      </c>
      <c r="I367" s="34" t="s">
        <v>1087</v>
      </c>
      <c r="K367" s="34">
        <f>IF((Observaciones[[#This Row],[Fecha Levantamiento]]-Observaciones[[#This Row],[Fecha Detección]])&gt;=0,Observaciones[[#This Row],[Fecha Levantamiento]]-Observaciones[[#This Row],[Fecha Detección]]+1,0)</f>
        <v>0</v>
      </c>
      <c r="L367" s="34" t="str">
        <f>LOOKUP(Observaciones[[#This Row],[Caso de Prueba]],CasoPrueba[Código CP],CasoPrueba[Código de REQ])</f>
        <v>INSPECCIÓN</v>
      </c>
    </row>
    <row r="368" spans="1:12" ht="105">
      <c r="A368" s="166" t="s">
        <v>1076</v>
      </c>
      <c r="B368" s="34" t="s">
        <v>175</v>
      </c>
      <c r="C368" s="34" t="str">
        <f>VLOOKUP([Caso de Prueba],CasoPrueba[[#All],[Código CP]:[Prioridad]],7,TRUE)</f>
        <v>Alta</v>
      </c>
      <c r="D368" s="34" t="s">
        <v>28</v>
      </c>
      <c r="E368" s="34" t="s">
        <v>47</v>
      </c>
      <c r="F368" s="73">
        <v>40848</v>
      </c>
      <c r="H368" s="94" t="s">
        <v>132</v>
      </c>
      <c r="I368" s="34" t="s">
        <v>1088</v>
      </c>
      <c r="K368" s="34">
        <f>IF((Observaciones[[#This Row],[Fecha Levantamiento]]-Observaciones[[#This Row],[Fecha Detección]])&gt;=0,Observaciones[[#This Row],[Fecha Levantamiento]]-Observaciones[[#This Row],[Fecha Detección]]+1,0)</f>
        <v>0</v>
      </c>
      <c r="L368" s="34" t="str">
        <f>LOOKUP(Observaciones[[#This Row],[Caso de Prueba]],CasoPrueba[Código CP],CasoPrueba[Código de REQ])</f>
        <v>INSPECCIÓN</v>
      </c>
    </row>
    <row r="369" spans="1:12" ht="45">
      <c r="A369" s="166" t="s">
        <v>1077</v>
      </c>
      <c r="B369" s="34" t="s">
        <v>176</v>
      </c>
      <c r="C369" s="34" t="str">
        <f>VLOOKUP([Caso de Prueba],CasoPrueba[[#All],[Código CP]:[Prioridad]],7,TRUE)</f>
        <v>Alta</v>
      </c>
      <c r="D369" s="34" t="s">
        <v>28</v>
      </c>
      <c r="E369" s="34" t="s">
        <v>47</v>
      </c>
      <c r="F369" s="73">
        <v>40848</v>
      </c>
      <c r="H369" s="94" t="s">
        <v>132</v>
      </c>
      <c r="I369" s="34" t="s">
        <v>597</v>
      </c>
      <c r="K369" s="34">
        <f>IF((Observaciones[[#This Row],[Fecha Levantamiento]]-Observaciones[[#This Row],[Fecha Detección]])&gt;=0,Observaciones[[#This Row],[Fecha Levantamiento]]-Observaciones[[#This Row],[Fecha Detección]]+1,0)</f>
        <v>0</v>
      </c>
      <c r="L369" s="34" t="str">
        <f>LOOKUP(Observaciones[[#This Row],[Caso de Prueba]],CasoPrueba[Código CP],CasoPrueba[Código de REQ])</f>
        <v>INSPECCIÓN</v>
      </c>
    </row>
    <row r="370" spans="1:12">
      <c r="A370" s="166" t="s">
        <v>1078</v>
      </c>
      <c r="B370" s="34" t="s">
        <v>176</v>
      </c>
      <c r="C370" s="34" t="str">
        <f>VLOOKUP([Caso de Prueba],CasoPrueba[[#All],[Código CP]:[Prioridad]],7,TRUE)</f>
        <v>Alta</v>
      </c>
      <c r="D370" s="34" t="s">
        <v>28</v>
      </c>
      <c r="E370" s="34" t="s">
        <v>47</v>
      </c>
      <c r="F370" s="73">
        <v>40848</v>
      </c>
      <c r="H370" s="94" t="s">
        <v>132</v>
      </c>
      <c r="I370" s="34" t="s">
        <v>1086</v>
      </c>
      <c r="K370" s="34">
        <f>IF((Observaciones[[#This Row],[Fecha Levantamiento]]-Observaciones[[#This Row],[Fecha Detección]])&gt;=0,Observaciones[[#This Row],[Fecha Levantamiento]]-Observaciones[[#This Row],[Fecha Detección]]+1,0)</f>
        <v>0</v>
      </c>
      <c r="L370" s="34" t="str">
        <f>LOOKUP(Observaciones[[#This Row],[Caso de Prueba]],CasoPrueba[Código CP],CasoPrueba[Código de REQ])</f>
        <v>INSPECCIÓN</v>
      </c>
    </row>
    <row r="371" spans="1:12" ht="45">
      <c r="A371" s="166" t="s">
        <v>1079</v>
      </c>
      <c r="B371" s="34" t="s">
        <v>176</v>
      </c>
      <c r="C371" s="34" t="str">
        <f>VLOOKUP([Caso de Prueba],CasoPrueba[[#All],[Código CP]:[Prioridad]],7,TRUE)</f>
        <v>Alta</v>
      </c>
      <c r="D371" s="34" t="s">
        <v>28</v>
      </c>
      <c r="E371" s="34" t="s">
        <v>47</v>
      </c>
      <c r="F371" s="73">
        <v>40848</v>
      </c>
      <c r="H371" s="94" t="s">
        <v>132</v>
      </c>
      <c r="I371" s="34" t="s">
        <v>1089</v>
      </c>
      <c r="K371" s="34">
        <f>IF((Observaciones[[#This Row],[Fecha Levantamiento]]-Observaciones[[#This Row],[Fecha Detección]])&gt;=0,Observaciones[[#This Row],[Fecha Levantamiento]]-Observaciones[[#This Row],[Fecha Detección]]+1,0)</f>
        <v>0</v>
      </c>
      <c r="L371" s="34" t="str">
        <f>LOOKUP(Observaciones[[#This Row],[Caso de Prueba]],CasoPrueba[Código CP],CasoPrueba[Código de REQ])</f>
        <v>INSPECCIÓN</v>
      </c>
    </row>
    <row r="372" spans="1:12">
      <c r="A372" s="166" t="s">
        <v>1080</v>
      </c>
      <c r="C372" s="34" t="e">
        <f>VLOOKUP([Caso de Prueba],CasoPrueba[[#All],[Código CP]:[Prioridad]],7,TRUE)</f>
        <v>#N/A</v>
      </c>
      <c r="K372" s="34">
        <f>IF((Observaciones[[#This Row],[Fecha Levantamiento]]-Observaciones[[#This Row],[Fecha Detección]])&gt;=0,Observaciones[[#This Row],[Fecha Levantamiento]]-Observaciones[[#This Row],[Fecha Detección]]+1,0)</f>
        <v>1</v>
      </c>
      <c r="L372" s="34" t="e">
        <f>LOOKUP(Observaciones[[#This Row],[Caso de Prueba]],CasoPrueba[Código CP],CasoPrueba[Código de REQ])</f>
        <v>#N/A</v>
      </c>
    </row>
  </sheetData>
  <mergeCells count="1">
    <mergeCell ref="A1:K1"/>
  </mergeCells>
  <dataValidations count="1">
    <dataValidation type="list" allowBlank="1" showInputMessage="1" showErrorMessage="1" sqref="H3:H372">
      <formula1>$N$1:$N$2</formula1>
    </dataValidation>
  </dataValidations>
  <pageMargins left="0.7" right="0.7" top="0.75" bottom="0.75" header="0.3" footer="0.3"/>
  <pageSetup paperSize="9" orientation="portrait" r:id="rId1"/>
  <legacyDrawing r:id="rId2"/>
  <tableParts count="1">
    <tablePart r:id="rId3"/>
  </tableParts>
  <extLst xmlns:x14="http://schemas.microsoft.com/office/spreadsheetml/2009/9/main">
    <ext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sheetPr codeName="Hoja7"/>
  <dimension ref="A1:P13"/>
  <sheetViews>
    <sheetView zoomScale="85" zoomScaleNormal="85" workbookViewId="0">
      <selection activeCell="H16" sqref="H16"/>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sheetData>
  <mergeCells count="2">
    <mergeCell ref="B2:J2"/>
    <mergeCell ref="L2:O2"/>
  </mergeCells>
  <pageMargins left="0.7" right="0.7" top="0.75" bottom="0.75" header="0.3" footer="0.3"/>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User</cp:lastModifiedBy>
  <dcterms:created xsi:type="dcterms:W3CDTF">2011-02-09T13:28:15Z</dcterms:created>
  <dcterms:modified xsi:type="dcterms:W3CDTF">2011-11-02T17:51:39Z</dcterms:modified>
</cp:coreProperties>
</file>