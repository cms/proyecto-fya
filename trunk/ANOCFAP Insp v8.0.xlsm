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75" windowWidth="15480" windowHeight="801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s>
  <calcPr calcId="145621"/>
  <pivotCaches>
    <pivotCache cacheId="0" r:id="rId9"/>
    <pivotCache cacheId="1" r:id="rId10"/>
    <pivotCache cacheId="2" r:id="rId11"/>
    <pivotCache cacheId="3" r:id="rId12"/>
    <pivotCache cacheId="4" r:id="rId13"/>
    <pivotCache cacheId="5" r:id="rId14"/>
  </pivotCaches>
</workbook>
</file>

<file path=xl/calcChain.xml><?xml version="1.0" encoding="utf-8"?>
<calcChain xmlns="http://schemas.openxmlformats.org/spreadsheetml/2006/main">
  <c r="O11" i="6" l="1"/>
  <c r="J11" i="6"/>
  <c r="K302" i="4"/>
  <c r="L302" i="4"/>
  <c r="K303" i="4"/>
  <c r="L303" i="4"/>
  <c r="C299" i="4"/>
  <c r="K292" i="4"/>
  <c r="L292" i="4"/>
  <c r="F13" i="2"/>
  <c r="O10" i="6"/>
  <c r="J10" i="6"/>
  <c r="K272" i="4"/>
  <c r="L272" i="4"/>
  <c r="K270" i="4"/>
  <c r="K266" i="4"/>
  <c r="L266" i="4"/>
  <c r="K246" i="4"/>
  <c r="Q36" i="3"/>
  <c r="F37" i="3"/>
  <c r="F38" i="3"/>
  <c r="F39" i="3"/>
  <c r="L39" i="3"/>
  <c r="Q39" i="3"/>
  <c r="L38" i="3"/>
  <c r="Q38" i="3"/>
  <c r="L37" i="3"/>
  <c r="F30" i="3"/>
  <c r="L30" i="3"/>
  <c r="Q30" i="3"/>
  <c r="F31" i="3"/>
  <c r="L31" i="3"/>
  <c r="Q31" i="3"/>
  <c r="F32" i="3"/>
  <c r="L32" i="3"/>
  <c r="Q32" i="3"/>
  <c r="F33" i="3"/>
  <c r="L33" i="3"/>
  <c r="Q33" i="3"/>
  <c r="F34" i="3"/>
  <c r="L34" i="3"/>
  <c r="Q34" i="3"/>
  <c r="F35" i="3"/>
  <c r="L35" i="3"/>
  <c r="Q35" i="3"/>
  <c r="F36" i="3"/>
  <c r="L36" i="3"/>
  <c r="O9" i="6"/>
  <c r="J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J8" i="6"/>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F28" i="3"/>
  <c r="L28" i="3"/>
  <c r="Q28" i="3"/>
  <c r="F29" i="3"/>
  <c r="L29" i="3"/>
  <c r="Q29" i="3"/>
  <c r="C194" i="4"/>
  <c r="C195" i="4"/>
  <c r="C192" i="4"/>
  <c r="C188" i="4"/>
  <c r="C189" i="4"/>
  <c r="C177" i="4" l="1"/>
  <c r="C176" i="4"/>
  <c r="F24" i="3"/>
  <c r="L24" i="3"/>
  <c r="Q24" i="3"/>
  <c r="F25" i="3"/>
  <c r="L25" i="3"/>
  <c r="Q25" i="3"/>
  <c r="F26" i="3"/>
  <c r="L26" i="3"/>
  <c r="Q26" i="3"/>
  <c r="F27" i="3"/>
  <c r="L27" i="3"/>
  <c r="Q27" i="3"/>
  <c r="F23" i="3"/>
  <c r="L23" i="3"/>
  <c r="Q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Q17" i="3" l="1"/>
  <c r="Q18" i="3"/>
  <c r="Q19" i="3"/>
  <c r="Q20" i="3"/>
  <c r="Q21" i="3"/>
  <c r="Q22" i="3"/>
  <c r="Q5" i="3"/>
  <c r="Q6" i="3"/>
  <c r="Q7" i="3"/>
  <c r="Q8" i="3"/>
  <c r="Q9" i="3"/>
  <c r="Q10" i="3"/>
  <c r="Q11" i="3"/>
  <c r="Q12" i="3"/>
  <c r="Q13" i="3"/>
  <c r="Q14" i="3"/>
  <c r="Q15" i="3"/>
  <c r="F21" i="3"/>
  <c r="F22" i="3"/>
  <c r="L21" i="3"/>
  <c r="L22" i="3"/>
  <c r="F20" i="3"/>
  <c r="L20" i="3"/>
  <c r="J7" i="6"/>
  <c r="O7" i="6"/>
  <c r="C124" i="4"/>
  <c r="C125" i="4"/>
  <c r="C126" i="4"/>
  <c r="C127" i="4"/>
  <c r="C128" i="4"/>
  <c r="K124" i="4"/>
  <c r="K125" i="4"/>
  <c r="K126" i="4"/>
  <c r="K127" i="4"/>
  <c r="K128" i="4"/>
  <c r="L124" i="4"/>
  <c r="L125" i="4"/>
  <c r="L126" i="4"/>
  <c r="L127" i="4"/>
  <c r="L128" i="4"/>
  <c r="C123" i="4"/>
  <c r="K123" i="4"/>
  <c r="L123" i="4"/>
  <c r="O6" i="6"/>
  <c r="O5" i="6"/>
  <c r="O4" i="6"/>
  <c r="J6" i="6"/>
  <c r="J5" i="6"/>
  <c r="J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<sst xmlns="http://schemas.openxmlformats.org/spreadsheetml/2006/main" count="2702" uniqueCount="1006">
  <si>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</si>
  <si>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</si>
  <si>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</si>
  <si>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</si>
  <si>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</si>
  <si>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</si>
  <si>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</si>
  <si>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</si>
  <si>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</si>
  <si>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</si>
  <si>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</si>
  <si>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</si>
  <si>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</si>
  <si>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</si>
  <si>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</si>
  <si>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</si>
  <si>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</si>
  <si>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</si>
  <si>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</si>
  <si>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</si>
  <si>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</si>
  <si>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</si>
  <si>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</si>
  <si>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</si>
  <si>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</si>
  <si>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</si>
  <si>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</si>
  <si>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</si>
  <si>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</si>
  <si>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</si>
  <si>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</si>
  <si>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</si>
  <si>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</si>
  <si>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</si>
  <si>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</si>
  <si>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</si>
  <si>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</si>
  <si>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</si>
  <si>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</si>
  <si>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</si>
  <si>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</si>
  <si>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</si>
  <si>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</si>
  <si>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</si>
  <si>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</si>
  <si>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</si>
  <si>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</si>
  <si>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</si>
  <si>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</si>
  <si>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</si>
  <si>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</si>
  <si>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</si>
  <si>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</si>
  <si>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</si>
  <si>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</si>
  <si>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</si>
  <si>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</si>
  <si>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</si>
  <si>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</si>
  <si>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</si>
  <si>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</si>
  <si>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</si>
  <si>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</si>
  <si>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</si>
  <si>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</si>
  <si>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</si>
  <si>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</si>
  <si>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</si>
  <si>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</si>
  <si>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</si>
  <si>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</si>
  <si>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</si>
  <si>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</si>
  <si>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</si>
  <si>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</si>
  <si>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</si>
  <si>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</si>
  <si>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</si>
  <si>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</si>
  <si>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</si>
  <si>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</si>
  <si>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</si>
  <si>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</si>
  <si>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</si>
  <si>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</si>
  <si>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</si>
  <si>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</si>
  <si>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</si>
  <si>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</si>
  <si>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</si>
  <si>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</si>
  <si>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</si>
  <si>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</si>
  <si>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</si>
  <si>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</si>
  <si>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</si>
  <si>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</si>
  <si>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</si>
  <si>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</si>
  <si>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</si>
  <si>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</si>
  <si>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</si>
  <si>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</si>
  <si>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</si>
  <si>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</si>
  <si>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</si>
  <si>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</si>
  <si>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</si>
  <si>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</si>
  <si>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</si>
  <si>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</si>
  <si>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</si>
  <si>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</si>
  <si>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</si>
  <si>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</si>
  <si>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</si>
  <si>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</si>
  <si>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</si>
  <si>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</si>
  <si>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</si>
  <si>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</si>
  <si>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</si>
  <si>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</si>
  <si>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</si>
  <si>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</si>
  <si>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</si>
  <si>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</si>
  <si>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</si>
  <si>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</si>
  <si>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</si>
  <si>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</si>
  <si>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</si>
  <si>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</si>
  <si>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</si>
  <si>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</si>
  <si>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</si>
  <si>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</si>
  <si>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</si>
  <si>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</si>
  <si>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</si>
  <si>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</si>
  <si>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</si>
  <si>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</si>
  <si>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</si>
  <si>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</si>
  <si>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</si>
  <si>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</si>
  <si>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</si>
  <si>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</si>
  <si>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</si>
  <si>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</si>
  <si>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</si>
  <si>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</si>
  <si>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</si>
  <si>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</si>
  <si>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</si>
  <si>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</si>
  <si>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</si>
  <si>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</si>
  <si>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</si>
  <si>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</si>
  <si>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</si>
  <si>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</si>
  <si>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</si>
  <si>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</si>
  <si>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</si>
  <si>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</si>
  <si>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</si>
  <si>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</si>
  <si>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</si>
  <si>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</si>
  <si>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</si>
  <si>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</si>
  <si>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</si>
  <si>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</si>
  <si>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</si>
  <si>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</si>
  <si>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</si>
  <si>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</si>
  <si>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</si>
  <si>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</si>
  <si>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</si>
  <si>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</si>
  <si>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</si>
  <si>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</si>
  <si>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</si>
  <si>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</si>
  <si>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</si>
  <si>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</si>
  <si>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</si>
  <si>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</si>
  <si>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</si>
  <si>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</si>
  <si>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</si>
  <si>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</si>
  <si>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</si>
  <si>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</si>
  <si>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</si>
  <si>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</si>
  <si>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</si>
  <si>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</si>
  <si>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</si>
  <si>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</si>
  <si>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</si>
  <si>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</si>
  <si>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</si>
  <si>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</si>
  <si>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</si>
  <si>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</si>
  <si>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</si>
  <si>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</si>
  <si>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</si>
  <si>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</si>
  <si>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</si>
  <si>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</si>
  <si>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</si>
  <si>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</si>
  <si>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</si>
  <si>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</si>
  <si>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</si>
  <si>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</si>
  <si>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</si>
  <si>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</si>
  <si>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</si>
  <si>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</si>
  <si>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</si>
  <si>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</si>
  <si>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</si>
  <si>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</si>
  <si>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</si>
  <si>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</si>
  <si>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</si>
  <si>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</si>
  <si>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</si>
  <si>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</si>
  <si>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</si>
  <si>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</si>
  <si>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</si>
  <si>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</si>
  <si>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</si>
  <si>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</si>
  <si>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</si>
  <si>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</si>
  <si>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</si>
  <si>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</si>
  <si>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</si>
  <si>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</si>
  <si>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</si>
  <si>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</si>
  <si>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</si>
  <si>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</si>
  <si>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</si>
  <si>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</si>
  <si>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</si>
  <si>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</si>
  <si>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</si>
  <si>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</si>
  <si>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</si>
  <si>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</si>
  <si>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</si>
  <si>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</si>
  <si>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</si>
  <si>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</si>
  <si>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</si>
  <si>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</si>
  <si>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</si>
  <si>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</si>
  <si>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</si>
  <si>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</si>
  <si>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</si>
  <si>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</si>
  <si>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</si>
  <si>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</si>
  <si>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</si>
  <si>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</si>
  <si>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</si>
  <si>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</si>
  <si>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</si>
  <si>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</si>
  <si>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</si>
  <si>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</si>
  <si>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</si>
  <si>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</si>
  <si>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</si>
  <si>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</si>
  <si>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</si>
  <si>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</si>
  <si>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</si>
  <si>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</si>
  <si>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</si>
  <si>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</si>
  <si>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</si>
  <si>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</si>
  <si>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</si>
  <si>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</si>
  <si>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</si>
  <si>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</si>
  <si>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</si>
  <si>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</si>
  <si>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</si>
  <si>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</si>
  <si>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</si>
  <si>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</si>
  <si>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</si>
  <si>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</si>
  <si>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</si>
  <si>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</si>
  <si>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</si>
  <si>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</si>
  <si>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</si>
  <si>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</si>
  <si>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</si>
  <si>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</si>
  <si>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</si>
  <si>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</si>
  <si>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</si>
  <si>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</si>
  <si>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</si>
  <si>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</si>
  <si>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</si>
  <si>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</si>
  <si>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</si>
  <si>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</si>
  <si>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</si>
  <si>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</si>
  <si>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</si>
  <si>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</si>
  <si>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</si>
  <si>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</si>
  <si>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</si>
  <si>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</si>
  <si>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</si>
  <si>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</si>
  <si>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</si>
  <si>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</si>
  <si>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</si>
  <si>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</si>
  <si>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</si>
  <si>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</si>
  <si>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</si>
  <si>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</si>
  <si>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</si>
  <si>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</si>
  <si>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</si>
  <si>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</si>
  <si>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</si>
  <si>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</si>
  <si>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</si>
  <si>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</si>
  <si>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</si>
  <si>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</si>
  <si>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</si>
  <si>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</si>
  <si>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</si>
  <si>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</si>
  <si>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</si>
  <si>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</si>
  <si>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</si>
  <si>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</si>
  <si>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</si>
  <si>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</si>
  <si>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</si>
  <si>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</si>
  <si>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</si>
  <si>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</si>
  <si>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</si>
  <si>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</si>
  <si>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</si>
  <si>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</si>
  <si>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</si>
  <si>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</si>
  <si>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</si>
  <si>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</si>
  <si>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</si>
  <si>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</si>
  <si>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</si>
  <si>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</si>
  <si>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</si>
  <si>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</si>
  <si>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</si>
  <si>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</si>
  <si>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</si>
  <si>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</si>
  <si>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</si>
  <si>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</si>
  <si>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</si>
  <si>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</si>
  <si>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</si>
  <si>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</si>
  <si>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</si>
  <si>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</si>
  <si>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</si>
  <si>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</si>
  <si>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</si>
  <si>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</si>
  <si>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</si>
  <si>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</si>
  <si>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</si>
  <si>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</si>
  <si>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</si>
  <si>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</si>
  <si>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</si>
  <si>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</si>
  <si>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</si>
  <si>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</si>
  <si>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</si>
  <si>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</si>
  <si>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</si>
  <si>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</si>
  <si>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</si>
  <si>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</si>
  <si>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</si>
  <si>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</si>
  <si>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</si>
  <si>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</si>
  <si>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</si>
  <si>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</si>
  <si>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</si>
  <si>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</si>
  <si>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</si>
  <si>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</si>
  <si>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</si>
  <si>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</si>
  <si>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</si>
  <si>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</si>
  <si>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</si>
  <si>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</si>
  <si>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</si>
  <si>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</si>
  <si>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</si>
  <si>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</si>
  <si>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</si>
  <si>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</si>
  <si>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</si>
  <si>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</si>
  <si>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</si>
  <si>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</si>
  <si>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</si>
  <si>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</si>
  <si>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</si>
  <si>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</si>
  <si>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</si>
  <si>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</si>
  <si>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</si>
  <si>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</si>
  <si>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</si>
  <si>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</si>
  <si>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</si>
  <si>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</si>
  <si>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</si>
  <si>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</si>
  <si>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</si>
  <si>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</si>
  <si>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</si>
  <si>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</si>
  <si>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</si>
  <si>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</si>
  <si>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</si>
  <si>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</si>
  <si>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</si>
  <si>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</si>
  <si>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</si>
  <si>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</si>
  <si>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 xml:space="preserve">[OBS102]En la descripción del punto 8 de la caracterización "contratación" está fuera de contexto._x000D_
[OBS103]La descripción de la actividad 9 no corresponde a un timer. El timer define un tiempo exacto: cada N dias, cada fin de mes, el dia TAL a N horas. No es un contador._x000D_
[OBS104]En la descripción de la actividad 10, la frase "es necesario  que rinda" está fuera de contexto._x000D_
[OBS105]Respecto a la solución de la observación 087 (OBS087), en el alcance del proceso se debería cambiar de color turquesa a azul._x000D_
</t>
  </si>
  <si>
    <t xml:space="preserve">[OBS106]En la descripción de la actividad 1 hay un error ortográfico con "inicio"._x000D_
</t>
  </si>
  <si>
    <t xml:space="preserve">[OBS107]En el diagrama los conectores entre los pool no son los adecuados. Conectores entre las actividades 2-3, 5-6, 10-11, 11-12, 14-15_x000D_
</t>
  </si>
  <si>
    <t xml:space="preserve">[OBS108]En la descripción de la actividad 1 hay un error ortográfico con "inicia"._x000D_
[OBS109]Error de tipeo en la descripción de la actividad 20 con "Administrador"._x000D_
[OBS110]Los procesos 7 y 20 tienen el mismo nombre y  los procesos 13 y 24 también, cambiarle el nombre a alguno._x000D_
</t>
  </si>
  <si>
    <t xml:space="preserve">[OBS111]En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revisión._x000D_
[OBS112]Los procesos 6 y 7 tienen el mismo nombre, cambiarle el nombre a alguno._x000D_
</t>
  </si>
  <si>
    <t xml:space="preserve">[OBS113]Enviarme el documento de las reglas de negocio._x000D_
[OBS114]La descripción de la actividad 10 no queda claro que sucede si es que existe una subsanación._x000D_
</t>
  </si>
  <si>
    <t xml:space="preserve">[OBS115]Enviarme el documento de las reglas de negocio._x000D_
</t>
  </si>
  <si>
    <t xml:space="preserve">[OBS116]No puede existir conectores hacia actividades que se encuentran dentro de un sub-proceso._x000D_
[OBS117]Respecto a la OBS083, en todo caso agregar como datos de salida de la actividad 4 las entradas de las actividades 6 y 7, de lo contrario en este definición de procesos no se puede seguir el flujo en la caracterización_x000D_
[OBS118]Respecto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9._x000D_
</t>
  </si>
  <si>
    <t xml:space="preserve">[OBS120]En el primer parrafo se indica que es un macroproceso cuando es un proceso._x000D_
</t>
  </si>
  <si>
    <t xml:space="preserve">[OBS099]El nombre del Macroproceso debe estar en la cabecera del pool._x000D_
</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</si>
  <si>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</si>
  <si>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</si>
  <si>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</si>
  <si>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</si>
  <si>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</si>
  <si>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</si>
  <si>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</si>
  <si>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</si>
  <si>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</si>
  <si>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</si>
  <si>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</si>
  <si>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</si>
  <si>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</si>
  <si>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</si>
  <si>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</si>
  <si>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</si>
  <si>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</si>
  <si>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</si>
  <si>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</si>
  <si>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</si>
  <si>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</si>
  <si>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</si>
  <si>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</si>
  <si>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</si>
  <si>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 xml:space="preserve">[OBS121]En los Actores del proceso menciona al Director y este no se encuentra en el proceso._x000D_
[OBS122]La entrada de la actividad 3.2 "Necesidad de Nueva fecha" no tiene relación con el flujo._x000D_
[OBS123]La entrada de la actividad 3.3 "Necesidad de Viaje" no tiene relación con el flujo._x000D_
</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</si>
  <si>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</si>
  <si>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</si>
  <si>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</si>
  <si>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</si>
  <si>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</si>
  <si>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</si>
  <si>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</si>
  <si>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</si>
  <si>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</si>
  <si>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</si>
  <si>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</si>
  <si>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</si>
  <si>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</si>
  <si>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</si>
  <si>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</si>
  <si>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</si>
  <si>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</si>
  <si>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</si>
  <si>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</si>
  <si>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</si>
  <si>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</si>
  <si>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</si>
  <si>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</si>
  <si>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</si>
  <si>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</si>
  <si>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</si>
  <si>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</si>
  <si>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</si>
  <si>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</si>
  <si>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</si>
  <si>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</si>
  <si>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</si>
  <si>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</si>
  <si>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</si>
  <si>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</si>
  <si>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</si>
  <si>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</si>
  <si>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</si>
  <si>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</si>
  <si>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</si>
  <si>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</si>
  <si>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</si>
  <si>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</si>
  <si>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</si>
  <si>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</si>
  <si>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</si>
  <si>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</si>
  <si>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</si>
  <si>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</si>
  <si>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</si>
  <si>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</si>
  <si>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</si>
  <si>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</si>
  <si>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</si>
  <si>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</si>
  <si>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</si>
  <si>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</si>
  <si>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</si>
  <si>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</si>
  <si>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</si>
  <si>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</si>
  <si>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</si>
  <si>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</si>
  <si>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</si>
  <si>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</si>
  <si>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</si>
  <si>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</si>
  <si>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</si>
  <si>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</si>
  <si>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</si>
  <si>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</si>
  <si>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</si>
  <si>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</si>
  <si>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</si>
  <si>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</si>
  <si>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</si>
  <si>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</si>
  <si>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</si>
  <si>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</si>
  <si>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</si>
  <si>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</si>
  <si>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</si>
  <si>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</si>
  <si>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</si>
  <si>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</si>
  <si>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</si>
  <si>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</si>
  <si>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</si>
  <si>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</si>
  <si>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</si>
  <si>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</si>
  <si>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</si>
  <si>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</si>
  <si>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</si>
  <si>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</si>
  <si>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</si>
  <si>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</si>
  <si>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</si>
  <si>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</si>
  <si>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</si>
  <si>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</si>
  <si>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</si>
  <si>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</si>
  <si>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</si>
  <si>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</si>
  <si>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</si>
  <si>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</si>
  <si>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</si>
  <si>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</si>
  <si>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</si>
  <si>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</si>
  <si>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</si>
  <si>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</si>
  <si>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</si>
  <si>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</si>
  <si>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</si>
  <si>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</si>
  <si>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</si>
  <si>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</si>
  <si>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</si>
  <si>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</si>
  <si>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</si>
  <si>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</si>
  <si>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</si>
  <si>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</si>
  <si>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</si>
  <si>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</si>
  <si>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</si>
  <si>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</si>
  <si>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</si>
  <si>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</si>
  <si>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</si>
  <si>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</si>
  <si>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</si>
  <si>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</si>
  <si>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</si>
  <si>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</si>
  <si>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</si>
  <si>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</si>
  <si>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</si>
  <si>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</si>
  <si>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</si>
  <si>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</si>
  <si>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</si>
  <si>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</si>
  <si>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</si>
  <si>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</si>
  <si>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</si>
  <si>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</si>
  <si>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</si>
  <si>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</si>
  <si>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</si>
  <si>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</si>
  <si>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</si>
  <si>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</si>
  <si>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</si>
  <si>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</si>
  <si>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</si>
  <si>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</si>
  <si>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</si>
  <si>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</si>
  <si>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</si>
  <si>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</si>
  <si>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</si>
  <si>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</si>
  <si>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</si>
  <si>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</si>
  <si>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</si>
  <si>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</si>
  <si>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</si>
  <si>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</si>
  <si>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</si>
  <si>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</si>
  <si>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</si>
  <si>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</si>
  <si>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</si>
  <si>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</si>
  <si>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</si>
  <si>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</si>
  <si>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</si>
  <si>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</si>
  <si>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</si>
  <si>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</si>
  <si>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</si>
  <si>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</si>
  <si>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</si>
  <si>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</si>
  <si>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</si>
  <si>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</si>
  <si>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</si>
  <si>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</si>
  <si>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</si>
  <si>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</si>
  <si>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</si>
  <si>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</si>
  <si>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</si>
  <si>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</si>
  <si>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</si>
  <si>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</si>
  <si>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</si>
  <si>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</si>
  <si>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</si>
  <si>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</si>
  <si>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</si>
  <si>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</si>
  <si>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</si>
  <si>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</si>
  <si>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</si>
  <si>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</si>
  <si>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</si>
  <si>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</si>
  <si>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</si>
  <si>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</si>
  <si>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</si>
  <si>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</si>
  <si>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</si>
  <si>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</si>
  <si>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</si>
  <si>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</si>
  <si>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</si>
  <si>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</si>
  <si>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</si>
  <si>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</si>
  <si>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</si>
  <si>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</si>
  <si>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</si>
  <si>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</si>
  <si>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</si>
  <si>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</si>
  <si>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</si>
  <si>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</si>
  <si>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</si>
  <si>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</si>
  <si>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</si>
  <si>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</si>
  <si>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</si>
  <si>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</si>
  <si>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</si>
  <si>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</si>
  <si>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</si>
  <si>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</si>
  <si>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</si>
  <si>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</si>
  <si>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</si>
  <si>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</si>
  <si>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</si>
  <si>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</si>
  <si>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</si>
  <si>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</si>
  <si>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</si>
  <si>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</si>
  <si>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</si>
  <si>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</si>
  <si>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</si>
  <si>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</si>
  <si>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</si>
  <si>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</si>
  <si>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</si>
  <si>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</si>
  <si>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</si>
  <si>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</si>
  <si>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</si>
  <si>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</si>
  <si>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</si>
  <si>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</si>
  <si>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</si>
  <si>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</si>
  <si>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</si>
  <si>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</si>
  <si>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</si>
  <si>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</si>
  <si>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</si>
  <si>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</si>
  <si>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</si>
  <si>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</si>
  <si>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</si>
  <si>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</si>
  <si>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</si>
  <si>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</si>
  <si>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</si>
  <si>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</si>
  <si>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</si>
  <si>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</si>
  <si>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</si>
  <si>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</si>
  <si>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</si>
  <si>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</si>
  <si>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</si>
  <si>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</si>
  <si>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</si>
  <si>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</si>
  <si>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</si>
  <si>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</si>
  <si>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</si>
  <si>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</si>
  <si>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</si>
  <si>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</si>
  <si>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</si>
  <si>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</si>
  <si>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</si>
  <si>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</si>
  <si>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</si>
  <si>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</si>
  <si>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</si>
  <si>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</si>
  <si>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</si>
  <si>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</si>
  <si>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</si>
  <si>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</si>
  <si>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</si>
  <si>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</si>
  <si>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</si>
  <si>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</si>
  <si>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</si>
  <si>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</si>
  <si>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</si>
  <si>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</si>
  <si>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</si>
  <si>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</si>
  <si>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</si>
  <si>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</si>
  <si>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</si>
  <si>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</si>
  <si>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</si>
  <si>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</si>
  <si>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</si>
  <si>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</si>
  <si>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</si>
  <si>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</si>
  <si>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</si>
  <si>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</si>
  <si>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</si>
  <si>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</si>
  <si>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</si>
  <si>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</si>
  <si>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</si>
  <si>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</si>
  <si>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</si>
  <si>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</si>
  <si>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</si>
  <si>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</si>
  <si>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</si>
  <si>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</si>
  <si>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</si>
  <si>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</si>
  <si>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</si>
  <si>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</si>
  <si>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</si>
  <si>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</si>
  <si>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</si>
  <si>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</si>
  <si>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</si>
  <si>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</si>
  <si>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</si>
  <si>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</si>
  <si>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</si>
  <si>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</si>
  <si>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</si>
  <si>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</si>
  <si>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</si>
  <si>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</si>
  <si>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</si>
  <si>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</si>
  <si>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</si>
  <si>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</si>
  <si>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</si>
  <si>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</si>
  <si>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</si>
  <si>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</si>
  <si>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</si>
  <si>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</si>
  <si>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</si>
  <si>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</si>
  <si>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</si>
  <si>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</si>
  <si>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</si>
  <si>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</si>
  <si>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</si>
  <si>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</si>
  <si>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</si>
  <si>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</si>
  <si>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</si>
  <si>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</si>
  <si>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</si>
  <si>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</si>
  <si>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</si>
  <si>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</si>
  <si>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</si>
  <si>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</si>
  <si>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</si>
  <si>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</si>
  <si>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</si>
  <si>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</si>
  <si>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</si>
  <si>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</si>
  <si>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</si>
  <si>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[OBS219]El nombre de un proceso debe comenzar con un verbo en infinitivo, solo los nombres de los Macroprocesos no cumplen con esa regla._x000D_
[OBS220]Toda tarea, actividad: proceso, subproceso, gateway, evento tiene que empezar con un verbo infinitivo. (-ar, -er, -ir)._x000D_
</t>
  </si>
  <si>
    <t xml:space="preserve">[OBS221]Toda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</si>
  <si>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</si>
  <si>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</si>
  <si>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</si>
  <si>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[OBS227]El nombre de un proceso debe comenzar con un verbo en infinitivo, solo los nombres de los Macroprocesos no cumplen con esa regla._x000D_
[OBS228]El dato de salida del inicio "Conjunto de Cartas entregadas" nunca se usa en el flujo._x000D_
[OBS229]"Decisión luego de visita" debería ser dato de salida de la actividad 3_x000D_
[OBS230]"Visita innecesaria" debería ser dato de entrada de la actividad 7_x000D_
[OBS231]"Voucher enviado" no puede ser un dato de entrada de la actividad 8._x000D_
[OBS232]No hay dato que relacione la actividad 8 y 10._x000D_
[OBS233]No se menciona los eventos timers de las actividades 14 y 20, ni el evento de condición, regla de negocio, de la actividad 16 en la caracterización. Mientras que en la actividad 15 se menciona una regla de negocio que no se ve en el diagrama. _x000D_
</t>
  </si>
  <si>
    <t xml:space="preserve">[OBS234]Toda tarea, actividad: proceso, subproceso, gateway, evento tiene que empezar con un verbo infinitivo. (-ar, -er, -ir)._x000D_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</si>
  <si>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</si>
  <si>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</si>
  <si>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</si>
  <si>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</si>
  <si>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</si>
  <si>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</si>
  <si>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</si>
  <si>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</si>
  <si>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</si>
  <si>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</si>
  <si>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</si>
  <si>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</si>
  <si>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</si>
  <si>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</si>
  <si>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</si>
  <si>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</si>
  <si>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</si>
  <si>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</si>
  <si>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</si>
  <si>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</si>
  <si>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</si>
  <si>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</si>
  <si>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</si>
  <si>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</si>
  <si>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</si>
  <si>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</si>
  <si>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</si>
  <si>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</si>
  <si>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Como dato de esntrada no se menciona el dato de salida de la actividad 7 "Informe Final", mientras que "Solicitud de realización de auditoría" no concuerda con el flujo.</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</si>
  <si>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</si>
  <si>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</si>
  <si>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</si>
  <si>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</si>
  <si>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</si>
  <si>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</si>
  <si>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</si>
  <si>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</si>
  <si>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</si>
  <si>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</si>
  <si>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</si>
  <si>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</si>
  <si>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</si>
  <si>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</si>
  <si>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</si>
  <si>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</si>
  <si>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</si>
  <si>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</si>
  <si>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</si>
  <si>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</si>
  <si>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</si>
  <si>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</si>
  <si>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</si>
  <si>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 xml:space="preserve">[OBS237]Considerar el mismo formato al momento de juntar todos los documentos, normalmente siempre han escrito el título del macroproceso en mayúsculas._x000D_
[OBS238]Hay un error de tipeo en el propósito y en el alcance al escribir "macro proceso", es junto._x000D_
[OBS239]Al final del punto 2 del procedimiento, "otros" debería estar en femenino, ya que se está refiriendo a las áreas._x000D_
[OBS240]Sugerencia de formato, es el primer documento en el que se encuentra leyendas como: "Definición del Macroproceso: "Gestión de Proyectos”, "Diagrama de Proceso del Macroproceso "Gestión de Proyectos” y Caracterización del Macroproceso "Gestión de Proyectos"_x000D_
[OBS241]El nombre de un proceso debe comenzar con un verbo en infinitivo, solo los nombres de los Macroprocesos no cumplen con esa regla._x000D_
[OBS242]Es una buena práctica caracterizar según el flujo total, no solo del principal. El fin debería ser lo último que se caracteriza al igual que procesos que tienen datos de salida que son datos de entrada de otro proceso se caracterizan primero._x000D_
[OBS243]Sugiero un estandar, en todos los documentos anteriores la caracterización siempre siempre ha tenido todos los bordes en el cuadro._x000D_
[OBS244]En la Obs130 se mencionó que los datos de entrada "No faltan actividades" no parecen ser un artefacto y la solución que propusieron fue cambiarla por "Actividades completas". Se podría considerar lo mismo._x000D_
[OBS245]En la descripción de la actividad 3 hay un error de tipeo al final de la 2da linea con "esperar"._x000D_
[OBS246]No se menciona el dato de salida "Documentación" en la actividad 4._x000D_
[OBS247]Como dato de esntrada no se menciona el dato de salida de la actividad 7 "Informe Final", mientras que "Solicitud de realización de auditoría" no concuerda con el flujo._x000D_
[OBS248]En la descripción de la actividad 6 "referente al proyecto" debería estar entre comas para que se entienda que "lista" se refiere a la información. Si se refiere al proyecto debe ser "listo"._x000D_
[OBS249]En la descripción de la actividad 8 hay un "la" innecesario entre "para" y "llevar"._x000D_
[OBS250]El dato de entrada de la actividad 11 no concuerda con el dato de salida de la actividad 2._x000D_
</t>
  </si>
  <si>
    <t xml:space="preserve">[OBS251]El nombre de un proceso debe comenzar con un verbo en infinitivo, solo los nombres de los Macroprocesos no cumplen con esa regla._x000D_
[OBS252]En el procedimiento, en el punto 2, hay un error ortográfico con la "ó" que está entre donación y concurso, no es necesario que lleve tilde._x000D_
[OBS253]En el procedimiento, en el punto 5, hay un error de tipeo "Evaluar del Proyecto"._x000D_
[OBS254]Es una buena práctica caracterizar según el flujo total, no solo del principal. El fin debería ser lo último que se caracteriza al igual que procesos que tienen datos de salida que son datos de entrada de otro proceso se caracterizan primero._x000D_
[OBS255]Toda tarea, actividad: proceso, subproceso, gateway, evento tiene que empezar con un verbo infinitivo. (-ar, -er, -ir)._x000D_
[OBS256]Considerar las actividades de compensación que se llaman en la actividad 7 y 17. La actividad de compensación indica el rolling back del flujo. Para este caso, cancelando todo el proceso._x000D_
[OBS257]No hay un dato que relacione el inicio con la actividad 2_x000D_
[OBS258]En la descripción de la actividad 5 no se menciona cuando se sale del ciclo para poder ir a la siguiente actividad._x000D_
[OBS259]En la descripción de la actividad 15, debe haber una coma entre "requerida" y  "se"._x000D_
[OBS260]La actividad 20 tiene 3 datos de salida que no estan como entrada en la actividad 2._x000D_
[OBS261]La actividad 21 tiene 5 datos de salida que no estan como entrada en la actividad 2._x000D_
</t>
  </si>
  <si>
    <t xml:space="preserve">[OBS262]Diferente tipo de fuente, en el mismo documento, y respecto a los otros documentos._x000D_
[OBS263]En el primer parrafo y en la descripción de la actividad 8 hay un error de tipeo al escribir "macroproceso" separado._x000D_
[OBS264]En el propósito, el alcance y la descripción de la actividad 9 se menciona proceso en vez de macroproceso._x000D_
[OBS265]No se mencionó la leyenda, normalmente lo mencionan en el alcance, que significa los colores de los procesos._x000D_
[OBS266]Es una buena práctica caracterizar según el flujo total, no solo del principal. El fin debería ser lo último que se caracteriza al igual que procesos que tienen datos de salida que son datos de entrada de otro proceso se caracterizan primero._x000D_
[OBS267]Toda tarea, actividad: proceso, subproceso, gateway, evento tiene que empezar con un verbo infinitivo. (-ar, -er, -ir)._x000D_
[OBS268]"Resultado de Prueba Ministerial" no está como dato de entrada de la actividad 4, el proceso 10 no sería necesario._x000D_
[OBS269]"Cuestionario de necesidades" no está como dato de salida de la actividad 4._x000D_
[OBS270]"Formato de monitoreo e Informe" no se detalla como dato de salida de la actividad 5 ni como dato de entrada de la actividad 6._x000D_
[OBS271]Existe un conector de más entre la actvidad 5 y 11._x000D_
[OBS272]La descripción de la actividad 11 está incompleta._x000D_
[OBS273]Existe un conector de más entre la actvidad 6 y 13._x000D_
[OBS274]Probablemente en la descripción de la actividad 13 no debería decir "Capacitación de la invitación"._x000D_
</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</si>
  <si>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</si>
  <si>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</si>
  <si>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</si>
  <si>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</si>
  <si>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</si>
  <si>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</si>
  <si>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</si>
  <si>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</si>
  <si>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</si>
  <si>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</si>
  <si>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</si>
  <si>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</si>
  <si>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</si>
  <si>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</si>
  <si>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</si>
  <si>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</si>
  <si>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[OBS281]El nombre de un proceso debe comenzar con un verbo en infinitivo, solo los nombres de los Macroprocesos no cumplen con esa regla._x000D_
[OBS282]Diferente tipo de fuente, en el mismo documento, y respecto a los otros documentos._x000D_
[OBS283]Es una buena práctica caracterizar según el flujo total, no solo del principal. El fin debería ser lo último que se caracteriza al igual que procesos que tienen datos de salida que son datos de entrada de otro proceso se caracterizan primero._x000D_
[OBS284]Toda tarea, actividad: proceso, subproceso, gateway, evento tiene que empezar con un verbo infinitivo. (-ar, -er, -ir)._x000D_
[OBS285]En la descripción de la actividad 4, hay un error ortográfico con "llevará"._x000D_
[OBS286]En la descripción de la actividad 4, sugiero cambiar el "en los docentes" con "con los docentes"._x000D_
[OBS287]Error de formato con el dato de salida de la actividad 6._x000D_
[OBS288]No hay dato que relacione la actividad 6 y 7._x000D_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</si>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</sst>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sz val="11"/>
      <color rgb="FF000000"/>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b/>
      <sz val="11"/>
      <color rgb="FF000000"/>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6" fillId="2" borderId="6" xfId="0" applyFont="1" applyFill="1" applyBorder="1" applyAlignment="1">
      <alignment horizontal="center" vertical="center"/>
    </xf>
    <xf numFmtId="0" fontId="37" fillId="2" borderId="8" xfId="0" applyFont="1" applyFill="1" applyBorder="1" applyAlignment="1">
      <alignment horizontal="center" vertical="center"/>
    </xf>
    <xf numFmtId="0" fontId="37" fillId="0" borderId="10" xfId="0" applyFont="1" applyBorder="1" applyAlignment="1">
      <alignment horizontal="center" vertical="center"/>
    </xf>
    <xf numFmtId="0" fontId="38" fillId="0" borderId="6" xfId="0" applyFont="1" applyBorder="1" applyAlignment="1">
      <alignment horizontal="center" vertical="center"/>
    </xf>
    <xf numFmtId="0" fontId="38"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40" fillId="0" borderId="0" xfId="0" applyFont="1" applyAlignment="1">
      <alignment vertical="center" wrapText="1"/>
    </xf>
    <xf numFmtId="0" fontId="41" fillId="0" borderId="0" xfId="0" applyFont="1" applyAlignment="1">
      <alignment vertical="center" wrapText="1"/>
    </xf>
    <xf numFmtId="0" fontId="41" fillId="0" borderId="0" xfId="0" applyNumberFormat="1" applyFont="1" applyAlignment="1" applyProtection="1">
      <alignment vertical="center" wrapText="1"/>
    </xf>
    <xf numFmtId="0" fontId="41" fillId="0" borderId="0" xfId="0" applyNumberFormat="1" applyFont="1" applyAlignment="1">
      <alignment vertical="center" wrapText="1"/>
    </xf>
    <xf numFmtId="14" fontId="41"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40" fillId="26" borderId="0" xfId="0" applyFont="1" applyFill="1" applyAlignment="1">
      <alignment vertical="center" wrapText="1"/>
    </xf>
    <xf numFmtId="0" fontId="41" fillId="26" borderId="0" xfId="0" applyFont="1" applyFill="1" applyAlignment="1">
      <alignment vertical="center" wrapText="1"/>
    </xf>
    <xf numFmtId="0" fontId="38" fillId="3" borderId="8" xfId="0" applyFont="1" applyFill="1" applyBorder="1" applyAlignment="1">
      <alignment horizontal="center" vertical="center"/>
    </xf>
    <xf numFmtId="0" fontId="38" fillId="4" borderId="8" xfId="0" applyFont="1" applyFill="1" applyBorder="1" applyAlignment="1">
      <alignment horizontal="center" vertical="center"/>
    </xf>
    <xf numFmtId="0" fontId="38" fillId="5" borderId="8" xfId="0" applyFont="1" applyFill="1" applyBorder="1" applyAlignment="1">
      <alignment horizontal="center" vertical="center"/>
    </xf>
    <xf numFmtId="0" fontId="38" fillId="9" borderId="8" xfId="0" applyFont="1" applyFill="1" applyBorder="1" applyAlignment="1">
      <alignment horizontal="center" vertical="center"/>
    </xf>
    <xf numFmtId="0" fontId="38" fillId="10" borderId="8" xfId="0" applyFont="1" applyFill="1" applyBorder="1" applyAlignment="1">
      <alignment horizontal="center" vertical="center"/>
    </xf>
    <xf numFmtId="0" fontId="38"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4"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7" fillId="26" borderId="0" xfId="0" applyFont="1" applyFill="1" applyBorder="1" applyAlignment="1">
      <alignment horizontal="center" vertical="center" wrapText="1"/>
    </xf>
    <xf numFmtId="0" fontId="49" fillId="26" borderId="0" xfId="0" applyFont="1" applyFill="1" applyBorder="1" applyAlignment="1">
      <alignment vertical="center" wrapText="1"/>
    </xf>
    <xf numFmtId="0" fontId="45" fillId="26" borderId="0" xfId="0" applyFont="1" applyFill="1" applyBorder="1"/>
    <xf numFmtId="0" fontId="43" fillId="26" borderId="0" xfId="0" applyFont="1" applyFill="1" applyBorder="1" applyAlignment="1">
      <alignment vertical="center"/>
    </xf>
    <xf numFmtId="0" fontId="47" fillId="32" borderId="0" xfId="0" applyFont="1" applyFill="1" applyBorder="1" applyAlignment="1">
      <alignment horizontal="center" vertical="center" wrapText="1"/>
    </xf>
    <xf numFmtId="0" fontId="46" fillId="32" borderId="0" xfId="0" applyFont="1" applyFill="1" applyBorder="1" applyAlignment="1">
      <alignment horizontal="center" vertical="center" wrapText="1"/>
    </xf>
    <xf numFmtId="0" fontId="46"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8" fillId="26" borderId="0" xfId="1" applyFont="1" applyFill="1" applyBorder="1" applyAlignment="1" applyProtection="1">
      <alignment horizontal="center" vertical="center" wrapText="1"/>
    </xf>
    <xf numFmtId="0" fontId="48" fillId="26" borderId="0" xfId="0" applyFont="1" applyFill="1" applyBorder="1" applyAlignment="1">
      <alignment horizontal="center" vertical="center" wrapText="1"/>
    </xf>
    <xf numFmtId="0" fontId="48" fillId="26" borderId="0" xfId="0" applyFont="1" applyFill="1" applyBorder="1" applyAlignment="1">
      <alignment vertical="center" wrapText="1"/>
    </xf>
    <xf numFmtId="0" fontId="48"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50" fillId="34" borderId="4" xfId="0" applyFont="1" applyFill="1" applyBorder="1" applyAlignment="1">
      <alignment horizontal="left" vertical="center"/>
    </xf>
    <xf numFmtId="0" fontId="51" fillId="26" borderId="0" xfId="0" applyFont="1" applyFill="1" applyAlignment="1">
      <alignment horizontal="right" vertical="center"/>
    </xf>
    <xf numFmtId="0" fontId="52" fillId="26" borderId="0" xfId="0" applyFont="1" applyFill="1" applyAlignment="1">
      <alignment vertical="center"/>
    </xf>
    <xf numFmtId="10" fontId="53" fillId="0" borderId="4" xfId="1" applyNumberFormat="1" applyFont="1" applyFill="1" applyBorder="1" applyAlignment="1" applyProtection="1">
      <alignment horizontal="right" vertical="center"/>
    </xf>
    <xf numFmtId="9" fontId="53" fillId="0" borderId="0" xfId="1" applyFont="1" applyFill="1" applyBorder="1" applyAlignment="1" applyProtection="1">
      <alignment horizontal="right" vertical="center"/>
    </xf>
    <xf numFmtId="0" fontId="53"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9" fillId="37" borderId="15" xfId="4" applyFont="1" applyFill="1" applyBorder="1" applyAlignment="1">
      <alignment horizontal="center" vertical="center" wrapText="1"/>
    </xf>
    <xf numFmtId="0" fontId="39" fillId="37" borderId="16" xfId="4" applyFont="1" applyFill="1" applyBorder="1" applyAlignment="1">
      <alignment horizontal="center" vertical="center" wrapText="1"/>
    </xf>
    <xf numFmtId="0" fontId="39" fillId="37" borderId="16" xfId="4" applyFont="1" applyFill="1" applyBorder="1" applyAlignment="1" applyProtection="1">
      <alignment horizontal="center" vertical="center" wrapText="1"/>
    </xf>
    <xf numFmtId="0" fontId="39" fillId="33" borderId="16" xfId="4" applyFont="1" applyFill="1" applyBorder="1" applyAlignment="1">
      <alignment horizontal="center" vertical="center" wrapText="1"/>
    </xf>
    <xf numFmtId="0" fontId="39" fillId="33" borderId="15" xfId="4" applyFont="1" applyFill="1" applyBorder="1" applyAlignment="1">
      <alignment horizontal="center" vertical="center" wrapText="1"/>
    </xf>
    <xf numFmtId="14" fontId="39" fillId="37" borderId="16" xfId="4" applyNumberFormat="1" applyFont="1" applyFill="1" applyBorder="1" applyAlignment="1">
      <alignment horizontal="center" vertical="center" wrapText="1"/>
    </xf>
    <xf numFmtId="164" fontId="39" fillId="37" borderId="16" xfId="4" applyNumberFormat="1" applyFont="1" applyFill="1" applyBorder="1" applyAlignment="1">
      <alignment horizontal="center" vertical="center" wrapText="1"/>
    </xf>
    <xf numFmtId="0" fontId="51" fillId="26" borderId="0" xfId="0" applyFont="1" applyFill="1" applyAlignment="1">
      <alignment horizontal="right" vertical="center" wrapText="1"/>
    </xf>
    <xf numFmtId="0" fontId="51" fillId="38" borderId="4" xfId="0" applyFont="1" applyFill="1" applyBorder="1" applyAlignment="1">
      <alignment horizontal="left" vertical="center" wrapText="1"/>
    </xf>
    <xf numFmtId="0" fontId="51"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1" fillId="0" borderId="0" xfId="0" applyFont="1" applyBorder="1" applyAlignment="1">
      <alignment vertical="center" wrapText="1"/>
    </xf>
    <xf numFmtId="0" fontId="0" fillId="0" borderId="0" xfId="0" applyBorder="1" applyAlignment="1">
      <alignment vertical="center" wrapText="1"/>
    </xf>
    <xf numFmtId="0" fontId="41" fillId="0" borderId="0" xfId="0" applyNumberFormat="1" applyFont="1" applyBorder="1" applyAlignment="1" applyProtection="1">
      <alignment vertical="center" wrapText="1"/>
    </xf>
    <xf numFmtId="0" fontId="41" fillId="0" borderId="0" xfId="0" applyNumberFormat="1" applyFont="1" applyBorder="1" applyAlignment="1">
      <alignment vertical="center" wrapText="1"/>
    </xf>
    <xf numFmtId="14" fontId="41"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6" fillId="32" borderId="0" xfId="0" applyFont="1" applyFill="1" applyBorder="1" applyAlignment="1">
      <alignment horizontal="center" vertical="center" wrapText="1"/>
    </xf>
    <xf numFmtId="0" fontId="50"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51" fillId="38" borderId="12" xfId="0" applyFont="1" applyFill="1" applyBorder="1" applyAlignment="1">
      <alignment horizontal="left" vertical="center" wrapText="1"/>
    </xf>
    <xf numFmtId="0" fontId="51" fillId="38" borderId="13" xfId="0" applyFont="1" applyFill="1" applyBorder="1" applyAlignment="1">
      <alignment horizontal="left" vertical="center" wrapText="1"/>
    </xf>
    <xf numFmtId="0" fontId="51"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87"/>
          <c:y val="0.20151813899974841"/>
          <c:w val="0.50142494135134619"/>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0.45714285714285713</c:v>
                </c:pt>
                <c:pt idx="1">
                  <c:v>0.54285714285714282</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gap"/>
    <c:showDLblsOverMax val="0"/>
  </c:chart>
  <c:printSettings>
    <c:headerFooter/>
    <c:pageMargins b="0.75000000000000899" l="0.70000000000000062" r="0.70000000000000062" t="0.750000000000008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gap"/>
    <c:showDLblsOverMax val="0"/>
  </c:chart>
  <c:printSettings>
    <c:headerFooter/>
    <c:pageMargins b="0.75000000000000899" l="0.70000000000000062" r="0.70000000000000062" t="0.7500000000000089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HistoricoAvance!$B$4:$B$11</c:f>
              <c:numCache>
                <c:formatCode>dd/mm/yyyy</c:formatCode>
                <c:ptCount val="8"/>
                <c:pt idx="0">
                  <c:v>40791</c:v>
                </c:pt>
                <c:pt idx="1">
                  <c:v>40796</c:v>
                </c:pt>
                <c:pt idx="2">
                  <c:v>40800</c:v>
                </c:pt>
                <c:pt idx="3">
                  <c:v>40802</c:v>
                </c:pt>
                <c:pt idx="4">
                  <c:v>40830</c:v>
                </c:pt>
                <c:pt idx="5">
                  <c:v>40835</c:v>
                </c:pt>
                <c:pt idx="6">
                  <c:v>40838</c:v>
                </c:pt>
                <c:pt idx="7">
                  <c:v>40840</c:v>
                </c:pt>
              </c:numCache>
            </c:numRef>
          </c:cat>
          <c:val>
            <c:numRef>
              <c:f>HistoricoAvance!$C$4:$C$11</c:f>
              <c:numCache>
                <c:formatCode>0</c:formatCode>
                <c:ptCount val="8"/>
                <c:pt idx="0">
                  <c:v>0</c:v>
                </c:pt>
                <c:pt idx="1">
                  <c:v>0</c:v>
                </c:pt>
                <c:pt idx="2">
                  <c:v>5</c:v>
                </c:pt>
                <c:pt idx="3">
                  <c:v>14</c:v>
                </c:pt>
                <c:pt idx="4">
                  <c:v>15</c:v>
                </c:pt>
                <c:pt idx="5">
                  <c:v>15</c:v>
                </c:pt>
                <c:pt idx="6">
                  <c:v>15</c:v>
                </c:pt>
                <c:pt idx="7">
                  <c:v>16</c:v>
                </c:pt>
              </c:numCache>
            </c:numRef>
          </c:val>
          <c:smooth val="0"/>
        </c:ser>
        <c:ser>
          <c:idx val="1"/>
          <c:order val="1"/>
          <c:tx>
            <c:strRef>
              <c:f>HistoricoAvance!$D$3</c:f>
              <c:strCache>
                <c:ptCount val="1"/>
                <c:pt idx="0">
                  <c:v>Fallos</c:v>
                </c:pt>
              </c:strCache>
            </c:strRef>
          </c:tx>
          <c:spPr>
            <a:ln w="50800"/>
          </c:spPr>
          <c:cat>
            <c:numRef>
              <c:f>HistoricoAvance!$B$4:$B$11</c:f>
              <c:numCache>
                <c:formatCode>dd/mm/yyyy</c:formatCode>
                <c:ptCount val="8"/>
                <c:pt idx="0">
                  <c:v>40791</c:v>
                </c:pt>
                <c:pt idx="1">
                  <c:v>40796</c:v>
                </c:pt>
                <c:pt idx="2">
                  <c:v>40800</c:v>
                </c:pt>
                <c:pt idx="3">
                  <c:v>40802</c:v>
                </c:pt>
                <c:pt idx="4">
                  <c:v>40830</c:v>
                </c:pt>
                <c:pt idx="5">
                  <c:v>40835</c:v>
                </c:pt>
                <c:pt idx="6">
                  <c:v>40838</c:v>
                </c:pt>
                <c:pt idx="7">
                  <c:v>40840</c:v>
                </c:pt>
              </c:numCache>
            </c:numRef>
          </c:cat>
          <c:val>
            <c:numRef>
              <c:f>HistoricoAvance!$D$4:$D$11</c:f>
              <c:numCache>
                <c:formatCode>0</c:formatCode>
                <c:ptCount val="8"/>
                <c:pt idx="0">
                  <c:v>10</c:v>
                </c:pt>
                <c:pt idx="1">
                  <c:v>15</c:v>
                </c:pt>
                <c:pt idx="2">
                  <c:v>10</c:v>
                </c:pt>
                <c:pt idx="3">
                  <c:v>1</c:v>
                </c:pt>
                <c:pt idx="4">
                  <c:v>10</c:v>
                </c:pt>
                <c:pt idx="5">
                  <c:v>10</c:v>
                </c:pt>
                <c:pt idx="6">
                  <c:v>20</c:v>
                </c:pt>
                <c:pt idx="7">
                  <c:v>19</c:v>
                </c:pt>
              </c:numCache>
            </c:numRef>
          </c:val>
          <c:smooth val="0"/>
        </c:ser>
        <c:ser>
          <c:idx val="2"/>
          <c:order val="2"/>
          <c:tx>
            <c:strRef>
              <c:f>HistoricoAvance!$E$3</c:f>
              <c:strCache>
                <c:ptCount val="1"/>
                <c:pt idx="0">
                  <c:v>Bloqueado</c:v>
                </c:pt>
              </c:strCache>
            </c:strRef>
          </c:tx>
          <c:cat>
            <c:numRef>
              <c:f>HistoricoAvance!$B$4:$B$11</c:f>
              <c:numCache>
                <c:formatCode>dd/mm/yyyy</c:formatCode>
                <c:ptCount val="8"/>
                <c:pt idx="0">
                  <c:v>40791</c:v>
                </c:pt>
                <c:pt idx="1">
                  <c:v>40796</c:v>
                </c:pt>
                <c:pt idx="2">
                  <c:v>40800</c:v>
                </c:pt>
                <c:pt idx="3">
                  <c:v>40802</c:v>
                </c:pt>
                <c:pt idx="4">
                  <c:v>40830</c:v>
                </c:pt>
                <c:pt idx="5">
                  <c:v>40835</c:v>
                </c:pt>
                <c:pt idx="6">
                  <c:v>40838</c:v>
                </c:pt>
                <c:pt idx="7">
                  <c:v>40840</c:v>
                </c:pt>
              </c:numCache>
            </c:numRef>
          </c:cat>
          <c:val>
            <c:numRef>
              <c:f>HistoricoAvance!$E$4:$E$11</c:f>
              <c:numCache>
                <c:formatCode>0</c:formatCode>
                <c:ptCount val="8"/>
                <c:pt idx="0">
                  <c:v>0</c:v>
                </c:pt>
                <c:pt idx="1">
                  <c:v>0</c:v>
                </c:pt>
                <c:pt idx="2">
                  <c:v>0</c:v>
                </c:pt>
                <c:pt idx="3">
                  <c:v>0</c:v>
                </c:pt>
                <c:pt idx="4">
                  <c:v>0</c:v>
                </c:pt>
                <c:pt idx="5">
                  <c:v>0</c:v>
                </c:pt>
                <c:pt idx="6">
                  <c:v>0</c:v>
                </c:pt>
                <c:pt idx="7">
                  <c:v>0</c:v>
                </c:pt>
              </c:numCache>
            </c:numRef>
          </c:val>
          <c:smooth val="0"/>
        </c:ser>
        <c:ser>
          <c:idx val="3"/>
          <c:order val="3"/>
          <c:tx>
            <c:strRef>
              <c:f>HistoricoAvance!$F$3</c:f>
              <c:strCache>
                <c:ptCount val="1"/>
                <c:pt idx="0">
                  <c:v>Pendiente</c:v>
                </c:pt>
              </c:strCache>
            </c:strRef>
          </c:tx>
          <c:cat>
            <c:numRef>
              <c:f>HistoricoAvance!$B$4:$B$11</c:f>
              <c:numCache>
                <c:formatCode>dd/mm/yyyy</c:formatCode>
                <c:ptCount val="8"/>
                <c:pt idx="0">
                  <c:v>40791</c:v>
                </c:pt>
                <c:pt idx="1">
                  <c:v>40796</c:v>
                </c:pt>
                <c:pt idx="2">
                  <c:v>40800</c:v>
                </c:pt>
                <c:pt idx="3">
                  <c:v>40802</c:v>
                </c:pt>
                <c:pt idx="4">
                  <c:v>40830</c:v>
                </c:pt>
                <c:pt idx="5">
                  <c:v>40835</c:v>
                </c:pt>
                <c:pt idx="6">
                  <c:v>40838</c:v>
                </c:pt>
                <c:pt idx="7">
                  <c:v>40840</c:v>
                </c:pt>
              </c:numCache>
            </c:numRef>
          </c:cat>
          <c:val>
            <c:numRef>
              <c:f>HistoricoAvance!$F$4:$F$11</c:f>
              <c:numCache>
                <c:formatCode>0</c:formatCode>
                <c:ptCount val="8"/>
                <c:pt idx="0">
                  <c:v>0</c:v>
                </c:pt>
                <c:pt idx="1">
                  <c:v>0</c:v>
                </c:pt>
                <c:pt idx="2">
                  <c:v>0</c:v>
                </c:pt>
                <c:pt idx="3">
                  <c:v>0</c:v>
                </c:pt>
                <c:pt idx="4">
                  <c:v>0</c:v>
                </c:pt>
                <c:pt idx="5">
                  <c:v>0</c:v>
                </c:pt>
                <c:pt idx="6">
                  <c:v>0</c:v>
                </c:pt>
                <c:pt idx="7">
                  <c:v>0</c:v>
                </c:pt>
              </c:numCache>
            </c:numRef>
          </c:val>
          <c:smooth val="0"/>
        </c:ser>
        <c:ser>
          <c:idx val="4"/>
          <c:order val="4"/>
          <c:tx>
            <c:strRef>
              <c:f>HistoricoAvance!$G$3</c:f>
              <c:strCache>
                <c:ptCount val="1"/>
                <c:pt idx="0">
                  <c:v>No Aplica</c:v>
                </c:pt>
              </c:strCache>
            </c:strRef>
          </c:tx>
          <c:cat>
            <c:numRef>
              <c:f>HistoricoAvance!$B$4:$B$11</c:f>
              <c:numCache>
                <c:formatCode>dd/mm/yyyy</c:formatCode>
                <c:ptCount val="8"/>
                <c:pt idx="0">
                  <c:v>40791</c:v>
                </c:pt>
                <c:pt idx="1">
                  <c:v>40796</c:v>
                </c:pt>
                <c:pt idx="2">
                  <c:v>40800</c:v>
                </c:pt>
                <c:pt idx="3">
                  <c:v>40802</c:v>
                </c:pt>
                <c:pt idx="4">
                  <c:v>40830</c:v>
                </c:pt>
                <c:pt idx="5">
                  <c:v>40835</c:v>
                </c:pt>
                <c:pt idx="6">
                  <c:v>40838</c:v>
                </c:pt>
                <c:pt idx="7">
                  <c:v>40840</c:v>
                </c:pt>
              </c:numCache>
            </c:numRef>
          </c:cat>
          <c:val>
            <c:numRef>
              <c:f>HistoricoAvance!$G$4:$G$11</c:f>
              <c:numCache>
                <c:formatCode>0</c:formatCode>
                <c:ptCount val="8"/>
                <c:pt idx="0">
                  <c:v>0</c:v>
                </c:pt>
                <c:pt idx="1">
                  <c:v>0</c:v>
                </c:pt>
                <c:pt idx="2">
                  <c:v>0</c:v>
                </c:pt>
                <c:pt idx="3">
                  <c:v>0</c:v>
                </c:pt>
                <c:pt idx="4">
                  <c:v>0</c:v>
                </c:pt>
                <c:pt idx="5">
                  <c:v>0</c:v>
                </c:pt>
                <c:pt idx="6">
                  <c:v>0</c:v>
                </c:pt>
                <c:pt idx="7">
                  <c:v>0</c:v>
                </c:pt>
              </c:numCache>
            </c:numRef>
          </c:val>
          <c:smooth val="0"/>
        </c:ser>
        <c:ser>
          <c:idx val="5"/>
          <c:order val="5"/>
          <c:tx>
            <c:strRef>
              <c:f>HistoricoAvance!$H$3</c:f>
              <c:strCache>
                <c:ptCount val="1"/>
                <c:pt idx="0">
                  <c:v>En Proceso</c:v>
                </c:pt>
              </c:strCache>
            </c:strRef>
          </c:tx>
          <c:cat>
            <c:numRef>
              <c:f>HistoricoAvance!$B$4:$B$11</c:f>
              <c:numCache>
                <c:formatCode>dd/mm/yyyy</c:formatCode>
                <c:ptCount val="8"/>
                <c:pt idx="0">
                  <c:v>40791</c:v>
                </c:pt>
                <c:pt idx="1">
                  <c:v>40796</c:v>
                </c:pt>
                <c:pt idx="2">
                  <c:v>40800</c:v>
                </c:pt>
                <c:pt idx="3">
                  <c:v>40802</c:v>
                </c:pt>
                <c:pt idx="4">
                  <c:v>40830</c:v>
                </c:pt>
                <c:pt idx="5">
                  <c:v>40835</c:v>
                </c:pt>
                <c:pt idx="6">
                  <c:v>40838</c:v>
                </c:pt>
                <c:pt idx="7">
                  <c:v>40840</c:v>
                </c:pt>
              </c:numCache>
            </c:numRef>
          </c:cat>
          <c:val>
            <c:numRef>
              <c:f>HistoricoAvance!$H$4:$H$11</c:f>
              <c:numCache>
                <c:formatCode>0</c:formatCode>
                <c:ptCount val="8"/>
                <c:pt idx="0">
                  <c:v>0</c:v>
                </c:pt>
                <c:pt idx="1">
                  <c:v>0</c:v>
                </c:pt>
                <c:pt idx="2">
                  <c:v>0</c:v>
                </c:pt>
                <c:pt idx="3">
                  <c:v>0</c:v>
                </c:pt>
                <c:pt idx="4">
                  <c:v>0</c:v>
                </c:pt>
                <c:pt idx="5">
                  <c:v>0</c:v>
                </c:pt>
                <c:pt idx="6">
                  <c:v>0</c:v>
                </c:pt>
                <c:pt idx="7">
                  <c:v>0</c:v>
                </c:pt>
              </c:numCache>
            </c:numRef>
          </c:val>
          <c:smooth val="0"/>
        </c:ser>
        <c:ser>
          <c:idx val="6"/>
          <c:order val="6"/>
          <c:tx>
            <c:strRef>
              <c:f>HistoricoAvance!$I$3</c:f>
              <c:strCache>
                <c:ptCount val="1"/>
                <c:pt idx="0">
                  <c:v>Reejecuciones</c:v>
                </c:pt>
              </c:strCache>
            </c:strRef>
          </c:tx>
          <c:cat>
            <c:numRef>
              <c:f>HistoricoAvance!$B$4:$B$11</c:f>
              <c:numCache>
                <c:formatCode>dd/mm/yyyy</c:formatCode>
                <c:ptCount val="8"/>
                <c:pt idx="0">
                  <c:v>40791</c:v>
                </c:pt>
                <c:pt idx="1">
                  <c:v>40796</c:v>
                </c:pt>
                <c:pt idx="2">
                  <c:v>40800</c:v>
                </c:pt>
                <c:pt idx="3">
                  <c:v>40802</c:v>
                </c:pt>
                <c:pt idx="4">
                  <c:v>40830</c:v>
                </c:pt>
                <c:pt idx="5">
                  <c:v>40835</c:v>
                </c:pt>
                <c:pt idx="6">
                  <c:v>40838</c:v>
                </c:pt>
                <c:pt idx="7">
                  <c:v>40840</c:v>
                </c:pt>
              </c:numCache>
            </c:numRef>
          </c:cat>
          <c:val>
            <c:numRef>
              <c:f>HistoricoAvance!$I$4:$I$11</c:f>
              <c:numCache>
                <c:formatCode>0</c:formatCode>
                <c:ptCount val="8"/>
                <c:pt idx="0">
                  <c:v>0</c:v>
                </c:pt>
                <c:pt idx="1">
                  <c:v>0</c:v>
                </c:pt>
                <c:pt idx="2">
                  <c:v>0</c:v>
                </c:pt>
                <c:pt idx="3">
                  <c:v>0</c:v>
                </c:pt>
                <c:pt idx="4">
                  <c:v>0</c:v>
                </c:pt>
                <c:pt idx="5">
                  <c:v>0</c:v>
                </c:pt>
                <c:pt idx="6">
                  <c:v>0</c:v>
                </c:pt>
                <c:pt idx="7">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HistoricoAvance!$B$4:$B$11</c:f>
              <c:numCache>
                <c:formatCode>dd/mm/yyyy</c:formatCode>
                <c:ptCount val="8"/>
                <c:pt idx="0">
                  <c:v>40791</c:v>
                </c:pt>
                <c:pt idx="1">
                  <c:v>40796</c:v>
                </c:pt>
                <c:pt idx="2">
                  <c:v>40800</c:v>
                </c:pt>
                <c:pt idx="3">
                  <c:v>40802</c:v>
                </c:pt>
                <c:pt idx="4">
                  <c:v>40830</c:v>
                </c:pt>
                <c:pt idx="5">
                  <c:v>40835</c:v>
                </c:pt>
                <c:pt idx="6">
                  <c:v>40838</c:v>
                </c:pt>
                <c:pt idx="7">
                  <c:v>40840</c:v>
                </c:pt>
              </c:numCache>
            </c:numRef>
          </c:cat>
          <c:val>
            <c:numRef>
              <c:f>HistoricoAvance!$J$4:$J$11</c:f>
              <c:numCache>
                <c:formatCode>General</c:formatCode>
                <c:ptCount val="8"/>
                <c:pt idx="0">
                  <c:v>10</c:v>
                </c:pt>
                <c:pt idx="1">
                  <c:v>15</c:v>
                </c:pt>
                <c:pt idx="2">
                  <c:v>15</c:v>
                </c:pt>
                <c:pt idx="3">
                  <c:v>15</c:v>
                </c:pt>
                <c:pt idx="4">
                  <c:v>25</c:v>
                </c:pt>
                <c:pt idx="5">
                  <c:v>25</c:v>
                </c:pt>
                <c:pt idx="6">
                  <c:v>35</c:v>
                </c:pt>
                <c:pt idx="7">
                  <c:v>35</c:v>
                </c:pt>
              </c:numCache>
            </c:numRef>
          </c:val>
          <c:smooth val="0"/>
        </c:ser>
        <c:dLbls>
          <c:showLegendKey val="0"/>
          <c:showVal val="0"/>
          <c:showCatName val="0"/>
          <c:showSerName val="0"/>
          <c:showPercent val="0"/>
          <c:showBubbleSize val="0"/>
        </c:dLbls>
        <c:marker val="1"/>
        <c:smooth val="0"/>
        <c:axId val="135499136"/>
        <c:axId val="135500928"/>
      </c:lineChart>
      <c:dateAx>
        <c:axId val="135499136"/>
        <c:scaling>
          <c:orientation val="minMax"/>
        </c:scaling>
        <c:delete val="0"/>
        <c:axPos val="b"/>
        <c:numFmt formatCode="dd/mm/yyyy" sourceLinked="1"/>
        <c:majorTickMark val="out"/>
        <c:minorTickMark val="none"/>
        <c:tickLblPos val="nextTo"/>
        <c:txPr>
          <a:bodyPr/>
          <a:lstStyle/>
          <a:p>
            <a:pPr>
              <a:defRPr lang="es-ES"/>
            </a:pPr>
            <a:endParaRPr lang="es-PE"/>
          </a:p>
        </c:txPr>
        <c:crossAx val="135500928"/>
        <c:crosses val="autoZero"/>
        <c:auto val="1"/>
        <c:lblOffset val="100"/>
        <c:baseTimeUnit val="days"/>
      </c:dateAx>
      <c:valAx>
        <c:axId val="135500928"/>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5499136"/>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99" l="0.70000000000000062" r="0.70000000000000062" t="0.7500000000000089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HistoricoAvance!$L$4:$L$11</c:f>
              <c:numCache>
                <c:formatCode>dd/mm/yyyy</c:formatCode>
                <c:ptCount val="8"/>
                <c:pt idx="0">
                  <c:v>40791</c:v>
                </c:pt>
                <c:pt idx="1">
                  <c:v>40796</c:v>
                </c:pt>
                <c:pt idx="2">
                  <c:v>40800</c:v>
                </c:pt>
                <c:pt idx="3">
                  <c:v>40802</c:v>
                </c:pt>
                <c:pt idx="4">
                  <c:v>40830</c:v>
                </c:pt>
                <c:pt idx="5">
                  <c:v>40835</c:v>
                </c:pt>
                <c:pt idx="6">
                  <c:v>40838</c:v>
                </c:pt>
                <c:pt idx="7">
                  <c:v>40840</c:v>
                </c:pt>
              </c:numCache>
            </c:numRef>
          </c:cat>
          <c:val>
            <c:numRef>
              <c:f>HistoricoAvance!$M$4:$M$11</c:f>
              <c:numCache>
                <c:formatCode>0</c:formatCode>
                <c:ptCount val="8"/>
                <c:pt idx="0">
                  <c:v>55</c:v>
                </c:pt>
                <c:pt idx="1">
                  <c:v>101</c:v>
                </c:pt>
                <c:pt idx="2">
                  <c:v>19</c:v>
                </c:pt>
                <c:pt idx="3">
                  <c:v>3</c:v>
                </c:pt>
                <c:pt idx="4">
                  <c:v>92</c:v>
                </c:pt>
                <c:pt idx="5">
                  <c:v>21</c:v>
                </c:pt>
                <c:pt idx="6">
                  <c:v>63</c:v>
                </c:pt>
                <c:pt idx="7">
                  <c:v>87</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HistoricoAvance!$L$4:$L$11</c:f>
              <c:numCache>
                <c:formatCode>dd/mm/yyyy</c:formatCode>
                <c:ptCount val="8"/>
                <c:pt idx="0">
                  <c:v>40791</c:v>
                </c:pt>
                <c:pt idx="1">
                  <c:v>40796</c:v>
                </c:pt>
                <c:pt idx="2">
                  <c:v>40800</c:v>
                </c:pt>
                <c:pt idx="3">
                  <c:v>40802</c:v>
                </c:pt>
                <c:pt idx="4">
                  <c:v>40830</c:v>
                </c:pt>
                <c:pt idx="5">
                  <c:v>40835</c:v>
                </c:pt>
                <c:pt idx="6">
                  <c:v>40838</c:v>
                </c:pt>
                <c:pt idx="7">
                  <c:v>40840</c:v>
                </c:pt>
              </c:numCache>
            </c:numRef>
          </c:cat>
          <c:val>
            <c:numRef>
              <c:f>HistoricoAvance!$N$4:$N$11</c:f>
              <c:numCache>
                <c:formatCode>0</c:formatCode>
                <c:ptCount val="8"/>
                <c:pt idx="0">
                  <c:v>0</c:v>
                </c:pt>
                <c:pt idx="1">
                  <c:v>0</c:v>
                </c:pt>
                <c:pt idx="2">
                  <c:v>101</c:v>
                </c:pt>
                <c:pt idx="3">
                  <c:v>120</c:v>
                </c:pt>
                <c:pt idx="4">
                  <c:v>123</c:v>
                </c:pt>
                <c:pt idx="5">
                  <c:v>215</c:v>
                </c:pt>
                <c:pt idx="6">
                  <c:v>215</c:v>
                </c:pt>
                <c:pt idx="7">
                  <c:v>215</c:v>
                </c:pt>
              </c:numCache>
            </c:numRef>
          </c:val>
          <c:smooth val="0"/>
        </c:ser>
        <c:ser>
          <c:idx val="2"/>
          <c:order val="2"/>
          <c:tx>
            <c:strRef>
              <c:f>HistoricoAvance!$O$3</c:f>
              <c:strCache>
                <c:ptCount val="1"/>
                <c:pt idx="0">
                  <c:v>Totales</c:v>
                </c:pt>
              </c:strCache>
            </c:strRef>
          </c:tx>
          <c:cat>
            <c:numRef>
              <c:f>HistoricoAvance!$L$4:$L$11</c:f>
              <c:numCache>
                <c:formatCode>dd/mm/yyyy</c:formatCode>
                <c:ptCount val="8"/>
                <c:pt idx="0">
                  <c:v>40791</c:v>
                </c:pt>
                <c:pt idx="1">
                  <c:v>40796</c:v>
                </c:pt>
                <c:pt idx="2">
                  <c:v>40800</c:v>
                </c:pt>
                <c:pt idx="3">
                  <c:v>40802</c:v>
                </c:pt>
                <c:pt idx="4">
                  <c:v>40830</c:v>
                </c:pt>
                <c:pt idx="5">
                  <c:v>40835</c:v>
                </c:pt>
                <c:pt idx="6">
                  <c:v>40838</c:v>
                </c:pt>
                <c:pt idx="7">
                  <c:v>40840</c:v>
                </c:pt>
              </c:numCache>
            </c:numRef>
          </c:cat>
          <c:val>
            <c:numRef>
              <c:f>HistoricoAvance!$O$4:$O$11</c:f>
              <c:numCache>
                <c:formatCode>General</c:formatCode>
                <c:ptCount val="8"/>
                <c:pt idx="0">
                  <c:v>55</c:v>
                </c:pt>
                <c:pt idx="1">
                  <c:v>101</c:v>
                </c:pt>
                <c:pt idx="2">
                  <c:v>120</c:v>
                </c:pt>
                <c:pt idx="3">
                  <c:v>123</c:v>
                </c:pt>
                <c:pt idx="4">
                  <c:v>215</c:v>
                </c:pt>
                <c:pt idx="5">
                  <c:v>236</c:v>
                </c:pt>
                <c:pt idx="6">
                  <c:v>278</c:v>
                </c:pt>
                <c:pt idx="7">
                  <c:v>302</c:v>
                </c:pt>
              </c:numCache>
            </c:numRef>
          </c:val>
          <c:smooth val="0"/>
        </c:ser>
        <c:dLbls>
          <c:showLegendKey val="0"/>
          <c:showVal val="0"/>
          <c:showCatName val="0"/>
          <c:showSerName val="0"/>
          <c:showPercent val="0"/>
          <c:showBubbleSize val="0"/>
        </c:dLbls>
        <c:marker val="1"/>
        <c:smooth val="0"/>
        <c:axId val="137894144"/>
        <c:axId val="137904128"/>
      </c:lineChart>
      <c:dateAx>
        <c:axId val="137894144"/>
        <c:scaling>
          <c:orientation val="minMax"/>
        </c:scaling>
        <c:delete val="0"/>
        <c:axPos val="b"/>
        <c:numFmt formatCode="dd/mm/yyyy" sourceLinked="1"/>
        <c:majorTickMark val="out"/>
        <c:minorTickMark val="none"/>
        <c:tickLblPos val="nextTo"/>
        <c:txPr>
          <a:bodyPr/>
          <a:lstStyle/>
          <a:p>
            <a:pPr>
              <a:defRPr lang="es-ES"/>
            </a:pPr>
            <a:endParaRPr lang="es-PE"/>
          </a:p>
        </c:txPr>
        <c:crossAx val="137904128"/>
        <c:crosses val="autoZero"/>
        <c:auto val="1"/>
        <c:lblOffset val="100"/>
        <c:baseTimeUnit val="days"/>
      </c:dateAx>
      <c:valAx>
        <c:axId val="137904128"/>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894144"/>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921" l="0.70000000000000062" r="0.70000000000000062" t="0.7500000000000092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dinámica1</c:name>
    <c:fmtId val="0"/>
  </c:pivotSource>
  <c:chart>
    <c:title>
      <c:tx>
        <c:rich>
          <a:bodyPr/>
          <a:lstStyle/>
          <a:p>
            <a:pPr>
              <a:defRPr lang="es-ES"/>
            </a:pPr>
            <a:r>
              <a:rPr lang="en-US"/>
              <a:t>Distribución</a:t>
            </a:r>
            <a:r>
              <a:rPr lang="en-US" baseline="0"/>
              <a:t> por Severidad</a:t>
            </a:r>
            <a:endParaRPr lang="en-US"/>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37926912"/>
        <c:axId val="137932800"/>
      </c:barChart>
      <c:catAx>
        <c:axId val="137926912"/>
        <c:scaling>
          <c:orientation val="minMax"/>
        </c:scaling>
        <c:delete val="0"/>
        <c:axPos val="b"/>
        <c:majorTickMark val="out"/>
        <c:minorTickMark val="none"/>
        <c:tickLblPos val="nextTo"/>
        <c:txPr>
          <a:bodyPr/>
          <a:lstStyle/>
          <a:p>
            <a:pPr>
              <a:defRPr lang="es-ES"/>
            </a:pPr>
            <a:endParaRPr lang="es-PE"/>
          </a:p>
        </c:txPr>
        <c:crossAx val="137932800"/>
        <c:crosses val="autoZero"/>
        <c:auto val="1"/>
        <c:lblAlgn val="ctr"/>
        <c:lblOffset val="100"/>
        <c:noMultiLvlLbl val="0"/>
      </c:catAx>
      <c:valAx>
        <c:axId val="13793280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7926912"/>
        <c:crosses val="autoZero"/>
        <c:crossBetween val="between"/>
      </c:valAx>
    </c:plotArea>
    <c:plotVisOnly val="1"/>
    <c:dispBlanksAs val="gap"/>
    <c:showDLblsOverMax val="0"/>
  </c:chart>
  <c:printSettings>
    <c:headerFooter/>
    <c:pageMargins b="0.75000000000000888" l="0.70000000000000062" r="0.70000000000000062" t="0.7500000000000088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dinámica2</c:name>
    <c:fmtId val="0"/>
  </c:pivotSource>
  <c:chart>
    <c:title>
      <c:tx>
        <c:rich>
          <a:bodyPr/>
          <a:lstStyle/>
          <a:p>
            <a:pPr>
              <a:defRPr lang="es-ES"/>
            </a:pPr>
            <a:r>
              <a:rPr lang="en-US"/>
              <a:t>Distribución por Prioridad</a:t>
            </a:r>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37949568"/>
        <c:axId val="137951104"/>
      </c:barChart>
      <c:catAx>
        <c:axId val="137949568"/>
        <c:scaling>
          <c:orientation val="minMax"/>
        </c:scaling>
        <c:delete val="0"/>
        <c:axPos val="b"/>
        <c:majorTickMark val="out"/>
        <c:minorTickMark val="none"/>
        <c:tickLblPos val="nextTo"/>
        <c:txPr>
          <a:bodyPr/>
          <a:lstStyle/>
          <a:p>
            <a:pPr>
              <a:defRPr lang="es-ES"/>
            </a:pPr>
            <a:endParaRPr lang="es-PE"/>
          </a:p>
        </c:txPr>
        <c:crossAx val="137951104"/>
        <c:crosses val="autoZero"/>
        <c:auto val="1"/>
        <c:lblAlgn val="ctr"/>
        <c:lblOffset val="100"/>
        <c:noMultiLvlLbl val="0"/>
      </c:catAx>
      <c:valAx>
        <c:axId val="13795110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7949568"/>
        <c:crosses val="autoZero"/>
        <c:crossBetween val="between"/>
      </c:valAx>
    </c:plotArea>
    <c:plotVisOnly val="1"/>
    <c:dispBlanksAs val="gap"/>
    <c:showDLblsOverMax val="0"/>
  </c:chart>
  <c:printSettings>
    <c:headerFooter/>
    <c:pageMargins b="0.75000000000000888" l="0.70000000000000062" r="0.70000000000000062" t="0.75000000000000888"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dinámica3</c:name>
    <c:fmtId val="0"/>
  </c:pivotSource>
  <c:chart>
    <c:title>
      <c:layout/>
      <c:overlay val="0"/>
      <c:txPr>
        <a:bodyPr/>
        <a:lstStyle/>
        <a:p>
          <a:pPr>
            <a:defRPr lang="es-ES"/>
          </a:pPr>
          <a:endParaRPr lang="es-PE"/>
        </a:p>
      </c:txPr>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37996544"/>
        <c:axId val="137998336"/>
      </c:barChart>
      <c:catAx>
        <c:axId val="137996544"/>
        <c:scaling>
          <c:orientation val="minMax"/>
        </c:scaling>
        <c:delete val="0"/>
        <c:axPos val="b"/>
        <c:majorTickMark val="out"/>
        <c:minorTickMark val="none"/>
        <c:tickLblPos val="nextTo"/>
        <c:txPr>
          <a:bodyPr/>
          <a:lstStyle/>
          <a:p>
            <a:pPr>
              <a:defRPr lang="es-ES"/>
            </a:pPr>
            <a:endParaRPr lang="es-PE"/>
          </a:p>
        </c:txPr>
        <c:crossAx val="137998336"/>
        <c:crosses val="autoZero"/>
        <c:auto val="1"/>
        <c:lblAlgn val="ctr"/>
        <c:lblOffset val="100"/>
        <c:noMultiLvlLbl val="0"/>
      </c:catAx>
      <c:valAx>
        <c:axId val="13799833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7996544"/>
        <c:crosses val="autoZero"/>
        <c:crossBetween val="between"/>
      </c:valAx>
    </c:plotArea>
    <c:plotVisOnly val="1"/>
    <c:dispBlanksAs val="gap"/>
    <c:showDLblsOverMax val="0"/>
  </c:chart>
  <c:printSettings>
    <c:headerFooter/>
    <c:pageMargins b="0.75000000000000888" l="0.70000000000000062" r="0.70000000000000062" t="0.7500000000000088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dinámica5</c:name>
    <c:fmtId val="0"/>
  </c:pivotSource>
  <c:chart>
    <c:title>
      <c:tx>
        <c:rich>
          <a:bodyPr/>
          <a:lstStyle/>
          <a:p>
            <a:pPr>
              <a:defRPr lang="es-ES"/>
            </a:pPr>
            <a:r>
              <a:rPr lang="en-US"/>
              <a:t>Distribución por Responsable</a:t>
            </a:r>
          </a:p>
        </c:rich>
      </c:tx>
      <c:layout/>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38012544"/>
        <c:axId val="138014080"/>
      </c:barChart>
      <c:catAx>
        <c:axId val="138012544"/>
        <c:scaling>
          <c:orientation val="minMax"/>
        </c:scaling>
        <c:delete val="0"/>
        <c:axPos val="b"/>
        <c:majorTickMark val="out"/>
        <c:minorTickMark val="none"/>
        <c:tickLblPos val="nextTo"/>
        <c:txPr>
          <a:bodyPr/>
          <a:lstStyle/>
          <a:p>
            <a:pPr>
              <a:defRPr lang="es-ES"/>
            </a:pPr>
            <a:endParaRPr lang="es-PE"/>
          </a:p>
        </c:txPr>
        <c:crossAx val="138014080"/>
        <c:crosses val="autoZero"/>
        <c:auto val="1"/>
        <c:lblAlgn val="ctr"/>
        <c:lblOffset val="100"/>
        <c:noMultiLvlLbl val="0"/>
      </c:catAx>
      <c:valAx>
        <c:axId val="13801408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8012544"/>
        <c:crosses val="autoZero"/>
        <c:crossBetween val="between"/>
      </c:valAx>
    </c:plotArea>
    <c:plotVisOnly val="1"/>
    <c:dispBlanksAs val="gap"/>
    <c:showDLblsOverMax val="0"/>
  </c:chart>
  <c:printSettings>
    <c:headerFooter/>
    <c:pageMargins b="0.75000000000000877" l="0.70000000000000062" r="0.70000000000000062" t="0.75000000000000877"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dinámica6</c:name>
    <c:fmtId val="0"/>
  </c:pivotSource>
  <c:chart>
    <c:title>
      <c:tx>
        <c:rich>
          <a:bodyPr/>
          <a:lstStyle/>
          <a:p>
            <a:pPr>
              <a:defRPr lang="es-ES"/>
            </a:pPr>
            <a:r>
              <a:rPr lang="es-ES"/>
              <a:t>Distribución por Prioridad</a:t>
            </a:r>
          </a:p>
        </c:rich>
      </c:tx>
      <c:layout/>
      <c:overlay val="0"/>
    </c:title>
    <c:autoTitleDeleted val="0"/>
    <c:pivotFmts>
      <c:pivotFmt>
        <c:idx val="0"/>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39448320"/>
        <c:axId val="139449856"/>
      </c:barChart>
      <c:catAx>
        <c:axId val="139448320"/>
        <c:scaling>
          <c:orientation val="minMax"/>
        </c:scaling>
        <c:delete val="0"/>
        <c:axPos val="b"/>
        <c:majorTickMark val="out"/>
        <c:minorTickMark val="none"/>
        <c:tickLblPos val="nextTo"/>
        <c:txPr>
          <a:bodyPr/>
          <a:lstStyle/>
          <a:p>
            <a:pPr>
              <a:defRPr lang="es-ES"/>
            </a:pPr>
            <a:endParaRPr lang="es-PE"/>
          </a:p>
        </c:txPr>
        <c:crossAx val="139449856"/>
        <c:crosses val="autoZero"/>
        <c:auto val="1"/>
        <c:lblAlgn val="ctr"/>
        <c:lblOffset val="100"/>
        <c:noMultiLvlLbl val="0"/>
      </c:catAx>
      <c:valAx>
        <c:axId val="13944985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448320"/>
        <c:crosses val="autoZero"/>
        <c:crossBetween val="between"/>
      </c:valAx>
    </c:plotArea>
    <c:plotVisOnly val="1"/>
    <c:dispBlanksAs val="gap"/>
    <c:showDLblsOverMax val="0"/>
  </c:chart>
  <c:printSettings>
    <c:headerFooter/>
    <c:pageMargins b="0.75000000000000877" l="0.70000000000000062" r="0.70000000000000062" t="0.75000000000000877"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v8.0.xlsm]CuadrosResumen!Tabla dinámica7</c:name>
    <c:fmtId val="0"/>
  </c:pivotSource>
  <c:chart>
    <c:title>
      <c:tx>
        <c:rich>
          <a:bodyPr/>
          <a:lstStyle/>
          <a:p>
            <a:pPr>
              <a:defRPr lang="es-ES"/>
            </a:pPr>
            <a:r>
              <a:rPr lang="en-US"/>
              <a:t>Distribución</a:t>
            </a:r>
            <a:r>
              <a:rPr lang="en-US" baseline="0"/>
              <a:t> por Estado</a:t>
            </a:r>
          </a:p>
        </c:rich>
      </c:tx>
      <c:layout/>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layout/>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39749632"/>
        <c:axId val="139751424"/>
      </c:barChart>
      <c:catAx>
        <c:axId val="139749632"/>
        <c:scaling>
          <c:orientation val="minMax"/>
        </c:scaling>
        <c:delete val="0"/>
        <c:axPos val="b"/>
        <c:majorTickMark val="out"/>
        <c:minorTickMark val="none"/>
        <c:tickLblPos val="nextTo"/>
        <c:txPr>
          <a:bodyPr/>
          <a:lstStyle/>
          <a:p>
            <a:pPr>
              <a:defRPr lang="es-ES"/>
            </a:pPr>
            <a:endParaRPr lang="es-PE"/>
          </a:p>
        </c:txPr>
        <c:crossAx val="139751424"/>
        <c:crosses val="autoZero"/>
        <c:auto val="1"/>
        <c:lblAlgn val="ctr"/>
        <c:lblOffset val="100"/>
        <c:noMultiLvlLbl val="0"/>
      </c:catAx>
      <c:valAx>
        <c:axId val="13975142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749632"/>
        <c:crosses val="autoZero"/>
        <c:crossBetween val="between"/>
      </c:valAx>
    </c:plotArea>
    <c:plotVisOnly val="1"/>
    <c:dispBlanksAs val="gap"/>
    <c:showDLblsOverMax val="0"/>
  </c:chart>
  <c:printSettings>
    <c:headerFooter/>
    <c:pageMargins b="0.75000000000000877" l="0.70000000000000062" r="0.70000000000000062" t="0.75000000000000877"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39" totalsRowShown="0" headerRowDxfId="68" dataDxfId="66" headerRowBorderDxfId="67" tableBorderDxfId="65">
  <autoFilter ref="A4:Q3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361" totalsRowShown="0" headerRowDxfId="47" dataDxfId="45" headerRowBorderDxfId="46" tableBorderDxfId="44">
  <autoFilter ref="A2:L361">
    <filterColumn colId="1">
      <filters>
        <filter val="CP019"/>
        <filter val="CP020"/>
        <filter val="CP024"/>
        <filter val="CP025"/>
        <filter val="CP028"/>
        <filter val="CP029"/>
        <filter val="CP030"/>
      </filters>
    </filterColumn>
    <filterColumn colId="4">
      <filters>
        <filter val="Abierta"/>
      </filters>
    </filterColumn>
  </autoFilter>
  <sortState ref="A243:L304">
    <sortCondition ref="J2:J361"/>
  </sortState>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11"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SUM([1]!HistóricoEjecuciones[[#This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11" totalsRowShown="0" headerRowDxfId="6" headerRowBorderDxfId="5" tableBorderDxfId="4">
  <tableColumns count="4">
    <tableColumn id="1" name="Fecha" dataDxfId="3"/>
    <tableColumn id="2" name="Abiertas" dataDxfId="2"/>
    <tableColumn id="4" name="Cerradas" dataDxfId="1"/>
    <tableColumn id="5" name="Totales" dataDxfId="0">
      <calculatedColumnFormula>SUM([1]!HistoricoIncidencias[[#This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D4" sqref="D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0.45714285714285713</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35</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19</v>
      </c>
      <c r="D13" s="74"/>
      <c r="E13" s="5">
        <f>COUNTIF(CasoPrueba[[#All],[Estado Testing]],$P$28)</f>
        <v>16</v>
      </c>
      <c r="F13" s="5">
        <f>COUNTIF(CasoPrueba[[#All],[Estado Testing]],$P$29)</f>
        <v>19</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0.45714285714285713</v>
      </c>
      <c r="F14" s="15">
        <f t="shared" si="0"/>
        <v>0.54285714285714282</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16</v>
      </c>
      <c r="D18" s="45">
        <f>C18/$C$10</f>
        <v>0.45714285714285713</v>
      </c>
      <c r="E18" s="46">
        <f>COUNTIFS(CasoPrueba[[#All],[Estado Testing]],$P$29,CasoPrueba[[#All],[Prioridad]],$P$17)</f>
        <v>19</v>
      </c>
      <c r="F18" s="47">
        <f>E18/$C$10</f>
        <v>0.54285714285714282</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19</v>
      </c>
      <c r="N18" s="53">
        <f>M18/$C$10</f>
        <v>0.54285714285714282</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16</v>
      </c>
      <c r="D21" s="63">
        <f t="shared" ref="D21:N21" si="2">SUM(D18:D20)</f>
        <v>0.45714285714285713</v>
      </c>
      <c r="E21" s="62">
        <f t="shared" si="2"/>
        <v>19</v>
      </c>
      <c r="F21" s="63">
        <f t="shared" si="2"/>
        <v>0.54285714285714282</v>
      </c>
      <c r="G21" s="62">
        <f t="shared" si="2"/>
        <v>0</v>
      </c>
      <c r="H21" s="63">
        <f t="shared" si="2"/>
        <v>0</v>
      </c>
      <c r="I21" s="62">
        <f t="shared" si="2"/>
        <v>0</v>
      </c>
      <c r="J21" s="63">
        <f t="shared" si="2"/>
        <v>0</v>
      </c>
      <c r="K21" s="62">
        <f>SUM(K18:K20)</f>
        <v>0</v>
      </c>
      <c r="L21" s="63">
        <f>SUM(L18:L20)</f>
        <v>0</v>
      </c>
      <c r="M21" s="62">
        <f t="shared" si="2"/>
        <v>19</v>
      </c>
      <c r="N21" s="63">
        <f t="shared" si="2"/>
        <v>0.54285714285714282</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28</v>
      </c>
      <c r="D30" s="124">
        <f>C30/$C$10</f>
        <v>0.8</v>
      </c>
      <c r="E30" s="125">
        <f>COUNTIFS(Observaciones[[#All],[Estado]],Resumen!$P$24,Observaciones[[#All],[Severidad]],Resumen!$P$11)</f>
        <v>22</v>
      </c>
      <c r="F30" s="124">
        <f>E30/$C$10</f>
        <v>0.62857142857142856</v>
      </c>
      <c r="G30" s="119"/>
      <c r="H30" s="122" t="s">
        <v>33</v>
      </c>
      <c r="I30" s="126">
        <f>COUNTIFS(Observaciones[[#All],[Severidad]],Resumen!$P$11,Observaciones[[#All],[Prioridad]],Resumen!$P$17)</f>
        <v>50</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27</v>
      </c>
      <c r="D31" s="124">
        <f>C31/$C$10</f>
        <v>0.77142857142857146</v>
      </c>
      <c r="E31" s="125">
        <f>COUNTIFS(Observaciones[[#All],[Estado]],Resumen!$P$24,Observaciones[[#All],[Severidad]],Resumen!$P$12)</f>
        <v>83</v>
      </c>
      <c r="F31" s="124">
        <f>E31/$C$10</f>
        <v>2.3714285714285714</v>
      </c>
      <c r="G31" s="119"/>
      <c r="H31" s="122" t="s">
        <v>35</v>
      </c>
      <c r="I31" s="126">
        <f>COUNTIFS(Observaciones[[#All],[Severidad]],Resumen!$P$12,Observaciones[[#All],[Prioridad]],Resumen!$P$17)</f>
        <v>110</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6</v>
      </c>
      <c r="D32" s="124">
        <f>C32/$C$10</f>
        <v>0.17142857142857143</v>
      </c>
      <c r="E32" s="125">
        <f>COUNTIFS(Observaciones[[#All],[Estado]],Resumen!$P$24,Observaciones[[#All],[Severidad]],Resumen!$P$13)</f>
        <v>60</v>
      </c>
      <c r="F32" s="124">
        <f>E32/$C$10</f>
        <v>1.7142857142857142</v>
      </c>
      <c r="G32" s="119"/>
      <c r="H32" s="122" t="s">
        <v>37</v>
      </c>
      <c r="I32" s="126">
        <f>COUNTIFS(Observaciones[[#All],[Severidad]],Resumen!$P$13,Observaciones[[#All],[Prioridad]],Resumen!$P$17)</f>
        <v>66</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26</v>
      </c>
      <c r="D33" s="124">
        <f>C33/$C$10</f>
        <v>0.74285714285714288</v>
      </c>
      <c r="E33" s="125">
        <f>COUNTIFS(Observaciones[[#All],[Estado]],Resumen!$P$24,Observaciones[[#All],[Severidad]],Resumen!$P$14)</f>
        <v>50</v>
      </c>
      <c r="F33" s="124">
        <f>E33/$C$10</f>
        <v>1.4285714285714286</v>
      </c>
      <c r="G33" s="119"/>
      <c r="H33" s="122" t="s">
        <v>39</v>
      </c>
      <c r="I33" s="126">
        <f>COUNTIFS(Observaciones[[#All],[Severidad]],Resumen!$P$14,Observaciones[[#All],[Prioridad]],Resumen!$P$17)</f>
        <v>76</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87</v>
      </c>
      <c r="D34" s="129">
        <f>SUM(D30:D33)</f>
        <v>2.4857142857142858</v>
      </c>
      <c r="E34" s="128">
        <f>SUM(E30:E33)</f>
        <v>215</v>
      </c>
      <c r="F34" s="129">
        <f>SUM(F30:F33)</f>
        <v>6.1428571428571432</v>
      </c>
      <c r="G34" s="119"/>
      <c r="H34" s="122" t="s">
        <v>72</v>
      </c>
      <c r="I34" s="130">
        <f>SUM(I30:I33)</f>
        <v>302</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85"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6.4441340782122909</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39"/>
  <sheetViews>
    <sheetView topLeftCell="A34" zoomScaleNormal="100" workbookViewId="0">
      <selection activeCell="C35" sqref="C35"/>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112.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OK</v>
      </c>
      <c r="G5" s="90" t="s">
        <v>19</v>
      </c>
      <c r="H5" s="90" t="s">
        <v>28</v>
      </c>
      <c r="I5" s="92"/>
      <c r="L5" s="93">
        <f>General!$A$10</f>
        <v>0</v>
      </c>
      <c r="M5" s="93">
        <v>40637</v>
      </c>
      <c r="N5" s="90">
        <v>1</v>
      </c>
      <c r="P5" s="92" t="s">
        <v>463</v>
      </c>
      <c r="Q5" s="90" t="str">
        <f>CONCATENATE(General!$B$7," ",General!$B$6)</f>
        <v>Nicolay García José Ramos Ramírez</v>
      </c>
      <c r="R5" s="102"/>
    </row>
    <row r="6" spans="1:18" ht="33.7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OK</v>
      </c>
      <c r="G6" s="90" t="s">
        <v>19</v>
      </c>
      <c r="H6" s="90" t="s">
        <v>28</v>
      </c>
      <c r="I6" s="92"/>
      <c r="J6" s="90"/>
      <c r="K6" s="90"/>
      <c r="L6" s="93">
        <f>General!$A$10</f>
        <v>0</v>
      </c>
      <c r="M6" s="93"/>
      <c r="N6" s="90"/>
      <c r="O6" s="90"/>
      <c r="P6" s="92" t="s">
        <v>464</v>
      </c>
      <c r="Q6" s="90" t="str">
        <f>CONCATENATE(General!$B$7," ",General!$B$6)</f>
        <v>Nicolay García José Ramos Ramírez</v>
      </c>
    </row>
    <row r="7" spans="1:18" ht="33.75">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465</v>
      </c>
      <c r="Q7" s="90" t="str">
        <f>CONCATENATE(General!$B$7," ",General!$B$6)</f>
        <v>Nicolay García José Ramos Ramírez</v>
      </c>
    </row>
    <row r="8" spans="1:18" ht="78.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466</v>
      </c>
      <c r="Q8" s="90" t="str">
        <f>CONCATENATE(General!$B$7," ",General!$B$6)</f>
        <v>Nicolay García José Ramos Ramírez</v>
      </c>
    </row>
    <row r="9" spans="1:18" ht="90">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467</v>
      </c>
      <c r="Q9" s="90" t="str">
        <f>CONCATENATE(General!$B$7," ",General!$B$6)</f>
        <v>Nicolay García José Ramos Ramírez</v>
      </c>
    </row>
    <row r="10" spans="1:18" ht="22.5">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c r="Q10" s="90" t="str">
        <f>CONCATENATE(General!$B$7," ",General!$B$6)</f>
        <v>Nicolay García José Ramos Ramírez</v>
      </c>
    </row>
    <row r="11" spans="1:18" ht="4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468</v>
      </c>
      <c r="Q11" s="90" t="str">
        <f>CONCATENATE(General!$B$7," ",General!$B$6)</f>
        <v>Nicolay García José Ramos Ramírez</v>
      </c>
    </row>
    <row r="12" spans="1:18" ht="22.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c r="Q12" s="90" t="str">
        <f>CONCATENATE(General!$B$7," ",General!$B$6)</f>
        <v>Nicolay García José Ramos Ramírez</v>
      </c>
    </row>
    <row r="13" spans="1:18" ht="22.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469</v>
      </c>
      <c r="Q13" s="90" t="str">
        <f>CONCATENATE(General!$B$7," ",General!$B$6)</f>
        <v>Nicolay García José Ramos Ramírez</v>
      </c>
    </row>
    <row r="14" spans="1:18" ht="22.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c r="Q14" s="90" t="str">
        <f>CONCATENATE(General!$B$7," ",General!$B$6)</f>
        <v>Nicolay García José Ramos Ramírez</v>
      </c>
    </row>
    <row r="15" spans="1:18" ht="112.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470</v>
      </c>
      <c r="Q15" s="90" t="str">
        <f>CONCATENATE(General!$B$7," ",General!$B$6)</f>
        <v>Nicolay García José Ramos Ramírez</v>
      </c>
    </row>
    <row r="16" spans="1:18" ht="78.7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497</v>
      </c>
      <c r="Q16" s="90"/>
    </row>
    <row r="17" spans="1:17" ht="33.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471</v>
      </c>
      <c r="Q17" s="90" t="str">
        <f>CONCATENATE(General!$B$7," ",General!$B$6)</f>
        <v>Nicolay García José Ramos Ramírez</v>
      </c>
    </row>
    <row r="18" spans="1:17" ht="30">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c r="Q18" s="90" t="str">
        <f>CONCATENATE(General!$B$7," ",General!$B$6)</f>
        <v>Nicolay García José Ramos Ramírez</v>
      </c>
    </row>
    <row r="19" spans="1:17" ht="30">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OK</v>
      </c>
      <c r="G19" s="90" t="s">
        <v>19</v>
      </c>
      <c r="H19" s="90" t="s">
        <v>28</v>
      </c>
      <c r="I19" s="92"/>
      <c r="J19" s="90"/>
      <c r="K19" s="90"/>
      <c r="L19" s="93">
        <f>General!$A$10</f>
        <v>0</v>
      </c>
      <c r="M19" s="93"/>
      <c r="N19" s="90"/>
      <c r="O19" s="90"/>
      <c r="P19" s="92" t="s">
        <v>472</v>
      </c>
      <c r="Q19" s="90" t="str">
        <f>CONCATENATE(General!$B$7," ",General!$B$6)</f>
        <v>Nicolay García José Ramos Ramírez</v>
      </c>
    </row>
    <row r="20" spans="1:17" ht="56.25">
      <c r="A20" s="90" t="s">
        <v>159</v>
      </c>
      <c r="B20" s="168" t="s">
        <v>498</v>
      </c>
      <c r="C20" s="90" t="s">
        <v>170</v>
      </c>
      <c r="D20" s="169" t="s">
        <v>501</v>
      </c>
      <c r="E20" s="90" t="s">
        <v>160</v>
      </c>
      <c r="F20" s="170" t="str">
        <f>IF(CasoPrueba[[#This Row],[Estado Testing]]=Resumen!$P$28,"OK",IF(CasoPrueba[[#This Row],[Estado Testing]]=Resumen!$P$29,"NO OK",IF((CasoPrueba[[#This Row],[Estado Testing]]=Resumen!$P$30)+(CasoPrueba[[#This Row],[Estado Testing]]=Resumen!$P$31),"OBSERVADO","")))</f>
        <v>NO OK</v>
      </c>
      <c r="G20" s="171" t="s">
        <v>20</v>
      </c>
      <c r="H20" s="90" t="s">
        <v>28</v>
      </c>
      <c r="I20" s="171" t="s">
        <v>28</v>
      </c>
      <c r="J20" s="168" t="s">
        <v>47</v>
      </c>
      <c r="K20" s="168"/>
      <c r="L20" s="172">
        <f>General!$A$10</f>
        <v>0</v>
      </c>
      <c r="M20" s="172"/>
      <c r="N20" s="168"/>
      <c r="O20" s="168"/>
      <c r="P20" s="171" t="s">
        <v>892</v>
      </c>
      <c r="Q20" s="90" t="str">
        <f>CONCATENATE(General!$B$7," ",General!$B$6)</f>
        <v>Nicolay García José Ramos Ramírez</v>
      </c>
    </row>
    <row r="21" spans="1:17" ht="56.25">
      <c r="A21" s="90" t="s">
        <v>159</v>
      </c>
      <c r="B21" s="168" t="s">
        <v>499</v>
      </c>
      <c r="C21" s="90" t="s">
        <v>170</v>
      </c>
      <c r="D21" s="31" t="s">
        <v>503</v>
      </c>
      <c r="E21" s="90" t="s">
        <v>160</v>
      </c>
      <c r="F21" s="91" t="str">
        <f>IF(CasoPrueba[[#This Row],[Estado Testing]]=Resumen!$P$28,"OK",IF(CasoPrueba[[#This Row],[Estado Testing]]=Resumen!$P$29,"NO OK",IF((CasoPrueba[[#This Row],[Estado Testing]]=Resumen!$P$30)+(CasoPrueba[[#This Row],[Estado Testing]]=Resumen!$P$31),"OBSERVADO","")))</f>
        <v>NO OK</v>
      </c>
      <c r="G21" s="92" t="s">
        <v>20</v>
      </c>
      <c r="H21" s="90" t="s">
        <v>28</v>
      </c>
      <c r="I21" s="92" t="s">
        <v>28</v>
      </c>
      <c r="J21" s="90" t="s">
        <v>47</v>
      </c>
      <c r="K21" s="90"/>
      <c r="L21" s="93">
        <f>General!$A$10</f>
        <v>0</v>
      </c>
      <c r="M21" s="93"/>
      <c r="N21" s="90"/>
      <c r="O21" s="90"/>
      <c r="P21" s="92" t="s">
        <v>893</v>
      </c>
      <c r="Q21" s="90" t="str">
        <f>CONCATENATE(General!$B$7," ",General!$B$6)</f>
        <v>Nicolay García José Ramos Ramírez</v>
      </c>
    </row>
    <row r="22" spans="1:17" ht="56.25">
      <c r="A22" s="90" t="s">
        <v>159</v>
      </c>
      <c r="B22" s="168" t="s">
        <v>500</v>
      </c>
      <c r="C22" s="90" t="s">
        <v>170</v>
      </c>
      <c r="D22" s="31" t="s">
        <v>502</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28</v>
      </c>
      <c r="J22" s="90" t="s">
        <v>47</v>
      </c>
      <c r="K22" s="90"/>
      <c r="L22" s="93">
        <f>General!$A$10</f>
        <v>0</v>
      </c>
      <c r="M22" s="93"/>
      <c r="N22" s="90"/>
      <c r="O22" s="90"/>
      <c r="P22" s="92" t="s">
        <v>894</v>
      </c>
      <c r="Q22" s="90" t="str">
        <f>CONCATENATE(General!$B$7," ",General!$B$6)</f>
        <v>Nicolay García José Ramos Ramírez</v>
      </c>
    </row>
    <row r="23" spans="1:17" ht="33.75">
      <c r="A23" s="90" t="s">
        <v>159</v>
      </c>
      <c r="B23" s="168" t="s">
        <v>625</v>
      </c>
      <c r="C23" s="90" t="s">
        <v>170</v>
      </c>
      <c r="D23" s="31" t="s">
        <v>626</v>
      </c>
      <c r="E23" s="90" t="s">
        <v>160</v>
      </c>
      <c r="F23" s="91" t="str">
        <f>IF(CasoPrueba[[#This Row],[Estado Testing]]=Resumen!$P$28,"OK",IF(CasoPrueba[[#This Row],[Estado Testing]]=Resumen!$P$29,"NO OK",IF((CasoPrueba[[#This Row],[Estado Testing]]=Resumen!$P$30)+(CasoPrueba[[#This Row],[Estado Testing]]=Resumen!$P$31),"OBSERVADO","")))</f>
        <v>NO OK</v>
      </c>
      <c r="G23" s="92" t="s">
        <v>20</v>
      </c>
      <c r="H23" s="90" t="s">
        <v>28</v>
      </c>
      <c r="I23" s="92" t="s">
        <v>28</v>
      </c>
      <c r="J23" s="90" t="s">
        <v>47</v>
      </c>
      <c r="K23" s="90"/>
      <c r="L23" s="93">
        <f>General!$A$10</f>
        <v>0</v>
      </c>
      <c r="M23" s="93"/>
      <c r="N23" s="90"/>
      <c r="O23" s="90"/>
      <c r="P23" s="92" t="s">
        <v>895</v>
      </c>
      <c r="Q23" s="90" t="str">
        <f>CONCATENATE(General!$B$7," ",General!$B$6)</f>
        <v>Nicolay García José Ramos Ramírez</v>
      </c>
    </row>
    <row r="24" spans="1:17" ht="112.5">
      <c r="A24" s="90" t="s">
        <v>159</v>
      </c>
      <c r="B24" s="168" t="s">
        <v>627</v>
      </c>
      <c r="C24" s="90" t="s">
        <v>170</v>
      </c>
      <c r="D24" s="31" t="s">
        <v>631</v>
      </c>
      <c r="E24" s="90" t="s">
        <v>160</v>
      </c>
      <c r="F24" s="91" t="str">
        <f>IF(CasoPrueba[[#This Row],[Estado Testing]]=Resumen!$P$28,"OK",IF(CasoPrueba[[#This Row],[Estado Testing]]=Resumen!$P$29,"NO OK",IF((CasoPrueba[[#This Row],[Estado Testing]]=Resumen!$P$30)+(CasoPrueba[[#This Row],[Estado Testing]]=Resumen!$P$31),"OBSERVADO","")))</f>
        <v>NO OK</v>
      </c>
      <c r="G24" s="92" t="s">
        <v>20</v>
      </c>
      <c r="H24" s="90" t="s">
        <v>28</v>
      </c>
      <c r="I24" s="92" t="s">
        <v>28</v>
      </c>
      <c r="J24" s="90" t="s">
        <v>47</v>
      </c>
      <c r="K24" s="90"/>
      <c r="L24" s="93">
        <f>General!$A$10</f>
        <v>0</v>
      </c>
      <c r="M24" s="93"/>
      <c r="N24" s="90"/>
      <c r="O24" s="90"/>
      <c r="P24" s="92" t="s">
        <v>896</v>
      </c>
      <c r="Q24" s="90" t="str">
        <f>CONCATENATE(General!$B$7," ",General!$B$6)</f>
        <v>Nicolay García José Ramos Ramírez</v>
      </c>
    </row>
    <row r="25" spans="1:17" ht="33.75">
      <c r="A25" s="90" t="s">
        <v>159</v>
      </c>
      <c r="B25" s="168" t="s">
        <v>628</v>
      </c>
      <c r="C25" s="90" t="s">
        <v>170</v>
      </c>
      <c r="D25" s="31" t="s">
        <v>632</v>
      </c>
      <c r="E25" s="90" t="s">
        <v>160</v>
      </c>
      <c r="F25" s="91" t="str">
        <f>IF(CasoPrueba[[#This Row],[Estado Testing]]=Resumen!$P$28,"OK",IF(CasoPrueba[[#This Row],[Estado Testing]]=Resumen!$P$29,"NO OK",IF((CasoPrueba[[#This Row],[Estado Testing]]=Resumen!$P$30)+(CasoPrueba[[#This Row],[Estado Testing]]=Resumen!$P$31),"OBSERVADO","")))</f>
        <v>NO OK</v>
      </c>
      <c r="G25" s="92" t="s">
        <v>20</v>
      </c>
      <c r="H25" s="90" t="s">
        <v>28</v>
      </c>
      <c r="I25" s="92" t="s">
        <v>28</v>
      </c>
      <c r="J25" s="90" t="s">
        <v>47</v>
      </c>
      <c r="K25" s="90"/>
      <c r="L25" s="93">
        <f>General!$A$10</f>
        <v>0</v>
      </c>
      <c r="M25" s="93"/>
      <c r="N25" s="90"/>
      <c r="O25" s="90"/>
      <c r="P25" s="92" t="s">
        <v>897</v>
      </c>
      <c r="Q25" s="90" t="str">
        <f>CONCATENATE(General!$B$7," ",General!$B$6)</f>
        <v>Nicolay García José Ramos Ramírez</v>
      </c>
    </row>
    <row r="26" spans="1:17" ht="33.75">
      <c r="A26" s="90" t="s">
        <v>159</v>
      </c>
      <c r="B26" s="168" t="s">
        <v>629</v>
      </c>
      <c r="C26" s="90" t="s">
        <v>170</v>
      </c>
      <c r="D26" s="31" t="s">
        <v>633</v>
      </c>
      <c r="E26" s="90" t="s">
        <v>160</v>
      </c>
      <c r="F26" s="91" t="str">
        <f>IF(CasoPrueba[[#This Row],[Estado Testing]]=Resumen!$P$28,"OK",IF(CasoPrueba[[#This Row],[Estado Testing]]=Resumen!$P$29,"NO OK",IF((CasoPrueba[[#This Row],[Estado Testing]]=Resumen!$P$30)+(CasoPrueba[[#This Row],[Estado Testing]]=Resumen!$P$31),"OBSERVADO","")))</f>
        <v>NO OK</v>
      </c>
      <c r="G26" s="92" t="s">
        <v>20</v>
      </c>
      <c r="H26" s="90" t="s">
        <v>28</v>
      </c>
      <c r="I26" s="92" t="s">
        <v>28</v>
      </c>
      <c r="J26" s="90" t="s">
        <v>47</v>
      </c>
      <c r="K26" s="90"/>
      <c r="L26" s="93">
        <f>General!$A$10</f>
        <v>0</v>
      </c>
      <c r="M26" s="93"/>
      <c r="N26" s="90"/>
      <c r="O26" s="90"/>
      <c r="P26" s="92" t="s">
        <v>898</v>
      </c>
      <c r="Q26" s="90" t="str">
        <f>CONCATENATE(General!$B$7," ",General!$B$6)</f>
        <v>Nicolay García José Ramos Ramírez</v>
      </c>
    </row>
    <row r="27" spans="1:17" ht="168.75">
      <c r="A27" s="90" t="s">
        <v>159</v>
      </c>
      <c r="B27" s="168" t="s">
        <v>630</v>
      </c>
      <c r="C27" s="90" t="s">
        <v>170</v>
      </c>
      <c r="D27" s="31" t="s">
        <v>634</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28</v>
      </c>
      <c r="J27" s="90" t="s">
        <v>47</v>
      </c>
      <c r="K27" s="90"/>
      <c r="L27" s="93">
        <f>General!$A$10</f>
        <v>0</v>
      </c>
      <c r="M27" s="93"/>
      <c r="N27" s="90"/>
      <c r="O27" s="90"/>
      <c r="P27" s="92" t="s">
        <v>899</v>
      </c>
      <c r="Q27" s="90" t="str">
        <f>CONCATENATE(General!$B$7," ",General!$B$6)</f>
        <v>Nicolay García José Ramos Ramírez</v>
      </c>
    </row>
    <row r="28" spans="1:17" ht="33.75">
      <c r="A28" s="90" t="s">
        <v>159</v>
      </c>
      <c r="B28" s="168" t="s">
        <v>664</v>
      </c>
      <c r="C28" s="90" t="s">
        <v>170</v>
      </c>
      <c r="D28" s="31" t="s">
        <v>666</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28</v>
      </c>
      <c r="J28" s="90" t="s">
        <v>47</v>
      </c>
      <c r="K28" s="90"/>
      <c r="L28" s="93">
        <f>General!$A$10</f>
        <v>0</v>
      </c>
      <c r="M28" s="93"/>
      <c r="N28" s="90"/>
      <c r="O28" s="90"/>
      <c r="P28" s="92" t="s">
        <v>900</v>
      </c>
      <c r="Q28" s="90" t="str">
        <f>CONCATENATE(General!$B$7," ",General!$B$6)</f>
        <v>Nicolay García José Ramos Ramírez</v>
      </c>
    </row>
    <row r="29" spans="1:17" ht="56.25">
      <c r="A29" s="90" t="s">
        <v>159</v>
      </c>
      <c r="B29" s="168" t="s">
        <v>665</v>
      </c>
      <c r="C29" s="90" t="s">
        <v>170</v>
      </c>
      <c r="D29" s="31" t="s">
        <v>667</v>
      </c>
      <c r="E29" s="90" t="s">
        <v>160</v>
      </c>
      <c r="F29" s="91" t="str">
        <f>IF(CasoPrueba[[#This Row],[Estado Testing]]=Resumen!$P$28,"OK",IF(CasoPrueba[[#This Row],[Estado Testing]]=Resumen!$P$29,"NO OK",IF((CasoPrueba[[#This Row],[Estado Testing]]=Resumen!$P$30)+(CasoPrueba[[#This Row],[Estado Testing]]=Resumen!$P$31),"OBSERVADO","")))</f>
        <v>NO OK</v>
      </c>
      <c r="G29" s="92" t="s">
        <v>20</v>
      </c>
      <c r="H29" s="90" t="s">
        <v>28</v>
      </c>
      <c r="I29" s="92" t="s">
        <v>28</v>
      </c>
      <c r="J29" s="90" t="s">
        <v>47</v>
      </c>
      <c r="K29" s="90"/>
      <c r="L29" s="93">
        <f>General!$A$10</f>
        <v>0</v>
      </c>
      <c r="M29" s="93"/>
      <c r="N29" s="90"/>
      <c r="O29" s="90"/>
      <c r="P29" s="92" t="s">
        <v>901</v>
      </c>
      <c r="Q29" s="90" t="str">
        <f>CONCATENATE(General!$B$7," ",General!$B$6)</f>
        <v>Nicolay García José Ramos Ramírez</v>
      </c>
    </row>
    <row r="30" spans="1:17" ht="409.5">
      <c r="A30" s="90" t="s">
        <v>159</v>
      </c>
      <c r="B30" s="168" t="s">
        <v>902</v>
      </c>
      <c r="C30" s="90" t="s">
        <v>170</v>
      </c>
      <c r="D30" s="31" t="s">
        <v>909</v>
      </c>
      <c r="E30" s="90" t="s">
        <v>160</v>
      </c>
      <c r="F30" s="91" t="str">
        <f>IF(CasoPrueba[[#This Row],[Estado Testing]]=Resumen!$P$28,"OK",IF(CasoPrueba[[#This Row],[Estado Testing]]=Resumen!$P$29,"NO OK",IF((CasoPrueba[[#This Row],[Estado Testing]]=Resumen!$P$30)+(CasoPrueba[[#This Row],[Estado Testing]]=Resumen!$P$31),"OBSERVADO","")))</f>
        <v>NO OK</v>
      </c>
      <c r="G30" s="92" t="s">
        <v>20</v>
      </c>
      <c r="H30" s="90" t="s">
        <v>28</v>
      </c>
      <c r="I30" s="92" t="s">
        <v>28</v>
      </c>
      <c r="J30" s="90" t="s">
        <v>47</v>
      </c>
      <c r="K30" s="90"/>
      <c r="L30" s="93">
        <f>General!$A$10</f>
        <v>0</v>
      </c>
      <c r="M30" s="93"/>
      <c r="N30" s="90"/>
      <c r="O30" s="90"/>
      <c r="P30" s="92" t="s">
        <v>953</v>
      </c>
      <c r="Q30" s="90" t="str">
        <f>CONCATENATE(General!$B$7," ",General!$B$6)</f>
        <v>Nicolay García José Ramos Ramírez</v>
      </c>
    </row>
    <row r="31" spans="1:17" ht="281.25">
      <c r="A31" s="90" t="s">
        <v>159</v>
      </c>
      <c r="B31" s="168" t="s">
        <v>903</v>
      </c>
      <c r="C31" s="90" t="s">
        <v>170</v>
      </c>
      <c r="D31" s="31" t="s">
        <v>910</v>
      </c>
      <c r="E31" s="90" t="s">
        <v>160</v>
      </c>
      <c r="F31" s="91" t="str">
        <f>IF(CasoPrueba[[#This Row],[Estado Testing]]=Resumen!$P$28,"OK",IF(CasoPrueba[[#This Row],[Estado Testing]]=Resumen!$P$29,"NO OK",IF((CasoPrueba[[#This Row],[Estado Testing]]=Resumen!$P$30)+(CasoPrueba[[#This Row],[Estado Testing]]=Resumen!$P$31),"OBSERVADO","")))</f>
        <v>NO OK</v>
      </c>
      <c r="G31" s="92" t="s">
        <v>20</v>
      </c>
      <c r="H31" s="90" t="s">
        <v>28</v>
      </c>
      <c r="I31" s="92" t="s">
        <v>28</v>
      </c>
      <c r="J31" s="90" t="s">
        <v>47</v>
      </c>
      <c r="K31" s="90"/>
      <c r="L31" s="93">
        <f>General!$A$10</f>
        <v>0</v>
      </c>
      <c r="M31" s="93"/>
      <c r="N31" s="90"/>
      <c r="O31" s="90"/>
      <c r="P31" s="92" t="s">
        <v>954</v>
      </c>
      <c r="Q31" s="90" t="str">
        <f>CONCATENATE(General!$B$7," ",General!$B$6)</f>
        <v>Nicolay García José Ramos Ramírez</v>
      </c>
    </row>
    <row r="32" spans="1:17" ht="292.5">
      <c r="A32" s="90" t="s">
        <v>159</v>
      </c>
      <c r="B32" s="168" t="s">
        <v>904</v>
      </c>
      <c r="C32" s="90" t="s">
        <v>170</v>
      </c>
      <c r="D32" s="31" t="s">
        <v>911</v>
      </c>
      <c r="E32" s="90" t="s">
        <v>160</v>
      </c>
      <c r="F32" s="91" t="str">
        <f>IF(CasoPrueba[[#This Row],[Estado Testing]]=Resumen!$P$28,"OK",IF(CasoPrueba[[#This Row],[Estado Testing]]=Resumen!$P$29,"NO OK",IF((CasoPrueba[[#This Row],[Estado Testing]]=Resumen!$P$30)+(CasoPrueba[[#This Row],[Estado Testing]]=Resumen!$P$31),"OBSERVADO","")))</f>
        <v>NO OK</v>
      </c>
      <c r="G32" s="92" t="s">
        <v>20</v>
      </c>
      <c r="H32" s="90" t="s">
        <v>28</v>
      </c>
      <c r="I32" s="92" t="s">
        <v>28</v>
      </c>
      <c r="J32" s="90" t="s">
        <v>47</v>
      </c>
      <c r="K32" s="90"/>
      <c r="L32" s="93">
        <f>General!$A$10</f>
        <v>0</v>
      </c>
      <c r="M32" s="93"/>
      <c r="N32" s="90"/>
      <c r="O32" s="90"/>
      <c r="P32" s="92" t="s">
        <v>955</v>
      </c>
      <c r="Q32" s="90" t="str">
        <f>CONCATENATE(General!$B$7," ",General!$B$6)</f>
        <v>Nicolay García José Ramos Ramírez</v>
      </c>
    </row>
    <row r="33" spans="1:17" ht="168.75">
      <c r="A33" s="90" t="s">
        <v>159</v>
      </c>
      <c r="B33" s="168" t="s">
        <v>905</v>
      </c>
      <c r="C33" s="90" t="s">
        <v>170</v>
      </c>
      <c r="D33" s="31" t="s">
        <v>912</v>
      </c>
      <c r="E33" s="90" t="s">
        <v>160</v>
      </c>
      <c r="F33" s="91" t="str">
        <f>IF(CasoPrueba[[#This Row],[Estado Testing]]=Resumen!$P$28,"OK",IF(CasoPrueba[[#This Row],[Estado Testing]]=Resumen!$P$29,"NO OK",IF((CasoPrueba[[#This Row],[Estado Testing]]=Resumen!$P$30)+(CasoPrueba[[#This Row],[Estado Testing]]=Resumen!$P$31),"OBSERVADO","")))</f>
        <v>NO OK</v>
      </c>
      <c r="G33" s="92" t="s">
        <v>20</v>
      </c>
      <c r="H33" s="90" t="s">
        <v>28</v>
      </c>
      <c r="I33" s="92" t="s">
        <v>28</v>
      </c>
      <c r="J33" s="90" t="s">
        <v>47</v>
      </c>
      <c r="K33" s="90"/>
      <c r="L33" s="93">
        <f>General!$A$10</f>
        <v>0</v>
      </c>
      <c r="M33" s="93"/>
      <c r="N33" s="90"/>
      <c r="O33" s="90"/>
      <c r="P33" s="92" t="s">
        <v>971</v>
      </c>
      <c r="Q33" s="90" t="str">
        <f>CONCATENATE(General!$B$7," ",General!$B$6)</f>
        <v>Nicolay García José Ramos Ramírez</v>
      </c>
    </row>
    <row r="34" spans="1:17" ht="191.25">
      <c r="A34" s="90" t="s">
        <v>159</v>
      </c>
      <c r="B34" s="168" t="s">
        <v>906</v>
      </c>
      <c r="C34" s="90" t="s">
        <v>170</v>
      </c>
      <c r="D34" s="31" t="s">
        <v>913</v>
      </c>
      <c r="E34" s="90" t="s">
        <v>160</v>
      </c>
      <c r="F34" s="91" t="str">
        <f>IF(CasoPrueba[[#This Row],[Estado Testing]]=Resumen!$P$28,"OK",IF(CasoPrueba[[#This Row],[Estado Testing]]=Resumen!$P$29,"NO OK",IF((CasoPrueba[[#This Row],[Estado Testing]]=Resumen!$P$30)+(CasoPrueba[[#This Row],[Estado Testing]]=Resumen!$P$31),"OBSERVADO","")))</f>
        <v>NO OK</v>
      </c>
      <c r="G34" s="92" t="s">
        <v>20</v>
      </c>
      <c r="H34" s="90" t="s">
        <v>28</v>
      </c>
      <c r="I34" s="92" t="s">
        <v>28</v>
      </c>
      <c r="J34" s="90" t="s">
        <v>47</v>
      </c>
      <c r="K34" s="90"/>
      <c r="L34" s="93">
        <f>General!$A$10</f>
        <v>0</v>
      </c>
      <c r="M34" s="93"/>
      <c r="N34" s="90"/>
      <c r="O34" s="90"/>
      <c r="P34" s="92" t="s">
        <v>972</v>
      </c>
      <c r="Q34" s="90" t="str">
        <f>CONCATENATE(General!$B$7," ",General!$B$6)</f>
        <v>Nicolay García José Ramos Ramírez</v>
      </c>
    </row>
    <row r="35" spans="1:17" ht="180">
      <c r="A35" s="90" t="s">
        <v>159</v>
      </c>
      <c r="B35" s="168" t="s">
        <v>907</v>
      </c>
      <c r="C35" s="90" t="s">
        <v>170</v>
      </c>
      <c r="D35" s="31" t="s">
        <v>914</v>
      </c>
      <c r="E35" s="90" t="s">
        <v>160</v>
      </c>
      <c r="F35" s="91" t="str">
        <f>IF(CasoPrueba[[#This Row],[Estado Testing]]=Resumen!$P$28,"OK",IF(CasoPrueba[[#This Row],[Estado Testing]]=Resumen!$P$29,"NO OK",IF((CasoPrueba[[#This Row],[Estado Testing]]=Resumen!$P$30)+(CasoPrueba[[#This Row],[Estado Testing]]=Resumen!$P$31),"OBSERVADO","")))</f>
        <v>NO OK</v>
      </c>
      <c r="G35" s="92" t="s">
        <v>20</v>
      </c>
      <c r="H35" s="90" t="s">
        <v>28</v>
      </c>
      <c r="I35" s="92" t="s">
        <v>28</v>
      </c>
      <c r="J35" s="90" t="s">
        <v>47</v>
      </c>
      <c r="K35" s="90"/>
      <c r="L35" s="93">
        <f>General!$A$10</f>
        <v>0</v>
      </c>
      <c r="M35" s="93"/>
      <c r="N35" s="90"/>
      <c r="O35" s="90"/>
      <c r="P35" s="92" t="s">
        <v>973</v>
      </c>
      <c r="Q35" s="90" t="str">
        <f>CONCATENATE(General!$B$7," ",General!$B$6)</f>
        <v>Nicolay García José Ramos Ramírez</v>
      </c>
    </row>
    <row r="36" spans="1:17" ht="168.75">
      <c r="A36" s="90" t="s">
        <v>159</v>
      </c>
      <c r="B36" s="168" t="s">
        <v>908</v>
      </c>
      <c r="C36" s="90" t="s">
        <v>170</v>
      </c>
      <c r="D36" s="31" t="s">
        <v>915</v>
      </c>
      <c r="E36" s="90" t="s">
        <v>160</v>
      </c>
      <c r="F36" s="91" t="str">
        <f>IF(CasoPrueba[[#This Row],[Estado Testing]]=Resumen!$P$28,"OK",IF(CasoPrueba[[#This Row],[Estado Testing]]=Resumen!$P$29,"NO OK",IF((CasoPrueba[[#This Row],[Estado Testing]]=Resumen!$P$30)+(CasoPrueba[[#This Row],[Estado Testing]]=Resumen!$P$31),"OBSERVADO","")))</f>
        <v>NO OK</v>
      </c>
      <c r="G36" s="92" t="s">
        <v>20</v>
      </c>
      <c r="H36" s="90" t="s">
        <v>28</v>
      </c>
      <c r="I36" s="92" t="s">
        <v>28</v>
      </c>
      <c r="J36" s="90" t="s">
        <v>47</v>
      </c>
      <c r="K36" s="90"/>
      <c r="L36" s="93">
        <f>General!$A$10</f>
        <v>0</v>
      </c>
      <c r="M36" s="93"/>
      <c r="N36" s="90"/>
      <c r="O36" s="90"/>
      <c r="P36" s="92" t="s">
        <v>974</v>
      </c>
      <c r="Q36" s="90" t="str">
        <f>CONCATENATE(General!$B$7," ",General!$B$6)</f>
        <v>Nicolay García José Ramos Ramírez</v>
      </c>
    </row>
    <row r="37" spans="1:17">
      <c r="A37" s="90" t="s">
        <v>159</v>
      </c>
      <c r="B37" s="168" t="s">
        <v>919</v>
      </c>
      <c r="C37" s="90" t="s">
        <v>170</v>
      </c>
      <c r="D37" s="169" t="s">
        <v>916</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c r="Q37" s="168"/>
    </row>
    <row r="38" spans="1:17" ht="30">
      <c r="A38" s="90" t="s">
        <v>159</v>
      </c>
      <c r="B38" s="168" t="s">
        <v>920</v>
      </c>
      <c r="C38" s="90" t="s">
        <v>170</v>
      </c>
      <c r="D38" s="169" t="s">
        <v>917</v>
      </c>
      <c r="E38" s="90" t="s">
        <v>160</v>
      </c>
      <c r="F38" s="91" t="str">
        <f>IF(CasoPrueba[[#This Row],[Estado Testing]]=Resumen!$P$28,"OK",IF(CasoPrueba[[#This Row],[Estado Testing]]=Resumen!$P$29,"NO OK",IF((CasoPrueba[[#This Row],[Estado Testing]]=Resumen!$P$30)+(CasoPrueba[[#This Row],[Estado Testing]]=Resumen!$P$31),"OBSERVADO","")))</f>
        <v>NO OK</v>
      </c>
      <c r="G38" s="92" t="s">
        <v>20</v>
      </c>
      <c r="H38" s="90" t="s">
        <v>28</v>
      </c>
      <c r="I38" s="92" t="s">
        <v>28</v>
      </c>
      <c r="J38" s="90" t="s">
        <v>47</v>
      </c>
      <c r="K38" s="168"/>
      <c r="L38" s="172">
        <f>General!$A$10</f>
        <v>0</v>
      </c>
      <c r="M38" s="172"/>
      <c r="N38" s="168"/>
      <c r="O38" s="168"/>
      <c r="P38" s="171"/>
      <c r="Q38" s="168" t="str">
        <f>CONCATENATE(General!$B$7," ",General!$B$6)</f>
        <v>Nicolay García José Ramos Ramírez</v>
      </c>
    </row>
    <row r="39" spans="1:17" ht="22.5">
      <c r="A39" s="90" t="s">
        <v>159</v>
      </c>
      <c r="B39" s="168" t="s">
        <v>921</v>
      </c>
      <c r="C39" s="90" t="s">
        <v>170</v>
      </c>
      <c r="D39" s="169" t="s">
        <v>918</v>
      </c>
      <c r="E39" s="90" t="s">
        <v>160</v>
      </c>
      <c r="F39" s="91" t="str">
        <f>IF(CasoPrueba[[#This Row],[Estado Testing]]=Resumen!$P$28,"OK",IF(CasoPrueba[[#This Row],[Estado Testing]]=Resumen!$P$29,"NO OK",IF((CasoPrueba[[#This Row],[Estado Testing]]=Resumen!$P$30)+(CasoPrueba[[#This Row],[Estado Testing]]=Resumen!$P$31),"OBSERVADO","")))</f>
        <v>NO OK</v>
      </c>
      <c r="G39" s="92" t="s">
        <v>20</v>
      </c>
      <c r="H39" s="90" t="s">
        <v>28</v>
      </c>
      <c r="I39" s="92" t="s">
        <v>28</v>
      </c>
      <c r="J39" s="90" t="s">
        <v>47</v>
      </c>
      <c r="K39" s="168"/>
      <c r="L39" s="172">
        <f>General!$A$10</f>
        <v>0</v>
      </c>
      <c r="M39" s="172"/>
      <c r="N39" s="168"/>
      <c r="O39" s="168"/>
      <c r="P39" s="171"/>
      <c r="Q39" s="168"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361"/>
  <sheetViews>
    <sheetView tabSelected="1" zoomScale="85" zoomScaleNormal="85" workbookViewId="0">
      <selection activeCell="J304" sqref="J304"/>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475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476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477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478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479</v>
      </c>
      <c r="K112" s="34"/>
      <c r="L112" s="34"/>
    </row>
    <row r="113" spans="1:12" ht="120" hidden="1">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480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481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480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482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480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477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486</v>
      </c>
      <c r="J119" s="34" t="s">
        <v>483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452</v>
      </c>
      <c r="B120" s="34" t="s">
        <v>172</v>
      </c>
      <c r="C120" s="34" t="str">
        <f>VLOOKUP(Observaciones[Caso de Prueba],CasoPrueba[[#All],[Código CP]:[Prioridad]],7,TRUE)</f>
        <v>Alta</v>
      </c>
      <c r="D120" s="34" t="s">
        <v>29</v>
      </c>
      <c r="E120" s="34" t="s">
        <v>49</v>
      </c>
      <c r="F120" s="73">
        <v>40800</v>
      </c>
      <c r="G120" s="73">
        <v>40803</v>
      </c>
      <c r="H120" s="94" t="s">
        <v>132</v>
      </c>
      <c r="I120" s="34" t="s">
        <v>487</v>
      </c>
      <c r="J120" s="34" t="s">
        <v>484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485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488</v>
      </c>
      <c r="B123" s="34" t="s">
        <v>173</v>
      </c>
      <c r="C123" s="34" t="str">
        <f>VLOOKUP(Observaciones[Caso de Prueba],CasoPrueba[[#All],[Código CP]:[Prioridad]],7,TRUE)</f>
        <v>Alta</v>
      </c>
      <c r="D123" s="34" t="s">
        <v>162</v>
      </c>
      <c r="E123" s="34" t="s">
        <v>49</v>
      </c>
      <c r="F123" s="73">
        <v>40802</v>
      </c>
      <c r="G123" s="73">
        <v>40805</v>
      </c>
      <c r="H123" s="94" t="s">
        <v>132</v>
      </c>
      <c r="I123" s="34" t="s">
        <v>494</v>
      </c>
      <c r="J123" s="34" t="s">
        <v>504</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489</v>
      </c>
      <c r="B124" s="34" t="s">
        <v>173</v>
      </c>
      <c r="C124" s="34" t="str">
        <f>VLOOKUP(Observaciones[Caso de Prueba],CasoPrueba[[#All],[Código CP]:[Prioridad]],7,TRUE)</f>
        <v>Alta</v>
      </c>
      <c r="D124" s="34" t="s">
        <v>29</v>
      </c>
      <c r="E124" s="34" t="s">
        <v>49</v>
      </c>
      <c r="F124" s="73">
        <v>40802</v>
      </c>
      <c r="G124" s="73">
        <v>40805</v>
      </c>
      <c r="H124" s="94" t="s">
        <v>132</v>
      </c>
      <c r="I124" s="34" t="s">
        <v>495</v>
      </c>
      <c r="J124" s="34" t="s">
        <v>505</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490</v>
      </c>
      <c r="B125" s="34" t="s">
        <v>173</v>
      </c>
      <c r="C125" s="34" t="str">
        <f>VLOOKUP(Observaciones[Caso de Prueba],CasoPrueba[[#All],[Código CP]:[Prioridad]],7,TRUE)</f>
        <v>Alta</v>
      </c>
      <c r="D125" s="34" t="s">
        <v>29</v>
      </c>
      <c r="E125" s="34" t="s">
        <v>49</v>
      </c>
      <c r="F125" s="73">
        <v>40802</v>
      </c>
      <c r="G125" s="73">
        <v>40805</v>
      </c>
      <c r="H125" s="94" t="s">
        <v>132</v>
      </c>
      <c r="I125" s="34" t="s">
        <v>496</v>
      </c>
      <c r="J125" s="34" t="s">
        <v>506</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491</v>
      </c>
      <c r="B126" s="34" t="s">
        <v>498</v>
      </c>
      <c r="C126" s="34" t="str">
        <f>VLOOKUP(Observaciones[Caso de Prueba],CasoPrueba[[#All],[Código CP]:[Prioridad]],7,TRUE)</f>
        <v>Alta</v>
      </c>
      <c r="D126" s="34" t="s">
        <v>162</v>
      </c>
      <c r="E126" s="34" t="s">
        <v>49</v>
      </c>
      <c r="F126" s="73">
        <v>40805</v>
      </c>
      <c r="G126" s="73">
        <v>40831</v>
      </c>
      <c r="H126" s="94" t="s">
        <v>132</v>
      </c>
      <c r="I126" s="34" t="s">
        <v>635</v>
      </c>
      <c r="J126" s="34" t="s">
        <v>827</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6" t="s">
        <v>492</v>
      </c>
      <c r="B127" s="34" t="s">
        <v>498</v>
      </c>
      <c r="C127" s="34" t="str">
        <f>VLOOKUP(Observaciones[Caso de Prueba],CasoPrueba[[#All],[Código CP]:[Prioridad]],7,TRUE)</f>
        <v>Alta</v>
      </c>
      <c r="D127" s="34" t="s">
        <v>30</v>
      </c>
      <c r="E127" s="34" t="s">
        <v>49</v>
      </c>
      <c r="F127" s="73">
        <v>40805</v>
      </c>
      <c r="G127" s="73">
        <v>40831</v>
      </c>
      <c r="H127" s="94" t="s">
        <v>132</v>
      </c>
      <c r="I127" s="34" t="s">
        <v>610</v>
      </c>
      <c r="J127" s="34" t="s">
        <v>828</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6" t="s">
        <v>493</v>
      </c>
      <c r="B128" s="34" t="s">
        <v>498</v>
      </c>
      <c r="C128" s="34" t="str">
        <f>VLOOKUP(Observaciones[Caso de Prueba],CasoPrueba[[#All],[Código CP]:[Prioridad]],7,TRUE)</f>
        <v>Alta</v>
      </c>
      <c r="D128" s="34" t="s">
        <v>29</v>
      </c>
      <c r="E128" s="34" t="s">
        <v>49</v>
      </c>
      <c r="F128" s="73">
        <v>40805</v>
      </c>
      <c r="G128" s="73">
        <v>40831</v>
      </c>
      <c r="H128" s="94" t="s">
        <v>132</v>
      </c>
      <c r="I128" s="34" t="s">
        <v>594</v>
      </c>
      <c r="J128" s="34" t="s">
        <v>829</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6" t="s">
        <v>507</v>
      </c>
      <c r="B129" s="34" t="s">
        <v>498</v>
      </c>
      <c r="C129" s="34" t="str">
        <f>VLOOKUP(Observaciones[Caso de Prueba],CasoPrueba[[#All],[Código CP]:[Prioridad]],7,TRUE)</f>
        <v>Alta</v>
      </c>
      <c r="D129" s="34" t="s">
        <v>28</v>
      </c>
      <c r="E129" s="34" t="s">
        <v>49</v>
      </c>
      <c r="F129" s="73">
        <v>40805</v>
      </c>
      <c r="G129" s="73">
        <v>40831</v>
      </c>
      <c r="H129" s="94" t="s">
        <v>132</v>
      </c>
      <c r="I129" s="34" t="s">
        <v>595</v>
      </c>
      <c r="J129" s="34" t="s">
        <v>830</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6" t="s">
        <v>508</v>
      </c>
      <c r="B130" s="34" t="s">
        <v>498</v>
      </c>
      <c r="C130" s="34" t="str">
        <f>VLOOKUP(Observaciones[Caso de Prueba],CasoPrueba[[#All],[Código CP]:[Prioridad]],7,TRUE)</f>
        <v>Alta</v>
      </c>
      <c r="D130" s="34" t="s">
        <v>30</v>
      </c>
      <c r="E130" s="34" t="s">
        <v>49</v>
      </c>
      <c r="F130" s="73">
        <v>40805</v>
      </c>
      <c r="G130" s="73">
        <v>40831</v>
      </c>
      <c r="H130" s="94" t="s">
        <v>132</v>
      </c>
      <c r="I130" s="34" t="s">
        <v>596</v>
      </c>
      <c r="J130" s="34" t="s">
        <v>831</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6" t="s">
        <v>509</v>
      </c>
      <c r="B131" s="34" t="s">
        <v>498</v>
      </c>
      <c r="C131" s="34" t="str">
        <f>VLOOKUP(Observaciones[Caso de Prueba],CasoPrueba[[#All],[Código CP]:[Prioridad]],7,TRUE)</f>
        <v>Alta</v>
      </c>
      <c r="D131" s="34" t="s">
        <v>29</v>
      </c>
      <c r="E131" s="34" t="s">
        <v>49</v>
      </c>
      <c r="F131" s="73">
        <v>40805</v>
      </c>
      <c r="G131" s="73">
        <v>40831</v>
      </c>
      <c r="H131" s="94" t="s">
        <v>132</v>
      </c>
      <c r="I131" s="34" t="s">
        <v>597</v>
      </c>
      <c r="J131" s="34" t="s">
        <v>832</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6" t="s">
        <v>510</v>
      </c>
      <c r="B132" s="34" t="s">
        <v>498</v>
      </c>
      <c r="C132" s="34" t="str">
        <f>VLOOKUP(Observaciones[Caso de Prueba],CasoPrueba[[#All],[Código CP]:[Prioridad]],7,TRUE)</f>
        <v>Alta</v>
      </c>
      <c r="D132" s="34" t="s">
        <v>30</v>
      </c>
      <c r="E132" s="34" t="s">
        <v>49</v>
      </c>
      <c r="F132" s="73">
        <v>40805</v>
      </c>
      <c r="G132" s="73">
        <v>40831</v>
      </c>
      <c r="H132" s="94" t="s">
        <v>132</v>
      </c>
      <c r="I132" s="34" t="s">
        <v>637</v>
      </c>
      <c r="J132" s="34" t="s">
        <v>833</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6" t="s">
        <v>511</v>
      </c>
      <c r="B133" s="34" t="s">
        <v>498</v>
      </c>
      <c r="C133" s="34" t="str">
        <f>VLOOKUP(Observaciones[Caso de Prueba],CasoPrueba[[#All],[Código CP]:[Prioridad]],7,TRUE)</f>
        <v>Alta</v>
      </c>
      <c r="D133" s="34" t="s">
        <v>162</v>
      </c>
      <c r="E133" s="34" t="s">
        <v>49</v>
      </c>
      <c r="F133" s="73">
        <v>40805</v>
      </c>
      <c r="G133" s="73">
        <v>40831</v>
      </c>
      <c r="H133" s="94" t="s">
        <v>132</v>
      </c>
      <c r="I133" s="34" t="s">
        <v>598</v>
      </c>
      <c r="J133" s="34" t="s">
        <v>834</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6" t="s">
        <v>512</v>
      </c>
      <c r="B134" s="34" t="s">
        <v>498</v>
      </c>
      <c r="C134" s="34" t="str">
        <f>VLOOKUP(Observaciones[Caso de Prueba],CasoPrueba[[#All],[Código CP]:[Prioridad]],7,TRUE)</f>
        <v>Alta</v>
      </c>
      <c r="D134" s="34" t="s">
        <v>29</v>
      </c>
      <c r="E134" s="34" t="s">
        <v>49</v>
      </c>
      <c r="F134" s="73">
        <v>40805</v>
      </c>
      <c r="G134" s="73">
        <v>40831</v>
      </c>
      <c r="H134" s="94" t="s">
        <v>132</v>
      </c>
      <c r="I134" s="34" t="s">
        <v>599</v>
      </c>
      <c r="J134" s="34" t="s">
        <v>835</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6" t="s">
        <v>513</v>
      </c>
      <c r="B135" s="34" t="s">
        <v>498</v>
      </c>
      <c r="C135" s="34" t="str">
        <f>VLOOKUP(Observaciones[Caso de Prueba],CasoPrueba[[#All],[Código CP]:[Prioridad]],7,TRUE)</f>
        <v>Alta</v>
      </c>
      <c r="D135" s="34" t="s">
        <v>29</v>
      </c>
      <c r="E135" s="34" t="s">
        <v>49</v>
      </c>
      <c r="F135" s="73">
        <v>40805</v>
      </c>
      <c r="G135" s="73">
        <v>40831</v>
      </c>
      <c r="H135" s="94" t="s">
        <v>132</v>
      </c>
      <c r="I135" s="34" t="s">
        <v>600</v>
      </c>
      <c r="J135" s="34" t="s">
        <v>836</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6" t="s">
        <v>514</v>
      </c>
      <c r="B136" s="34" t="s">
        <v>498</v>
      </c>
      <c r="C136" s="34" t="str">
        <f>VLOOKUP(Observaciones[Caso de Prueba],CasoPrueba[[#All],[Código CP]:[Prioridad]],7,TRUE)</f>
        <v>Alta</v>
      </c>
      <c r="D136" s="34" t="s">
        <v>29</v>
      </c>
      <c r="E136" s="34" t="s">
        <v>49</v>
      </c>
      <c r="F136" s="73">
        <v>40805</v>
      </c>
      <c r="G136" s="73">
        <v>40831</v>
      </c>
      <c r="H136" s="94" t="s">
        <v>132</v>
      </c>
      <c r="I136" s="34" t="s">
        <v>601</v>
      </c>
      <c r="J136" s="34" t="s">
        <v>837</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6" t="s">
        <v>515</v>
      </c>
      <c r="B137" s="34" t="s">
        <v>498</v>
      </c>
      <c r="C137" s="34" t="str">
        <f>VLOOKUP(Observaciones[Caso de Prueba],CasoPrueba[[#All],[Código CP]:[Prioridad]],7,TRUE)</f>
        <v>Alta</v>
      </c>
      <c r="D137" s="34" t="s">
        <v>29</v>
      </c>
      <c r="E137" s="34" t="s">
        <v>49</v>
      </c>
      <c r="F137" s="73">
        <v>40805</v>
      </c>
      <c r="G137" s="73">
        <v>40831</v>
      </c>
      <c r="H137" s="94" t="s">
        <v>132</v>
      </c>
      <c r="I137" s="34" t="s">
        <v>602</v>
      </c>
      <c r="J137" s="34" t="s">
        <v>838</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6" t="s">
        <v>516</v>
      </c>
      <c r="B138" s="34" t="s">
        <v>498</v>
      </c>
      <c r="C138" s="34" t="str">
        <f>VLOOKUP(Observaciones[Caso de Prueba],CasoPrueba[[#All],[Código CP]:[Prioridad]],7,TRUE)</f>
        <v>Alta</v>
      </c>
      <c r="D138" s="34" t="s">
        <v>162</v>
      </c>
      <c r="E138" s="34" t="s">
        <v>49</v>
      </c>
      <c r="F138" s="73">
        <v>40805</v>
      </c>
      <c r="G138" s="73">
        <v>40831</v>
      </c>
      <c r="H138" s="94" t="s">
        <v>132</v>
      </c>
      <c r="I138" s="34" t="s">
        <v>603</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6" t="s">
        <v>517</v>
      </c>
      <c r="B139" s="34" t="s">
        <v>498</v>
      </c>
      <c r="C139" s="34" t="str">
        <f>VLOOKUP(Observaciones[Caso de Prueba],CasoPrueba[[#All],[Código CP]:[Prioridad]],7,TRUE)</f>
        <v>Alta</v>
      </c>
      <c r="D139" s="34" t="s">
        <v>29</v>
      </c>
      <c r="E139" s="34" t="s">
        <v>49</v>
      </c>
      <c r="F139" s="73">
        <v>40805</v>
      </c>
      <c r="G139" s="73">
        <v>40831</v>
      </c>
      <c r="H139" s="94" t="s">
        <v>132</v>
      </c>
      <c r="I139" s="34" t="s">
        <v>604</v>
      </c>
      <c r="J139" s="34" t="s">
        <v>839</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6" t="s">
        <v>518</v>
      </c>
      <c r="B140" s="34" t="s">
        <v>498</v>
      </c>
      <c r="C140" s="34" t="str">
        <f>VLOOKUP(Observaciones[Caso de Prueba],CasoPrueba[[#All],[Código CP]:[Prioridad]],7,TRUE)</f>
        <v>Alta</v>
      </c>
      <c r="D140" s="34" t="s">
        <v>30</v>
      </c>
      <c r="E140" s="34" t="s">
        <v>49</v>
      </c>
      <c r="F140" s="73">
        <v>40805</v>
      </c>
      <c r="G140" s="73">
        <v>40831</v>
      </c>
      <c r="H140" s="94" t="s">
        <v>132</v>
      </c>
      <c r="I140" s="34" t="s">
        <v>605</v>
      </c>
      <c r="J140" s="34" t="s">
        <v>840</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6" t="s">
        <v>519</v>
      </c>
      <c r="B141" s="34" t="s">
        <v>498</v>
      </c>
      <c r="C141" s="34" t="str">
        <f>VLOOKUP(Observaciones[Caso de Prueba],CasoPrueba[[#All],[Código CP]:[Prioridad]],7,TRUE)</f>
        <v>Alta</v>
      </c>
      <c r="D141" s="34" t="s">
        <v>162</v>
      </c>
      <c r="E141" s="34" t="s">
        <v>49</v>
      </c>
      <c r="F141" s="73">
        <v>40805</v>
      </c>
      <c r="G141" s="73">
        <v>40831</v>
      </c>
      <c r="H141" s="94" t="s">
        <v>132</v>
      </c>
      <c r="I141" s="34" t="s">
        <v>606</v>
      </c>
      <c r="J141" s="34" t="s">
        <v>834</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6" t="s">
        <v>520</v>
      </c>
      <c r="B142" s="34" t="s">
        <v>498</v>
      </c>
      <c r="C142" s="34" t="str">
        <f>VLOOKUP(Observaciones[Caso de Prueba],CasoPrueba[[#All],[Código CP]:[Prioridad]],7,TRUE)</f>
        <v>Alta</v>
      </c>
      <c r="D142" s="34" t="s">
        <v>29</v>
      </c>
      <c r="E142" s="34" t="s">
        <v>49</v>
      </c>
      <c r="F142" s="73">
        <v>40805</v>
      </c>
      <c r="G142" s="73">
        <v>40831</v>
      </c>
      <c r="H142" s="94" t="s">
        <v>132</v>
      </c>
      <c r="I142" s="34" t="s">
        <v>607</v>
      </c>
      <c r="J142" s="34" t="s">
        <v>837</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6" t="s">
        <v>521</v>
      </c>
      <c r="B143" s="34" t="s">
        <v>499</v>
      </c>
      <c r="C143" s="34" t="str">
        <f>VLOOKUP(Observaciones[Caso de Prueba],CasoPrueba[[#All],[Código CP]:[Prioridad]],7,TRUE)</f>
        <v>Alta</v>
      </c>
      <c r="D143" s="34" t="s">
        <v>29</v>
      </c>
      <c r="E143" s="34" t="s">
        <v>49</v>
      </c>
      <c r="F143" s="73">
        <v>40805</v>
      </c>
      <c r="G143" s="73">
        <v>40831</v>
      </c>
      <c r="H143" s="94" t="s">
        <v>132</v>
      </c>
      <c r="I143" s="34" t="s">
        <v>608</v>
      </c>
      <c r="J143" s="34" t="s">
        <v>841</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6" t="s">
        <v>522</v>
      </c>
      <c r="B144" s="34" t="s">
        <v>499</v>
      </c>
      <c r="C144" s="34" t="str">
        <f>VLOOKUP(Observaciones[Caso de Prueba],CasoPrueba[[#All],[Código CP]:[Prioridad]],7,TRUE)</f>
        <v>Alta</v>
      </c>
      <c r="D144" s="34" t="s">
        <v>162</v>
      </c>
      <c r="E144" s="34" t="s">
        <v>49</v>
      </c>
      <c r="F144" s="73">
        <v>40805</v>
      </c>
      <c r="G144" s="73">
        <v>40831</v>
      </c>
      <c r="H144" s="94" t="s">
        <v>132</v>
      </c>
      <c r="I144" s="34" t="s">
        <v>609</v>
      </c>
      <c r="J144" s="34" t="s">
        <v>842</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6" t="s">
        <v>523</v>
      </c>
      <c r="B145" s="34" t="s">
        <v>499</v>
      </c>
      <c r="C145" s="34" t="str">
        <f>VLOOKUP(Observaciones[Caso de Prueba],CasoPrueba[[#All],[Código CP]:[Prioridad]],7,TRUE)</f>
        <v>Alta</v>
      </c>
      <c r="D145" s="34" t="s">
        <v>28</v>
      </c>
      <c r="E145" s="34" t="s">
        <v>49</v>
      </c>
      <c r="F145" s="73">
        <v>40805</v>
      </c>
      <c r="G145" s="73">
        <v>40831</v>
      </c>
      <c r="H145" s="94" t="s">
        <v>132</v>
      </c>
      <c r="I145" s="34" t="s">
        <v>595</v>
      </c>
      <c r="J145" s="34" t="s">
        <v>843</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6" t="s">
        <v>524</v>
      </c>
      <c r="B146" s="34" t="s">
        <v>499</v>
      </c>
      <c r="C146" s="34" t="str">
        <f>VLOOKUP(Observaciones[Caso de Prueba],CasoPrueba[[#All],[Código CP]:[Prioridad]],7,TRUE)</f>
        <v>Alta</v>
      </c>
      <c r="D146" s="34" t="s">
        <v>30</v>
      </c>
      <c r="E146" s="34" t="s">
        <v>49</v>
      </c>
      <c r="F146" s="73">
        <v>40805</v>
      </c>
      <c r="G146" s="73">
        <v>40831</v>
      </c>
      <c r="H146" s="94" t="s">
        <v>132</v>
      </c>
      <c r="I146" s="34" t="s">
        <v>610</v>
      </c>
      <c r="J146" s="34" t="s">
        <v>828</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6" t="s">
        <v>525</v>
      </c>
      <c r="B147" s="34" t="s">
        <v>499</v>
      </c>
      <c r="C147" s="34" t="str">
        <f>VLOOKUP(Observaciones[Caso de Prueba],CasoPrueba[[#All],[Código CP]:[Prioridad]],7,TRUE)</f>
        <v>Alta</v>
      </c>
      <c r="D147" s="34" t="s">
        <v>30</v>
      </c>
      <c r="E147" s="34" t="s">
        <v>49</v>
      </c>
      <c r="F147" s="73">
        <v>40805</v>
      </c>
      <c r="G147" s="73">
        <v>40831</v>
      </c>
      <c r="H147" s="94" t="s">
        <v>132</v>
      </c>
      <c r="I147" s="34" t="s">
        <v>611</v>
      </c>
      <c r="J147" s="34" t="s">
        <v>844</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6" t="s">
        <v>526</v>
      </c>
      <c r="B148" s="34" t="s">
        <v>499</v>
      </c>
      <c r="C148" s="34" t="str">
        <f>VLOOKUP(Observaciones[Caso de Prueba],CasoPrueba[[#All],[Código CP]:[Prioridad]],7,TRUE)</f>
        <v>Alta</v>
      </c>
      <c r="D148" s="34" t="s">
        <v>28</v>
      </c>
      <c r="E148" s="34" t="s">
        <v>49</v>
      </c>
      <c r="F148" s="73">
        <v>40805</v>
      </c>
      <c r="G148" s="73">
        <v>40831</v>
      </c>
      <c r="H148" s="94" t="s">
        <v>132</v>
      </c>
      <c r="I148" s="34" t="s">
        <v>612</v>
      </c>
      <c r="J148" s="34" t="s">
        <v>845</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6" t="s">
        <v>527</v>
      </c>
      <c r="B149" s="34" t="s">
        <v>499</v>
      </c>
      <c r="C149" s="34" t="str">
        <f>VLOOKUP(Observaciones[Caso de Prueba],CasoPrueba[[#All],[Código CP]:[Prioridad]],7,TRUE)</f>
        <v>Alta</v>
      </c>
      <c r="D149" s="34" t="s">
        <v>29</v>
      </c>
      <c r="E149" s="34" t="s">
        <v>49</v>
      </c>
      <c r="F149" s="73">
        <v>40805</v>
      </c>
      <c r="G149" s="73">
        <v>40831</v>
      </c>
      <c r="H149" s="94" t="s">
        <v>132</v>
      </c>
      <c r="I149" s="34" t="s">
        <v>613</v>
      </c>
      <c r="J149" s="34" t="s">
        <v>846</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6" t="s">
        <v>528</v>
      </c>
      <c r="B150" s="34" t="s">
        <v>499</v>
      </c>
      <c r="C150" s="34" t="str">
        <f>VLOOKUP(Observaciones[Caso de Prueba],CasoPrueba[[#All],[Código CP]:[Prioridad]],7,TRUE)</f>
        <v>Alta</v>
      </c>
      <c r="D150" s="34" t="s">
        <v>162</v>
      </c>
      <c r="E150" s="34" t="s">
        <v>49</v>
      </c>
      <c r="F150" s="73">
        <v>40805</v>
      </c>
      <c r="G150" s="73">
        <v>40831</v>
      </c>
      <c r="H150" s="94" t="s">
        <v>132</v>
      </c>
      <c r="I150" s="34" t="s">
        <v>614</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6" t="s">
        <v>529</v>
      </c>
      <c r="B151" s="34" t="s">
        <v>499</v>
      </c>
      <c r="C151" s="34" t="str">
        <f>VLOOKUP(Observaciones[Caso de Prueba],CasoPrueba[[#All],[Código CP]:[Prioridad]],7,TRUE)</f>
        <v>Alta</v>
      </c>
      <c r="D151" s="34" t="s">
        <v>162</v>
      </c>
      <c r="E151" s="34" t="s">
        <v>49</v>
      </c>
      <c r="F151" s="73">
        <v>40805</v>
      </c>
      <c r="G151" s="73">
        <v>40831</v>
      </c>
      <c r="H151" s="94" t="s">
        <v>132</v>
      </c>
      <c r="I151" s="34" t="s">
        <v>615</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6" t="s">
        <v>530</v>
      </c>
      <c r="B152" s="34" t="s">
        <v>499</v>
      </c>
      <c r="C152" s="34" t="str">
        <f>VLOOKUP(Observaciones[Caso de Prueba],CasoPrueba[[#All],[Código CP]:[Prioridad]],7,TRUE)</f>
        <v>Alta</v>
      </c>
      <c r="D152" s="34" t="s">
        <v>162</v>
      </c>
      <c r="E152" s="34" t="s">
        <v>49</v>
      </c>
      <c r="F152" s="73">
        <v>40805</v>
      </c>
      <c r="G152" s="73">
        <v>40831</v>
      </c>
      <c r="H152" s="94" t="s">
        <v>132</v>
      </c>
      <c r="I152" s="34" t="s">
        <v>606</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6" t="s">
        <v>531</v>
      </c>
      <c r="B153" s="34" t="s">
        <v>500</v>
      </c>
      <c r="C153" s="34" t="str">
        <f>VLOOKUP(Observaciones[Caso de Prueba],CasoPrueba[[#All],[Código CP]:[Prioridad]],7,TRUE)</f>
        <v>Alta</v>
      </c>
      <c r="D153" s="34" t="s">
        <v>29</v>
      </c>
      <c r="E153" s="34" t="s">
        <v>49</v>
      </c>
      <c r="F153" s="73">
        <v>40807</v>
      </c>
      <c r="G153" s="73">
        <v>40831</v>
      </c>
      <c r="H153" s="94" t="s">
        <v>132</v>
      </c>
      <c r="I153" s="34" t="s">
        <v>608</v>
      </c>
      <c r="J153" s="34" t="s">
        <v>841</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6" t="s">
        <v>532</v>
      </c>
      <c r="B154" s="34" t="s">
        <v>500</v>
      </c>
      <c r="C154" s="34" t="str">
        <f>VLOOKUP(Observaciones[Caso de Prueba],CasoPrueba[[#All],[Código CP]:[Prioridad]],7,TRUE)</f>
        <v>Alta</v>
      </c>
      <c r="D154" s="34" t="s">
        <v>28</v>
      </c>
      <c r="E154" s="34" t="s">
        <v>49</v>
      </c>
      <c r="F154" s="73">
        <v>40807</v>
      </c>
      <c r="G154" s="73">
        <v>40831</v>
      </c>
      <c r="H154" s="94" t="s">
        <v>132</v>
      </c>
      <c r="I154" s="34" t="s">
        <v>595</v>
      </c>
      <c r="J154" s="34" t="s">
        <v>843</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6" t="s">
        <v>533</v>
      </c>
      <c r="B155" s="34" t="s">
        <v>500</v>
      </c>
      <c r="C155" s="34" t="str">
        <f>VLOOKUP(Observaciones[Caso de Prueba],CasoPrueba[[#All],[Código CP]:[Prioridad]],7,TRUE)</f>
        <v>Alta</v>
      </c>
      <c r="D155" s="34" t="s">
        <v>162</v>
      </c>
      <c r="E155" s="34" t="s">
        <v>49</v>
      </c>
      <c r="F155" s="73">
        <v>40807</v>
      </c>
      <c r="G155" s="73">
        <v>40831</v>
      </c>
      <c r="H155" s="94" t="s">
        <v>132</v>
      </c>
      <c r="I155" s="34" t="s">
        <v>616</v>
      </c>
      <c r="J155" s="34" t="s">
        <v>847</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6" t="s">
        <v>534</v>
      </c>
      <c r="B156" s="34" t="s">
        <v>500</v>
      </c>
      <c r="C156" s="34" t="str">
        <f>VLOOKUP(Observaciones[Caso de Prueba],CasoPrueba[[#All],[Código CP]:[Prioridad]],7,TRUE)</f>
        <v>Alta</v>
      </c>
      <c r="D156" s="34" t="s">
        <v>29</v>
      </c>
      <c r="E156" s="34" t="s">
        <v>49</v>
      </c>
      <c r="F156" s="73">
        <v>40807</v>
      </c>
      <c r="G156" s="73">
        <v>40831</v>
      </c>
      <c r="H156" s="94" t="s">
        <v>132</v>
      </c>
      <c r="I156" s="34" t="s">
        <v>617</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6" t="s">
        <v>535</v>
      </c>
      <c r="B157" s="34" t="s">
        <v>500</v>
      </c>
      <c r="C157" s="34" t="str">
        <f>VLOOKUP(Observaciones[Caso de Prueba],CasoPrueba[[#All],[Código CP]:[Prioridad]],7,TRUE)</f>
        <v>Alta</v>
      </c>
      <c r="D157" s="34" t="s">
        <v>29</v>
      </c>
      <c r="E157" s="34" t="s">
        <v>49</v>
      </c>
      <c r="F157" s="73">
        <v>40807</v>
      </c>
      <c r="G157" s="73">
        <v>40831</v>
      </c>
      <c r="H157" s="94" t="s">
        <v>132</v>
      </c>
      <c r="I157" s="34" t="s">
        <v>610</v>
      </c>
      <c r="J157" s="34" t="s">
        <v>828</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6" t="s">
        <v>536</v>
      </c>
      <c r="B158" s="34" t="s">
        <v>500</v>
      </c>
      <c r="C158" s="34" t="str">
        <f>VLOOKUP(Observaciones[Caso de Prueba],CasoPrueba[[#All],[Código CP]:[Prioridad]],7,TRUE)</f>
        <v>Alta</v>
      </c>
      <c r="D158" s="34" t="s">
        <v>30</v>
      </c>
      <c r="E158" s="34" t="s">
        <v>49</v>
      </c>
      <c r="F158" s="73">
        <v>40807</v>
      </c>
      <c r="G158" s="73">
        <v>40831</v>
      </c>
      <c r="H158" s="94" t="s">
        <v>132</v>
      </c>
      <c r="I158" s="34" t="s">
        <v>618</v>
      </c>
      <c r="J158" s="34" t="s">
        <v>848</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6" t="s">
        <v>537</v>
      </c>
      <c r="B159" s="34" t="s">
        <v>500</v>
      </c>
      <c r="C159" s="34" t="str">
        <f>VLOOKUP(Observaciones[Caso de Prueba],CasoPrueba[[#All],[Código CP]:[Prioridad]],7,TRUE)</f>
        <v>Alta</v>
      </c>
      <c r="D159" s="34" t="s">
        <v>29</v>
      </c>
      <c r="E159" s="34" t="s">
        <v>49</v>
      </c>
      <c r="F159" s="73">
        <v>40807</v>
      </c>
      <c r="G159" s="73">
        <v>40831</v>
      </c>
      <c r="H159" s="94" t="s">
        <v>132</v>
      </c>
      <c r="I159" s="34" t="s">
        <v>619</v>
      </c>
      <c r="J159" s="34" t="s">
        <v>849</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6" t="s">
        <v>538</v>
      </c>
      <c r="B160" s="34" t="s">
        <v>500</v>
      </c>
      <c r="C160" s="34" t="str">
        <f>VLOOKUP(Observaciones[Caso de Prueba],CasoPrueba[[#All],[Código CP]:[Prioridad]],7,TRUE)</f>
        <v>Alta</v>
      </c>
      <c r="D160" s="34" t="s">
        <v>28</v>
      </c>
      <c r="E160" s="34" t="s">
        <v>49</v>
      </c>
      <c r="F160" s="73">
        <v>40807</v>
      </c>
      <c r="G160" s="73">
        <v>40831</v>
      </c>
      <c r="H160" s="94" t="s">
        <v>132</v>
      </c>
      <c r="I160" s="34" t="s">
        <v>620</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6" t="s">
        <v>539</v>
      </c>
      <c r="B161" s="34" t="s">
        <v>500</v>
      </c>
      <c r="C161" s="34" t="str">
        <f>VLOOKUP(Observaciones[Caso de Prueba],CasoPrueba[[#All],[Código CP]:[Prioridad]],7,TRUE)</f>
        <v>Alta</v>
      </c>
      <c r="D161" s="34" t="s">
        <v>29</v>
      </c>
      <c r="E161" s="34" t="s">
        <v>49</v>
      </c>
      <c r="F161" s="73">
        <v>40807</v>
      </c>
      <c r="G161" s="73">
        <v>40831</v>
      </c>
      <c r="H161" s="94" t="s">
        <v>132</v>
      </c>
      <c r="I161" s="34" t="s">
        <v>621</v>
      </c>
      <c r="J161" s="34" t="s">
        <v>850</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6" t="s">
        <v>540</v>
      </c>
      <c r="B162" s="34" t="s">
        <v>500</v>
      </c>
      <c r="C162" s="34" t="str">
        <f>VLOOKUP(Observaciones[Caso de Prueba],CasoPrueba[[#All],[Código CP]:[Prioridad]],7,TRUE)</f>
        <v>Alta</v>
      </c>
      <c r="D162" s="34" t="s">
        <v>162</v>
      </c>
      <c r="E162" s="34" t="s">
        <v>49</v>
      </c>
      <c r="F162" s="73">
        <v>40807</v>
      </c>
      <c r="G162" s="73">
        <v>40831</v>
      </c>
      <c r="H162" s="94" t="s">
        <v>132</v>
      </c>
      <c r="I162" s="34" t="s">
        <v>622</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6" t="s">
        <v>541</v>
      </c>
      <c r="B163" s="34" t="s">
        <v>500</v>
      </c>
      <c r="C163" s="34" t="str">
        <f>VLOOKUP(Observaciones[Caso de Prueba],CasoPrueba[[#All],[Código CP]:[Prioridad]],7,TRUE)</f>
        <v>Alta</v>
      </c>
      <c r="D163" s="34" t="s">
        <v>29</v>
      </c>
      <c r="E163" s="34" t="s">
        <v>49</v>
      </c>
      <c r="F163" s="73">
        <v>40807</v>
      </c>
      <c r="G163" s="73">
        <v>40831</v>
      </c>
      <c r="H163" s="94" t="s">
        <v>132</v>
      </c>
      <c r="I163" s="34" t="s">
        <v>623</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6" t="s">
        <v>542</v>
      </c>
      <c r="B164" s="34" t="s">
        <v>500</v>
      </c>
      <c r="C164" s="34" t="str">
        <f>VLOOKUP(Observaciones[Caso de Prueba],CasoPrueba[[#All],[Código CP]:[Prioridad]],7,TRUE)</f>
        <v>Alta</v>
      </c>
      <c r="D164" s="34" t="s">
        <v>162</v>
      </c>
      <c r="E164" s="34" t="s">
        <v>49</v>
      </c>
      <c r="F164" s="73">
        <v>40807</v>
      </c>
      <c r="G164" s="73">
        <v>40831</v>
      </c>
      <c r="H164" s="94" t="s">
        <v>132</v>
      </c>
      <c r="I164" s="34" t="s">
        <v>624</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6" t="s">
        <v>543</v>
      </c>
      <c r="B165" s="34" t="s">
        <v>625</v>
      </c>
      <c r="C165" s="34" t="str">
        <f>VLOOKUP(Observaciones[Caso de Prueba],CasoPrueba[[#All],[Código CP]:[Prioridad]],7,TRUE)</f>
        <v>Alta</v>
      </c>
      <c r="D165" s="34" t="s">
        <v>162</v>
      </c>
      <c r="E165" s="34" t="s">
        <v>49</v>
      </c>
      <c r="F165" s="73">
        <v>40807</v>
      </c>
      <c r="G165" s="73">
        <v>40831</v>
      </c>
      <c r="H165" s="94" t="s">
        <v>132</v>
      </c>
      <c r="I165" s="34" t="s">
        <v>636</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6" t="s">
        <v>544</v>
      </c>
      <c r="B166" s="34" t="s">
        <v>625</v>
      </c>
      <c r="C166" s="34" t="str">
        <f>VLOOKUP(Observaciones[Caso de Prueba],CasoPrueba[[#All],[Código CP]:[Prioridad]],7,TRUE)</f>
        <v>Alta</v>
      </c>
      <c r="D166" s="34" t="s">
        <v>28</v>
      </c>
      <c r="E166" s="34" t="s">
        <v>49</v>
      </c>
      <c r="F166" s="73">
        <v>40807</v>
      </c>
      <c r="G166" s="73">
        <v>40831</v>
      </c>
      <c r="H166" s="94" t="s">
        <v>132</v>
      </c>
      <c r="I166" s="34" t="s">
        <v>595</v>
      </c>
      <c r="J166" s="34" t="s">
        <v>830</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6" t="s">
        <v>545</v>
      </c>
      <c r="B167" s="34" t="s">
        <v>625</v>
      </c>
      <c r="C167" s="34" t="str">
        <f>VLOOKUP(Observaciones[Caso de Prueba],CasoPrueba[[#All],[Código CP]:[Prioridad]],7,TRUE)</f>
        <v>Alta</v>
      </c>
      <c r="D167" s="34" t="s">
        <v>29</v>
      </c>
      <c r="E167" s="34" t="s">
        <v>49</v>
      </c>
      <c r="F167" s="73">
        <v>40807</v>
      </c>
      <c r="G167" s="73">
        <v>40831</v>
      </c>
      <c r="H167" s="94" t="s">
        <v>132</v>
      </c>
      <c r="I167" s="34" t="s">
        <v>610</v>
      </c>
      <c r="J167" s="34" t="s">
        <v>851</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6" t="s">
        <v>546</v>
      </c>
      <c r="B168" s="34" t="s">
        <v>625</v>
      </c>
      <c r="C168" s="34" t="str">
        <f>VLOOKUP(Observaciones[Caso de Prueba],CasoPrueba[[#All],[Código CP]:[Prioridad]],7,TRUE)</f>
        <v>Alta</v>
      </c>
      <c r="D168" s="34" t="s">
        <v>162</v>
      </c>
      <c r="E168" s="34" t="s">
        <v>49</v>
      </c>
      <c r="F168" s="73">
        <v>40807</v>
      </c>
      <c r="G168" s="73">
        <v>40831</v>
      </c>
      <c r="H168" s="94" t="s">
        <v>132</v>
      </c>
      <c r="I168" s="34" t="s">
        <v>645</v>
      </c>
      <c r="J168" s="34" t="s">
        <v>477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6" t="s">
        <v>547</v>
      </c>
      <c r="B169" s="34" t="s">
        <v>625</v>
      </c>
      <c r="C169" s="34" t="str">
        <f>VLOOKUP(Observaciones[Caso de Prueba],CasoPrueba[[#All],[Código CP]:[Prioridad]],7,TRUE)</f>
        <v>Alta</v>
      </c>
      <c r="D169" s="34" t="s">
        <v>30</v>
      </c>
      <c r="E169" s="34" t="s">
        <v>49</v>
      </c>
      <c r="F169" s="73">
        <v>40807</v>
      </c>
      <c r="G169" s="73">
        <v>40831</v>
      </c>
      <c r="H169" s="94" t="s">
        <v>132</v>
      </c>
      <c r="I169" s="34" t="s">
        <v>641</v>
      </c>
      <c r="J169" s="34" t="s">
        <v>852</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6" t="s">
        <v>548</v>
      </c>
      <c r="B170" s="34" t="s">
        <v>625</v>
      </c>
      <c r="C170" s="34" t="str">
        <f>VLOOKUP(Observaciones[Caso de Prueba],CasoPrueba[[#All],[Código CP]:[Prioridad]],7,TRUE)</f>
        <v>Alta</v>
      </c>
      <c r="D170" s="34" t="s">
        <v>162</v>
      </c>
      <c r="E170" s="34" t="s">
        <v>49</v>
      </c>
      <c r="F170" s="73">
        <v>40807</v>
      </c>
      <c r="G170" s="73">
        <v>40831</v>
      </c>
      <c r="H170" s="94" t="s">
        <v>132</v>
      </c>
      <c r="I170" s="34" t="s">
        <v>638</v>
      </c>
      <c r="J170" s="34" t="s">
        <v>853</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6" t="s">
        <v>549</v>
      </c>
      <c r="B171" s="34" t="s">
        <v>625</v>
      </c>
      <c r="C171" s="34" t="str">
        <f>VLOOKUP(Observaciones[Caso de Prueba],CasoPrueba[[#All],[Código CP]:[Prioridad]],7,TRUE)</f>
        <v>Alta</v>
      </c>
      <c r="D171" s="34" t="s">
        <v>162</v>
      </c>
      <c r="E171" s="34" t="s">
        <v>49</v>
      </c>
      <c r="F171" s="73">
        <v>40807</v>
      </c>
      <c r="G171" s="73">
        <v>40831</v>
      </c>
      <c r="H171" s="94" t="s">
        <v>132</v>
      </c>
      <c r="I171" s="34" t="s">
        <v>639</v>
      </c>
      <c r="J171" s="34" t="s">
        <v>477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6" t="s">
        <v>550</v>
      </c>
      <c r="B172" s="34" t="s">
        <v>625</v>
      </c>
      <c r="C172" s="34" t="str">
        <f>VLOOKUP(Observaciones[Caso de Prueba],CasoPrueba[[#All],[Código CP]:[Prioridad]],7,TRUE)</f>
        <v>Alta</v>
      </c>
      <c r="D172" s="34" t="s">
        <v>162</v>
      </c>
      <c r="E172" s="34" t="s">
        <v>49</v>
      </c>
      <c r="F172" s="73">
        <v>40807</v>
      </c>
      <c r="G172" s="73">
        <v>40831</v>
      </c>
      <c r="H172" s="94" t="s">
        <v>132</v>
      </c>
      <c r="I172" s="34" t="s">
        <v>640</v>
      </c>
      <c r="J172" s="34" t="s">
        <v>477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6" t="s">
        <v>551</v>
      </c>
      <c r="B173" s="34" t="s">
        <v>625</v>
      </c>
      <c r="C173" s="34" t="str">
        <f>VLOOKUP(Observaciones[Caso de Prueba],CasoPrueba[[#All],[Código CP]:[Prioridad]],7,TRUE)</f>
        <v>Alta</v>
      </c>
      <c r="D173" s="34" t="s">
        <v>162</v>
      </c>
      <c r="E173" s="34" t="s">
        <v>49</v>
      </c>
      <c r="F173" s="73">
        <v>40807</v>
      </c>
      <c r="G173" s="73">
        <v>40831</v>
      </c>
      <c r="H173" s="94" t="s">
        <v>132</v>
      </c>
      <c r="I173" s="34" t="s">
        <v>642</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6" t="s">
        <v>552</v>
      </c>
      <c r="B174" s="34" t="s">
        <v>625</v>
      </c>
      <c r="C174" s="34" t="str">
        <f>VLOOKUP(Observaciones[Caso de Prueba],CasoPrueba[[#All],[Código CP]:[Prioridad]],7,TRUE)</f>
        <v>Alta</v>
      </c>
      <c r="D174" s="34" t="s">
        <v>29</v>
      </c>
      <c r="E174" s="34" t="s">
        <v>49</v>
      </c>
      <c r="F174" s="73">
        <v>40807</v>
      </c>
      <c r="G174" s="73">
        <v>40831</v>
      </c>
      <c r="H174" s="94" t="s">
        <v>132</v>
      </c>
      <c r="I174" s="34" t="s">
        <v>643</v>
      </c>
      <c r="J174" s="34" t="s">
        <v>854</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6" t="s">
        <v>553</v>
      </c>
      <c r="B175" s="34" t="s">
        <v>625</v>
      </c>
      <c r="C175" s="34" t="str">
        <f>VLOOKUP(Observaciones[Caso de Prueba],CasoPrueba[[#All],[Código CP]:[Prioridad]],7,TRUE)</f>
        <v>Alta</v>
      </c>
      <c r="D175" s="34" t="s">
        <v>29</v>
      </c>
      <c r="E175" s="34" t="s">
        <v>49</v>
      </c>
      <c r="F175" s="73">
        <v>40807</v>
      </c>
      <c r="G175" s="73">
        <v>40831</v>
      </c>
      <c r="H175" s="94" t="s">
        <v>132</v>
      </c>
      <c r="I175" s="34" t="s">
        <v>644</v>
      </c>
      <c r="J175" s="34" t="s">
        <v>855</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6" t="s">
        <v>554</v>
      </c>
      <c r="B176" s="34" t="s">
        <v>627</v>
      </c>
      <c r="C176" s="34" t="str">
        <f>VLOOKUP(Observaciones[Caso de Prueba],CasoPrueba[[#All],[Código CP]:[Prioridad]],7,TRUE)</f>
        <v>Alta</v>
      </c>
      <c r="D176" s="34" t="s">
        <v>29</v>
      </c>
      <c r="E176" s="34" t="s">
        <v>49</v>
      </c>
      <c r="F176" s="73">
        <v>40826</v>
      </c>
      <c r="G176" s="73">
        <v>40831</v>
      </c>
      <c r="H176" s="94" t="s">
        <v>132</v>
      </c>
      <c r="I176" s="34" t="s">
        <v>608</v>
      </c>
      <c r="J176" s="34" t="s">
        <v>841</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6" t="s">
        <v>555</v>
      </c>
      <c r="B177" s="34" t="s">
        <v>627</v>
      </c>
      <c r="C177" s="34" t="str">
        <f>VLOOKUP(Observaciones[Caso de Prueba],CasoPrueba[[#All],[Código CP]:[Prioridad]],7,TRUE)</f>
        <v>Alta</v>
      </c>
      <c r="D177" s="34" t="s">
        <v>28</v>
      </c>
      <c r="E177" s="34" t="s">
        <v>49</v>
      </c>
      <c r="F177" s="73">
        <v>40826</v>
      </c>
      <c r="G177" s="73">
        <v>40831</v>
      </c>
      <c r="H177" s="94" t="s">
        <v>132</v>
      </c>
      <c r="I177" s="34" t="s">
        <v>595</v>
      </c>
      <c r="J177" s="34" t="s">
        <v>843</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6" t="s">
        <v>556</v>
      </c>
      <c r="B178" s="34" t="s">
        <v>627</v>
      </c>
      <c r="C178" s="34" t="str">
        <f>VLOOKUP(Observaciones[Caso de Prueba],CasoPrueba[[#All],[Código CP]:[Prioridad]],7,TRUE)</f>
        <v>Alta</v>
      </c>
      <c r="D178" s="34" t="s">
        <v>28</v>
      </c>
      <c r="E178" s="34" t="s">
        <v>49</v>
      </c>
      <c r="F178" s="73">
        <v>40826</v>
      </c>
      <c r="G178" s="73">
        <v>40831</v>
      </c>
      <c r="H178" s="94" t="s">
        <v>132</v>
      </c>
      <c r="I178" s="34" t="s">
        <v>646</v>
      </c>
      <c r="J178" s="34" t="s">
        <v>856</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6" t="s">
        <v>557</v>
      </c>
      <c r="B179" s="34" t="s">
        <v>627</v>
      </c>
      <c r="C179" s="34" t="str">
        <f>VLOOKUP(Observaciones[Caso de Prueba],CasoPrueba[[#All],[Código CP]:[Prioridad]],7,TRUE)</f>
        <v>Alta</v>
      </c>
      <c r="D179" s="34" t="s">
        <v>30</v>
      </c>
      <c r="E179" s="34" t="s">
        <v>49</v>
      </c>
      <c r="F179" s="73">
        <v>40826</v>
      </c>
      <c r="G179" s="73">
        <v>40831</v>
      </c>
      <c r="H179" s="94" t="s">
        <v>132</v>
      </c>
      <c r="I179" s="34" t="s">
        <v>647</v>
      </c>
      <c r="J179" s="34" t="s">
        <v>857</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6" t="s">
        <v>558</v>
      </c>
      <c r="B180" s="34" t="s">
        <v>627</v>
      </c>
      <c r="C180" s="34" t="str">
        <f>VLOOKUP(Observaciones[Caso de Prueba],CasoPrueba[[#All],[Código CP]:[Prioridad]],7,TRUE)</f>
        <v>Alta</v>
      </c>
      <c r="D180" s="34" t="s">
        <v>29</v>
      </c>
      <c r="E180" s="34" t="s">
        <v>49</v>
      </c>
      <c r="F180" s="73">
        <v>40826</v>
      </c>
      <c r="G180" s="73">
        <v>40831</v>
      </c>
      <c r="H180" s="94" t="s">
        <v>132</v>
      </c>
      <c r="I180" s="34" t="s">
        <v>648</v>
      </c>
      <c r="J180" s="34" t="s">
        <v>858</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6" t="s">
        <v>559</v>
      </c>
      <c r="B181" s="34" t="s">
        <v>627</v>
      </c>
      <c r="C181" s="34" t="str">
        <f>VLOOKUP(Observaciones[Caso de Prueba],CasoPrueba[[#All],[Código CP]:[Prioridad]],7,TRUE)</f>
        <v>Alta</v>
      </c>
      <c r="D181" s="34" t="s">
        <v>30</v>
      </c>
      <c r="E181" s="34" t="s">
        <v>49</v>
      </c>
      <c r="F181" s="73">
        <v>40826</v>
      </c>
      <c r="G181" s="73">
        <v>40831</v>
      </c>
      <c r="H181" s="94" t="s">
        <v>132</v>
      </c>
      <c r="I181" s="34" t="s">
        <v>649</v>
      </c>
      <c r="J181" s="34" t="s">
        <v>859</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6" t="s">
        <v>560</v>
      </c>
      <c r="B182" s="34" t="s">
        <v>627</v>
      </c>
      <c r="C182" s="34" t="str">
        <f>VLOOKUP(Observaciones[Caso de Prueba],CasoPrueba[[#All],[Código CP]:[Prioridad]],7,TRUE)</f>
        <v>Alta</v>
      </c>
      <c r="D182" s="34" t="s">
        <v>30</v>
      </c>
      <c r="E182" s="34" t="s">
        <v>49</v>
      </c>
      <c r="F182" s="73">
        <v>40826</v>
      </c>
      <c r="G182" s="73">
        <v>40831</v>
      </c>
      <c r="H182" s="94" t="s">
        <v>132</v>
      </c>
      <c r="I182" s="34" t="s">
        <v>650</v>
      </c>
      <c r="J182" s="34" t="s">
        <v>860</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6" t="s">
        <v>561</v>
      </c>
      <c r="B183" s="34" t="s">
        <v>627</v>
      </c>
      <c r="C183" s="34" t="str">
        <f>VLOOKUP(Observaciones[Caso de Prueba],CasoPrueba[[#All],[Código CP]:[Prioridad]],7,TRUE)</f>
        <v>Alta</v>
      </c>
      <c r="D183" s="34" t="s">
        <v>29</v>
      </c>
      <c r="E183" s="34" t="s">
        <v>49</v>
      </c>
      <c r="F183" s="73">
        <v>40828</v>
      </c>
      <c r="G183" s="73">
        <v>40831</v>
      </c>
      <c r="H183" s="94" t="s">
        <v>132</v>
      </c>
      <c r="I183" s="34" t="s">
        <v>651</v>
      </c>
      <c r="J183" s="34" t="s">
        <v>861</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6" t="s">
        <v>562</v>
      </c>
      <c r="B184" s="34" t="s">
        <v>628</v>
      </c>
      <c r="C184" s="34" t="str">
        <f>VLOOKUP(Observaciones[Caso de Prueba],CasoPrueba[[#All],[Código CP]:[Prioridad]],7,TRUE)</f>
        <v>Alta</v>
      </c>
      <c r="D184" s="34" t="s">
        <v>29</v>
      </c>
      <c r="E184" s="34" t="s">
        <v>49</v>
      </c>
      <c r="F184" s="73">
        <v>40828</v>
      </c>
      <c r="G184" s="73">
        <v>40831</v>
      </c>
      <c r="H184" s="94" t="s">
        <v>132</v>
      </c>
      <c r="I184" s="34" t="s">
        <v>608</v>
      </c>
      <c r="J184" s="34" t="s">
        <v>841</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6" t="s">
        <v>563</v>
      </c>
      <c r="B185" s="34" t="s">
        <v>628</v>
      </c>
      <c r="C185" s="34" t="str">
        <f>VLOOKUP(Observaciones[Caso de Prueba],CasoPrueba[[#All],[Código CP]:[Prioridad]],7,TRUE)</f>
        <v>Alta</v>
      </c>
      <c r="D185" s="34" t="s">
        <v>162</v>
      </c>
      <c r="E185" s="34" t="s">
        <v>49</v>
      </c>
      <c r="F185" s="73">
        <v>40828</v>
      </c>
      <c r="G185" s="73">
        <v>40831</v>
      </c>
      <c r="H185" s="94" t="s">
        <v>132</v>
      </c>
      <c r="I185" s="34" t="s">
        <v>652</v>
      </c>
      <c r="J185" s="34" t="s">
        <v>862</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6" t="s">
        <v>564</v>
      </c>
      <c r="B186" s="34" t="s">
        <v>628</v>
      </c>
      <c r="C186" s="34" t="str">
        <f>VLOOKUP(Observaciones[Caso de Prueba],CasoPrueba[[#All],[Código CP]:[Prioridad]],7,TRUE)</f>
        <v>Alta</v>
      </c>
      <c r="D186" s="34" t="s">
        <v>29</v>
      </c>
      <c r="E186" s="34" t="s">
        <v>49</v>
      </c>
      <c r="F186" s="73">
        <v>40828</v>
      </c>
      <c r="G186" s="73">
        <v>40831</v>
      </c>
      <c r="H186" s="94" t="s">
        <v>132</v>
      </c>
      <c r="I186" s="34" t="s">
        <v>655</v>
      </c>
      <c r="J186" s="34" t="s">
        <v>863</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6" t="s">
        <v>565</v>
      </c>
      <c r="B187" s="34" t="s">
        <v>628</v>
      </c>
      <c r="C187" s="34" t="str">
        <f>VLOOKUP(Observaciones[Caso de Prueba],CasoPrueba[[#All],[Código CP]:[Prioridad]],7,TRUE)</f>
        <v>Alta</v>
      </c>
      <c r="D187" s="34" t="s">
        <v>29</v>
      </c>
      <c r="E187" s="34" t="s">
        <v>49</v>
      </c>
      <c r="F187" s="73">
        <v>40828</v>
      </c>
      <c r="G187" s="73">
        <v>40831</v>
      </c>
      <c r="H187" s="94" t="s">
        <v>132</v>
      </c>
      <c r="I187" s="34" t="s">
        <v>653</v>
      </c>
      <c r="J187" s="34" t="s">
        <v>864</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6" t="s">
        <v>566</v>
      </c>
      <c r="B188" s="34" t="s">
        <v>628</v>
      </c>
      <c r="C188" s="34" t="str">
        <f>VLOOKUP(Observaciones[Caso de Prueba],CasoPrueba[[#All],[Código CP]:[Prioridad]],7,TRUE)</f>
        <v>Alta</v>
      </c>
      <c r="D188" s="34" t="s">
        <v>29</v>
      </c>
      <c r="E188" s="34" t="s">
        <v>49</v>
      </c>
      <c r="F188" s="73">
        <v>40828</v>
      </c>
      <c r="G188" s="73">
        <v>40831</v>
      </c>
      <c r="H188" s="94" t="s">
        <v>132</v>
      </c>
      <c r="I188" s="34" t="s">
        <v>654</v>
      </c>
      <c r="J188" s="34" t="s">
        <v>865</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6" t="s">
        <v>567</v>
      </c>
      <c r="B189" s="34" t="s">
        <v>628</v>
      </c>
      <c r="C189" s="34" t="str">
        <f>VLOOKUP(Observaciones[Caso de Prueba],CasoPrueba[[#All],[Código CP]:[Prioridad]],7,TRUE)</f>
        <v>Alta</v>
      </c>
      <c r="D189" s="34" t="s">
        <v>29</v>
      </c>
      <c r="E189" s="34" t="s">
        <v>49</v>
      </c>
      <c r="F189" s="73">
        <v>40828</v>
      </c>
      <c r="G189" s="73">
        <v>40831</v>
      </c>
      <c r="H189" s="94" t="s">
        <v>132</v>
      </c>
      <c r="I189" s="34" t="s">
        <v>656</v>
      </c>
      <c r="J189" s="34" t="s">
        <v>866</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6" t="s">
        <v>568</v>
      </c>
      <c r="B190" s="34" t="s">
        <v>629</v>
      </c>
      <c r="C190" s="34" t="str">
        <f>VLOOKUP(Observaciones[Caso de Prueba],CasoPrueba[[#All],[Código CP]:[Prioridad]],7,TRUE)</f>
        <v>Alta</v>
      </c>
      <c r="D190" s="34" t="s">
        <v>29</v>
      </c>
      <c r="E190" s="34" t="s">
        <v>49</v>
      </c>
      <c r="F190" s="73">
        <v>40828</v>
      </c>
      <c r="G190" s="73">
        <v>40831</v>
      </c>
      <c r="H190" s="94" t="s">
        <v>132</v>
      </c>
      <c r="I190" s="34" t="s">
        <v>608</v>
      </c>
      <c r="J190" s="34" t="s">
        <v>841</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6" t="s">
        <v>569</v>
      </c>
      <c r="B191" s="34" t="s">
        <v>629</v>
      </c>
      <c r="C191" s="34" t="str">
        <f>VLOOKUP(Observaciones[Caso de Prueba],CasoPrueba[[#All],[Código CP]:[Prioridad]],7,TRUE)</f>
        <v>Alta</v>
      </c>
      <c r="D191" s="34" t="s">
        <v>30</v>
      </c>
      <c r="E191" s="34" t="s">
        <v>49</v>
      </c>
      <c r="F191" s="73">
        <v>40828</v>
      </c>
      <c r="G191" s="73">
        <v>40831</v>
      </c>
      <c r="H191" s="94" t="s">
        <v>132</v>
      </c>
      <c r="I191" s="34" t="s">
        <v>657</v>
      </c>
      <c r="J191" s="34" t="s">
        <v>867</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6" t="s">
        <v>570</v>
      </c>
      <c r="B192" s="34" t="s">
        <v>629</v>
      </c>
      <c r="C192" s="34" t="str">
        <f>VLOOKUP(Observaciones[Caso de Prueba],CasoPrueba[[#All],[Código CP]:[Prioridad]],7,TRUE)</f>
        <v>Alta</v>
      </c>
      <c r="D192" s="34" t="s">
        <v>29</v>
      </c>
      <c r="E192" s="34" t="s">
        <v>49</v>
      </c>
      <c r="F192" s="73">
        <v>40828</v>
      </c>
      <c r="G192" s="73">
        <v>40831</v>
      </c>
      <c r="H192" s="94" t="s">
        <v>132</v>
      </c>
      <c r="I192" s="34" t="s">
        <v>659</v>
      </c>
      <c r="J192" s="34" t="s">
        <v>478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6" t="s">
        <v>571</v>
      </c>
      <c r="B193" s="34" t="s">
        <v>629</v>
      </c>
      <c r="C193" s="34" t="str">
        <f>VLOOKUP(Observaciones[Caso de Prueba],CasoPrueba[[#All],[Código CP]:[Prioridad]],7,TRUE)</f>
        <v>Alta</v>
      </c>
      <c r="D193" s="34" t="s">
        <v>28</v>
      </c>
      <c r="E193" s="34" t="s">
        <v>49</v>
      </c>
      <c r="F193" s="73">
        <v>40828</v>
      </c>
      <c r="G193" s="73">
        <v>40831</v>
      </c>
      <c r="H193" s="94" t="s">
        <v>132</v>
      </c>
      <c r="I193" s="34" t="s">
        <v>660</v>
      </c>
      <c r="J193" s="34" t="s">
        <v>868</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6" t="s">
        <v>572</v>
      </c>
      <c r="B194" s="34" t="s">
        <v>630</v>
      </c>
      <c r="C194" s="34" t="str">
        <f>VLOOKUP(Observaciones[Caso de Prueba],CasoPrueba[[#All],[Código CP]:[Prioridad]],7,TRUE)</f>
        <v>Alta</v>
      </c>
      <c r="D194" s="34" t="s">
        <v>29</v>
      </c>
      <c r="E194" s="34" t="s">
        <v>49</v>
      </c>
      <c r="F194" s="73">
        <v>40828</v>
      </c>
      <c r="G194" s="73">
        <v>40831</v>
      </c>
      <c r="H194" s="94" t="s">
        <v>132</v>
      </c>
      <c r="I194" s="34" t="s">
        <v>608</v>
      </c>
      <c r="J194" s="34" t="s">
        <v>841</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6" t="s">
        <v>573</v>
      </c>
      <c r="B195" s="34" t="s">
        <v>630</v>
      </c>
      <c r="C195" s="34" t="str">
        <f>VLOOKUP(Observaciones[Caso de Prueba],CasoPrueba[[#All],[Código CP]:[Prioridad]],7,TRUE)</f>
        <v>Alta</v>
      </c>
      <c r="D195" s="34" t="s">
        <v>162</v>
      </c>
      <c r="E195" s="34" t="s">
        <v>49</v>
      </c>
      <c r="F195" s="73">
        <v>40828</v>
      </c>
      <c r="G195" s="73">
        <v>40831</v>
      </c>
      <c r="H195" s="94" t="s">
        <v>132</v>
      </c>
      <c r="I195" s="34" t="s">
        <v>658</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6" t="s">
        <v>574</v>
      </c>
      <c r="B196" s="34" t="s">
        <v>630</v>
      </c>
      <c r="C196" s="34" t="str">
        <f>VLOOKUP(Observaciones[Caso de Prueba],CasoPrueba[[#All],[Código CP]:[Prioridad]],7,TRUE)</f>
        <v>Alta</v>
      </c>
      <c r="D196" s="34" t="s">
        <v>28</v>
      </c>
      <c r="E196" s="34" t="s">
        <v>49</v>
      </c>
      <c r="F196" s="73">
        <v>40828</v>
      </c>
      <c r="G196" s="73">
        <v>40831</v>
      </c>
      <c r="H196" s="94" t="s">
        <v>132</v>
      </c>
      <c r="I196" s="34" t="s">
        <v>661</v>
      </c>
      <c r="J196" s="34" t="s">
        <v>868</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6" t="s">
        <v>575</v>
      </c>
      <c r="B197" s="34" t="s">
        <v>630</v>
      </c>
      <c r="C197" s="34" t="str">
        <f>VLOOKUP(Observaciones[Caso de Prueba],CasoPrueba[[#All],[Código CP]:[Prioridad]],7,TRUE)</f>
        <v>Alta</v>
      </c>
      <c r="D197" s="34" t="s">
        <v>29</v>
      </c>
      <c r="E197" s="34" t="s">
        <v>49</v>
      </c>
      <c r="F197" s="73">
        <v>40828</v>
      </c>
      <c r="G197" s="73">
        <v>40831</v>
      </c>
      <c r="H197" s="94" t="s">
        <v>132</v>
      </c>
      <c r="I197" s="34" t="s">
        <v>662</v>
      </c>
      <c r="J197" s="34" t="s">
        <v>869</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6" t="s">
        <v>576</v>
      </c>
      <c r="B198" s="34" t="s">
        <v>630</v>
      </c>
      <c r="C198" s="34" t="str">
        <f>VLOOKUP(Observaciones[Caso de Prueba],CasoPrueba[[#All],[Código CP]:[Prioridad]],7,TRUE)</f>
        <v>Alta</v>
      </c>
      <c r="D198" s="34" t="s">
        <v>29</v>
      </c>
      <c r="E198" s="34" t="s">
        <v>49</v>
      </c>
      <c r="F198" s="73">
        <v>40828</v>
      </c>
      <c r="G198" s="73">
        <v>40831</v>
      </c>
      <c r="H198" s="94" t="s">
        <v>132</v>
      </c>
      <c r="I198" s="34" t="s">
        <v>610</v>
      </c>
      <c r="J198" s="34" t="s">
        <v>828</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6" t="s">
        <v>577</v>
      </c>
      <c r="B199" s="34" t="s">
        <v>630</v>
      </c>
      <c r="C199" s="34" t="str">
        <f>VLOOKUP(Observaciones[Caso de Prueba],CasoPrueba[[#All],[Código CP]:[Prioridad]],7,TRUE)</f>
        <v>Alta</v>
      </c>
      <c r="D199" s="34" t="s">
        <v>162</v>
      </c>
      <c r="E199" s="34" t="s">
        <v>49</v>
      </c>
      <c r="F199" s="73">
        <v>40828</v>
      </c>
      <c r="G199" s="73">
        <v>40831</v>
      </c>
      <c r="H199" s="94" t="s">
        <v>132</v>
      </c>
      <c r="I199" s="34" t="s">
        <v>663</v>
      </c>
      <c r="J199" s="34" t="s">
        <v>834</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6" t="s">
        <v>578</v>
      </c>
      <c r="B200" s="34" t="s">
        <v>664</v>
      </c>
      <c r="C200" s="34" t="str">
        <f>VLOOKUP(Observaciones[Caso de Prueba],CasoPrueba[[#All],[Código CP]:[Prioridad]],7,TRUE)</f>
        <v>Alta</v>
      </c>
      <c r="D200" s="34" t="s">
        <v>162</v>
      </c>
      <c r="E200" s="34" t="s">
        <v>49</v>
      </c>
      <c r="F200" s="73">
        <v>40829</v>
      </c>
      <c r="G200" s="73">
        <v>40831</v>
      </c>
      <c r="H200" s="94" t="s">
        <v>132</v>
      </c>
      <c r="I200" s="34" t="s">
        <v>814</v>
      </c>
      <c r="J200" s="34" t="s">
        <v>870</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6" t="s">
        <v>579</v>
      </c>
      <c r="B201" s="34" t="s">
        <v>664</v>
      </c>
      <c r="C201" s="34" t="str">
        <f>VLOOKUP(Observaciones[Caso de Prueba],CasoPrueba[[#All],[Código CP]:[Prioridad]],7,TRUE)</f>
        <v>Alta</v>
      </c>
      <c r="D201" s="34" t="s">
        <v>28</v>
      </c>
      <c r="E201" s="34" t="s">
        <v>49</v>
      </c>
      <c r="F201" s="73">
        <v>40829</v>
      </c>
      <c r="G201" s="73">
        <v>40831</v>
      </c>
      <c r="H201" s="94" t="s">
        <v>132</v>
      </c>
      <c r="I201" s="34" t="s">
        <v>595</v>
      </c>
      <c r="J201" s="34" t="s">
        <v>871</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6" t="s">
        <v>580</v>
      </c>
      <c r="B202" s="34" t="s">
        <v>664</v>
      </c>
      <c r="C202" s="34" t="str">
        <f>VLOOKUP(Observaciones[Caso de Prueba],CasoPrueba[[#All],[Código CP]:[Prioridad]],7,TRUE)</f>
        <v>Alta</v>
      </c>
      <c r="D202" s="34" t="s">
        <v>29</v>
      </c>
      <c r="E202" s="34" t="s">
        <v>49</v>
      </c>
      <c r="F202" s="73">
        <v>40829</v>
      </c>
      <c r="G202" s="73">
        <v>40831</v>
      </c>
      <c r="H202" s="94" t="s">
        <v>132</v>
      </c>
      <c r="I202" s="34" t="s">
        <v>815</v>
      </c>
      <c r="J202" s="34" t="s">
        <v>872</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6" t="s">
        <v>581</v>
      </c>
      <c r="B203" s="34" t="s">
        <v>664</v>
      </c>
      <c r="C203" s="34" t="str">
        <f>VLOOKUP(Observaciones[Caso de Prueba],CasoPrueba[[#All],[Código CP]:[Prioridad]],7,TRUE)</f>
        <v>Alta</v>
      </c>
      <c r="D203" s="34" t="s">
        <v>29</v>
      </c>
      <c r="E203" s="34" t="s">
        <v>49</v>
      </c>
      <c r="F203" s="73">
        <v>40829</v>
      </c>
      <c r="G203" s="73">
        <v>40831</v>
      </c>
      <c r="H203" s="94" t="s">
        <v>132</v>
      </c>
      <c r="I203" s="34" t="s">
        <v>816</v>
      </c>
      <c r="J203" s="34" t="s">
        <v>873</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6" t="s">
        <v>582</v>
      </c>
      <c r="B204" s="34" t="s">
        <v>664</v>
      </c>
      <c r="C204" s="34" t="str">
        <f>VLOOKUP(Observaciones[Caso de Prueba],CasoPrueba[[#All],[Código CP]:[Prioridad]],7,TRUE)</f>
        <v>Alta</v>
      </c>
      <c r="D204" s="34" t="s">
        <v>30</v>
      </c>
      <c r="E204" s="34" t="s">
        <v>49</v>
      </c>
      <c r="F204" s="73">
        <v>40829</v>
      </c>
      <c r="G204" s="73">
        <v>40831</v>
      </c>
      <c r="H204" s="94" t="s">
        <v>132</v>
      </c>
      <c r="I204" s="34" t="s">
        <v>817</v>
      </c>
      <c r="J204" s="34" t="s">
        <v>874</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6" t="s">
        <v>583</v>
      </c>
      <c r="B205" s="34" t="s">
        <v>664</v>
      </c>
      <c r="C205" s="34" t="str">
        <f>VLOOKUP(Observaciones[Caso de Prueba],CasoPrueba[[#All],[Código CP]:[Prioridad]],7,TRUE)</f>
        <v>Alta</v>
      </c>
      <c r="D205" s="34" t="s">
        <v>162</v>
      </c>
      <c r="E205" s="34" t="s">
        <v>49</v>
      </c>
      <c r="F205" s="73">
        <v>40829</v>
      </c>
      <c r="G205" s="73">
        <v>40831</v>
      </c>
      <c r="H205" s="94" t="s">
        <v>132</v>
      </c>
      <c r="I205" s="34" t="s">
        <v>818</v>
      </c>
      <c r="J205" s="34" t="s">
        <v>477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6" t="s">
        <v>584</v>
      </c>
      <c r="B206" s="34" t="s">
        <v>664</v>
      </c>
      <c r="C206" s="34" t="str">
        <f>VLOOKUP(Observaciones[Caso de Prueba],CasoPrueba[[#All],[Código CP]:[Prioridad]],7,TRUE)</f>
        <v>Alta</v>
      </c>
      <c r="D206" s="34" t="s">
        <v>29</v>
      </c>
      <c r="E206" s="34" t="s">
        <v>49</v>
      </c>
      <c r="F206" s="73">
        <v>40829</v>
      </c>
      <c r="G206" s="73">
        <v>40831</v>
      </c>
      <c r="H206" s="94" t="s">
        <v>132</v>
      </c>
      <c r="I206" s="34" t="s">
        <v>890</v>
      </c>
      <c r="J206" s="34" t="s">
        <v>875</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6" t="s">
        <v>585</v>
      </c>
      <c r="B207" s="34" t="s">
        <v>664</v>
      </c>
      <c r="C207" s="34" t="str">
        <f>VLOOKUP(Observaciones[Caso de Prueba],CasoPrueba[[#All],[Código CP]:[Prioridad]],7,TRUE)</f>
        <v>Alta</v>
      </c>
      <c r="D207" s="34" t="s">
        <v>29</v>
      </c>
      <c r="E207" s="34" t="s">
        <v>49</v>
      </c>
      <c r="F207" s="73">
        <v>40829</v>
      </c>
      <c r="G207" s="73">
        <v>40831</v>
      </c>
      <c r="H207" s="94" t="s">
        <v>132</v>
      </c>
      <c r="I207" s="34" t="s">
        <v>819</v>
      </c>
      <c r="J207" s="34" t="s">
        <v>876</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6" t="s">
        <v>586</v>
      </c>
      <c r="B208" s="34" t="s">
        <v>664</v>
      </c>
      <c r="C208" s="34" t="str">
        <f>VLOOKUP(Observaciones[Caso de Prueba],CasoPrueba[[#All],[Código CP]:[Prioridad]],7,TRUE)</f>
        <v>Alta</v>
      </c>
      <c r="D208" s="34" t="s">
        <v>162</v>
      </c>
      <c r="E208" s="34" t="s">
        <v>49</v>
      </c>
      <c r="F208" s="73">
        <v>40829</v>
      </c>
      <c r="G208" s="73">
        <v>40831</v>
      </c>
      <c r="H208" s="94" t="s">
        <v>132</v>
      </c>
      <c r="I208" s="34" t="s">
        <v>820</v>
      </c>
      <c r="J208" s="34" t="s">
        <v>477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6" t="s">
        <v>587</v>
      </c>
      <c r="B209" s="34" t="s">
        <v>664</v>
      </c>
      <c r="C209" s="34" t="str">
        <f>VLOOKUP(Observaciones[Caso de Prueba],CasoPrueba[[#All],[Código CP]:[Prioridad]],7,TRUE)</f>
        <v>Alta</v>
      </c>
      <c r="D209" s="34" t="s">
        <v>30</v>
      </c>
      <c r="E209" s="34" t="s">
        <v>49</v>
      </c>
      <c r="F209" s="73">
        <v>40829</v>
      </c>
      <c r="G209" s="73">
        <v>40831</v>
      </c>
      <c r="H209" s="94" t="s">
        <v>132</v>
      </c>
      <c r="I209" s="34" t="s">
        <v>891</v>
      </c>
      <c r="J209" s="34" t="s">
        <v>877</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6" t="s">
        <v>588</v>
      </c>
      <c r="B210" s="34" t="s">
        <v>664</v>
      </c>
      <c r="C210" s="34" t="str">
        <f>VLOOKUP(Observaciones[Caso de Prueba],CasoPrueba[[#All],[Código CP]:[Prioridad]],7,TRUE)</f>
        <v>Alta</v>
      </c>
      <c r="D210" s="34" t="s">
        <v>30</v>
      </c>
      <c r="E210" s="34" t="s">
        <v>49</v>
      </c>
      <c r="F210" s="73">
        <v>40829</v>
      </c>
      <c r="G210" s="73">
        <v>40831</v>
      </c>
      <c r="H210" s="94" t="s">
        <v>132</v>
      </c>
      <c r="I210" s="34" t="s">
        <v>821</v>
      </c>
      <c r="J210" s="34" t="s">
        <v>878</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6" t="s">
        <v>589</v>
      </c>
      <c r="B211" s="34" t="s">
        <v>664</v>
      </c>
      <c r="C211" s="34" t="str">
        <f>VLOOKUP(Observaciones[Caso de Prueba],CasoPrueba[[#All],[Código CP]:[Prioridad]],7,TRUE)</f>
        <v>Alta</v>
      </c>
      <c r="D211" s="34" t="s">
        <v>162</v>
      </c>
      <c r="E211" s="34" t="s">
        <v>49</v>
      </c>
      <c r="F211" s="73">
        <v>40829</v>
      </c>
      <c r="G211" s="73">
        <v>40831</v>
      </c>
      <c r="H211" s="94" t="s">
        <v>132</v>
      </c>
      <c r="I211" s="34" t="s">
        <v>822</v>
      </c>
      <c r="J211" s="34" t="s">
        <v>477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6" t="s">
        <v>590</v>
      </c>
      <c r="B212" s="34" t="s">
        <v>665</v>
      </c>
      <c r="C212" s="34" t="str">
        <f>VLOOKUP(Observaciones[Caso de Prueba],CasoPrueba[[#All],[Código CP]:[Prioridad]],7,TRUE)</f>
        <v>Alta</v>
      </c>
      <c r="D212" s="34" t="s">
        <v>29</v>
      </c>
      <c r="E212" s="34" t="s">
        <v>49</v>
      </c>
      <c r="F212" s="73">
        <v>40830</v>
      </c>
      <c r="G212" s="73">
        <v>40831</v>
      </c>
      <c r="H212" s="94" t="s">
        <v>132</v>
      </c>
      <c r="I212" s="34" t="s">
        <v>608</v>
      </c>
      <c r="J212" s="34" t="s">
        <v>841</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6" t="s">
        <v>591</v>
      </c>
      <c r="B213" s="34" t="s">
        <v>665</v>
      </c>
      <c r="C213" s="34" t="str">
        <f>VLOOKUP(Observaciones[Caso de Prueba],CasoPrueba[[#All],[Código CP]:[Prioridad]],7,TRUE)</f>
        <v>Alta</v>
      </c>
      <c r="D213" s="34" t="s">
        <v>28</v>
      </c>
      <c r="E213" s="34" t="s">
        <v>49</v>
      </c>
      <c r="F213" s="73">
        <v>40830</v>
      </c>
      <c r="G213" s="73">
        <v>40831</v>
      </c>
      <c r="H213" s="94" t="s">
        <v>132</v>
      </c>
      <c r="I213" s="34" t="s">
        <v>595</v>
      </c>
      <c r="J213" s="34" t="s">
        <v>843</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6" t="s">
        <v>592</v>
      </c>
      <c r="B214" s="34" t="s">
        <v>665</v>
      </c>
      <c r="C214" s="34" t="str">
        <f>VLOOKUP(Observaciones[Caso de Prueba],CasoPrueba[[#All],[Código CP]:[Prioridad]],7,TRUE)</f>
        <v>Alta</v>
      </c>
      <c r="D214" s="34" t="s">
        <v>29</v>
      </c>
      <c r="E214" s="34" t="s">
        <v>49</v>
      </c>
      <c r="F214" s="73">
        <v>40830</v>
      </c>
      <c r="G214" s="73">
        <v>40831</v>
      </c>
      <c r="H214" s="94" t="s">
        <v>132</v>
      </c>
      <c r="I214" s="34" t="s">
        <v>823</v>
      </c>
      <c r="J214" s="34" t="s">
        <v>879</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6" t="s">
        <v>593</v>
      </c>
      <c r="B215" s="34" t="s">
        <v>665</v>
      </c>
      <c r="C215" s="34" t="str">
        <f>VLOOKUP(Observaciones[Caso de Prueba],CasoPrueba[[#All],[Código CP]:[Prioridad]],7,TRUE)</f>
        <v>Alta</v>
      </c>
      <c r="D215" s="34" t="s">
        <v>29</v>
      </c>
      <c r="E215" s="34" t="s">
        <v>49</v>
      </c>
      <c r="F215" s="73">
        <v>40830</v>
      </c>
      <c r="G215" s="73">
        <v>40831</v>
      </c>
      <c r="H215" s="94" t="s">
        <v>132</v>
      </c>
      <c r="I215" s="34" t="s">
        <v>824</v>
      </c>
      <c r="J215" s="34" t="s">
        <v>880</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6" t="s">
        <v>668</v>
      </c>
      <c r="B216" s="34" t="s">
        <v>665</v>
      </c>
      <c r="C216" s="34" t="str">
        <f>VLOOKUP(Observaciones[Caso de Prueba],CasoPrueba[[#All],[Código CP]:[Prioridad]],7,TRUE)</f>
        <v>Alta</v>
      </c>
      <c r="D216" s="34" t="s">
        <v>162</v>
      </c>
      <c r="E216" s="34" t="s">
        <v>49</v>
      </c>
      <c r="F216" s="73">
        <v>40830</v>
      </c>
      <c r="G216" s="73">
        <v>40831</v>
      </c>
      <c r="H216" s="94" t="s">
        <v>132</v>
      </c>
      <c r="I216" s="34" t="s">
        <v>825</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6" t="s">
        <v>669</v>
      </c>
      <c r="B217" s="34" t="s">
        <v>665</v>
      </c>
      <c r="C217" s="34" t="str">
        <f>VLOOKUP(Observaciones[Caso de Prueba],CasoPrueba[[#All],[Código CP]:[Prioridad]],7,TRUE)</f>
        <v>Alta</v>
      </c>
      <c r="D217" s="34" t="s">
        <v>162</v>
      </c>
      <c r="E217" s="34" t="s">
        <v>49</v>
      </c>
      <c r="F217" s="73">
        <v>40830</v>
      </c>
      <c r="G217" s="73">
        <v>40831</v>
      </c>
      <c r="H217" s="94" t="s">
        <v>132</v>
      </c>
      <c r="I217" s="34" t="s">
        <v>826</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6" t="s">
        <v>670</v>
      </c>
      <c r="B218" s="34" t="s">
        <v>498</v>
      </c>
      <c r="C218" s="34" t="str">
        <f>VLOOKUP(Observaciones[Caso de Prueba],CasoPrueba[[#All],[Código CP]:[Prioridad]],7,TRUE)</f>
        <v>Alta</v>
      </c>
      <c r="D218" s="34" t="s">
        <v>28</v>
      </c>
      <c r="E218" s="34" t="s">
        <v>47</v>
      </c>
      <c r="F218" s="73">
        <v>40835</v>
      </c>
      <c r="H218" s="94" t="s">
        <v>132</v>
      </c>
      <c r="I218" s="34" t="s">
        <v>881</v>
      </c>
      <c r="J218" s="34" t="s">
        <v>975</v>
      </c>
      <c r="K218" s="34">
        <f>IF((Observaciones[[#This Row],[Fecha Levantamiento]]-Observaciones[[#This Row],[Fecha Detección]])&gt;=0,Observaciones[[#This Row],[Fecha Levantamiento]]-Observaciones[[#This Row],[Fecha Detección]]+1,0)</f>
        <v>0</v>
      </c>
      <c r="L218" s="34" t="str">
        <f>LOOKUP(Observaciones[[#This Row],[Caso de Prueba]],CasoPrueba[Código CP],CasoPrueba[Código de REQ])</f>
        <v>INSPECCIÓN</v>
      </c>
    </row>
    <row r="219" spans="1:12" ht="66" hidden="1" customHeight="1">
      <c r="A219" s="166" t="s">
        <v>671</v>
      </c>
      <c r="B219" s="34" t="s">
        <v>499</v>
      </c>
      <c r="C219" s="34" t="str">
        <f>VLOOKUP(Observaciones[Caso de Prueba],CasoPrueba[[#All],[Código CP]:[Prioridad]],7,TRUE)</f>
        <v>Alta</v>
      </c>
      <c r="D219" s="34" t="s">
        <v>28</v>
      </c>
      <c r="E219" s="34" t="s">
        <v>47</v>
      </c>
      <c r="F219" s="73">
        <v>40835</v>
      </c>
      <c r="H219" s="94" t="s">
        <v>132</v>
      </c>
      <c r="I219" s="34" t="s">
        <v>608</v>
      </c>
      <c r="J219" s="34" t="s">
        <v>976</v>
      </c>
      <c r="K219" s="34">
        <f>IF((Observaciones[[#This Row],[Fecha Levantamiento]]-Observaciones[[#This Row],[Fecha Detección]])&gt;=0,Observaciones[[#This Row],[Fecha Levantamiento]]-Observaciones[[#This Row],[Fecha Detección]]+1,0)</f>
        <v>0</v>
      </c>
      <c r="L219" s="34" t="str">
        <f>LOOKUP(Observaciones[[#This Row],[Caso de Prueba]],CasoPrueba[Código CP],CasoPrueba[Código de REQ])</f>
        <v>INSPECCIÓN</v>
      </c>
    </row>
    <row r="220" spans="1:12" ht="45" hidden="1">
      <c r="A220" s="166" t="s">
        <v>672</v>
      </c>
      <c r="B220" s="34" t="s">
        <v>499</v>
      </c>
      <c r="C220" s="34" t="str">
        <f>VLOOKUP(Observaciones[Caso de Prueba],CasoPrueba[[#All],[Código CP]:[Prioridad]],7,TRUE)</f>
        <v>Alta</v>
      </c>
      <c r="D220" s="34" t="s">
        <v>28</v>
      </c>
      <c r="E220" s="34" t="s">
        <v>47</v>
      </c>
      <c r="F220" s="73">
        <v>40835</v>
      </c>
      <c r="H220" s="94" t="s">
        <v>132</v>
      </c>
      <c r="I220" s="34" t="s">
        <v>882</v>
      </c>
      <c r="J220" s="34" t="s">
        <v>975</v>
      </c>
      <c r="K220" s="34">
        <f>IF((Observaciones[[#This Row],[Fecha Levantamiento]]-Observaciones[[#This Row],[Fecha Detección]])&gt;=0,Observaciones[[#This Row],[Fecha Levantamiento]]-Observaciones[[#This Row],[Fecha Detección]]+1,0)</f>
        <v>0</v>
      </c>
      <c r="L220" s="34" t="str">
        <f>LOOKUP(Observaciones[[#This Row],[Caso de Prueba]],CasoPrueba[Código CP],CasoPrueba[Código de REQ])</f>
        <v>INSPECCIÓN</v>
      </c>
    </row>
    <row r="221" spans="1:12" ht="45" hidden="1">
      <c r="A221" s="166" t="s">
        <v>673</v>
      </c>
      <c r="B221" s="34" t="s">
        <v>500</v>
      </c>
      <c r="C221" s="34" t="str">
        <f>VLOOKUP(Observaciones[Caso de Prueba],CasoPrueba[[#All],[Código CP]:[Prioridad]],7,TRUE)</f>
        <v>Alta</v>
      </c>
      <c r="D221" s="34" t="s">
        <v>28</v>
      </c>
      <c r="E221" s="34" t="s">
        <v>47</v>
      </c>
      <c r="F221" s="73">
        <v>40835</v>
      </c>
      <c r="H221" s="94" t="s">
        <v>132</v>
      </c>
      <c r="I221" s="34" t="s">
        <v>608</v>
      </c>
      <c r="J221" s="34" t="s">
        <v>977</v>
      </c>
      <c r="K221" s="34">
        <f>IF((Observaciones[[#This Row],[Fecha Levantamiento]]-Observaciones[[#This Row],[Fecha Detección]])&gt;=0,Observaciones[[#This Row],[Fecha Levantamiento]]-Observaciones[[#This Row],[Fecha Detección]]+1,0)</f>
        <v>0</v>
      </c>
      <c r="L221" s="34" t="str">
        <f>LOOKUP(Observaciones[[#This Row],[Caso de Prueba]],CasoPrueba[Código CP],CasoPrueba[Código de REQ])</f>
        <v>INSPECCIÓN</v>
      </c>
    </row>
    <row r="222" spans="1:12" ht="45" hidden="1">
      <c r="A222" s="166" t="s">
        <v>674</v>
      </c>
      <c r="B222" s="34" t="s">
        <v>500</v>
      </c>
      <c r="C222" s="34" t="str">
        <f>VLOOKUP(Observaciones[Caso de Prueba],CasoPrueba[[#All],[Código CP]:[Prioridad]],7,TRUE)</f>
        <v>Alta</v>
      </c>
      <c r="D222" s="34" t="s">
        <v>28</v>
      </c>
      <c r="E222" s="34" t="s">
        <v>47</v>
      </c>
      <c r="F222" s="73">
        <v>40835</v>
      </c>
      <c r="H222" s="94" t="s">
        <v>132</v>
      </c>
      <c r="I222" s="34" t="s">
        <v>882</v>
      </c>
      <c r="J222" s="34" t="s">
        <v>975</v>
      </c>
      <c r="K222" s="34">
        <f>IF((Observaciones[[#This Row],[Fecha Levantamiento]]-Observaciones[[#This Row],[Fecha Detección]])&gt;=0,Observaciones[[#This Row],[Fecha Levantamiento]]-Observaciones[[#This Row],[Fecha Detección]]+1,0)</f>
        <v>0</v>
      </c>
      <c r="L222" s="34" t="str">
        <f>LOOKUP(Observaciones[[#This Row],[Caso de Prueba]],CasoPrueba[Código CP],CasoPrueba[Código de REQ])</f>
        <v>INSPECCIÓN</v>
      </c>
    </row>
    <row r="223" spans="1:12" ht="45">
      <c r="A223" s="166" t="s">
        <v>675</v>
      </c>
      <c r="B223" s="34" t="s">
        <v>625</v>
      </c>
      <c r="C223" s="34" t="str">
        <f>VLOOKUP(Observaciones[Caso de Prueba],CasoPrueba[[#All],[Código CP]:[Prioridad]],7,TRUE)</f>
        <v>Alta</v>
      </c>
      <c r="D223" s="34" t="s">
        <v>28</v>
      </c>
      <c r="E223" s="34" t="s">
        <v>47</v>
      </c>
      <c r="F223" s="73">
        <v>40835</v>
      </c>
      <c r="H223" s="94" t="s">
        <v>132</v>
      </c>
      <c r="I223" s="34" t="s">
        <v>882</v>
      </c>
      <c r="K223" s="34">
        <f>IF((Observaciones[[#This Row],[Fecha Levantamiento]]-Observaciones[[#This Row],[Fecha Detección]])&gt;=0,Observaciones[[#This Row],[Fecha Levantamiento]]-Observaciones[[#This Row],[Fecha Detección]]+1,0)</f>
        <v>0</v>
      </c>
      <c r="L223" s="34" t="str">
        <f>LOOKUP(Observaciones[[#This Row],[Caso de Prueba]],CasoPrueba[Código CP],CasoPrueba[Código de REQ])</f>
        <v>INSPECCIÓN</v>
      </c>
    </row>
    <row r="224" spans="1:12" ht="45">
      <c r="A224" s="166" t="s">
        <v>676</v>
      </c>
      <c r="B224" s="34" t="s">
        <v>627</v>
      </c>
      <c r="C224" s="34" t="str">
        <f>VLOOKUP(Observaciones[Caso de Prueba],CasoPrueba[[#All],[Código CP]:[Prioridad]],7,TRUE)</f>
        <v>Alta</v>
      </c>
      <c r="D224" s="34" t="s">
        <v>28</v>
      </c>
      <c r="E224" s="34" t="s">
        <v>47</v>
      </c>
      <c r="F224" s="73">
        <v>40835</v>
      </c>
      <c r="H224" s="94" t="s">
        <v>132</v>
      </c>
      <c r="I224" s="34" t="s">
        <v>882</v>
      </c>
      <c r="K224" s="34">
        <f>IF((Observaciones[[#This Row],[Fecha Levantamiento]]-Observaciones[[#This Row],[Fecha Detección]])&gt;=0,Observaciones[[#This Row],[Fecha Levantamiento]]-Observaciones[[#This Row],[Fecha Detección]]+1,0)</f>
        <v>0</v>
      </c>
      <c r="L224" s="34" t="str">
        <f>LOOKUP(Observaciones[[#This Row],[Caso de Prueba]],CasoPrueba[Código CP],CasoPrueba[Código de REQ])</f>
        <v>INSPECCIÓN</v>
      </c>
    </row>
    <row r="225" spans="1:12" ht="88.5" customHeight="1">
      <c r="A225" s="166" t="s">
        <v>677</v>
      </c>
      <c r="B225" s="34" t="s">
        <v>627</v>
      </c>
      <c r="C225" s="34" t="str">
        <f>VLOOKUP(Observaciones[Caso de Prueba],CasoPrueba[[#All],[Código CP]:[Prioridad]],7,TRUE)</f>
        <v>Alta</v>
      </c>
      <c r="D225" s="34" t="s">
        <v>28</v>
      </c>
      <c r="E225" s="34" t="s">
        <v>47</v>
      </c>
      <c r="F225" s="73">
        <v>40835</v>
      </c>
      <c r="H225" s="94" t="s">
        <v>132</v>
      </c>
      <c r="I225" s="34" t="s">
        <v>883</v>
      </c>
      <c r="K225" s="34">
        <f>IF((Observaciones[[#This Row],[Fecha Levantamiento]]-Observaciones[[#This Row],[Fecha Detección]])&gt;=0,Observaciones[[#This Row],[Fecha Levantamiento]]-Observaciones[[#This Row],[Fecha Detección]]+1,0)</f>
        <v>0</v>
      </c>
      <c r="L225" s="34" t="str">
        <f>LOOKUP(Observaciones[[#This Row],[Caso de Prueba]],CasoPrueba[Código CP],CasoPrueba[Código de REQ])</f>
        <v>INSPECCIÓN</v>
      </c>
    </row>
    <row r="226" spans="1:12" ht="90">
      <c r="A226" s="166" t="s">
        <v>678</v>
      </c>
      <c r="B226" s="34" t="s">
        <v>627</v>
      </c>
      <c r="C226" s="34" t="str">
        <f>VLOOKUP(Observaciones[Caso de Prueba],CasoPrueba[[#All],[Código CP]:[Prioridad]],7,TRUE)</f>
        <v>Alta</v>
      </c>
      <c r="D226" s="34" t="s">
        <v>29</v>
      </c>
      <c r="E226" s="34" t="s">
        <v>47</v>
      </c>
      <c r="F226" s="73">
        <v>40835</v>
      </c>
      <c r="H226" s="94" t="s">
        <v>132</v>
      </c>
      <c r="I226" s="34" t="s">
        <v>610</v>
      </c>
      <c r="K226" s="34">
        <f>IF((Observaciones[[#This Row],[Fecha Levantamiento]]-Observaciones[[#This Row],[Fecha Detección]])&gt;=0,Observaciones[[#This Row],[Fecha Levantamiento]]-Observaciones[[#This Row],[Fecha Detección]]+1,0)</f>
        <v>0</v>
      </c>
      <c r="L226" s="34" t="str">
        <f>LOOKUP(Observaciones[[#This Row],[Caso de Prueba]],CasoPrueba[Código CP],CasoPrueba[Código de REQ])</f>
        <v>INSPECCIÓN</v>
      </c>
    </row>
    <row r="227" spans="1:12" ht="45" hidden="1">
      <c r="A227" s="166" t="s">
        <v>679</v>
      </c>
      <c r="B227" s="34" t="s">
        <v>628</v>
      </c>
      <c r="C227" s="34" t="str">
        <f>VLOOKUP(Observaciones[Caso de Prueba],CasoPrueba[[#All],[Código CP]:[Prioridad]],7,TRUE)</f>
        <v>Alta</v>
      </c>
      <c r="D227" s="34" t="s">
        <v>28</v>
      </c>
      <c r="E227" s="34" t="s">
        <v>47</v>
      </c>
      <c r="F227" s="73">
        <v>40835</v>
      </c>
      <c r="H227" s="94" t="s">
        <v>132</v>
      </c>
      <c r="I227" s="34" t="s">
        <v>608</v>
      </c>
      <c r="J227" s="34" t="s">
        <v>984</v>
      </c>
      <c r="K227" s="34">
        <f>IF((Observaciones[[#This Row],[Fecha Levantamiento]]-Observaciones[[#This Row],[Fecha Detección]])&gt;=0,Observaciones[[#This Row],[Fecha Levantamiento]]-Observaciones[[#This Row],[Fecha Detección]]+1,0)</f>
        <v>0</v>
      </c>
      <c r="L227" s="34" t="str">
        <f>LOOKUP(Observaciones[[#This Row],[Caso de Prueba]],CasoPrueba[Código CP],CasoPrueba[Código de REQ])</f>
        <v>INSPECCIÓN</v>
      </c>
    </row>
    <row r="228" spans="1:12" ht="45" hidden="1">
      <c r="A228" s="166" t="s">
        <v>680</v>
      </c>
      <c r="B228" s="34" t="s">
        <v>629</v>
      </c>
      <c r="C228" s="34" t="str">
        <f>VLOOKUP(Observaciones[Caso de Prueba],CasoPrueba[[#All],[Código CP]:[Prioridad]],7,TRUE)</f>
        <v>Alta</v>
      </c>
      <c r="D228" s="34" t="s">
        <v>28</v>
      </c>
      <c r="E228" s="34" t="s">
        <v>47</v>
      </c>
      <c r="F228" s="73">
        <v>40835</v>
      </c>
      <c r="H228" s="94" t="s">
        <v>132</v>
      </c>
      <c r="I228" s="34" t="s">
        <v>608</v>
      </c>
      <c r="J228" s="34" t="s">
        <v>985</v>
      </c>
      <c r="K228" s="34">
        <f>IF((Observaciones[[#This Row],[Fecha Levantamiento]]-Observaciones[[#This Row],[Fecha Detección]])&gt;=0,Observaciones[[#This Row],[Fecha Levantamiento]]-Observaciones[[#This Row],[Fecha Detección]]+1,0)</f>
        <v>0</v>
      </c>
      <c r="L228" s="34" t="str">
        <f>LOOKUP(Observaciones[[#This Row],[Caso de Prueba]],CasoPrueba[Código CP],CasoPrueba[Código de REQ])</f>
        <v>INSPECCIÓN</v>
      </c>
    </row>
    <row r="229" spans="1:12" ht="45" hidden="1">
      <c r="A229" s="166" t="s">
        <v>681</v>
      </c>
      <c r="B229" s="34" t="s">
        <v>630</v>
      </c>
      <c r="C229" s="34" t="str">
        <f>VLOOKUP(Observaciones[Caso de Prueba],CasoPrueba[[#All],[Código CP]:[Prioridad]],7,TRUE)</f>
        <v>Alta</v>
      </c>
      <c r="D229" s="34" t="s">
        <v>28</v>
      </c>
      <c r="E229" s="34" t="s">
        <v>47</v>
      </c>
      <c r="F229" s="73">
        <v>40835</v>
      </c>
      <c r="H229" s="94" t="s">
        <v>132</v>
      </c>
      <c r="I229" s="34" t="s">
        <v>608</v>
      </c>
      <c r="J229" s="34" t="s">
        <v>983</v>
      </c>
      <c r="K229" s="34">
        <f>IF((Observaciones[[#This Row],[Fecha Levantamiento]]-Observaciones[[#This Row],[Fecha Detección]])&gt;=0,Observaciones[[#This Row],[Fecha Levantamiento]]-Observaciones[[#This Row],[Fecha Detección]]+1,0)</f>
        <v>0</v>
      </c>
      <c r="L229" s="34" t="str">
        <f>LOOKUP(Observaciones[[#This Row],[Caso de Prueba]],CasoPrueba[Código CP],CasoPrueba[Código de REQ])</f>
        <v>INSPECCIÓN</v>
      </c>
    </row>
    <row r="230" spans="1:12" ht="30" hidden="1">
      <c r="A230" s="166" t="s">
        <v>682</v>
      </c>
      <c r="B230" s="34" t="s">
        <v>630</v>
      </c>
      <c r="C230" s="34" t="str">
        <f>VLOOKUP(Observaciones[Caso de Prueba],CasoPrueba[[#All],[Código CP]:[Prioridad]],7,TRUE)</f>
        <v>Alta</v>
      </c>
      <c r="D230" s="34" t="s">
        <v>29</v>
      </c>
      <c r="E230" s="34" t="s">
        <v>47</v>
      </c>
      <c r="F230" s="73">
        <v>40835</v>
      </c>
      <c r="H230" s="94" t="s">
        <v>132</v>
      </c>
      <c r="I230" s="34" t="s">
        <v>884</v>
      </c>
      <c r="J230" s="34" t="s">
        <v>978</v>
      </c>
      <c r="K230" s="34">
        <f>IF((Observaciones[[#This Row],[Fecha Levantamiento]]-Observaciones[[#This Row],[Fecha Detección]])&gt;=0,Observaciones[[#This Row],[Fecha Levantamiento]]-Observaciones[[#This Row],[Fecha Detección]]+1,0)</f>
        <v>0</v>
      </c>
      <c r="L230" s="34" t="str">
        <f>LOOKUP(Observaciones[[#This Row],[Caso de Prueba]],CasoPrueba[Código CP],CasoPrueba[Código de REQ])</f>
        <v>INSPECCIÓN</v>
      </c>
    </row>
    <row r="231" spans="1:12" ht="60" hidden="1">
      <c r="A231" s="166" t="s">
        <v>683</v>
      </c>
      <c r="B231" s="34" t="s">
        <v>630</v>
      </c>
      <c r="C231" s="34" t="str">
        <f>VLOOKUP(Observaciones[Caso de Prueba],CasoPrueba[[#All],[Código CP]:[Prioridad]],7,TRUE)</f>
        <v>Alta</v>
      </c>
      <c r="D231" s="34" t="s">
        <v>29</v>
      </c>
      <c r="E231" s="34" t="s">
        <v>47</v>
      </c>
      <c r="F231" s="73">
        <v>40835</v>
      </c>
      <c r="H231" s="94" t="s">
        <v>132</v>
      </c>
      <c r="I231" s="34" t="s">
        <v>885</v>
      </c>
      <c r="J231" s="34" t="s">
        <v>979</v>
      </c>
      <c r="K231" s="34">
        <f>IF((Observaciones[[#This Row],[Fecha Levantamiento]]-Observaciones[[#This Row],[Fecha Detección]])&gt;=0,Observaciones[[#This Row],[Fecha Levantamiento]]-Observaciones[[#This Row],[Fecha Detección]]+1,0)</f>
        <v>0</v>
      </c>
      <c r="L231" s="34" t="str">
        <f>LOOKUP(Observaciones[[#This Row],[Caso de Prueba]],CasoPrueba[Código CP],CasoPrueba[Código de REQ])</f>
        <v>INSPECCIÓN</v>
      </c>
    </row>
    <row r="232" spans="1:12" ht="30" hidden="1">
      <c r="A232" s="166" t="s">
        <v>684</v>
      </c>
      <c r="B232" s="34" t="s">
        <v>630</v>
      </c>
      <c r="C232" s="34" t="str">
        <f>VLOOKUP(Observaciones[Caso de Prueba],CasoPrueba[[#All],[Código CP]:[Prioridad]],7,TRUE)</f>
        <v>Alta</v>
      </c>
      <c r="D232" s="34" t="s">
        <v>29</v>
      </c>
      <c r="E232" s="34" t="s">
        <v>47</v>
      </c>
      <c r="F232" s="73">
        <v>40835</v>
      </c>
      <c r="H232" s="94" t="s">
        <v>132</v>
      </c>
      <c r="I232" s="34" t="s">
        <v>886</v>
      </c>
      <c r="J232" s="34" t="s">
        <v>397</v>
      </c>
      <c r="K232" s="34">
        <f>IF((Observaciones[[#This Row],[Fecha Levantamiento]]-Observaciones[[#This Row],[Fecha Detección]])&gt;=0,Observaciones[[#This Row],[Fecha Levantamiento]]-Observaciones[[#This Row],[Fecha Detección]]+1,0)</f>
        <v>0</v>
      </c>
      <c r="L232" s="34" t="str">
        <f>LOOKUP(Observaciones[[#This Row],[Caso de Prueba]],CasoPrueba[Código CP],CasoPrueba[Código de REQ])</f>
        <v>INSPECCIÓN</v>
      </c>
    </row>
    <row r="233" spans="1:12" ht="30" hidden="1">
      <c r="A233" s="166" t="s">
        <v>685</v>
      </c>
      <c r="B233" s="34" t="s">
        <v>630</v>
      </c>
      <c r="C233" s="34" t="str">
        <f>VLOOKUP(Observaciones[Caso de Prueba],CasoPrueba[[#All],[Código CP]:[Prioridad]],7,TRUE)</f>
        <v>Alta</v>
      </c>
      <c r="D233" s="34" t="s">
        <v>29</v>
      </c>
      <c r="E233" s="34" t="s">
        <v>47</v>
      </c>
      <c r="F233" s="73">
        <v>40835</v>
      </c>
      <c r="H233" s="94" t="s">
        <v>132</v>
      </c>
      <c r="I233" s="34" t="s">
        <v>887</v>
      </c>
      <c r="J233" s="34" t="s">
        <v>980</v>
      </c>
      <c r="K233" s="34">
        <f>IF((Observaciones[[#This Row],[Fecha Levantamiento]]-Observaciones[[#This Row],[Fecha Detección]])&gt;=0,Observaciones[[#This Row],[Fecha Levantamiento]]-Observaciones[[#This Row],[Fecha Detección]]+1,0)</f>
        <v>0</v>
      </c>
      <c r="L233" s="34" t="str">
        <f>LOOKUP(Observaciones[[#This Row],[Caso de Prueba]],CasoPrueba[Código CP],CasoPrueba[Código de REQ])</f>
        <v>INSPECCIÓN</v>
      </c>
    </row>
    <row r="234" spans="1:12" ht="30.75" hidden="1" customHeight="1">
      <c r="A234" s="166" t="s">
        <v>686</v>
      </c>
      <c r="B234" s="34" t="s">
        <v>630</v>
      </c>
      <c r="C234" s="34" t="str">
        <f>VLOOKUP(Observaciones[Caso de Prueba],CasoPrueba[[#All],[Código CP]:[Prioridad]],7,TRUE)</f>
        <v>Alta</v>
      </c>
      <c r="D234" s="34" t="s">
        <v>29</v>
      </c>
      <c r="E234" s="34" t="s">
        <v>47</v>
      </c>
      <c r="F234" s="73">
        <v>40835</v>
      </c>
      <c r="H234" s="94" t="s">
        <v>132</v>
      </c>
      <c r="I234" s="34" t="s">
        <v>888</v>
      </c>
      <c r="J234" s="34" t="s">
        <v>981</v>
      </c>
      <c r="K234" s="34">
        <f>IF((Observaciones[[#This Row],[Fecha Levantamiento]]-Observaciones[[#This Row],[Fecha Detección]])&gt;=0,Observaciones[[#This Row],[Fecha Levantamiento]]-Observaciones[[#This Row],[Fecha Detección]]+1,0)</f>
        <v>0</v>
      </c>
      <c r="L234" s="34" t="str">
        <f>LOOKUP(Observaciones[[#This Row],[Caso de Prueba]],CasoPrueba[Código CP],CasoPrueba[Código de REQ])</f>
        <v>INSPECCIÓN</v>
      </c>
    </row>
    <row r="235" spans="1:12" ht="90" hidden="1">
      <c r="A235" s="166" t="s">
        <v>687</v>
      </c>
      <c r="B235" s="34" t="s">
        <v>630</v>
      </c>
      <c r="C235" s="34" t="str">
        <f>VLOOKUP(Observaciones[Caso de Prueba],CasoPrueba[[#All],[Código CP]:[Prioridad]],7,TRUE)</f>
        <v>Alta</v>
      </c>
      <c r="D235" s="34" t="s">
        <v>29</v>
      </c>
      <c r="E235" s="34" t="s">
        <v>47</v>
      </c>
      <c r="F235" s="73">
        <v>40835</v>
      </c>
      <c r="H235" s="94" t="s">
        <v>132</v>
      </c>
      <c r="I235" s="34" t="s">
        <v>889</v>
      </c>
      <c r="J235" s="34" t="s">
        <v>982</v>
      </c>
      <c r="K235" s="34">
        <f>IF((Observaciones[[#This Row],[Fecha Levantamiento]]-Observaciones[[#This Row],[Fecha Detección]])&gt;=0,Observaciones[[#This Row],[Fecha Levantamiento]]-Observaciones[[#This Row],[Fecha Detección]]+1,0)</f>
        <v>0</v>
      </c>
      <c r="L235" s="34" t="str">
        <f>LOOKUP(Observaciones[[#This Row],[Caso de Prueba]],CasoPrueba[Código CP],CasoPrueba[Código de REQ])</f>
        <v>INSPECCIÓN</v>
      </c>
    </row>
    <row r="236" spans="1:12" ht="45">
      <c r="A236" s="166" t="s">
        <v>688</v>
      </c>
      <c r="B236" s="34" t="s">
        <v>664</v>
      </c>
      <c r="C236" s="34" t="str">
        <f>VLOOKUP(Observaciones[Caso de Prueba],CasoPrueba[[#All],[Código CP]:[Prioridad]],7,TRUE)</f>
        <v>Alta</v>
      </c>
      <c r="D236" s="34" t="s">
        <v>28</v>
      </c>
      <c r="E236" s="34" t="s">
        <v>47</v>
      </c>
      <c r="F236" s="73">
        <v>40835</v>
      </c>
      <c r="H236" s="94" t="s">
        <v>132</v>
      </c>
      <c r="I236" s="34" t="s">
        <v>882</v>
      </c>
      <c r="K236" s="34">
        <f>IF((Observaciones[[#This Row],[Fecha Levantamiento]]-Observaciones[[#This Row],[Fecha Detección]])&gt;=0,Observaciones[[#This Row],[Fecha Levantamiento]]-Observaciones[[#This Row],[Fecha Detección]]+1,0)</f>
        <v>0</v>
      </c>
      <c r="L236" s="34" t="str">
        <f>LOOKUP(Observaciones[[#This Row],[Caso de Prueba]],CasoPrueba[Código CP],CasoPrueba[Código de REQ])</f>
        <v>INSPECCIÓN</v>
      </c>
    </row>
    <row r="237" spans="1:12" ht="45">
      <c r="A237" s="166" t="s">
        <v>689</v>
      </c>
      <c r="B237" s="34" t="s">
        <v>665</v>
      </c>
      <c r="C237" s="34" t="str">
        <f>VLOOKUP(Observaciones[Caso de Prueba],CasoPrueba[[#All],[Código CP]:[Prioridad]],7,TRUE)</f>
        <v>Alta</v>
      </c>
      <c r="D237" s="34" t="s">
        <v>28</v>
      </c>
      <c r="E237" s="34" t="s">
        <v>47</v>
      </c>
      <c r="F237" s="73">
        <v>40835</v>
      </c>
      <c r="H237" s="94" t="s">
        <v>132</v>
      </c>
      <c r="I237" s="34" t="s">
        <v>608</v>
      </c>
      <c r="K237" s="34">
        <f>IF((Observaciones[[#This Row],[Fecha Levantamiento]]-Observaciones[[#This Row],[Fecha Detección]])&gt;=0,Observaciones[[#This Row],[Fecha Levantamiento]]-Observaciones[[#This Row],[Fecha Detección]]+1,0)</f>
        <v>0</v>
      </c>
      <c r="L237" s="34" t="str">
        <f>LOOKUP(Observaciones[[#This Row],[Caso de Prueba]],CasoPrueba[Código CP],CasoPrueba[Código de REQ])</f>
        <v>INSPECCIÓN</v>
      </c>
    </row>
    <row r="238" spans="1:12" ht="45">
      <c r="A238" s="166" t="s">
        <v>690</v>
      </c>
      <c r="B238" s="34" t="s">
        <v>665</v>
      </c>
      <c r="C238" s="34" t="str">
        <f>VLOOKUP(Observaciones[Caso de Prueba],CasoPrueba[[#All],[Código CP]:[Prioridad]],7,TRUE)</f>
        <v>Alta</v>
      </c>
      <c r="D238" s="34" t="s">
        <v>28</v>
      </c>
      <c r="E238" s="34" t="s">
        <v>47</v>
      </c>
      <c r="F238" s="73">
        <v>40835</v>
      </c>
      <c r="H238" s="94" t="s">
        <v>132</v>
      </c>
      <c r="I238" s="34" t="s">
        <v>882</v>
      </c>
      <c r="K238" s="34">
        <f>IF((Observaciones[[#This Row],[Fecha Levantamiento]]-Observaciones[[#This Row],[Fecha Detección]])&gt;=0,Observaciones[[#This Row],[Fecha Levantamiento]]-Observaciones[[#This Row],[Fecha Detección]]+1,0)</f>
        <v>0</v>
      </c>
      <c r="L238" s="34" t="str">
        <f>LOOKUP(Observaciones[[#This Row],[Caso de Prueba]],CasoPrueba[Código CP],CasoPrueba[Código de REQ])</f>
        <v>INSPECCIÓN</v>
      </c>
    </row>
    <row r="239" spans="1:12" ht="60" hidden="1">
      <c r="A239" s="166" t="s">
        <v>691</v>
      </c>
      <c r="B239" s="34" t="s">
        <v>902</v>
      </c>
      <c r="C239" s="34" t="str">
        <f>VLOOKUP(Observaciones[Caso de Prueba],CasoPrueba[[#All],[Código CP]:[Prioridad]],7,TRUE)</f>
        <v>Alta</v>
      </c>
      <c r="D239" s="34" t="s">
        <v>162</v>
      </c>
      <c r="E239" s="34" t="s">
        <v>47</v>
      </c>
      <c r="F239" s="73">
        <v>40838</v>
      </c>
      <c r="H239" s="94" t="s">
        <v>132</v>
      </c>
      <c r="I239" s="34" t="s">
        <v>922</v>
      </c>
      <c r="J239" s="34" t="s">
        <v>986</v>
      </c>
      <c r="K239" s="34">
        <f>IF((Observaciones[[#This Row],[Fecha Levantamiento]]-Observaciones[[#This Row],[Fecha Detección]])&gt;=0,Observaciones[[#This Row],[Fecha Levantamiento]]-Observaciones[[#This Row],[Fecha Detección]]+1,0)</f>
        <v>0</v>
      </c>
      <c r="L239" s="34" t="str">
        <f>LOOKUP(Observaciones[[#This Row],[Caso de Prueba]],CasoPrueba[Código CP],CasoPrueba[Código de REQ])</f>
        <v>INSPECCIÓN</v>
      </c>
    </row>
    <row r="240" spans="1:12" ht="30" hidden="1">
      <c r="A240" s="166" t="s">
        <v>692</v>
      </c>
      <c r="B240" s="34" t="s">
        <v>902</v>
      </c>
      <c r="C240" s="34" t="str">
        <f>VLOOKUP(Observaciones[Caso de Prueba],CasoPrueba[[#All],[Código CP]:[Prioridad]],7,TRUE)</f>
        <v>Alta</v>
      </c>
      <c r="D240" s="34" t="s">
        <v>162</v>
      </c>
      <c r="E240" s="34" t="s">
        <v>47</v>
      </c>
      <c r="F240" s="73">
        <v>40838</v>
      </c>
      <c r="H240" s="94" t="s">
        <v>132</v>
      </c>
      <c r="I240" s="34" t="s">
        <v>923</v>
      </c>
      <c r="J240" s="34" t="s">
        <v>987</v>
      </c>
      <c r="K240" s="34">
        <f>IF((Observaciones[[#This Row],[Fecha Levantamiento]]-Observaciones[[#This Row],[Fecha Detección]])&gt;=0,Observaciones[[#This Row],[Fecha Levantamiento]]-Observaciones[[#This Row],[Fecha Detección]]+1,0)</f>
        <v>0</v>
      </c>
      <c r="L240" s="34" t="str">
        <f>LOOKUP(Observaciones[[#This Row],[Caso de Prueba]],CasoPrueba[Código CP],CasoPrueba[Código de REQ])</f>
        <v>INSPECCIÓN</v>
      </c>
    </row>
    <row r="241" spans="1:12" ht="45" hidden="1">
      <c r="A241" s="166" t="s">
        <v>693</v>
      </c>
      <c r="B241" s="34" t="s">
        <v>902</v>
      </c>
      <c r="C241" s="34" t="str">
        <f>VLOOKUP(Observaciones[Caso de Prueba],CasoPrueba[[#All],[Código CP]:[Prioridad]],7,TRUE)</f>
        <v>Alta</v>
      </c>
      <c r="D241" s="34" t="s">
        <v>162</v>
      </c>
      <c r="E241" s="34" t="s">
        <v>47</v>
      </c>
      <c r="F241" s="73">
        <v>40838</v>
      </c>
      <c r="H241" s="94" t="s">
        <v>132</v>
      </c>
      <c r="I241" s="34" t="s">
        <v>924</v>
      </c>
      <c r="J241" s="34" t="s">
        <v>988</v>
      </c>
      <c r="K241" s="34">
        <f>IF((Observaciones[[#This Row],[Fecha Levantamiento]]-Observaciones[[#This Row],[Fecha Detección]])&gt;=0,Observaciones[[#This Row],[Fecha Levantamiento]]-Observaciones[[#This Row],[Fecha Detección]]+1,0)</f>
        <v>0</v>
      </c>
      <c r="L241" s="34" t="str">
        <f>LOOKUP(Observaciones[[#This Row],[Caso de Prueba]],CasoPrueba[Código CP],CasoPrueba[Código de REQ])</f>
        <v>INSPECCIÓN</v>
      </c>
    </row>
    <row r="242" spans="1:12" ht="105" hidden="1">
      <c r="A242" s="166" t="s">
        <v>694</v>
      </c>
      <c r="B242" s="34" t="s">
        <v>902</v>
      </c>
      <c r="C242" s="34" t="str">
        <f>VLOOKUP(Observaciones[Caso de Prueba],CasoPrueba[[#All],[Código CP]:[Prioridad]],7,TRUE)</f>
        <v>Alta</v>
      </c>
      <c r="D242" s="34" t="s">
        <v>162</v>
      </c>
      <c r="E242" s="34" t="s">
        <v>47</v>
      </c>
      <c r="F242" s="73">
        <v>40838</v>
      </c>
      <c r="H242" s="94" t="s">
        <v>132</v>
      </c>
      <c r="I242" s="34" t="s">
        <v>933</v>
      </c>
      <c r="J242" s="34" t="s">
        <v>989</v>
      </c>
      <c r="K242" s="34">
        <f>IF((Observaciones[[#This Row],[Fecha Levantamiento]]-Observaciones[[#This Row],[Fecha Detección]])&gt;=0,Observaciones[[#This Row],[Fecha Levantamiento]]-Observaciones[[#This Row],[Fecha Detección]]+1,0)</f>
        <v>0</v>
      </c>
      <c r="L242" s="34" t="str">
        <f>LOOKUP(Observaciones[[#This Row],[Caso de Prueba]],CasoPrueba[Código CP],CasoPrueba[Código de REQ])</f>
        <v>INSPECCIÓN</v>
      </c>
    </row>
    <row r="243" spans="1:12" ht="45" hidden="1">
      <c r="A243" s="166" t="s">
        <v>695</v>
      </c>
      <c r="B243" s="34" t="s">
        <v>902</v>
      </c>
      <c r="C243" s="34" t="str">
        <f>VLOOKUP(Observaciones[Caso de Prueba],CasoPrueba[[#All],[Código CP]:[Prioridad]],7,TRUE)</f>
        <v>Alta</v>
      </c>
      <c r="D243" s="34" t="s">
        <v>28</v>
      </c>
      <c r="E243" s="34" t="s">
        <v>47</v>
      </c>
      <c r="F243" s="73">
        <v>40838</v>
      </c>
      <c r="H243" s="94" t="s">
        <v>132</v>
      </c>
      <c r="I243" s="34" t="s">
        <v>608</v>
      </c>
      <c r="J243" s="34" t="s">
        <v>990</v>
      </c>
      <c r="K243" s="34">
        <f>IF((Observaciones[[#This Row],[Fecha Levantamiento]]-Observaciones[[#This Row],[Fecha Detección]])&gt;=0,Observaciones[[#This Row],[Fecha Levantamiento]]-Observaciones[[#This Row],[Fecha Detección]]+1,0)</f>
        <v>0</v>
      </c>
      <c r="L243" s="34" t="str">
        <f>LOOKUP(Observaciones[[#This Row],[Caso de Prueba]],CasoPrueba[Código CP],CasoPrueba[Código de REQ])</f>
        <v>INSPECCIÓN</v>
      </c>
    </row>
    <row r="244" spans="1:12" ht="90" hidden="1">
      <c r="A244" s="166" t="s">
        <v>696</v>
      </c>
      <c r="B244" s="34" t="s">
        <v>902</v>
      </c>
      <c r="C244" s="34" t="str">
        <f>VLOOKUP(Observaciones[Caso de Prueba],CasoPrueba[[#All],[Código CP]:[Prioridad]],7,TRUE)</f>
        <v>Alta</v>
      </c>
      <c r="D244" s="34" t="s">
        <v>29</v>
      </c>
      <c r="E244" s="34" t="s">
        <v>47</v>
      </c>
      <c r="F244" s="73">
        <v>40838</v>
      </c>
      <c r="H244" s="94" t="s">
        <v>132</v>
      </c>
      <c r="I244" s="34" t="s">
        <v>610</v>
      </c>
      <c r="J244" s="34" t="s">
        <v>828</v>
      </c>
      <c r="K244" s="34">
        <f>IF((Observaciones[[#This Row],[Fecha Levantamiento]]-Observaciones[[#This Row],[Fecha Detección]])&gt;=0,Observaciones[[#This Row],[Fecha Levantamiento]]-Observaciones[[#This Row],[Fecha Detección]]+1,0)</f>
        <v>0</v>
      </c>
      <c r="L244" s="34" t="str">
        <f>LOOKUP(Observaciones[[#This Row],[Caso de Prueba]],CasoPrueba[Código CP],CasoPrueba[Código de REQ])</f>
        <v>INSPECCIÓN</v>
      </c>
    </row>
    <row r="245" spans="1:12" ht="60" hidden="1">
      <c r="A245" s="166" t="s">
        <v>697</v>
      </c>
      <c r="B245" s="34" t="s">
        <v>902</v>
      </c>
      <c r="C245" s="34" t="str">
        <f>VLOOKUP(Observaciones[Caso de Prueba],CasoPrueba[[#All],[Código CP]:[Prioridad]],7,TRUE)</f>
        <v>Alta</v>
      </c>
      <c r="D245" s="34" t="s">
        <v>162</v>
      </c>
      <c r="E245" s="34" t="s">
        <v>47</v>
      </c>
      <c r="F245" s="73">
        <v>40838</v>
      </c>
      <c r="H245" s="94" t="s">
        <v>132</v>
      </c>
      <c r="I245" s="34" t="s">
        <v>925</v>
      </c>
      <c r="J245" s="34" t="s">
        <v>991</v>
      </c>
      <c r="K245" s="34">
        <f>IF((Observaciones[[#This Row],[Fecha Levantamiento]]-Observaciones[[#This Row],[Fecha Detección]])&gt;=0,Observaciones[[#This Row],[Fecha Levantamiento]]-Observaciones[[#This Row],[Fecha Detección]]+1,0)</f>
        <v>0</v>
      </c>
      <c r="L245" s="34" t="str">
        <f>LOOKUP(Observaciones[[#This Row],[Caso de Prueba]],CasoPrueba[Código CP],CasoPrueba[Código de REQ])</f>
        <v>INSPECCIÓN</v>
      </c>
    </row>
    <row r="246" spans="1:12" ht="75" hidden="1">
      <c r="A246" s="166" t="s">
        <v>698</v>
      </c>
      <c r="B246" s="34" t="s">
        <v>902</v>
      </c>
      <c r="C246" s="34" t="str">
        <f>VLOOKUP(Observaciones[Caso de Prueba],CasoPrueba[[#All],[Código CP]:[Prioridad]],7,TRUE)</f>
        <v>Alta</v>
      </c>
      <c r="D246" s="34" t="s">
        <v>29</v>
      </c>
      <c r="E246" s="34" t="s">
        <v>47</v>
      </c>
      <c r="F246" s="73">
        <v>40838</v>
      </c>
      <c r="H246" s="94" t="s">
        <v>132</v>
      </c>
      <c r="I246" s="34" t="s">
        <v>926</v>
      </c>
      <c r="J246" s="34" t="s">
        <v>992</v>
      </c>
      <c r="K246" s="34">
        <f>IF((Observaciones[[#This Row],[Fecha Levantamiento]]-Observaciones[[#This Row],[Fecha Detección]])&gt;=0,Observaciones[[#This Row],[Fecha Levantamiento]]-Observaciones[[#This Row],[Fecha Detección]]+1,0)</f>
        <v>0</v>
      </c>
      <c r="L246" s="34" t="str">
        <f>LOOKUP(Observaciones[[#This Row],[Caso de Prueba]],CasoPrueba[Código CP],CasoPrueba[Código de REQ])</f>
        <v>INSPECCIÓN</v>
      </c>
    </row>
    <row r="247" spans="1:12" ht="45" hidden="1">
      <c r="A247" s="166" t="s">
        <v>699</v>
      </c>
      <c r="B247" s="34" t="s">
        <v>902</v>
      </c>
      <c r="C247" s="34" t="str">
        <f>VLOOKUP(Observaciones[Caso de Prueba],CasoPrueba[[#All],[Código CP]:[Prioridad]],7,TRUE)</f>
        <v>Alta</v>
      </c>
      <c r="D247" s="34" t="s">
        <v>162</v>
      </c>
      <c r="E247" s="34" t="s">
        <v>47</v>
      </c>
      <c r="F247" s="73">
        <v>40838</v>
      </c>
      <c r="H247" s="94" t="s">
        <v>132</v>
      </c>
      <c r="I247" s="34" t="s">
        <v>927</v>
      </c>
      <c r="J247" s="34" t="s">
        <v>988</v>
      </c>
      <c r="K247" s="34">
        <f>IF((Observaciones[[#This Row],[Fecha Levantamiento]]-Observaciones[[#This Row],[Fecha Detección]])&gt;=0,Observaciones[[#This Row],[Fecha Levantamiento]]-Observaciones[[#This Row],[Fecha Detección]]+1,0)</f>
        <v>0</v>
      </c>
      <c r="L247" s="34" t="str">
        <f>LOOKUP(Observaciones[[#This Row],[Caso de Prueba]],CasoPrueba[Código CP],CasoPrueba[Código de REQ])</f>
        <v>INSPECCIÓN</v>
      </c>
    </row>
    <row r="248" spans="1:12" ht="30" hidden="1">
      <c r="A248" s="166" t="s">
        <v>700</v>
      </c>
      <c r="B248" s="34" t="s">
        <v>902</v>
      </c>
      <c r="C248" s="34" t="str">
        <f>VLOOKUP(Observaciones[Caso de Prueba],CasoPrueba[[#All],[Código CP]:[Prioridad]],7,TRUE)</f>
        <v>Alta</v>
      </c>
      <c r="D248" s="34" t="s">
        <v>29</v>
      </c>
      <c r="E248" s="34" t="s">
        <v>47</v>
      </c>
      <c r="F248" s="73">
        <v>40838</v>
      </c>
      <c r="H248" s="94" t="s">
        <v>132</v>
      </c>
      <c r="I248" s="34" t="s">
        <v>928</v>
      </c>
      <c r="J248" s="34" t="s">
        <v>846</v>
      </c>
      <c r="K248" s="34">
        <f>IF((Observaciones[[#This Row],[Fecha Levantamiento]]-Observaciones[[#This Row],[Fecha Detección]])&gt;=0,Observaciones[[#This Row],[Fecha Levantamiento]]-Observaciones[[#This Row],[Fecha Detección]]+1,0)</f>
        <v>0</v>
      </c>
      <c r="L248" s="34" t="str">
        <f>LOOKUP(Observaciones[[#This Row],[Caso de Prueba]],CasoPrueba[Código CP],CasoPrueba[Código de REQ])</f>
        <v>INSPECCIÓN</v>
      </c>
    </row>
    <row r="249" spans="1:12" ht="75.75" hidden="1" customHeight="1">
      <c r="A249" s="166" t="s">
        <v>701</v>
      </c>
      <c r="B249" s="34" t="s">
        <v>902</v>
      </c>
      <c r="C249" s="34" t="str">
        <f>VLOOKUP(Observaciones[Caso de Prueba],CasoPrueba[[#All],[Código CP]:[Prioridad]],7,TRUE)</f>
        <v>Alta</v>
      </c>
      <c r="D249" s="34" t="s">
        <v>29</v>
      </c>
      <c r="E249" s="34" t="s">
        <v>47</v>
      </c>
      <c r="F249" s="73">
        <v>40838</v>
      </c>
      <c r="H249" s="94" t="s">
        <v>132</v>
      </c>
      <c r="I249" s="34" t="s">
        <v>929</v>
      </c>
      <c r="J249" s="34" t="s">
        <v>993</v>
      </c>
      <c r="K249" s="34">
        <f>IF((Observaciones[[#This Row],[Fecha Levantamiento]]-Observaciones[[#This Row],[Fecha Detección]])&gt;=0,Observaciones[[#This Row],[Fecha Levantamiento]]-Observaciones[[#This Row],[Fecha Detección]]+1,0)</f>
        <v>0</v>
      </c>
      <c r="L249" s="34" t="str">
        <f>LOOKUP(Observaciones[[#This Row],[Caso de Prueba]],CasoPrueba[Código CP],CasoPrueba[Código de REQ])</f>
        <v>INSPECCIÓN</v>
      </c>
    </row>
    <row r="250" spans="1:12" ht="75" hidden="1">
      <c r="A250" s="166" t="s">
        <v>702</v>
      </c>
      <c r="B250" s="34" t="s">
        <v>902</v>
      </c>
      <c r="C250" s="34" t="str">
        <f>VLOOKUP(Observaciones[Caso de Prueba],CasoPrueba[[#All],[Código CP]:[Prioridad]],7,TRUE)</f>
        <v>Alta</v>
      </c>
      <c r="D250" s="34" t="s">
        <v>162</v>
      </c>
      <c r="E250" s="34" t="s">
        <v>47</v>
      </c>
      <c r="F250" s="73">
        <v>40838</v>
      </c>
      <c r="H250" s="94" t="s">
        <v>132</v>
      </c>
      <c r="I250" s="34" t="s">
        <v>930</v>
      </c>
      <c r="J250" s="34" t="s">
        <v>988</v>
      </c>
      <c r="K250" s="34">
        <f>IF((Observaciones[[#This Row],[Fecha Levantamiento]]-Observaciones[[#This Row],[Fecha Detección]])&gt;=0,Observaciones[[#This Row],[Fecha Levantamiento]]-Observaciones[[#This Row],[Fecha Detección]]+1,0)</f>
        <v>0</v>
      </c>
      <c r="L250" s="34" t="str">
        <f>LOOKUP(Observaciones[[#This Row],[Caso de Prueba]],CasoPrueba[Código CP],CasoPrueba[Código de REQ])</f>
        <v>INSPECCIÓN</v>
      </c>
    </row>
    <row r="251" spans="1:12" ht="30" hidden="1">
      <c r="A251" s="166" t="s">
        <v>703</v>
      </c>
      <c r="B251" s="34" t="s">
        <v>902</v>
      </c>
      <c r="C251" s="34" t="str">
        <f>VLOOKUP(Observaciones[Caso de Prueba],CasoPrueba[[#All],[Código CP]:[Prioridad]],7,TRUE)</f>
        <v>Alta</v>
      </c>
      <c r="D251" s="34" t="s">
        <v>162</v>
      </c>
      <c r="E251" s="34" t="s">
        <v>47</v>
      </c>
      <c r="F251" s="73">
        <v>40838</v>
      </c>
      <c r="H251" s="94" t="s">
        <v>132</v>
      </c>
      <c r="I251" s="34" t="s">
        <v>931</v>
      </c>
      <c r="J251" s="34" t="s">
        <v>988</v>
      </c>
      <c r="K251" s="34">
        <f>IF((Observaciones[[#This Row],[Fecha Levantamiento]]-Observaciones[[#This Row],[Fecha Detección]])&gt;=0,Observaciones[[#This Row],[Fecha Levantamiento]]-Observaciones[[#This Row],[Fecha Detección]]+1,0)</f>
        <v>0</v>
      </c>
      <c r="L251" s="34" t="str">
        <f>LOOKUP(Observaciones[[#This Row],[Caso de Prueba]],CasoPrueba[Código CP],CasoPrueba[Código de REQ])</f>
        <v>INSPECCIÓN</v>
      </c>
    </row>
    <row r="252" spans="1:12" ht="45" hidden="1">
      <c r="A252" s="166" t="s">
        <v>704</v>
      </c>
      <c r="B252" s="34" t="s">
        <v>902</v>
      </c>
      <c r="C252" s="34" t="str">
        <f>VLOOKUP(Observaciones[Caso de Prueba],CasoPrueba[[#All],[Código CP]:[Prioridad]],7,TRUE)</f>
        <v>Alta</v>
      </c>
      <c r="D252" s="34" t="s">
        <v>29</v>
      </c>
      <c r="E252" s="34" t="s">
        <v>47</v>
      </c>
      <c r="F252" s="73">
        <v>40838</v>
      </c>
      <c r="H252" s="94" t="s">
        <v>132</v>
      </c>
      <c r="I252" s="34" t="s">
        <v>932</v>
      </c>
      <c r="J252" s="34" t="s">
        <v>994</v>
      </c>
      <c r="K252" s="34">
        <f>IF((Observaciones[[#This Row],[Fecha Levantamiento]]-Observaciones[[#This Row],[Fecha Detección]])&gt;=0,Observaciones[[#This Row],[Fecha Levantamiento]]-Observaciones[[#This Row],[Fecha Detección]]+1,0)</f>
        <v>0</v>
      </c>
      <c r="L252" s="34" t="str">
        <f>LOOKUP(Observaciones[[#This Row],[Caso de Prueba]],CasoPrueba[Código CP],CasoPrueba[Código de REQ])</f>
        <v>INSPECCIÓN</v>
      </c>
    </row>
    <row r="253" spans="1:12" ht="45" hidden="1">
      <c r="A253" s="166" t="s">
        <v>705</v>
      </c>
      <c r="B253" s="34" t="s">
        <v>903</v>
      </c>
      <c r="C253" s="34" t="str">
        <f>VLOOKUP(Observaciones[Caso de Prueba],CasoPrueba[[#All],[Código CP]:[Prioridad]],7,TRUE)</f>
        <v>Alta</v>
      </c>
      <c r="D253" s="34" t="s">
        <v>28</v>
      </c>
      <c r="E253" s="34" t="s">
        <v>47</v>
      </c>
      <c r="F253" s="73">
        <v>40838</v>
      </c>
      <c r="H253" s="94" t="s">
        <v>132</v>
      </c>
      <c r="I253" s="34" t="s">
        <v>608</v>
      </c>
      <c r="J253" s="34" t="s">
        <v>995</v>
      </c>
      <c r="K253" s="34">
        <f>IF((Observaciones[[#This Row],[Fecha Levantamiento]]-Observaciones[[#This Row],[Fecha Detección]])&gt;=0,Observaciones[[#This Row],[Fecha Levantamiento]]-Observaciones[[#This Row],[Fecha Detección]]+1,0)</f>
        <v>0</v>
      </c>
      <c r="L253" s="34" t="str">
        <f>LOOKUP(Observaciones[[#This Row],[Caso de Prueba]],CasoPrueba[Código CP],CasoPrueba[Código de REQ])</f>
        <v>INSPECCIÓN</v>
      </c>
    </row>
    <row r="254" spans="1:12" ht="60" hidden="1">
      <c r="A254" s="166" t="s">
        <v>706</v>
      </c>
      <c r="B254" s="34" t="s">
        <v>903</v>
      </c>
      <c r="C254" s="34" t="str">
        <f>VLOOKUP(Observaciones[Caso de Prueba],CasoPrueba[[#All],[Código CP]:[Prioridad]],7,TRUE)</f>
        <v>Alta</v>
      </c>
      <c r="D254" s="34" t="s">
        <v>162</v>
      </c>
      <c r="E254" s="34" t="s">
        <v>47</v>
      </c>
      <c r="F254" s="73">
        <v>40838</v>
      </c>
      <c r="H254" s="94" t="s">
        <v>132</v>
      </c>
      <c r="I254" s="34" t="s">
        <v>934</v>
      </c>
      <c r="J254" s="34" t="s">
        <v>234</v>
      </c>
      <c r="K254" s="34">
        <f>IF((Observaciones[[#This Row],[Fecha Levantamiento]]-Observaciones[[#This Row],[Fecha Detección]])&gt;=0,Observaciones[[#This Row],[Fecha Levantamiento]]-Observaciones[[#This Row],[Fecha Detección]]+1,0)</f>
        <v>0</v>
      </c>
      <c r="L254" s="34" t="str">
        <f>LOOKUP(Observaciones[[#This Row],[Caso de Prueba]],CasoPrueba[Código CP],CasoPrueba[Código de REQ])</f>
        <v>INSPECCIÓN</v>
      </c>
    </row>
    <row r="255" spans="1:12" ht="30" hidden="1">
      <c r="A255" s="166" t="s">
        <v>707</v>
      </c>
      <c r="B255" s="34" t="s">
        <v>903</v>
      </c>
      <c r="C255" s="34" t="str">
        <f>VLOOKUP(Observaciones[Caso de Prueba],CasoPrueba[[#All],[Código CP]:[Prioridad]],7,TRUE)</f>
        <v>Alta</v>
      </c>
      <c r="D255" s="34" t="s">
        <v>162</v>
      </c>
      <c r="E255" s="34" t="s">
        <v>47</v>
      </c>
      <c r="F255" s="73">
        <v>40838</v>
      </c>
      <c r="H255" s="94" t="s">
        <v>132</v>
      </c>
      <c r="I255" s="34" t="s">
        <v>935</v>
      </c>
      <c r="J255" s="34" t="s">
        <v>996</v>
      </c>
      <c r="K255" s="34">
        <f>IF((Observaciones[[#This Row],[Fecha Levantamiento]]-Observaciones[[#This Row],[Fecha Detección]])&gt;=0,Observaciones[[#This Row],[Fecha Levantamiento]]-Observaciones[[#This Row],[Fecha Detección]]+1,0)</f>
        <v>0</v>
      </c>
      <c r="L255" s="34" t="str">
        <f>LOOKUP(Observaciones[[#This Row],[Caso de Prueba]],CasoPrueba[Código CP],CasoPrueba[Código de REQ])</f>
        <v>INSPECCIÓN</v>
      </c>
    </row>
    <row r="256" spans="1:12" ht="90" hidden="1">
      <c r="A256" s="166" t="s">
        <v>708</v>
      </c>
      <c r="B256" s="34" t="s">
        <v>903</v>
      </c>
      <c r="C256" s="34" t="str">
        <f>VLOOKUP(Observaciones[Caso de Prueba],CasoPrueba[[#All],[Código CP]:[Prioridad]],7,TRUE)</f>
        <v>Alta</v>
      </c>
      <c r="D256" s="34" t="s">
        <v>29</v>
      </c>
      <c r="E256" s="34" t="s">
        <v>47</v>
      </c>
      <c r="F256" s="73">
        <v>40838</v>
      </c>
      <c r="H256" s="94" t="s">
        <v>132</v>
      </c>
      <c r="I256" s="34" t="s">
        <v>610</v>
      </c>
      <c r="J256" s="34" t="s">
        <v>1001</v>
      </c>
      <c r="K256" s="34">
        <f>IF((Observaciones[[#This Row],[Fecha Levantamiento]]-Observaciones[[#This Row],[Fecha Detección]])&gt;=0,Observaciones[[#This Row],[Fecha Levantamiento]]-Observaciones[[#This Row],[Fecha Detección]]+1,0)</f>
        <v>0</v>
      </c>
      <c r="L256" s="34" t="str">
        <f>LOOKUP(Observaciones[[#This Row],[Caso de Prueba]],CasoPrueba[Código CP],CasoPrueba[Código de REQ])</f>
        <v>INSPECCIÓN</v>
      </c>
    </row>
    <row r="257" spans="1:12" ht="45" hidden="1">
      <c r="A257" s="166" t="s">
        <v>709</v>
      </c>
      <c r="B257" s="34" t="s">
        <v>903</v>
      </c>
      <c r="C257" s="34" t="str">
        <f>VLOOKUP(Observaciones[Caso de Prueba],CasoPrueba[[#All],[Código CP]:[Prioridad]],7,TRUE)</f>
        <v>Alta</v>
      </c>
      <c r="D257" s="34" t="s">
        <v>28</v>
      </c>
      <c r="E257" s="34" t="s">
        <v>47</v>
      </c>
      <c r="F257" s="73">
        <v>40838</v>
      </c>
      <c r="H257" s="94" t="s">
        <v>132</v>
      </c>
      <c r="I257" s="34" t="s">
        <v>882</v>
      </c>
      <c r="J257" s="34" t="s">
        <v>997</v>
      </c>
      <c r="K257" s="34">
        <f>IF((Observaciones[[#This Row],[Fecha Levantamiento]]-Observaciones[[#This Row],[Fecha Detección]])&gt;=0,Observaciones[[#This Row],[Fecha Levantamiento]]-Observaciones[[#This Row],[Fecha Detección]]+1,0)</f>
        <v>0</v>
      </c>
      <c r="L257" s="34" t="str">
        <f>LOOKUP(Observaciones[[#This Row],[Caso de Prueba]],CasoPrueba[Código CP],CasoPrueba[Código de REQ])</f>
        <v>INSPECCIÓN</v>
      </c>
    </row>
    <row r="258" spans="1:12" ht="90.75" hidden="1" customHeight="1">
      <c r="A258" s="166" t="s">
        <v>710</v>
      </c>
      <c r="B258" s="34" t="s">
        <v>903</v>
      </c>
      <c r="C258" s="34" t="str">
        <f>VLOOKUP(Observaciones[Caso de Prueba],CasoPrueba[[#All],[Código CP]:[Prioridad]],7,TRUE)</f>
        <v>Alta</v>
      </c>
      <c r="D258" s="34" t="s">
        <v>28</v>
      </c>
      <c r="E258" s="34" t="s">
        <v>47</v>
      </c>
      <c r="F258" s="73">
        <v>40838</v>
      </c>
      <c r="H258" s="94" t="s">
        <v>132</v>
      </c>
      <c r="I258" s="34" t="s">
        <v>936</v>
      </c>
      <c r="J258" s="34" t="s">
        <v>1002</v>
      </c>
      <c r="K258" s="34">
        <f>IF((Observaciones[[#This Row],[Fecha Levantamiento]]-Observaciones[[#This Row],[Fecha Detección]])&gt;=0,Observaciones[[#This Row],[Fecha Levantamiento]]-Observaciones[[#This Row],[Fecha Detección]]+1,0)</f>
        <v>0</v>
      </c>
      <c r="L258" s="34" t="str">
        <f>LOOKUP(Observaciones[[#This Row],[Caso de Prueba]],CasoPrueba[Código CP],CasoPrueba[Código de REQ])</f>
        <v>INSPECCIÓN</v>
      </c>
    </row>
    <row r="259" spans="1:12" ht="30" hidden="1">
      <c r="A259" s="166" t="s">
        <v>711</v>
      </c>
      <c r="B259" s="34" t="s">
        <v>903</v>
      </c>
      <c r="C259" s="34" t="str">
        <f>VLOOKUP(Observaciones[Caso de Prueba],CasoPrueba[[#All],[Código CP]:[Prioridad]],7,TRUE)</f>
        <v>Alta</v>
      </c>
      <c r="D259" s="34" t="s">
        <v>29</v>
      </c>
      <c r="E259" s="34" t="s">
        <v>47</v>
      </c>
      <c r="F259" s="73">
        <v>40838</v>
      </c>
      <c r="H259" s="94" t="s">
        <v>132</v>
      </c>
      <c r="I259" s="34" t="s">
        <v>937</v>
      </c>
      <c r="J259" s="34" t="s">
        <v>998</v>
      </c>
      <c r="K259" s="34">
        <f>IF((Observaciones[[#This Row],[Fecha Levantamiento]]-Observaciones[[#This Row],[Fecha Detección]])&gt;=0,Observaciones[[#This Row],[Fecha Levantamiento]]-Observaciones[[#This Row],[Fecha Detección]]+1,0)</f>
        <v>0</v>
      </c>
      <c r="L259" s="34" t="str">
        <f>LOOKUP(Observaciones[[#This Row],[Caso de Prueba]],CasoPrueba[Código CP],CasoPrueba[Código de REQ])</f>
        <v>INSPECCIÓN</v>
      </c>
    </row>
    <row r="260" spans="1:12" ht="45" hidden="1">
      <c r="A260" s="166" t="s">
        <v>712</v>
      </c>
      <c r="B260" s="34" t="s">
        <v>903</v>
      </c>
      <c r="C260" s="34" t="str">
        <f>VLOOKUP(Observaciones[Caso de Prueba],CasoPrueba[[#All],[Código CP]:[Prioridad]],7,TRUE)</f>
        <v>Alta</v>
      </c>
      <c r="D260" s="34" t="s">
        <v>29</v>
      </c>
      <c r="E260" s="34" t="s">
        <v>47</v>
      </c>
      <c r="F260" s="73">
        <v>40838</v>
      </c>
      <c r="H260" s="94" t="s">
        <v>132</v>
      </c>
      <c r="I260" s="34" t="s">
        <v>938</v>
      </c>
      <c r="J260" s="34" t="s">
        <v>834</v>
      </c>
      <c r="K260" s="34">
        <f>IF((Observaciones[[#This Row],[Fecha Levantamiento]]-Observaciones[[#This Row],[Fecha Detección]])&gt;=0,Observaciones[[#This Row],[Fecha Levantamiento]]-Observaciones[[#This Row],[Fecha Detección]]+1,0)</f>
        <v>0</v>
      </c>
      <c r="L260" s="34" t="str">
        <f>LOOKUP(Observaciones[[#This Row],[Caso de Prueba]],CasoPrueba[Código CP],CasoPrueba[Código de REQ])</f>
        <v>INSPECCIÓN</v>
      </c>
    </row>
    <row r="261" spans="1:12" ht="41.25" hidden="1" customHeight="1">
      <c r="A261" s="166" t="s">
        <v>713</v>
      </c>
      <c r="B261" s="34" t="s">
        <v>903</v>
      </c>
      <c r="C261" s="34" t="str">
        <f>VLOOKUP(Observaciones[Caso de Prueba],CasoPrueba[[#All],[Código CP]:[Prioridad]],7,TRUE)</f>
        <v>Alta</v>
      </c>
      <c r="D261" s="34" t="s">
        <v>162</v>
      </c>
      <c r="E261" s="34" t="s">
        <v>47</v>
      </c>
      <c r="F261" s="73">
        <v>40838</v>
      </c>
      <c r="H261" s="94" t="s">
        <v>132</v>
      </c>
      <c r="I261" s="34" t="s">
        <v>939</v>
      </c>
      <c r="J261" s="34" t="s">
        <v>834</v>
      </c>
      <c r="K261" s="34">
        <f>IF((Observaciones[[#This Row],[Fecha Levantamiento]]-Observaciones[[#This Row],[Fecha Detección]])&gt;=0,Observaciones[[#This Row],[Fecha Levantamiento]]-Observaciones[[#This Row],[Fecha Detección]]+1,0)</f>
        <v>0</v>
      </c>
      <c r="L261" s="34" t="str">
        <f>LOOKUP(Observaciones[[#This Row],[Caso de Prueba]],CasoPrueba[Código CP],CasoPrueba[Código de REQ])</f>
        <v>INSPECCIÓN</v>
      </c>
    </row>
    <row r="262" spans="1:12" ht="30" hidden="1">
      <c r="A262" s="166" t="s">
        <v>714</v>
      </c>
      <c r="B262" s="34" t="s">
        <v>903</v>
      </c>
      <c r="C262" s="34" t="str">
        <f>VLOOKUP(Observaciones[Caso de Prueba],CasoPrueba[[#All],[Código CP]:[Prioridad]],7,TRUE)</f>
        <v>Alta</v>
      </c>
      <c r="D262" s="34" t="s">
        <v>29</v>
      </c>
      <c r="E262" s="34" t="s">
        <v>47</v>
      </c>
      <c r="F262" s="73">
        <v>40838</v>
      </c>
      <c r="H262" s="94" t="s">
        <v>132</v>
      </c>
      <c r="I262" s="34" t="s">
        <v>941</v>
      </c>
      <c r="J262" s="34" t="s">
        <v>999</v>
      </c>
      <c r="K262" s="34">
        <f>IF((Observaciones[[#This Row],[Fecha Levantamiento]]-Observaciones[[#This Row],[Fecha Detección]])&gt;=0,Observaciones[[#This Row],[Fecha Levantamiento]]-Observaciones[[#This Row],[Fecha Detección]]+1,0)</f>
        <v>0</v>
      </c>
      <c r="L262" s="34" t="str">
        <f>LOOKUP(Observaciones[[#This Row],[Caso de Prueba]],CasoPrueba[Código CP],CasoPrueba[Código de REQ])</f>
        <v>INSPECCIÓN</v>
      </c>
    </row>
    <row r="263" spans="1:12" ht="30" hidden="1">
      <c r="A263" s="166" t="s">
        <v>715</v>
      </c>
      <c r="B263" s="34" t="s">
        <v>903</v>
      </c>
      <c r="C263" s="34" t="str">
        <f>VLOOKUP(Observaciones[Caso de Prueba],CasoPrueba[[#All],[Código CP]:[Prioridad]],7,TRUE)</f>
        <v>Alta</v>
      </c>
      <c r="D263" s="34" t="s">
        <v>29</v>
      </c>
      <c r="E263" s="34" t="s">
        <v>47</v>
      </c>
      <c r="F263" s="73">
        <v>40838</v>
      </c>
      <c r="H263" s="94" t="s">
        <v>132</v>
      </c>
      <c r="I263" s="34" t="s">
        <v>940</v>
      </c>
      <c r="J263" s="34" t="s">
        <v>1000</v>
      </c>
      <c r="K263" s="34">
        <f>IF((Observaciones[[#This Row],[Fecha Levantamiento]]-Observaciones[[#This Row],[Fecha Detección]])&gt;=0,Observaciones[[#This Row],[Fecha Levantamiento]]-Observaciones[[#This Row],[Fecha Detección]]+1,0)</f>
        <v>0</v>
      </c>
      <c r="L263" s="34" t="str">
        <f>LOOKUP(Observaciones[[#This Row],[Caso de Prueba]],CasoPrueba[Código CP],CasoPrueba[Código de REQ])</f>
        <v>INSPECCIÓN</v>
      </c>
    </row>
    <row r="264" spans="1:12" ht="45">
      <c r="A264" s="166" t="s">
        <v>716</v>
      </c>
      <c r="B264" s="34" t="s">
        <v>904</v>
      </c>
      <c r="C264" s="34" t="str">
        <f>VLOOKUP(Observaciones[Caso de Prueba],CasoPrueba[[#All],[Código CP]:[Prioridad]],7,TRUE)</f>
        <v>Alta</v>
      </c>
      <c r="D264" s="34" t="s">
        <v>162</v>
      </c>
      <c r="E264" s="34" t="s">
        <v>47</v>
      </c>
      <c r="F264" s="73">
        <v>40838</v>
      </c>
      <c r="H264" s="94" t="s">
        <v>132</v>
      </c>
      <c r="I264" s="34" t="s">
        <v>942</v>
      </c>
      <c r="K264" s="34">
        <f>IF((Observaciones[[#This Row],[Fecha Levantamiento]]-Observaciones[[#This Row],[Fecha Detección]])&gt;=0,Observaciones[[#This Row],[Fecha Levantamiento]]-Observaciones[[#This Row],[Fecha Detección]]+1,0)</f>
        <v>0</v>
      </c>
      <c r="L264" s="34" t="str">
        <f>LOOKUP(Observaciones[[#This Row],[Caso de Prueba]],CasoPrueba[Código CP],CasoPrueba[Código de REQ])</f>
        <v>INSPECCIÓN</v>
      </c>
    </row>
    <row r="265" spans="1:12" ht="45">
      <c r="A265" s="166" t="s">
        <v>717</v>
      </c>
      <c r="B265" s="34" t="s">
        <v>904</v>
      </c>
      <c r="C265" s="34" t="str">
        <f>VLOOKUP(Observaciones[Caso de Prueba],CasoPrueba[[#All],[Código CP]:[Prioridad]],7,TRUE)</f>
        <v>Alta</v>
      </c>
      <c r="D265" s="34" t="s">
        <v>162</v>
      </c>
      <c r="E265" s="34" t="s">
        <v>47</v>
      </c>
      <c r="F265" s="73">
        <v>40838</v>
      </c>
      <c r="H265" s="94" t="s">
        <v>132</v>
      </c>
      <c r="I265" s="34" t="s">
        <v>947</v>
      </c>
      <c r="K265" s="34">
        <f>IF((Observaciones[[#This Row],[Fecha Levantamiento]]-Observaciones[[#This Row],[Fecha Detección]])&gt;=0,Observaciones[[#This Row],[Fecha Levantamiento]]-Observaciones[[#This Row],[Fecha Detección]]+1,0)</f>
        <v>0</v>
      </c>
      <c r="L265" s="34" t="str">
        <f>LOOKUP(Observaciones[[#This Row],[Caso de Prueba]],CasoPrueba[Código CP],CasoPrueba[Código de REQ])</f>
        <v>INSPECCIÓN</v>
      </c>
    </row>
    <row r="266" spans="1:12" ht="45">
      <c r="A266" s="166" t="s">
        <v>718</v>
      </c>
      <c r="B266" s="34" t="s">
        <v>904</v>
      </c>
      <c r="C266" s="34" t="str">
        <f>VLOOKUP(Observaciones[Caso de Prueba],CasoPrueba[[#All],[Código CP]:[Prioridad]],7,TRUE)</f>
        <v>Alta</v>
      </c>
      <c r="D266" s="34" t="s">
        <v>30</v>
      </c>
      <c r="E266" s="34" t="s">
        <v>47</v>
      </c>
      <c r="F266" s="73">
        <v>40838</v>
      </c>
      <c r="H266" s="94" t="s">
        <v>132</v>
      </c>
      <c r="I266" s="34" t="s">
        <v>948</v>
      </c>
      <c r="K266" s="34">
        <f>IF((Observaciones[[#This Row],[Fecha Levantamiento]]-Observaciones[[#This Row],[Fecha Detección]])&gt;=0,Observaciones[[#This Row],[Fecha Levantamiento]]-Observaciones[[#This Row],[Fecha Detección]]+1,0)</f>
        <v>0</v>
      </c>
      <c r="L266" s="34" t="str">
        <f>LOOKUP(Observaciones[[#This Row],[Caso de Prueba]],CasoPrueba[Código CP],CasoPrueba[Código de REQ])</f>
        <v>INSPECCIÓN</v>
      </c>
    </row>
    <row r="267" spans="1:12" ht="45">
      <c r="A267" s="166" t="s">
        <v>719</v>
      </c>
      <c r="B267" s="34" t="s">
        <v>904</v>
      </c>
      <c r="C267" s="34" t="str">
        <f>VLOOKUP(Observaciones[Caso de Prueba],CasoPrueba[[#All],[Código CP]:[Prioridad]],7,TRUE)</f>
        <v>Alta</v>
      </c>
      <c r="D267" s="34" t="s">
        <v>162</v>
      </c>
      <c r="E267" s="34" t="s">
        <v>47</v>
      </c>
      <c r="F267" s="73">
        <v>40838</v>
      </c>
      <c r="H267" s="94" t="s">
        <v>132</v>
      </c>
      <c r="I267" s="34" t="s">
        <v>943</v>
      </c>
      <c r="K267" s="34">
        <f>IF((Observaciones[[#This Row],[Fecha Levantamiento]]-Observaciones[[#This Row],[Fecha Detección]])&gt;=0,Observaciones[[#This Row],[Fecha Levantamiento]]-Observaciones[[#This Row],[Fecha Detección]]+1,0)</f>
        <v>0</v>
      </c>
      <c r="L267" s="34" t="str">
        <f>LOOKUP(Observaciones[[#This Row],[Caso de Prueba]],CasoPrueba[Código CP],CasoPrueba[Código de REQ])</f>
        <v>INSPECCIÓN</v>
      </c>
    </row>
    <row r="268" spans="1:12" ht="90">
      <c r="A268" s="166" t="s">
        <v>720</v>
      </c>
      <c r="B268" s="34" t="s">
        <v>904</v>
      </c>
      <c r="C268" s="34" t="str">
        <f>VLOOKUP(Observaciones[Caso de Prueba],CasoPrueba[[#All],[Código CP]:[Prioridad]],7,TRUE)</f>
        <v>Alta</v>
      </c>
      <c r="D268" s="34" t="s">
        <v>29</v>
      </c>
      <c r="E268" s="34" t="s">
        <v>47</v>
      </c>
      <c r="F268" s="73">
        <v>40838</v>
      </c>
      <c r="H268" s="94" t="s">
        <v>132</v>
      </c>
      <c r="I268" s="34" t="s">
        <v>610</v>
      </c>
      <c r="K268" s="34">
        <f>IF((Observaciones[[#This Row],[Fecha Levantamiento]]-Observaciones[[#This Row],[Fecha Detección]])&gt;=0,Observaciones[[#This Row],[Fecha Levantamiento]]-Observaciones[[#This Row],[Fecha Detección]]+1,0)</f>
        <v>0</v>
      </c>
      <c r="L268" s="34" t="str">
        <f>LOOKUP(Observaciones[[#This Row],[Caso de Prueba]],CasoPrueba[Código CP],CasoPrueba[Código de REQ])</f>
        <v>INSPECCIÓN</v>
      </c>
    </row>
    <row r="269" spans="1:12" ht="45">
      <c r="A269" s="166" t="s">
        <v>721</v>
      </c>
      <c r="B269" s="34" t="s">
        <v>904</v>
      </c>
      <c r="C269" s="34" t="str">
        <f>VLOOKUP(Observaciones[Caso de Prueba],CasoPrueba[[#All],[Código CP]:[Prioridad]],7,TRUE)</f>
        <v>Alta</v>
      </c>
      <c r="D269" s="34" t="s">
        <v>28</v>
      </c>
      <c r="E269" s="34" t="s">
        <v>47</v>
      </c>
      <c r="F269" s="73">
        <v>40838</v>
      </c>
      <c r="H269" s="94" t="s">
        <v>132</v>
      </c>
      <c r="I269" s="34" t="s">
        <v>882</v>
      </c>
      <c r="K269" s="34">
        <f>IF((Observaciones[[#This Row],[Fecha Levantamiento]]-Observaciones[[#This Row],[Fecha Detección]])&gt;=0,Observaciones[[#This Row],[Fecha Levantamiento]]-Observaciones[[#This Row],[Fecha Detección]]+1,0)</f>
        <v>0</v>
      </c>
      <c r="L269" s="34" t="str">
        <f>LOOKUP(Observaciones[[#This Row],[Caso de Prueba]],CasoPrueba[Código CP],CasoPrueba[Código de REQ])</f>
        <v>INSPECCIÓN</v>
      </c>
    </row>
    <row r="270" spans="1:12" ht="45">
      <c r="A270" s="166" t="s">
        <v>722</v>
      </c>
      <c r="B270" s="34" t="s">
        <v>904</v>
      </c>
      <c r="C270" s="34" t="str">
        <f>VLOOKUP(Observaciones[Caso de Prueba],CasoPrueba[[#All],[Código CP]:[Prioridad]],7,TRUE)</f>
        <v>Alta</v>
      </c>
      <c r="D270" s="34" t="s">
        <v>28</v>
      </c>
      <c r="E270" s="34" t="s">
        <v>47</v>
      </c>
      <c r="F270" s="73">
        <v>40838</v>
      </c>
      <c r="H270" s="94" t="s">
        <v>132</v>
      </c>
      <c r="I270" s="34" t="s">
        <v>944</v>
      </c>
      <c r="K270" s="34">
        <f>IF((Observaciones[[#This Row],[Fecha Levantamiento]]-Observaciones[[#This Row],[Fecha Detección]])&gt;=0,Observaciones[[#This Row],[Fecha Levantamiento]]-Observaciones[[#This Row],[Fecha Detección]]+1,0)</f>
        <v>0</v>
      </c>
      <c r="L270" s="34" t="str">
        <f>LOOKUP(Observaciones[[#This Row],[Caso de Prueba]],CasoPrueba[Código CP],CasoPrueba[Código de REQ])</f>
        <v>INSPECCIÓN</v>
      </c>
    </row>
    <row r="271" spans="1:12" ht="30">
      <c r="A271" s="166" t="s">
        <v>723</v>
      </c>
      <c r="B271" s="34" t="s">
        <v>904</v>
      </c>
      <c r="C271" s="34" t="str">
        <f>VLOOKUP(Observaciones[Caso de Prueba],CasoPrueba[[#All],[Código CP]:[Prioridad]],7,TRUE)</f>
        <v>Alta</v>
      </c>
      <c r="D271" s="34" t="s">
        <v>29</v>
      </c>
      <c r="E271" s="34" t="s">
        <v>47</v>
      </c>
      <c r="F271" s="73">
        <v>40838</v>
      </c>
      <c r="H271" s="94" t="s">
        <v>132</v>
      </c>
      <c r="I271" s="34" t="s">
        <v>945</v>
      </c>
      <c r="K271" s="34">
        <f>IF((Observaciones[[#This Row],[Fecha Levantamiento]]-Observaciones[[#This Row],[Fecha Detección]])&gt;=0,Observaciones[[#This Row],[Fecha Levantamiento]]-Observaciones[[#This Row],[Fecha Detección]]+1,0)</f>
        <v>0</v>
      </c>
      <c r="L271" s="34" t="str">
        <f>LOOKUP(Observaciones[[#This Row],[Caso de Prueba]],CasoPrueba[Código CP],CasoPrueba[Código de REQ])</f>
        <v>INSPECCIÓN</v>
      </c>
    </row>
    <row r="272" spans="1:12" ht="45">
      <c r="A272" s="166" t="s">
        <v>724</v>
      </c>
      <c r="B272" s="34" t="s">
        <v>904</v>
      </c>
      <c r="C272" s="34" t="str">
        <f>VLOOKUP(Observaciones[Caso de Prueba],CasoPrueba[[#All],[Código CP]:[Prioridad]],7,TRUE)</f>
        <v>Alta</v>
      </c>
      <c r="D272" s="34" t="s">
        <v>29</v>
      </c>
      <c r="E272" s="34" t="s">
        <v>47</v>
      </c>
      <c r="F272" s="73">
        <v>40838</v>
      </c>
      <c r="H272" s="94" t="s">
        <v>132</v>
      </c>
      <c r="I272" s="34" t="s">
        <v>946</v>
      </c>
      <c r="K272" s="34">
        <f>IF((Observaciones[[#This Row],[Fecha Levantamiento]]-Observaciones[[#This Row],[Fecha Detección]])&gt;=0,Observaciones[[#This Row],[Fecha Levantamiento]]-Observaciones[[#This Row],[Fecha Detección]]+1,0)</f>
        <v>0</v>
      </c>
      <c r="L272" s="34" t="str">
        <f>LOOKUP(Observaciones[[#This Row],[Caso de Prueba]],CasoPrueba[Código CP],CasoPrueba[Código de REQ])</f>
        <v>INSPECCIÓN</v>
      </c>
    </row>
    <row r="273" spans="1:12" ht="30">
      <c r="A273" s="166" t="s">
        <v>725</v>
      </c>
      <c r="B273" s="34" t="s">
        <v>904</v>
      </c>
      <c r="C273" s="34" t="str">
        <f>VLOOKUP(Observaciones[Caso de Prueba],CasoPrueba[[#All],[Código CP]:[Prioridad]],7,TRUE)</f>
        <v>Alta</v>
      </c>
      <c r="D273" s="34" t="s">
        <v>30</v>
      </c>
      <c r="E273" s="34" t="s">
        <v>47</v>
      </c>
      <c r="F273" s="73">
        <v>40838</v>
      </c>
      <c r="H273" s="94" t="s">
        <v>132</v>
      </c>
      <c r="I273" s="34" t="s">
        <v>949</v>
      </c>
      <c r="K273" s="34">
        <f>IF((Observaciones[[#This Row],[Fecha Levantamiento]]-Observaciones[[#This Row],[Fecha Detección]])&gt;=0,Observaciones[[#This Row],[Fecha Levantamiento]]-Observaciones[[#This Row],[Fecha Detección]]+1,0)</f>
        <v>0</v>
      </c>
      <c r="L273" s="34" t="str">
        <f>LOOKUP(Observaciones[[#This Row],[Caso de Prueba]],CasoPrueba[Código CP],CasoPrueba[Código de REQ])</f>
        <v>INSPECCIÓN</v>
      </c>
    </row>
    <row r="274" spans="1:12" ht="30">
      <c r="A274" s="166" t="s">
        <v>726</v>
      </c>
      <c r="B274" s="34" t="s">
        <v>904</v>
      </c>
      <c r="C274" s="34" t="str">
        <f>VLOOKUP(Observaciones[Caso de Prueba],CasoPrueba[[#All],[Código CP]:[Prioridad]],7,TRUE)</f>
        <v>Alta</v>
      </c>
      <c r="D274" s="34" t="s">
        <v>29</v>
      </c>
      <c r="E274" s="34" t="s">
        <v>47</v>
      </c>
      <c r="F274" s="73">
        <v>40838</v>
      </c>
      <c r="H274" s="94" t="s">
        <v>132</v>
      </c>
      <c r="I274" s="34" t="s">
        <v>950</v>
      </c>
      <c r="K274" s="34">
        <f>IF((Observaciones[[#This Row],[Fecha Levantamiento]]-Observaciones[[#This Row],[Fecha Detección]])&gt;=0,Observaciones[[#This Row],[Fecha Levantamiento]]-Observaciones[[#This Row],[Fecha Detección]]+1,0)</f>
        <v>0</v>
      </c>
      <c r="L274" s="34" t="str">
        <f>LOOKUP(Observaciones[[#This Row],[Caso de Prueba]],CasoPrueba[Código CP],CasoPrueba[Código de REQ])</f>
        <v>INSPECCIÓN</v>
      </c>
    </row>
    <row r="275" spans="1:12" ht="30">
      <c r="A275" s="166" t="s">
        <v>727</v>
      </c>
      <c r="B275" s="34" t="s">
        <v>904</v>
      </c>
      <c r="C275" s="34" t="str">
        <f>VLOOKUP(Observaciones[Caso de Prueba],CasoPrueba[[#All],[Código CP]:[Prioridad]],7,TRUE)</f>
        <v>Alta</v>
      </c>
      <c r="D275" s="34" t="s">
        <v>30</v>
      </c>
      <c r="E275" s="34" t="s">
        <v>47</v>
      </c>
      <c r="F275" s="73">
        <v>40838</v>
      </c>
      <c r="H275" s="94" t="s">
        <v>132</v>
      </c>
      <c r="I275" s="34" t="s">
        <v>951</v>
      </c>
      <c r="K275" s="34">
        <f>IF((Observaciones[[#This Row],[Fecha Levantamiento]]-Observaciones[[#This Row],[Fecha Detección]])&gt;=0,Observaciones[[#This Row],[Fecha Levantamiento]]-Observaciones[[#This Row],[Fecha Detección]]+1,0)</f>
        <v>0</v>
      </c>
      <c r="L275" s="34" t="str">
        <f>LOOKUP(Observaciones[[#This Row],[Caso de Prueba]],CasoPrueba[Código CP],CasoPrueba[Código de REQ])</f>
        <v>INSPECCIÓN</v>
      </c>
    </row>
    <row r="276" spans="1:12" ht="45">
      <c r="A276" s="166" t="s">
        <v>728</v>
      </c>
      <c r="B276" s="34" t="s">
        <v>904</v>
      </c>
      <c r="C276" s="34" t="str">
        <f>VLOOKUP(Observaciones[Caso de Prueba],CasoPrueba[[#All],[Código CP]:[Prioridad]],7,TRUE)</f>
        <v>Alta</v>
      </c>
      <c r="D276" s="34" t="s">
        <v>162</v>
      </c>
      <c r="E276" s="34" t="s">
        <v>47</v>
      </c>
      <c r="F276" s="73">
        <v>40838</v>
      </c>
      <c r="H276" s="94" t="s">
        <v>132</v>
      </c>
      <c r="I276" s="34" t="s">
        <v>952</v>
      </c>
      <c r="K276" s="34">
        <f>IF((Observaciones[[#This Row],[Fecha Levantamiento]]-Observaciones[[#This Row],[Fecha Detección]])&gt;=0,Observaciones[[#This Row],[Fecha Levantamiento]]-Observaciones[[#This Row],[Fecha Detección]]+1,0)</f>
        <v>0</v>
      </c>
      <c r="L276" s="34" t="str">
        <f>LOOKUP(Observaciones[[#This Row],[Caso de Prueba]],CasoPrueba[Código CP],CasoPrueba[Código de REQ])</f>
        <v>INSPECCIÓN</v>
      </c>
    </row>
    <row r="277" spans="1:12" ht="45">
      <c r="A277" s="166" t="s">
        <v>729</v>
      </c>
      <c r="B277" s="34" t="s">
        <v>905</v>
      </c>
      <c r="C277" s="34" t="str">
        <f>VLOOKUP(Observaciones[Caso de Prueba],CasoPrueba[[#All],[Código CP]:[Prioridad]],7,TRUE)</f>
        <v>Alta</v>
      </c>
      <c r="D277" s="34" t="s">
        <v>28</v>
      </c>
      <c r="E277" s="34" t="s">
        <v>47</v>
      </c>
      <c r="F277" s="73">
        <v>40838</v>
      </c>
      <c r="H277" s="94" t="s">
        <v>132</v>
      </c>
      <c r="I277" s="34" t="s">
        <v>608</v>
      </c>
      <c r="K277" s="34">
        <f>IF((Observaciones[[#This Row],[Fecha Levantamiento]]-Observaciones[[#This Row],[Fecha Detección]])&gt;=0,Observaciones[[#This Row],[Fecha Levantamiento]]-Observaciones[[#This Row],[Fecha Detección]]+1,0)</f>
        <v>0</v>
      </c>
      <c r="L277" s="34" t="str">
        <f>LOOKUP(Observaciones[[#This Row],[Caso de Prueba]],CasoPrueba[Código CP],CasoPrueba[Código de REQ])</f>
        <v>INSPECCIÓN</v>
      </c>
    </row>
    <row r="278" spans="1:12" ht="45">
      <c r="A278" s="166" t="s">
        <v>730</v>
      </c>
      <c r="B278" s="34" t="s">
        <v>905</v>
      </c>
      <c r="C278" s="34" t="str">
        <f>VLOOKUP(Observaciones[Caso de Prueba],CasoPrueba[[#All],[Código CP]:[Prioridad]],7,TRUE)</f>
        <v>Alta</v>
      </c>
      <c r="D278" s="34" t="s">
        <v>162</v>
      </c>
      <c r="E278" s="34" t="s">
        <v>47</v>
      </c>
      <c r="F278" s="73">
        <v>40838</v>
      </c>
      <c r="H278" s="94" t="s">
        <v>132</v>
      </c>
      <c r="I278" s="34" t="s">
        <v>942</v>
      </c>
      <c r="K278" s="34">
        <f>IF((Observaciones[[#This Row],[Fecha Levantamiento]]-Observaciones[[#This Row],[Fecha Detección]])&gt;=0,Observaciones[[#This Row],[Fecha Levantamiento]]-Observaciones[[#This Row],[Fecha Detección]]+1,0)</f>
        <v>0</v>
      </c>
      <c r="L278" s="34" t="str">
        <f>LOOKUP(Observaciones[[#This Row],[Caso de Prueba]],CasoPrueba[Código CP],CasoPrueba[Código de REQ])</f>
        <v>INSPECCIÓN</v>
      </c>
    </row>
    <row r="279" spans="1:12" ht="90">
      <c r="A279" s="166" t="s">
        <v>731</v>
      </c>
      <c r="B279" s="34" t="s">
        <v>905</v>
      </c>
      <c r="C279" s="34" t="str">
        <f>VLOOKUP(Observaciones[Caso de Prueba],CasoPrueba[[#All],[Código CP]:[Prioridad]],7,TRUE)</f>
        <v>Alta</v>
      </c>
      <c r="D279" s="34" t="s">
        <v>29</v>
      </c>
      <c r="E279" s="34" t="s">
        <v>47</v>
      </c>
      <c r="F279" s="73">
        <v>40838</v>
      </c>
      <c r="H279" s="94" t="s">
        <v>132</v>
      </c>
      <c r="I279" s="34" t="s">
        <v>610</v>
      </c>
      <c r="K279" s="34">
        <f>IF((Observaciones[[#This Row],[Fecha Levantamiento]]-Observaciones[[#This Row],[Fecha Detección]])&gt;=0,Observaciones[[#This Row],[Fecha Levantamiento]]-Observaciones[[#This Row],[Fecha Detección]]+1,0)</f>
        <v>0</v>
      </c>
      <c r="L279" s="34" t="str">
        <f>LOOKUP(Observaciones[[#This Row],[Caso de Prueba]],CasoPrueba[Código CP],CasoPrueba[Código de REQ])</f>
        <v>INSPECCIÓN</v>
      </c>
    </row>
    <row r="280" spans="1:12" ht="45">
      <c r="A280" s="166" t="s">
        <v>732</v>
      </c>
      <c r="B280" s="34" t="s">
        <v>905</v>
      </c>
      <c r="C280" s="34" t="str">
        <f>VLOOKUP(Observaciones[Caso de Prueba],CasoPrueba[[#All],[Código CP]:[Prioridad]],7,TRUE)</f>
        <v>Alta</v>
      </c>
      <c r="D280" s="34" t="s">
        <v>28</v>
      </c>
      <c r="E280" s="34" t="s">
        <v>47</v>
      </c>
      <c r="F280" s="73">
        <v>40838</v>
      </c>
      <c r="H280" s="94" t="s">
        <v>132</v>
      </c>
      <c r="I280" s="34" t="s">
        <v>882</v>
      </c>
      <c r="K280" s="34">
        <f>IF((Observaciones[[#This Row],[Fecha Levantamiento]]-Observaciones[[#This Row],[Fecha Detección]])&gt;=0,Observaciones[[#This Row],[Fecha Levantamiento]]-Observaciones[[#This Row],[Fecha Detección]]+1,0)</f>
        <v>0</v>
      </c>
      <c r="L280" s="34" t="str">
        <f>LOOKUP(Observaciones[[#This Row],[Caso de Prueba]],CasoPrueba[Código CP],CasoPrueba[Código de REQ])</f>
        <v>INSPECCIÓN</v>
      </c>
    </row>
    <row r="281" spans="1:12" ht="30">
      <c r="A281" s="166" t="s">
        <v>733</v>
      </c>
      <c r="B281" s="34" t="s">
        <v>905</v>
      </c>
      <c r="C281" s="34" t="str">
        <f>VLOOKUP(Observaciones[Caso de Prueba],CasoPrueba[[#All],[Código CP]:[Prioridad]],7,TRUE)</f>
        <v>Alta</v>
      </c>
      <c r="D281" s="34" t="s">
        <v>162</v>
      </c>
      <c r="E281" s="34" t="s">
        <v>47</v>
      </c>
      <c r="F281" s="73">
        <v>40840</v>
      </c>
      <c r="H281" s="94" t="s">
        <v>132</v>
      </c>
      <c r="I281" s="34" t="s">
        <v>956</v>
      </c>
      <c r="K281" s="34">
        <f>IF((Observaciones[[#This Row],[Fecha Levantamiento]]-Observaciones[[#This Row],[Fecha Detección]])&gt;=0,Observaciones[[#This Row],[Fecha Levantamiento]]-Observaciones[[#This Row],[Fecha Detección]]+1,0)</f>
        <v>0</v>
      </c>
      <c r="L281" s="34" t="str">
        <f>LOOKUP(Observaciones[[#This Row],[Caso de Prueba]],CasoPrueba[Código CP],CasoPrueba[Código de REQ])</f>
        <v>INSPECCIÓN</v>
      </c>
    </row>
    <row r="282" spans="1:12" ht="45">
      <c r="A282" s="166" t="s">
        <v>734</v>
      </c>
      <c r="B282" s="34" t="s">
        <v>905</v>
      </c>
      <c r="C282" s="34" t="str">
        <f>VLOOKUP(Observaciones[Caso de Prueba],CasoPrueba[[#All],[Código CP]:[Prioridad]],7,TRUE)</f>
        <v>Alta</v>
      </c>
      <c r="D282" s="34" t="s">
        <v>29</v>
      </c>
      <c r="E282" s="34" t="s">
        <v>47</v>
      </c>
      <c r="F282" s="73">
        <v>40840</v>
      </c>
      <c r="H282" s="94" t="s">
        <v>132</v>
      </c>
      <c r="I282" s="34" t="s">
        <v>957</v>
      </c>
      <c r="K282" s="34">
        <f>IF((Observaciones[[#This Row],[Fecha Levantamiento]]-Observaciones[[#This Row],[Fecha Detección]])&gt;=0,Observaciones[[#This Row],[Fecha Levantamiento]]-Observaciones[[#This Row],[Fecha Detección]]+1,0)</f>
        <v>0</v>
      </c>
      <c r="L282" s="34" t="str">
        <f>LOOKUP(Observaciones[[#This Row],[Caso de Prueba]],CasoPrueba[Código CP],CasoPrueba[Código de REQ])</f>
        <v>INSPECCIÓN</v>
      </c>
    </row>
    <row r="283" spans="1:12" ht="45">
      <c r="A283" s="166" t="s">
        <v>735</v>
      </c>
      <c r="B283" s="34" t="s">
        <v>906</v>
      </c>
      <c r="C283" s="34" t="str">
        <f>VLOOKUP(Observaciones[Caso de Prueba],CasoPrueba[[#All],[Código CP]:[Prioridad]],7,TRUE)</f>
        <v>Alta</v>
      </c>
      <c r="D283" s="34" t="s">
        <v>28</v>
      </c>
      <c r="E283" s="34" t="s">
        <v>47</v>
      </c>
      <c r="F283" s="73">
        <v>40840</v>
      </c>
      <c r="H283" s="94" t="s">
        <v>132</v>
      </c>
      <c r="I283" s="34" t="s">
        <v>608</v>
      </c>
      <c r="K283" s="34">
        <f>IF((Observaciones[[#This Row],[Fecha Levantamiento]]-Observaciones[[#This Row],[Fecha Detección]])&gt;=0,Observaciones[[#This Row],[Fecha Levantamiento]]-Observaciones[[#This Row],[Fecha Detección]]+1,0)</f>
        <v>0</v>
      </c>
      <c r="L283" s="34" t="str">
        <f>LOOKUP(Observaciones[[#This Row],[Caso de Prueba]],CasoPrueba[Código CP],CasoPrueba[Código de REQ])</f>
        <v>INSPECCIÓN</v>
      </c>
    </row>
    <row r="284" spans="1:12" ht="45">
      <c r="A284" s="166" t="s">
        <v>736</v>
      </c>
      <c r="B284" s="34" t="s">
        <v>906</v>
      </c>
      <c r="C284" s="34" t="str">
        <f>VLOOKUP(Observaciones[Caso de Prueba],CasoPrueba[[#All],[Código CP]:[Prioridad]],7,TRUE)</f>
        <v>Alta</v>
      </c>
      <c r="D284" s="34" t="s">
        <v>162</v>
      </c>
      <c r="E284" s="34" t="s">
        <v>47</v>
      </c>
      <c r="F284" s="73">
        <v>40840</v>
      </c>
      <c r="H284" s="94" t="s">
        <v>132</v>
      </c>
      <c r="I284" s="34" t="s">
        <v>942</v>
      </c>
      <c r="K284" s="34">
        <f>IF((Observaciones[[#This Row],[Fecha Levantamiento]]-Observaciones[[#This Row],[Fecha Detección]])&gt;=0,Observaciones[[#This Row],[Fecha Levantamiento]]-Observaciones[[#This Row],[Fecha Detección]]+1,0)</f>
        <v>0</v>
      </c>
      <c r="L284" s="34" t="str">
        <f>LOOKUP(Observaciones[[#This Row],[Caso de Prueba]],CasoPrueba[Código CP],CasoPrueba[Código de REQ])</f>
        <v>INSPECCIÓN</v>
      </c>
    </row>
    <row r="285" spans="1:12" ht="90">
      <c r="A285" s="166" t="s">
        <v>737</v>
      </c>
      <c r="B285" s="34" t="s">
        <v>906</v>
      </c>
      <c r="C285" s="34" t="str">
        <f>VLOOKUP(Observaciones[Caso de Prueba],CasoPrueba[[#All],[Código CP]:[Prioridad]],7,TRUE)</f>
        <v>Alta</v>
      </c>
      <c r="D285" s="34" t="s">
        <v>29</v>
      </c>
      <c r="E285" s="34" t="s">
        <v>47</v>
      </c>
      <c r="F285" s="73">
        <v>40840</v>
      </c>
      <c r="H285" s="94" t="s">
        <v>132</v>
      </c>
      <c r="I285" s="34" t="s">
        <v>610</v>
      </c>
      <c r="K285" s="34">
        <f>IF((Observaciones[[#This Row],[Fecha Levantamiento]]-Observaciones[[#This Row],[Fecha Detección]])&gt;=0,Observaciones[[#This Row],[Fecha Levantamiento]]-Observaciones[[#This Row],[Fecha Detección]]+1,0)</f>
        <v>0</v>
      </c>
      <c r="L285" s="34" t="str">
        <f>LOOKUP(Observaciones[[#This Row],[Caso de Prueba]],CasoPrueba[Código CP],CasoPrueba[Código de REQ])</f>
        <v>INSPECCIÓN</v>
      </c>
    </row>
    <row r="286" spans="1:12" ht="45">
      <c r="A286" s="166" t="s">
        <v>738</v>
      </c>
      <c r="B286" s="34" t="s">
        <v>906</v>
      </c>
      <c r="C286" s="34" t="str">
        <f>VLOOKUP(Observaciones[Caso de Prueba],CasoPrueba[[#All],[Código CP]:[Prioridad]],7,TRUE)</f>
        <v>Alta</v>
      </c>
      <c r="D286" s="34" t="s">
        <v>28</v>
      </c>
      <c r="E286" s="34" t="s">
        <v>47</v>
      </c>
      <c r="F286" s="73">
        <v>40840</v>
      </c>
      <c r="H286" s="94" t="s">
        <v>132</v>
      </c>
      <c r="I286" s="34" t="s">
        <v>882</v>
      </c>
      <c r="K286" s="34">
        <f>IF((Observaciones[[#This Row],[Fecha Levantamiento]]-Observaciones[[#This Row],[Fecha Detección]])&gt;=0,Observaciones[[#This Row],[Fecha Levantamiento]]-Observaciones[[#This Row],[Fecha Detección]]+1,0)</f>
        <v>0</v>
      </c>
      <c r="L286" s="34" t="str">
        <f>LOOKUP(Observaciones[[#This Row],[Caso de Prueba]],CasoPrueba[Código CP],CasoPrueba[Código de REQ])</f>
        <v>INSPECCIÓN</v>
      </c>
    </row>
    <row r="287" spans="1:12" ht="30">
      <c r="A287" s="166" t="s">
        <v>739</v>
      </c>
      <c r="B287" s="34" t="s">
        <v>906</v>
      </c>
      <c r="C287" s="34" t="str">
        <f>VLOOKUP(Observaciones[Caso de Prueba],CasoPrueba[[#All],[Código CP]:[Prioridad]],7,TRUE)</f>
        <v>Alta</v>
      </c>
      <c r="D287" s="34" t="s">
        <v>162</v>
      </c>
      <c r="E287" s="34" t="s">
        <v>47</v>
      </c>
      <c r="F287" s="73">
        <v>40840</v>
      </c>
      <c r="H287" s="94" t="s">
        <v>132</v>
      </c>
      <c r="I287" s="34" t="s">
        <v>958</v>
      </c>
      <c r="K287" s="34">
        <f>IF((Observaciones[[#This Row],[Fecha Levantamiento]]-Observaciones[[#This Row],[Fecha Detección]])&gt;=0,Observaciones[[#This Row],[Fecha Levantamiento]]-Observaciones[[#This Row],[Fecha Detección]]+1,0)</f>
        <v>0</v>
      </c>
      <c r="L287" s="34" t="str">
        <f>LOOKUP(Observaciones[[#This Row],[Caso de Prueba]],CasoPrueba[Código CP],CasoPrueba[Código de REQ])</f>
        <v>INSPECCIÓN</v>
      </c>
    </row>
    <row r="288" spans="1:12" ht="45">
      <c r="A288" s="166" t="s">
        <v>740</v>
      </c>
      <c r="B288" s="34" t="s">
        <v>906</v>
      </c>
      <c r="C288" s="34" t="str">
        <f>VLOOKUP(Observaciones[Caso de Prueba],CasoPrueba[[#All],[Código CP]:[Prioridad]],7,TRUE)</f>
        <v>Alta</v>
      </c>
      <c r="D288" s="34" t="s">
        <v>162</v>
      </c>
      <c r="E288" s="34" t="s">
        <v>47</v>
      </c>
      <c r="F288" s="73">
        <v>40840</v>
      </c>
      <c r="H288" s="94" t="s">
        <v>132</v>
      </c>
      <c r="I288" s="34" t="s">
        <v>959</v>
      </c>
      <c r="K288" s="34">
        <f>IF((Observaciones[[#This Row],[Fecha Levantamiento]]-Observaciones[[#This Row],[Fecha Detección]])&gt;=0,Observaciones[[#This Row],[Fecha Levantamiento]]-Observaciones[[#This Row],[Fecha Detección]]+1,0)</f>
        <v>0</v>
      </c>
      <c r="L288" s="34" t="str">
        <f>LOOKUP(Observaciones[[#This Row],[Caso de Prueba]],CasoPrueba[Código CP],CasoPrueba[Código de REQ])</f>
        <v>INSPECCIÓN</v>
      </c>
    </row>
    <row r="289" spans="1:12" ht="30">
      <c r="A289" s="166" t="s">
        <v>741</v>
      </c>
      <c r="B289" s="34" t="s">
        <v>906</v>
      </c>
      <c r="C289" s="34" t="str">
        <f>VLOOKUP(Observaciones[Caso de Prueba],CasoPrueba[[#All],[Código CP]:[Prioridad]],7,TRUE)</f>
        <v>Alta</v>
      </c>
      <c r="D289" s="34" t="s">
        <v>162</v>
      </c>
      <c r="E289" s="34" t="s">
        <v>47</v>
      </c>
      <c r="F289" s="73">
        <v>40840</v>
      </c>
      <c r="H289" s="94" t="s">
        <v>132</v>
      </c>
      <c r="I289" s="34" t="s">
        <v>960</v>
      </c>
      <c r="K289" s="34">
        <f>IF((Observaciones[[#This Row],[Fecha Levantamiento]]-Observaciones[[#This Row],[Fecha Detección]])&gt;=0,Observaciones[[#This Row],[Fecha Levantamiento]]-Observaciones[[#This Row],[Fecha Detección]]+1,0)</f>
        <v>0</v>
      </c>
      <c r="L289" s="34" t="str">
        <f>LOOKUP(Observaciones[[#This Row],[Caso de Prueba]],CasoPrueba[Código CP],CasoPrueba[Código de REQ])</f>
        <v>INSPECCIÓN</v>
      </c>
    </row>
    <row r="290" spans="1:12">
      <c r="A290" s="166" t="s">
        <v>742</v>
      </c>
      <c r="B290" s="34" t="s">
        <v>906</v>
      </c>
      <c r="C290" s="34" t="str">
        <f>VLOOKUP(Observaciones[Caso de Prueba],CasoPrueba[[#All],[Código CP]:[Prioridad]],7,TRUE)</f>
        <v>Alta</v>
      </c>
      <c r="D290" s="34" t="s">
        <v>29</v>
      </c>
      <c r="E290" s="34" t="s">
        <v>47</v>
      </c>
      <c r="F290" s="73">
        <v>40840</v>
      </c>
      <c r="H290" s="94" t="s">
        <v>132</v>
      </c>
      <c r="I290" s="34" t="s">
        <v>961</v>
      </c>
      <c r="K290" s="34">
        <f>IF((Observaciones[[#This Row],[Fecha Levantamiento]]-Observaciones[[#This Row],[Fecha Detección]])&gt;=0,Observaciones[[#This Row],[Fecha Levantamiento]]-Observaciones[[#This Row],[Fecha Detección]]+1,0)</f>
        <v>0</v>
      </c>
      <c r="L290" s="34" t="str">
        <f>LOOKUP(Observaciones[[#This Row],[Caso de Prueba]],CasoPrueba[Código CP],CasoPrueba[Código de REQ])</f>
        <v>INSPECCIÓN</v>
      </c>
    </row>
    <row r="291" spans="1:12" ht="30" hidden="1">
      <c r="A291" s="166" t="s">
        <v>743</v>
      </c>
      <c r="B291" s="34" t="s">
        <v>907</v>
      </c>
      <c r="C291" s="34" t="str">
        <f>VLOOKUP(Observaciones[Caso de Prueba],CasoPrueba[[#All],[Código CP]:[Prioridad]],7,TRUE)</f>
        <v>Alta</v>
      </c>
      <c r="D291" s="34" t="s">
        <v>162</v>
      </c>
      <c r="E291" s="34" t="s">
        <v>47</v>
      </c>
      <c r="F291" s="73">
        <v>40840</v>
      </c>
      <c r="H291" s="94" t="s">
        <v>132</v>
      </c>
      <c r="I291" s="34" t="s">
        <v>962</v>
      </c>
      <c r="J291" s="34" t="s">
        <v>996</v>
      </c>
      <c r="K291" s="34">
        <f>IF((Observaciones[[#This Row],[Fecha Levantamiento]]-Observaciones[[#This Row],[Fecha Detección]])&gt;=0,Observaciones[[#This Row],[Fecha Levantamiento]]-Observaciones[[#This Row],[Fecha Detección]]+1,0)</f>
        <v>0</v>
      </c>
      <c r="L291" s="34" t="str">
        <f>LOOKUP(Observaciones[[#This Row],[Caso de Prueba]],CasoPrueba[Código CP],CasoPrueba[Código de REQ])</f>
        <v>INSPECCIÓN</v>
      </c>
    </row>
    <row r="292" spans="1:12" ht="30" hidden="1">
      <c r="A292" s="166" t="s">
        <v>744</v>
      </c>
      <c r="B292" s="34" t="s">
        <v>907</v>
      </c>
      <c r="C292" s="34" t="str">
        <f>VLOOKUP(Observaciones[Caso de Prueba],CasoPrueba[[#All],[Código CP]:[Prioridad]],7,TRUE)</f>
        <v>Alta</v>
      </c>
      <c r="D292" s="34" t="s">
        <v>162</v>
      </c>
      <c r="E292" s="34" t="s">
        <v>47</v>
      </c>
      <c r="F292" s="73">
        <v>40840</v>
      </c>
      <c r="H292" s="94" t="s">
        <v>132</v>
      </c>
      <c r="I292" s="34" t="s">
        <v>963</v>
      </c>
      <c r="J292" s="34" t="s">
        <v>996</v>
      </c>
      <c r="K292" s="34">
        <f>IF((Observaciones[[#This Row],[Fecha Levantamiento]]-Observaciones[[#This Row],[Fecha Detección]])&gt;=0,Observaciones[[#This Row],[Fecha Levantamiento]]-Observaciones[[#This Row],[Fecha Detección]]+1,0)</f>
        <v>0</v>
      </c>
      <c r="L292" s="34" t="str">
        <f>LOOKUP(Observaciones[[#This Row],[Caso de Prueba]],CasoPrueba[Código CP],CasoPrueba[Código de REQ])</f>
        <v>INSPECCIÓN</v>
      </c>
    </row>
    <row r="293" spans="1:12" ht="90" hidden="1">
      <c r="A293" s="166" t="s">
        <v>745</v>
      </c>
      <c r="B293" s="34" t="s">
        <v>907</v>
      </c>
      <c r="C293" s="34" t="str">
        <f>VLOOKUP(Observaciones[Caso de Prueba],CasoPrueba[[#All],[Código CP]:[Prioridad]],7,TRUE)</f>
        <v>Alta</v>
      </c>
      <c r="D293" s="34" t="s">
        <v>29</v>
      </c>
      <c r="E293" s="34" t="s">
        <v>47</v>
      </c>
      <c r="F293" s="73">
        <v>40840</v>
      </c>
      <c r="H293" s="94" t="s">
        <v>132</v>
      </c>
      <c r="I293" s="34" t="s">
        <v>610</v>
      </c>
      <c r="J293" s="34" t="s">
        <v>828</v>
      </c>
      <c r="K293" s="34">
        <f>IF((Observaciones[[#This Row],[Fecha Levantamiento]]-Observaciones[[#This Row],[Fecha Detección]])&gt;=0,Observaciones[[#This Row],[Fecha Levantamiento]]-Observaciones[[#This Row],[Fecha Detección]]+1,0)</f>
        <v>0</v>
      </c>
      <c r="L293" s="34" t="str">
        <f>LOOKUP(Observaciones[[#This Row],[Caso de Prueba]],CasoPrueba[Código CP],CasoPrueba[Código de REQ])</f>
        <v>INSPECCIÓN</v>
      </c>
    </row>
    <row r="294" spans="1:12" ht="45" hidden="1">
      <c r="A294" s="166" t="s">
        <v>746</v>
      </c>
      <c r="B294" s="34" t="s">
        <v>907</v>
      </c>
      <c r="C294" s="34" t="str">
        <f>VLOOKUP(Observaciones[Caso de Prueba],CasoPrueba[[#All],[Código CP]:[Prioridad]],7,TRUE)</f>
        <v>Alta</v>
      </c>
      <c r="D294" s="34" t="s">
        <v>28</v>
      </c>
      <c r="E294" s="34" t="s">
        <v>47</v>
      </c>
      <c r="F294" s="73">
        <v>40840</v>
      </c>
      <c r="H294" s="94" t="s">
        <v>132</v>
      </c>
      <c r="I294" s="34" t="s">
        <v>882</v>
      </c>
      <c r="J294" s="34" t="s">
        <v>997</v>
      </c>
      <c r="K294" s="34">
        <f>IF((Observaciones[[#This Row],[Fecha Levantamiento]]-Observaciones[[#This Row],[Fecha Detección]])&gt;=0,Observaciones[[#This Row],[Fecha Levantamiento]]-Observaciones[[#This Row],[Fecha Detección]]+1,0)</f>
        <v>0</v>
      </c>
      <c r="L294" s="34" t="str">
        <f>LOOKUP(Observaciones[[#This Row],[Caso de Prueba]],CasoPrueba[Código CP],CasoPrueba[Código de REQ])</f>
        <v>INSPECCIÓN</v>
      </c>
    </row>
    <row r="295" spans="1:12" ht="30" hidden="1">
      <c r="A295" s="166" t="s">
        <v>747</v>
      </c>
      <c r="B295" s="34" t="s">
        <v>907</v>
      </c>
      <c r="C295" s="34" t="str">
        <f>VLOOKUP(Observaciones[Caso de Prueba],CasoPrueba[[#All],[Código CP]:[Prioridad]],7,TRUE)</f>
        <v>Alta</v>
      </c>
      <c r="D295" s="34" t="s">
        <v>30</v>
      </c>
      <c r="E295" s="34" t="s">
        <v>47</v>
      </c>
      <c r="F295" s="73">
        <v>40840</v>
      </c>
      <c r="H295" s="94" t="s">
        <v>132</v>
      </c>
      <c r="I295" s="34" t="s">
        <v>964</v>
      </c>
      <c r="J295" s="34" t="s">
        <v>261</v>
      </c>
      <c r="K295" s="34">
        <f>IF((Observaciones[[#This Row],[Fecha Levantamiento]]-Observaciones[[#This Row],[Fecha Detección]])&gt;=0,Observaciones[[#This Row],[Fecha Levantamiento]]-Observaciones[[#This Row],[Fecha Detección]]+1,0)</f>
        <v>0</v>
      </c>
      <c r="L295" s="34" t="str">
        <f>LOOKUP(Observaciones[[#This Row],[Caso de Prueba]],CasoPrueba[Código CP],CasoPrueba[Código de REQ])</f>
        <v>INSPECCIÓN</v>
      </c>
    </row>
    <row r="296" spans="1:12" ht="45" hidden="1">
      <c r="A296" s="166" t="s">
        <v>748</v>
      </c>
      <c r="B296" s="34" t="s">
        <v>907</v>
      </c>
      <c r="C296" s="34" t="str">
        <f>VLOOKUP(Observaciones[Caso de Prueba],CasoPrueba[[#All],[Código CP]:[Prioridad]],7,TRUE)</f>
        <v>Alta</v>
      </c>
      <c r="D296" s="34" t="s">
        <v>28</v>
      </c>
      <c r="E296" s="34" t="s">
        <v>47</v>
      </c>
      <c r="F296" s="73">
        <v>40840</v>
      </c>
      <c r="H296" s="94" t="s">
        <v>132</v>
      </c>
      <c r="I296" s="34" t="s">
        <v>965</v>
      </c>
      <c r="J296" s="34" t="s">
        <v>1003</v>
      </c>
      <c r="K296" s="34">
        <f>IF((Observaciones[[#This Row],[Fecha Levantamiento]]-Observaciones[[#This Row],[Fecha Detección]])&gt;=0,Observaciones[[#This Row],[Fecha Levantamiento]]-Observaciones[[#This Row],[Fecha Detección]]+1,0)</f>
        <v>0</v>
      </c>
      <c r="L296" s="34" t="str">
        <f>LOOKUP(Observaciones[[#This Row],[Caso de Prueba]],CasoPrueba[Código CP],CasoPrueba[Código de REQ])</f>
        <v>INSPECCIÓN</v>
      </c>
    </row>
    <row r="297" spans="1:12" ht="30" hidden="1">
      <c r="A297" s="166" t="s">
        <v>749</v>
      </c>
      <c r="B297" s="34" t="s">
        <v>907</v>
      </c>
      <c r="C297" s="34" t="str">
        <f>VLOOKUP(Observaciones[Caso de Prueba],CasoPrueba[[#All],[Código CP]:[Prioridad]],7,TRUE)</f>
        <v>Alta</v>
      </c>
      <c r="D297" s="34" t="s">
        <v>162</v>
      </c>
      <c r="E297" s="34" t="s">
        <v>47</v>
      </c>
      <c r="F297" s="73">
        <v>40840</v>
      </c>
      <c r="H297" s="94" t="s">
        <v>132</v>
      </c>
      <c r="I297" s="34" t="s">
        <v>966</v>
      </c>
      <c r="J297" s="34" t="s">
        <v>988</v>
      </c>
      <c r="K297" s="34">
        <f>IF((Observaciones[[#This Row],[Fecha Levantamiento]]-Observaciones[[#This Row],[Fecha Detección]])&gt;=0,Observaciones[[#This Row],[Fecha Levantamiento]]-Observaciones[[#This Row],[Fecha Detección]]+1,0)</f>
        <v>0</v>
      </c>
      <c r="L297" s="34" t="str">
        <f>LOOKUP(Observaciones[[#This Row],[Caso de Prueba]],CasoPrueba[Código CP],CasoPrueba[Código de REQ])</f>
        <v>INSPECCIÓN</v>
      </c>
    </row>
    <row r="298" spans="1:12" ht="30" hidden="1">
      <c r="A298" s="166" t="s">
        <v>750</v>
      </c>
      <c r="B298" s="34" t="s">
        <v>907</v>
      </c>
      <c r="C298" s="34" t="str">
        <f>VLOOKUP(Observaciones[Caso de Prueba],CasoPrueba[[#All],[Código CP]:[Prioridad]],7,TRUE)</f>
        <v>Alta</v>
      </c>
      <c r="D298" s="34" t="s">
        <v>162</v>
      </c>
      <c r="E298" s="34" t="s">
        <v>47</v>
      </c>
      <c r="F298" s="73">
        <v>40840</v>
      </c>
      <c r="H298" s="94" t="s">
        <v>132</v>
      </c>
      <c r="I298" s="34" t="s">
        <v>967</v>
      </c>
      <c r="J298" s="34" t="s">
        <v>988</v>
      </c>
      <c r="K298" s="34">
        <f>IF((Observaciones[[#This Row],[Fecha Levantamiento]]-Observaciones[[#This Row],[Fecha Detección]])&gt;=0,Observaciones[[#This Row],[Fecha Levantamiento]]-Observaciones[[#This Row],[Fecha Detección]]+1,0)</f>
        <v>0</v>
      </c>
      <c r="L298" s="34" t="str">
        <f>LOOKUP(Observaciones[[#This Row],[Caso de Prueba]],CasoPrueba[Código CP],CasoPrueba[Código de REQ])</f>
        <v>INSPECCIÓN</v>
      </c>
    </row>
    <row r="299" spans="1:12" ht="45" hidden="1">
      <c r="A299" s="166" t="s">
        <v>751</v>
      </c>
      <c r="B299" s="34" t="s">
        <v>908</v>
      </c>
      <c r="C299" s="34" t="str">
        <f>VLOOKUP(Observaciones[Caso de Prueba],CasoPrueba[[#All],[Código CP]:[Prioridad]],7,TRUE)</f>
        <v>Alta</v>
      </c>
      <c r="D299" s="34" t="s">
        <v>28</v>
      </c>
      <c r="E299" s="34" t="s">
        <v>47</v>
      </c>
      <c r="F299" s="73">
        <v>40838</v>
      </c>
      <c r="H299" s="94" t="s">
        <v>132</v>
      </c>
      <c r="I299" s="34" t="s">
        <v>608</v>
      </c>
      <c r="J299" s="34" t="s">
        <v>1004</v>
      </c>
      <c r="K299" s="34">
        <f>IF((Observaciones[[#This Row],[Fecha Levantamiento]]-Observaciones[[#This Row],[Fecha Detección]])&gt;=0,Observaciones[[#This Row],[Fecha Levantamiento]]-Observaciones[[#This Row],[Fecha Detección]]+1,0)</f>
        <v>0</v>
      </c>
      <c r="L299" s="34" t="str">
        <f>LOOKUP(Observaciones[[#This Row],[Caso de Prueba]],CasoPrueba[Código CP],CasoPrueba[Código de REQ])</f>
        <v>INSPECCIÓN</v>
      </c>
    </row>
    <row r="300" spans="1:12" ht="60" hidden="1">
      <c r="A300" s="166" t="s">
        <v>752</v>
      </c>
      <c r="B300" s="34" t="s">
        <v>908</v>
      </c>
      <c r="C300" s="34" t="str">
        <f>VLOOKUP(Observaciones[Caso de Prueba],CasoPrueba[[#All],[Código CP]:[Prioridad]],7,TRUE)</f>
        <v>Alta</v>
      </c>
      <c r="D300" s="34" t="s">
        <v>30</v>
      </c>
      <c r="E300" s="34" t="s">
        <v>47</v>
      </c>
      <c r="F300" s="73">
        <v>40838</v>
      </c>
      <c r="H300" s="94" t="s">
        <v>132</v>
      </c>
      <c r="I300" s="34" t="s">
        <v>968</v>
      </c>
      <c r="J300" s="34" t="s">
        <v>989</v>
      </c>
      <c r="K300" s="34">
        <f>IF((Observaciones[[#This Row],[Fecha Levantamiento]]-Observaciones[[#This Row],[Fecha Detección]])&gt;=0,Observaciones[[#This Row],[Fecha Levantamiento]]-Observaciones[[#This Row],[Fecha Detección]]+1,0)</f>
        <v>0</v>
      </c>
      <c r="L300" s="34" t="str">
        <f>LOOKUP(Observaciones[[#This Row],[Caso de Prueba]],CasoPrueba[Código CP],CasoPrueba[Código de REQ])</f>
        <v>INSPECCIÓN</v>
      </c>
    </row>
    <row r="301" spans="1:12" ht="90" hidden="1">
      <c r="A301" s="166" t="s">
        <v>753</v>
      </c>
      <c r="B301" s="34" t="s">
        <v>908</v>
      </c>
      <c r="C301" s="34" t="str">
        <f>VLOOKUP(Observaciones[Caso de Prueba],CasoPrueba[[#All],[Código CP]:[Prioridad]],7,TRUE)</f>
        <v>Alta</v>
      </c>
      <c r="D301" s="34" t="s">
        <v>29</v>
      </c>
      <c r="E301" s="34" t="s">
        <v>47</v>
      </c>
      <c r="F301" s="73">
        <v>40840</v>
      </c>
      <c r="H301" s="94" t="s">
        <v>132</v>
      </c>
      <c r="I301" s="34" t="s">
        <v>610</v>
      </c>
      <c r="J301" s="34" t="s">
        <v>1001</v>
      </c>
      <c r="K301" s="34">
        <f>IF((Observaciones[[#This Row],[Fecha Levantamiento]]-Observaciones[[#This Row],[Fecha Detección]])&gt;=0,Observaciones[[#This Row],[Fecha Levantamiento]]-Observaciones[[#This Row],[Fecha Detección]]+1,0)</f>
        <v>0</v>
      </c>
      <c r="L301" s="34" t="str">
        <f>LOOKUP(Observaciones[[#This Row],[Caso de Prueba]],CasoPrueba[Código CP],CasoPrueba[Código de REQ])</f>
        <v>INSPECCIÓN</v>
      </c>
    </row>
    <row r="302" spans="1:12" ht="45" hidden="1">
      <c r="A302" s="166" t="s">
        <v>754</v>
      </c>
      <c r="B302" s="34" t="s">
        <v>908</v>
      </c>
      <c r="C302" s="34" t="str">
        <f>VLOOKUP(Observaciones[Caso de Prueba],CasoPrueba[[#All],[Código CP]:[Prioridad]],7,TRUE)</f>
        <v>Alta</v>
      </c>
      <c r="D302" s="34" t="s">
        <v>28</v>
      </c>
      <c r="E302" s="34" t="s">
        <v>47</v>
      </c>
      <c r="F302" s="73">
        <v>40840</v>
      </c>
      <c r="H302" s="94" t="s">
        <v>132</v>
      </c>
      <c r="I302" s="34" t="s">
        <v>882</v>
      </c>
      <c r="J302" s="34" t="s">
        <v>997</v>
      </c>
      <c r="K302" s="34">
        <f>IF((Observaciones[[#This Row],[Fecha Levantamiento]]-Observaciones[[#This Row],[Fecha Detección]])&gt;=0,Observaciones[[#This Row],[Fecha Levantamiento]]-Observaciones[[#This Row],[Fecha Detección]]+1,0)</f>
        <v>0</v>
      </c>
      <c r="L302" s="34" t="str">
        <f>LOOKUP(Observaciones[[#This Row],[Caso de Prueba]],CasoPrueba[Código CP],CasoPrueba[Código de REQ])</f>
        <v>INSPECCIÓN</v>
      </c>
    </row>
    <row r="303" spans="1:12" hidden="1">
      <c r="A303" s="166" t="s">
        <v>755</v>
      </c>
      <c r="B303" s="34" t="s">
        <v>908</v>
      </c>
      <c r="C303" s="34" t="str">
        <f>VLOOKUP(Observaciones[Caso de Prueba],CasoPrueba[[#All],[Código CP]:[Prioridad]],7,TRUE)</f>
        <v>Alta</v>
      </c>
      <c r="D303" s="34" t="s">
        <v>30</v>
      </c>
      <c r="E303" s="34" t="s">
        <v>47</v>
      </c>
      <c r="F303" s="73">
        <v>40840</v>
      </c>
      <c r="H303" s="94" t="s">
        <v>132</v>
      </c>
      <c r="I303" s="34" t="s">
        <v>969</v>
      </c>
      <c r="J303" s="34" t="s">
        <v>1005</v>
      </c>
      <c r="K303" s="34">
        <f>IF((Observaciones[[#This Row],[Fecha Levantamiento]]-Observaciones[[#This Row],[Fecha Detección]])&gt;=0,Observaciones[[#This Row],[Fecha Levantamiento]]-Observaciones[[#This Row],[Fecha Detección]]+1,0)</f>
        <v>0</v>
      </c>
      <c r="L303" s="34" t="str">
        <f>LOOKUP(Observaciones[[#This Row],[Caso de Prueba]],CasoPrueba[Código CP],CasoPrueba[Código de REQ])</f>
        <v>INSPECCIÓN</v>
      </c>
    </row>
    <row r="304" spans="1:12" ht="45" hidden="1">
      <c r="A304" s="166" t="s">
        <v>756</v>
      </c>
      <c r="B304" s="34" t="s">
        <v>908</v>
      </c>
      <c r="C304" s="34" t="str">
        <f>VLOOKUP(Observaciones[Caso de Prueba],CasoPrueba[[#All],[Código CP]:[Prioridad]],7,TRUE)</f>
        <v>Alta</v>
      </c>
      <c r="D304" s="34" t="s">
        <v>162</v>
      </c>
      <c r="E304" s="34" t="s">
        <v>47</v>
      </c>
      <c r="F304" s="73">
        <v>40840</v>
      </c>
      <c r="H304" s="94" t="s">
        <v>132</v>
      </c>
      <c r="I304" s="34" t="s">
        <v>970</v>
      </c>
      <c r="J304" s="34" t="s">
        <v>988</v>
      </c>
      <c r="K304" s="34">
        <f>IF((Observaciones[[#This Row],[Fecha Levantamiento]]-Observaciones[[#This Row],[Fecha Detección]])&gt;=0,Observaciones[[#This Row],[Fecha Levantamiento]]-Observaciones[[#This Row],[Fecha Detección]]+1,0)</f>
        <v>0</v>
      </c>
      <c r="L304" s="34" t="str">
        <f>LOOKUP(Observaciones[[#This Row],[Caso de Prueba]],CasoPrueba[Código CP],CasoPrueba[Código de REQ])</f>
        <v>INSPECCIÓN</v>
      </c>
    </row>
    <row r="305" spans="1:12" hidden="1">
      <c r="A305" s="166" t="s">
        <v>757</v>
      </c>
      <c r="B305" s="34" t="s">
        <v>919</v>
      </c>
      <c r="C305" s="34" t="str">
        <f>VLOOKUP(Observaciones[Caso de Prueba],CasoPrueba[[#All],[Código CP]:[Prioridad]],7,TRUE)</f>
        <v>Alta</v>
      </c>
      <c r="K305" s="34">
        <f>IF((Observaciones[[#This Row],[Fecha Levantamiento]]-Observaciones[[#This Row],[Fecha Detección]])&gt;=0,Observaciones[[#This Row],[Fecha Levantamiento]]-Observaciones[[#This Row],[Fecha Detección]]+1,0)</f>
        <v>1</v>
      </c>
      <c r="L305" s="34" t="str">
        <f>LOOKUP(Observaciones[[#This Row],[Caso de Prueba]],CasoPrueba[Código CP],CasoPrueba[Código de REQ])</f>
        <v>INSPECCIÓN</v>
      </c>
    </row>
    <row r="306" spans="1:12" hidden="1">
      <c r="A306" s="166" t="s">
        <v>758</v>
      </c>
      <c r="B306" s="34" t="s">
        <v>919</v>
      </c>
      <c r="C306" s="34" t="str">
        <f>VLOOKUP(Observaciones[Caso de Prueba],CasoPrueba[[#All],[Código CP]:[Prioridad]],7,TRUE)</f>
        <v>Alta</v>
      </c>
      <c r="K306" s="34">
        <f>IF((Observaciones[[#This Row],[Fecha Levantamiento]]-Observaciones[[#This Row],[Fecha Detección]])&gt;=0,Observaciones[[#This Row],[Fecha Levantamiento]]-Observaciones[[#This Row],[Fecha Detección]]+1,0)</f>
        <v>1</v>
      </c>
      <c r="L306" s="34" t="str">
        <f>LOOKUP(Observaciones[[#This Row],[Caso de Prueba]],CasoPrueba[Código CP],CasoPrueba[Código de REQ])</f>
        <v>INSPECCIÓN</v>
      </c>
    </row>
    <row r="307" spans="1:12" hidden="1">
      <c r="A307" s="166" t="s">
        <v>759</v>
      </c>
      <c r="B307" s="34" t="s">
        <v>919</v>
      </c>
      <c r="C307" s="34" t="str">
        <f>VLOOKUP(Observaciones[Caso de Prueba],CasoPrueba[[#All],[Código CP]:[Prioridad]],7,TRUE)</f>
        <v>Alta</v>
      </c>
      <c r="K307" s="34">
        <f>IF((Observaciones[[#This Row],[Fecha Levantamiento]]-Observaciones[[#This Row],[Fecha Detección]])&gt;=0,Observaciones[[#This Row],[Fecha Levantamiento]]-Observaciones[[#This Row],[Fecha Detección]]+1,0)</f>
        <v>1</v>
      </c>
      <c r="L307" s="34" t="str">
        <f>LOOKUP(Observaciones[[#This Row],[Caso de Prueba]],CasoPrueba[Código CP],CasoPrueba[Código de REQ])</f>
        <v>INSPECCIÓN</v>
      </c>
    </row>
    <row r="308" spans="1:12" hidden="1">
      <c r="A308" s="166" t="s">
        <v>760</v>
      </c>
      <c r="B308" s="34" t="s">
        <v>919</v>
      </c>
      <c r="C308" s="34" t="str">
        <f>VLOOKUP(Observaciones[Caso de Prueba],CasoPrueba[[#All],[Código CP]:[Prioridad]],7,TRUE)</f>
        <v>Alta</v>
      </c>
      <c r="K308" s="34">
        <f>IF((Observaciones[[#This Row],[Fecha Levantamiento]]-Observaciones[[#This Row],[Fecha Detección]])&gt;=0,Observaciones[[#This Row],[Fecha Levantamiento]]-Observaciones[[#This Row],[Fecha Detección]]+1,0)</f>
        <v>1</v>
      </c>
      <c r="L308" s="34" t="str">
        <f>LOOKUP(Observaciones[[#This Row],[Caso de Prueba]],CasoPrueba[Código CP],CasoPrueba[Código de REQ])</f>
        <v>INSPECCIÓN</v>
      </c>
    </row>
    <row r="309" spans="1:12" hidden="1">
      <c r="A309" s="166" t="s">
        <v>761</v>
      </c>
      <c r="B309" s="34" t="s">
        <v>919</v>
      </c>
      <c r="C309" s="34" t="str">
        <f>VLOOKUP(Observaciones[Caso de Prueba],CasoPrueba[[#All],[Código CP]:[Prioridad]],7,TRUE)</f>
        <v>Alta</v>
      </c>
      <c r="K309" s="34">
        <f>IF((Observaciones[[#This Row],[Fecha Levantamiento]]-Observaciones[[#This Row],[Fecha Detección]])&gt;=0,Observaciones[[#This Row],[Fecha Levantamiento]]-Observaciones[[#This Row],[Fecha Detección]]+1,0)</f>
        <v>1</v>
      </c>
      <c r="L309" s="34" t="str">
        <f>LOOKUP(Observaciones[[#This Row],[Caso de Prueba]],CasoPrueba[Código CP],CasoPrueba[Código de REQ])</f>
        <v>INSPECCIÓN</v>
      </c>
    </row>
    <row r="310" spans="1:12" hidden="1">
      <c r="A310" s="166" t="s">
        <v>762</v>
      </c>
      <c r="B310" s="34" t="s">
        <v>919</v>
      </c>
      <c r="C310" s="34" t="str">
        <f>VLOOKUP(Observaciones[Caso de Prueba],CasoPrueba[[#All],[Código CP]:[Prioridad]],7,TRUE)</f>
        <v>Alta</v>
      </c>
      <c r="K310" s="34">
        <f>IF((Observaciones[[#This Row],[Fecha Levantamiento]]-Observaciones[[#This Row],[Fecha Detección]])&gt;=0,Observaciones[[#This Row],[Fecha Levantamiento]]-Observaciones[[#This Row],[Fecha Detección]]+1,0)</f>
        <v>1</v>
      </c>
      <c r="L310" s="34" t="str">
        <f>LOOKUP(Observaciones[[#This Row],[Caso de Prueba]],CasoPrueba[Código CP],CasoPrueba[Código de REQ])</f>
        <v>INSPECCIÓN</v>
      </c>
    </row>
    <row r="311" spans="1:12" hidden="1">
      <c r="A311" s="166" t="s">
        <v>763</v>
      </c>
      <c r="B311" s="34" t="s">
        <v>919</v>
      </c>
      <c r="C311" s="34" t="str">
        <f>VLOOKUP(Observaciones[Caso de Prueba],CasoPrueba[[#All],[Código CP]:[Prioridad]],7,TRUE)</f>
        <v>Alta</v>
      </c>
      <c r="K311" s="34">
        <f>IF((Observaciones[[#This Row],[Fecha Levantamiento]]-Observaciones[[#This Row],[Fecha Detección]])&gt;=0,Observaciones[[#This Row],[Fecha Levantamiento]]-Observaciones[[#This Row],[Fecha Detección]]+1,0)</f>
        <v>1</v>
      </c>
      <c r="L311" s="34" t="str">
        <f>LOOKUP(Observaciones[[#This Row],[Caso de Prueba]],CasoPrueba[Código CP],CasoPrueba[Código de REQ])</f>
        <v>INSPECCIÓN</v>
      </c>
    </row>
    <row r="312" spans="1:12" hidden="1">
      <c r="A312" s="166" t="s">
        <v>764</v>
      </c>
      <c r="B312" s="34" t="s">
        <v>919</v>
      </c>
      <c r="C312" s="34" t="str">
        <f>VLOOKUP(Observaciones[Caso de Prueba],CasoPrueba[[#All],[Código CP]:[Prioridad]],7,TRUE)</f>
        <v>Alta</v>
      </c>
      <c r="K312" s="34">
        <f>IF((Observaciones[[#This Row],[Fecha Levantamiento]]-Observaciones[[#This Row],[Fecha Detección]])&gt;=0,Observaciones[[#This Row],[Fecha Levantamiento]]-Observaciones[[#This Row],[Fecha Detección]]+1,0)</f>
        <v>1</v>
      </c>
      <c r="L312" s="34" t="str">
        <f>LOOKUP(Observaciones[[#This Row],[Caso de Prueba]],CasoPrueba[Código CP],CasoPrueba[Código de REQ])</f>
        <v>INSPECCIÓN</v>
      </c>
    </row>
    <row r="313" spans="1:12" hidden="1">
      <c r="A313" s="166" t="s">
        <v>765</v>
      </c>
      <c r="B313" s="34" t="s">
        <v>919</v>
      </c>
      <c r="C313" s="34" t="str">
        <f>VLOOKUP(Observaciones[Caso de Prueba],CasoPrueba[[#All],[Código CP]:[Prioridad]],7,TRUE)</f>
        <v>Alta</v>
      </c>
      <c r="K313" s="34">
        <f>IF((Observaciones[[#This Row],[Fecha Levantamiento]]-Observaciones[[#This Row],[Fecha Detección]])&gt;=0,Observaciones[[#This Row],[Fecha Levantamiento]]-Observaciones[[#This Row],[Fecha Detección]]+1,0)</f>
        <v>1</v>
      </c>
      <c r="L313" s="34" t="str">
        <f>LOOKUP(Observaciones[[#This Row],[Caso de Prueba]],CasoPrueba[Código CP],CasoPrueba[Código de REQ])</f>
        <v>INSPECCIÓN</v>
      </c>
    </row>
    <row r="314" spans="1:12" hidden="1">
      <c r="A314" s="166" t="s">
        <v>766</v>
      </c>
      <c r="B314" s="34" t="s">
        <v>919</v>
      </c>
      <c r="C314" s="34" t="str">
        <f>VLOOKUP(Observaciones[Caso de Prueba],CasoPrueba[[#All],[Código CP]:[Prioridad]],7,TRUE)</f>
        <v>Alta</v>
      </c>
      <c r="K314" s="34">
        <f>IF((Observaciones[[#This Row],[Fecha Levantamiento]]-Observaciones[[#This Row],[Fecha Detección]])&gt;=0,Observaciones[[#This Row],[Fecha Levantamiento]]-Observaciones[[#This Row],[Fecha Detección]]+1,0)</f>
        <v>1</v>
      </c>
      <c r="L314" s="34" t="str">
        <f>LOOKUP(Observaciones[[#This Row],[Caso de Prueba]],CasoPrueba[Código CP],CasoPrueba[Código de REQ])</f>
        <v>INSPECCIÓN</v>
      </c>
    </row>
    <row r="315" spans="1:12" hidden="1">
      <c r="A315" s="166" t="s">
        <v>767</v>
      </c>
      <c r="B315" s="34" t="s">
        <v>919</v>
      </c>
      <c r="C315" s="34" t="str">
        <f>VLOOKUP(Observaciones[Caso de Prueba],CasoPrueba[[#All],[Código CP]:[Prioridad]],7,TRUE)</f>
        <v>Alta</v>
      </c>
      <c r="K315" s="34">
        <f>IF((Observaciones[[#This Row],[Fecha Levantamiento]]-Observaciones[[#This Row],[Fecha Detección]])&gt;=0,Observaciones[[#This Row],[Fecha Levantamiento]]-Observaciones[[#This Row],[Fecha Detección]]+1,0)</f>
        <v>1</v>
      </c>
      <c r="L315" s="34" t="str">
        <f>LOOKUP(Observaciones[[#This Row],[Caso de Prueba]],CasoPrueba[Código CP],CasoPrueba[Código de REQ])</f>
        <v>INSPECCIÓN</v>
      </c>
    </row>
    <row r="316" spans="1:12" hidden="1">
      <c r="A316" s="166" t="s">
        <v>768</v>
      </c>
      <c r="B316" s="34" t="s">
        <v>919</v>
      </c>
      <c r="C316" s="34" t="str">
        <f>VLOOKUP(Observaciones[Caso de Prueba],CasoPrueba[[#All],[Código CP]:[Prioridad]],7,TRUE)</f>
        <v>Alta</v>
      </c>
      <c r="K316" s="34">
        <f>IF((Observaciones[[#This Row],[Fecha Levantamiento]]-Observaciones[[#This Row],[Fecha Detección]])&gt;=0,Observaciones[[#This Row],[Fecha Levantamiento]]-Observaciones[[#This Row],[Fecha Detección]]+1,0)</f>
        <v>1</v>
      </c>
      <c r="L316" s="34" t="str">
        <f>LOOKUP(Observaciones[[#This Row],[Caso de Prueba]],CasoPrueba[Código CP],CasoPrueba[Código de REQ])</f>
        <v>INSPECCIÓN</v>
      </c>
    </row>
    <row r="317" spans="1:12" hidden="1">
      <c r="A317" s="166" t="s">
        <v>769</v>
      </c>
      <c r="B317" s="34" t="s">
        <v>919</v>
      </c>
      <c r="C317" s="34" t="str">
        <f>VLOOKUP(Observaciones[Caso de Prueba],CasoPrueba[[#All],[Código CP]:[Prioridad]],7,TRUE)</f>
        <v>Alta</v>
      </c>
      <c r="K317" s="34">
        <f>IF((Observaciones[[#This Row],[Fecha Levantamiento]]-Observaciones[[#This Row],[Fecha Detección]])&gt;=0,Observaciones[[#This Row],[Fecha Levantamiento]]-Observaciones[[#This Row],[Fecha Detección]]+1,0)</f>
        <v>1</v>
      </c>
      <c r="L317" s="34" t="str">
        <f>LOOKUP(Observaciones[[#This Row],[Caso de Prueba]],CasoPrueba[Código CP],CasoPrueba[Código de REQ])</f>
        <v>INSPECCIÓN</v>
      </c>
    </row>
    <row r="318" spans="1:12" hidden="1">
      <c r="A318" s="166" t="s">
        <v>770</v>
      </c>
      <c r="C318" s="34" t="e">
        <f>VLOOKUP(Observaciones[Caso de Prueba],CasoPrueba[[#All],[Código CP]:[Prioridad]],7,TRUE)</f>
        <v>#N/A</v>
      </c>
      <c r="K318" s="34">
        <f>IF((Observaciones[[#This Row],[Fecha Levantamiento]]-Observaciones[[#This Row],[Fecha Detección]])&gt;=0,Observaciones[[#This Row],[Fecha Levantamiento]]-Observaciones[[#This Row],[Fecha Detección]]+1,0)</f>
        <v>1</v>
      </c>
      <c r="L318" s="34" t="e">
        <f>LOOKUP(Observaciones[[#This Row],[Caso de Prueba]],CasoPrueba[Código CP],CasoPrueba[Código de REQ])</f>
        <v>#N/A</v>
      </c>
    </row>
    <row r="319" spans="1:12" hidden="1">
      <c r="A319" s="166" t="s">
        <v>771</v>
      </c>
      <c r="C319" s="34" t="e">
        <f>VLOOKUP(Observaciones[Caso de Prueba],CasoPrueba[[#All],[Código CP]:[Prioridad]],7,TRUE)</f>
        <v>#N/A</v>
      </c>
      <c r="K319" s="34">
        <f>IF((Observaciones[[#This Row],[Fecha Levantamiento]]-Observaciones[[#This Row],[Fecha Detección]])&gt;=0,Observaciones[[#This Row],[Fecha Levantamiento]]-Observaciones[[#This Row],[Fecha Detección]]+1,0)</f>
        <v>1</v>
      </c>
      <c r="L319" s="34" t="e">
        <f>LOOKUP(Observaciones[[#This Row],[Caso de Prueba]],CasoPrueba[Código CP],CasoPrueba[Código de REQ])</f>
        <v>#N/A</v>
      </c>
    </row>
    <row r="320" spans="1:12" hidden="1">
      <c r="A320" s="166" t="s">
        <v>772</v>
      </c>
      <c r="C320" s="34" t="e">
        <f>VLOOKUP(Observaciones[Caso de Prueba],CasoPrueba[[#All],[Código CP]:[Prioridad]],7,TRUE)</f>
        <v>#N/A</v>
      </c>
      <c r="K320" s="34">
        <f>IF((Observaciones[[#This Row],[Fecha Levantamiento]]-Observaciones[[#This Row],[Fecha Detección]])&gt;=0,Observaciones[[#This Row],[Fecha Levantamiento]]-Observaciones[[#This Row],[Fecha Detección]]+1,0)</f>
        <v>1</v>
      </c>
      <c r="L320" s="34" t="e">
        <f>LOOKUP(Observaciones[[#This Row],[Caso de Prueba]],CasoPrueba[Código CP],CasoPrueba[Código de REQ])</f>
        <v>#N/A</v>
      </c>
    </row>
    <row r="321" spans="1:12" hidden="1">
      <c r="A321" s="166" t="s">
        <v>773</v>
      </c>
      <c r="C321" s="34" t="e">
        <f>VLOOKUP(Observaciones[Caso de Prueba],CasoPrueba[[#All],[Código CP]:[Prioridad]],7,TRUE)</f>
        <v>#N/A</v>
      </c>
      <c r="K321" s="34">
        <f>IF((Observaciones[[#This Row],[Fecha Levantamiento]]-Observaciones[[#This Row],[Fecha Detección]])&gt;=0,Observaciones[[#This Row],[Fecha Levantamiento]]-Observaciones[[#This Row],[Fecha Detección]]+1,0)</f>
        <v>1</v>
      </c>
      <c r="L321" s="34" t="e">
        <f>LOOKUP(Observaciones[[#This Row],[Caso de Prueba]],CasoPrueba[Código CP],CasoPrueba[Código de REQ])</f>
        <v>#N/A</v>
      </c>
    </row>
    <row r="322" spans="1:12" hidden="1">
      <c r="A322" s="166" t="s">
        <v>774</v>
      </c>
      <c r="C322" s="34" t="e">
        <f>VLOOKUP(Observaciones[Caso de Prueba],CasoPrueba[[#All],[Código CP]:[Prioridad]],7,TRUE)</f>
        <v>#N/A</v>
      </c>
      <c r="K322" s="34">
        <f>IF((Observaciones[[#This Row],[Fecha Levantamiento]]-Observaciones[[#This Row],[Fecha Detección]])&gt;=0,Observaciones[[#This Row],[Fecha Levantamiento]]-Observaciones[[#This Row],[Fecha Detección]]+1,0)</f>
        <v>1</v>
      </c>
      <c r="L322" s="34" t="e">
        <f>LOOKUP(Observaciones[[#This Row],[Caso de Prueba]],CasoPrueba[Código CP],CasoPrueba[Código de REQ])</f>
        <v>#N/A</v>
      </c>
    </row>
    <row r="323" spans="1:12" hidden="1">
      <c r="A323" s="166" t="s">
        <v>775</v>
      </c>
      <c r="C323" s="34" t="e">
        <f>VLOOKUP(Observaciones[Caso de Prueba],CasoPrueba[[#All],[Código CP]:[Prioridad]],7,TRUE)</f>
        <v>#N/A</v>
      </c>
      <c r="K323" s="34">
        <f>IF((Observaciones[[#This Row],[Fecha Levantamiento]]-Observaciones[[#This Row],[Fecha Detección]])&gt;=0,Observaciones[[#This Row],[Fecha Levantamiento]]-Observaciones[[#This Row],[Fecha Detección]]+1,0)</f>
        <v>1</v>
      </c>
      <c r="L323" s="34" t="e">
        <f>LOOKUP(Observaciones[[#This Row],[Caso de Prueba]],CasoPrueba[Código CP],CasoPrueba[Código de REQ])</f>
        <v>#N/A</v>
      </c>
    </row>
    <row r="324" spans="1:12" hidden="1">
      <c r="A324" s="166" t="s">
        <v>776</v>
      </c>
      <c r="C324" s="34" t="e">
        <f>VLOOKUP(Observaciones[Caso de Prueba],CasoPrueba[[#All],[Código CP]:[Prioridad]],7,TRUE)</f>
        <v>#N/A</v>
      </c>
      <c r="K324" s="34">
        <f>IF((Observaciones[[#This Row],[Fecha Levantamiento]]-Observaciones[[#This Row],[Fecha Detección]])&gt;=0,Observaciones[[#This Row],[Fecha Levantamiento]]-Observaciones[[#This Row],[Fecha Detección]]+1,0)</f>
        <v>1</v>
      </c>
      <c r="L324" s="34" t="e">
        <f>LOOKUP(Observaciones[[#This Row],[Caso de Prueba]],CasoPrueba[Código CP],CasoPrueba[Código de REQ])</f>
        <v>#N/A</v>
      </c>
    </row>
    <row r="325" spans="1:12" hidden="1">
      <c r="A325" s="166" t="s">
        <v>777</v>
      </c>
      <c r="C325" s="34" t="e">
        <f>VLOOKUP(Observaciones[Caso de Prueba],CasoPrueba[[#All],[Código CP]:[Prioridad]],7,TRUE)</f>
        <v>#N/A</v>
      </c>
      <c r="K325" s="34">
        <f>IF((Observaciones[[#This Row],[Fecha Levantamiento]]-Observaciones[[#This Row],[Fecha Detección]])&gt;=0,Observaciones[[#This Row],[Fecha Levantamiento]]-Observaciones[[#This Row],[Fecha Detección]]+1,0)</f>
        <v>1</v>
      </c>
      <c r="L325" s="34" t="e">
        <f>LOOKUP(Observaciones[[#This Row],[Caso de Prueba]],CasoPrueba[Código CP],CasoPrueba[Código de REQ])</f>
        <v>#N/A</v>
      </c>
    </row>
    <row r="326" spans="1:12" hidden="1">
      <c r="A326" s="166" t="s">
        <v>778</v>
      </c>
      <c r="C326" s="34" t="e">
        <f>VLOOKUP(Observaciones[Caso de Prueba],CasoPrueba[[#All],[Código CP]:[Prioridad]],7,TRUE)</f>
        <v>#N/A</v>
      </c>
      <c r="K326" s="34">
        <f>IF((Observaciones[[#This Row],[Fecha Levantamiento]]-Observaciones[[#This Row],[Fecha Detección]])&gt;=0,Observaciones[[#This Row],[Fecha Levantamiento]]-Observaciones[[#This Row],[Fecha Detección]]+1,0)</f>
        <v>1</v>
      </c>
      <c r="L326" s="34" t="e">
        <f>LOOKUP(Observaciones[[#This Row],[Caso de Prueba]],CasoPrueba[Código CP],CasoPrueba[Código de REQ])</f>
        <v>#N/A</v>
      </c>
    </row>
    <row r="327" spans="1:12" hidden="1">
      <c r="A327" s="166" t="s">
        <v>779</v>
      </c>
      <c r="C327" s="34" t="e">
        <f>VLOOKUP(Observaciones[Caso de Prueba],CasoPrueba[[#All],[Código CP]:[Prioridad]],7,TRUE)</f>
        <v>#N/A</v>
      </c>
      <c r="K327" s="34">
        <f>IF((Observaciones[[#This Row],[Fecha Levantamiento]]-Observaciones[[#This Row],[Fecha Detección]])&gt;=0,Observaciones[[#This Row],[Fecha Levantamiento]]-Observaciones[[#This Row],[Fecha Detección]]+1,0)</f>
        <v>1</v>
      </c>
      <c r="L327" s="34" t="e">
        <f>LOOKUP(Observaciones[[#This Row],[Caso de Prueba]],CasoPrueba[Código CP],CasoPrueba[Código de REQ])</f>
        <v>#N/A</v>
      </c>
    </row>
    <row r="328" spans="1:12" hidden="1">
      <c r="A328" s="166" t="s">
        <v>780</v>
      </c>
      <c r="C328" s="34" t="e">
        <f>VLOOKUP(Observaciones[Caso de Prueba],CasoPrueba[[#All],[Código CP]:[Prioridad]],7,TRUE)</f>
        <v>#N/A</v>
      </c>
      <c r="K328" s="34">
        <f>IF((Observaciones[[#This Row],[Fecha Levantamiento]]-Observaciones[[#This Row],[Fecha Detección]])&gt;=0,Observaciones[[#This Row],[Fecha Levantamiento]]-Observaciones[[#This Row],[Fecha Detección]]+1,0)</f>
        <v>1</v>
      </c>
      <c r="L328" s="34" t="e">
        <f>LOOKUP(Observaciones[[#This Row],[Caso de Prueba]],CasoPrueba[Código CP],CasoPrueba[Código de REQ])</f>
        <v>#N/A</v>
      </c>
    </row>
    <row r="329" spans="1:12" hidden="1">
      <c r="A329" s="166" t="s">
        <v>781</v>
      </c>
      <c r="C329" s="34" t="e">
        <f>VLOOKUP(Observaciones[Caso de Prueba],CasoPrueba[[#All],[Código CP]:[Prioridad]],7,TRUE)</f>
        <v>#N/A</v>
      </c>
      <c r="K329" s="34">
        <f>IF((Observaciones[[#This Row],[Fecha Levantamiento]]-Observaciones[[#This Row],[Fecha Detección]])&gt;=0,Observaciones[[#This Row],[Fecha Levantamiento]]-Observaciones[[#This Row],[Fecha Detección]]+1,0)</f>
        <v>1</v>
      </c>
      <c r="L329" s="34" t="e">
        <f>LOOKUP(Observaciones[[#This Row],[Caso de Prueba]],CasoPrueba[Código CP],CasoPrueba[Código de REQ])</f>
        <v>#N/A</v>
      </c>
    </row>
    <row r="330" spans="1:12" hidden="1">
      <c r="A330" s="166" t="s">
        <v>782</v>
      </c>
      <c r="C330" s="34" t="e">
        <f>VLOOKUP(Observaciones[Caso de Prueba],CasoPrueba[[#All],[Código CP]:[Prioridad]],7,TRUE)</f>
        <v>#N/A</v>
      </c>
      <c r="K330" s="34">
        <f>IF((Observaciones[[#This Row],[Fecha Levantamiento]]-Observaciones[[#This Row],[Fecha Detección]])&gt;=0,Observaciones[[#This Row],[Fecha Levantamiento]]-Observaciones[[#This Row],[Fecha Detección]]+1,0)</f>
        <v>1</v>
      </c>
      <c r="L330" s="34" t="e">
        <f>LOOKUP(Observaciones[[#This Row],[Caso de Prueba]],CasoPrueba[Código CP],CasoPrueba[Código de REQ])</f>
        <v>#N/A</v>
      </c>
    </row>
    <row r="331" spans="1:12" hidden="1">
      <c r="A331" s="166" t="s">
        <v>783</v>
      </c>
      <c r="C331" s="34" t="e">
        <f>VLOOKUP(Observaciones[Caso de Prueba],CasoPrueba[[#All],[Código CP]:[Prioridad]],7,TRUE)</f>
        <v>#N/A</v>
      </c>
      <c r="K331" s="34">
        <f>IF((Observaciones[[#This Row],[Fecha Levantamiento]]-Observaciones[[#This Row],[Fecha Detección]])&gt;=0,Observaciones[[#This Row],[Fecha Levantamiento]]-Observaciones[[#This Row],[Fecha Detección]]+1,0)</f>
        <v>1</v>
      </c>
      <c r="L331" s="34" t="e">
        <f>LOOKUP(Observaciones[[#This Row],[Caso de Prueba]],CasoPrueba[Código CP],CasoPrueba[Código de REQ])</f>
        <v>#N/A</v>
      </c>
    </row>
    <row r="332" spans="1:12" hidden="1">
      <c r="A332" s="166" t="s">
        <v>784</v>
      </c>
      <c r="C332" s="34" t="e">
        <f>VLOOKUP(Observaciones[Caso de Prueba],CasoPrueba[[#All],[Código CP]:[Prioridad]],7,TRUE)</f>
        <v>#N/A</v>
      </c>
      <c r="K332" s="34">
        <f>IF((Observaciones[[#This Row],[Fecha Levantamiento]]-Observaciones[[#This Row],[Fecha Detección]])&gt;=0,Observaciones[[#This Row],[Fecha Levantamiento]]-Observaciones[[#This Row],[Fecha Detección]]+1,0)</f>
        <v>1</v>
      </c>
      <c r="L332" s="34" t="e">
        <f>LOOKUP(Observaciones[[#This Row],[Caso de Prueba]],CasoPrueba[Código CP],CasoPrueba[Código de REQ])</f>
        <v>#N/A</v>
      </c>
    </row>
    <row r="333" spans="1:12" hidden="1">
      <c r="A333" s="166" t="s">
        <v>785</v>
      </c>
      <c r="C333" s="34" t="e">
        <f>VLOOKUP(Observaciones[Caso de Prueba],CasoPrueba[[#All],[Código CP]:[Prioridad]],7,TRUE)</f>
        <v>#N/A</v>
      </c>
      <c r="K333" s="34">
        <f>IF((Observaciones[[#This Row],[Fecha Levantamiento]]-Observaciones[[#This Row],[Fecha Detección]])&gt;=0,Observaciones[[#This Row],[Fecha Levantamiento]]-Observaciones[[#This Row],[Fecha Detección]]+1,0)</f>
        <v>1</v>
      </c>
      <c r="L333" s="34" t="e">
        <f>LOOKUP(Observaciones[[#This Row],[Caso de Prueba]],CasoPrueba[Código CP],CasoPrueba[Código de REQ])</f>
        <v>#N/A</v>
      </c>
    </row>
    <row r="334" spans="1:12" hidden="1">
      <c r="A334" s="166" t="s">
        <v>786</v>
      </c>
      <c r="C334" s="34" t="e">
        <f>VLOOKUP(Observaciones[Caso de Prueba],CasoPrueba[[#All],[Código CP]:[Prioridad]],7,TRUE)</f>
        <v>#N/A</v>
      </c>
      <c r="K334" s="34">
        <f>IF((Observaciones[[#This Row],[Fecha Levantamiento]]-Observaciones[[#This Row],[Fecha Detección]])&gt;=0,Observaciones[[#This Row],[Fecha Levantamiento]]-Observaciones[[#This Row],[Fecha Detección]]+1,0)</f>
        <v>1</v>
      </c>
      <c r="L334" s="34" t="e">
        <f>LOOKUP(Observaciones[[#This Row],[Caso de Prueba]],CasoPrueba[Código CP],CasoPrueba[Código de REQ])</f>
        <v>#N/A</v>
      </c>
    </row>
    <row r="335" spans="1:12" hidden="1">
      <c r="A335" s="166" t="s">
        <v>787</v>
      </c>
      <c r="C335" s="34" t="e">
        <f>VLOOKUP(Observaciones[Caso de Prueba],CasoPrueba[[#All],[Código CP]:[Prioridad]],7,TRUE)</f>
        <v>#N/A</v>
      </c>
      <c r="K335" s="34">
        <f>IF((Observaciones[[#This Row],[Fecha Levantamiento]]-Observaciones[[#This Row],[Fecha Detección]])&gt;=0,Observaciones[[#This Row],[Fecha Levantamiento]]-Observaciones[[#This Row],[Fecha Detección]]+1,0)</f>
        <v>1</v>
      </c>
      <c r="L335" s="34" t="e">
        <f>LOOKUP(Observaciones[[#This Row],[Caso de Prueba]],CasoPrueba[Código CP],CasoPrueba[Código de REQ])</f>
        <v>#N/A</v>
      </c>
    </row>
    <row r="336" spans="1:12" hidden="1">
      <c r="A336" s="166" t="s">
        <v>788</v>
      </c>
      <c r="C336" s="34" t="e">
        <f>VLOOKUP(Observaciones[Caso de Prueba],CasoPrueba[[#All],[Código CP]:[Prioridad]],7,TRUE)</f>
        <v>#N/A</v>
      </c>
      <c r="K336" s="34">
        <f>IF((Observaciones[[#This Row],[Fecha Levantamiento]]-Observaciones[[#This Row],[Fecha Detección]])&gt;=0,Observaciones[[#This Row],[Fecha Levantamiento]]-Observaciones[[#This Row],[Fecha Detección]]+1,0)</f>
        <v>1</v>
      </c>
      <c r="L336" s="34" t="e">
        <f>LOOKUP(Observaciones[[#This Row],[Caso de Prueba]],CasoPrueba[Código CP],CasoPrueba[Código de REQ])</f>
        <v>#N/A</v>
      </c>
    </row>
    <row r="337" spans="1:12" hidden="1">
      <c r="A337" s="166" t="s">
        <v>789</v>
      </c>
      <c r="C337" s="34" t="e">
        <f>VLOOKUP(Observaciones[Caso de Prueba],CasoPrueba[[#All],[Código CP]:[Prioridad]],7,TRUE)</f>
        <v>#N/A</v>
      </c>
      <c r="K337" s="34">
        <f>IF((Observaciones[[#This Row],[Fecha Levantamiento]]-Observaciones[[#This Row],[Fecha Detección]])&gt;=0,Observaciones[[#This Row],[Fecha Levantamiento]]-Observaciones[[#This Row],[Fecha Detección]]+1,0)</f>
        <v>1</v>
      </c>
      <c r="L337" s="34" t="e">
        <f>LOOKUP(Observaciones[[#This Row],[Caso de Prueba]],CasoPrueba[Código CP],CasoPrueba[Código de REQ])</f>
        <v>#N/A</v>
      </c>
    </row>
    <row r="338" spans="1:12" hidden="1">
      <c r="A338" s="166" t="s">
        <v>790</v>
      </c>
      <c r="C338" s="34" t="e">
        <f>VLOOKUP(Observaciones[Caso de Prueba],CasoPrueba[[#All],[Código CP]:[Prioridad]],7,TRUE)</f>
        <v>#N/A</v>
      </c>
      <c r="K338" s="34">
        <f>IF((Observaciones[[#This Row],[Fecha Levantamiento]]-Observaciones[[#This Row],[Fecha Detección]])&gt;=0,Observaciones[[#This Row],[Fecha Levantamiento]]-Observaciones[[#This Row],[Fecha Detección]]+1,0)</f>
        <v>1</v>
      </c>
      <c r="L338" s="34" t="e">
        <f>LOOKUP(Observaciones[[#This Row],[Caso de Prueba]],CasoPrueba[Código CP],CasoPrueba[Código de REQ])</f>
        <v>#N/A</v>
      </c>
    </row>
    <row r="339" spans="1:12" hidden="1">
      <c r="A339" s="166" t="s">
        <v>791</v>
      </c>
      <c r="C339" s="34" t="e">
        <f>VLOOKUP(Observaciones[Caso de Prueba],CasoPrueba[[#All],[Código CP]:[Prioridad]],7,TRUE)</f>
        <v>#N/A</v>
      </c>
      <c r="K339" s="34">
        <f>IF((Observaciones[[#This Row],[Fecha Levantamiento]]-Observaciones[[#This Row],[Fecha Detección]])&gt;=0,Observaciones[[#This Row],[Fecha Levantamiento]]-Observaciones[[#This Row],[Fecha Detección]]+1,0)</f>
        <v>1</v>
      </c>
      <c r="L339" s="34" t="e">
        <f>LOOKUP(Observaciones[[#This Row],[Caso de Prueba]],CasoPrueba[Código CP],CasoPrueba[Código de REQ])</f>
        <v>#N/A</v>
      </c>
    </row>
    <row r="340" spans="1:12" hidden="1">
      <c r="A340" s="166" t="s">
        <v>792</v>
      </c>
      <c r="C340" s="34" t="e">
        <f>VLOOKUP(Observaciones[Caso de Prueba],CasoPrueba[[#All],[Código CP]:[Prioridad]],7,TRUE)</f>
        <v>#N/A</v>
      </c>
      <c r="K340" s="34">
        <f>IF((Observaciones[[#This Row],[Fecha Levantamiento]]-Observaciones[[#This Row],[Fecha Detección]])&gt;=0,Observaciones[[#This Row],[Fecha Levantamiento]]-Observaciones[[#This Row],[Fecha Detección]]+1,0)</f>
        <v>1</v>
      </c>
      <c r="L340" s="34" t="e">
        <f>LOOKUP(Observaciones[[#This Row],[Caso de Prueba]],CasoPrueba[Código CP],CasoPrueba[Código de REQ])</f>
        <v>#N/A</v>
      </c>
    </row>
    <row r="341" spans="1:12" hidden="1">
      <c r="A341" s="166" t="s">
        <v>793</v>
      </c>
      <c r="C341" s="34" t="e">
        <f>VLOOKUP(Observaciones[Caso de Prueba],CasoPrueba[[#All],[Código CP]:[Prioridad]],7,TRUE)</f>
        <v>#N/A</v>
      </c>
      <c r="K341" s="34">
        <f>IF((Observaciones[[#This Row],[Fecha Levantamiento]]-Observaciones[[#This Row],[Fecha Detección]])&gt;=0,Observaciones[[#This Row],[Fecha Levantamiento]]-Observaciones[[#This Row],[Fecha Detección]]+1,0)</f>
        <v>1</v>
      </c>
      <c r="L341" s="34" t="e">
        <f>LOOKUP(Observaciones[[#This Row],[Caso de Prueba]],CasoPrueba[Código CP],CasoPrueba[Código de REQ])</f>
        <v>#N/A</v>
      </c>
    </row>
    <row r="342" spans="1:12" hidden="1">
      <c r="A342" s="166" t="s">
        <v>794</v>
      </c>
      <c r="C342" s="34" t="e">
        <f>VLOOKUP(Observaciones[Caso de Prueba],CasoPrueba[[#All],[Código CP]:[Prioridad]],7,TRUE)</f>
        <v>#N/A</v>
      </c>
      <c r="K342" s="34">
        <f>IF((Observaciones[[#This Row],[Fecha Levantamiento]]-Observaciones[[#This Row],[Fecha Detección]])&gt;=0,Observaciones[[#This Row],[Fecha Levantamiento]]-Observaciones[[#This Row],[Fecha Detección]]+1,0)</f>
        <v>1</v>
      </c>
      <c r="L342" s="34" t="e">
        <f>LOOKUP(Observaciones[[#This Row],[Caso de Prueba]],CasoPrueba[Código CP],CasoPrueba[Código de REQ])</f>
        <v>#N/A</v>
      </c>
    </row>
    <row r="343" spans="1:12" hidden="1">
      <c r="A343" s="166" t="s">
        <v>795</v>
      </c>
      <c r="C343" s="34" t="e">
        <f>VLOOKUP(Observaciones[Caso de Prueba],CasoPrueba[[#All],[Código CP]:[Prioridad]],7,TRUE)</f>
        <v>#N/A</v>
      </c>
      <c r="K343" s="34">
        <f>IF((Observaciones[[#This Row],[Fecha Levantamiento]]-Observaciones[[#This Row],[Fecha Detección]])&gt;=0,Observaciones[[#This Row],[Fecha Levantamiento]]-Observaciones[[#This Row],[Fecha Detección]]+1,0)</f>
        <v>1</v>
      </c>
      <c r="L343" s="34" t="e">
        <f>LOOKUP(Observaciones[[#This Row],[Caso de Prueba]],CasoPrueba[Código CP],CasoPrueba[Código de REQ])</f>
        <v>#N/A</v>
      </c>
    </row>
    <row r="344" spans="1:12" hidden="1">
      <c r="A344" s="166" t="s">
        <v>796</v>
      </c>
      <c r="C344" s="34" t="e">
        <f>VLOOKUP(Observaciones[Caso de Prueba],CasoPrueba[[#All],[Código CP]:[Prioridad]],7,TRUE)</f>
        <v>#N/A</v>
      </c>
      <c r="K344" s="34">
        <f>IF((Observaciones[[#This Row],[Fecha Levantamiento]]-Observaciones[[#This Row],[Fecha Detección]])&gt;=0,Observaciones[[#This Row],[Fecha Levantamiento]]-Observaciones[[#This Row],[Fecha Detección]]+1,0)</f>
        <v>1</v>
      </c>
      <c r="L344" s="34" t="e">
        <f>LOOKUP(Observaciones[[#This Row],[Caso de Prueba]],CasoPrueba[Código CP],CasoPrueba[Código de REQ])</f>
        <v>#N/A</v>
      </c>
    </row>
    <row r="345" spans="1:12" hidden="1">
      <c r="A345" s="166" t="s">
        <v>797</v>
      </c>
      <c r="C345" s="34" t="e">
        <f>VLOOKUP(Observaciones[Caso de Prueba],CasoPrueba[[#All],[Código CP]:[Prioridad]],7,TRUE)</f>
        <v>#N/A</v>
      </c>
      <c r="K345" s="34">
        <f>IF((Observaciones[[#This Row],[Fecha Levantamiento]]-Observaciones[[#This Row],[Fecha Detección]])&gt;=0,Observaciones[[#This Row],[Fecha Levantamiento]]-Observaciones[[#This Row],[Fecha Detección]]+1,0)</f>
        <v>1</v>
      </c>
      <c r="L345" s="34" t="e">
        <f>LOOKUP(Observaciones[[#This Row],[Caso de Prueba]],CasoPrueba[Código CP],CasoPrueba[Código de REQ])</f>
        <v>#N/A</v>
      </c>
    </row>
    <row r="346" spans="1:12" hidden="1">
      <c r="A346" s="166" t="s">
        <v>798</v>
      </c>
      <c r="C346" s="34" t="e">
        <f>VLOOKUP(Observaciones[Caso de Prueba],CasoPrueba[[#All],[Código CP]:[Prioridad]],7,TRUE)</f>
        <v>#N/A</v>
      </c>
      <c r="K346" s="34">
        <f>IF((Observaciones[[#This Row],[Fecha Levantamiento]]-Observaciones[[#This Row],[Fecha Detección]])&gt;=0,Observaciones[[#This Row],[Fecha Levantamiento]]-Observaciones[[#This Row],[Fecha Detección]]+1,0)</f>
        <v>1</v>
      </c>
      <c r="L346" s="34" t="e">
        <f>LOOKUP(Observaciones[[#This Row],[Caso de Prueba]],CasoPrueba[Código CP],CasoPrueba[Código de REQ])</f>
        <v>#N/A</v>
      </c>
    </row>
    <row r="347" spans="1:12" hidden="1">
      <c r="A347" s="166" t="s">
        <v>799</v>
      </c>
      <c r="C347" s="34" t="e">
        <f>VLOOKUP(Observaciones[Caso de Prueba],CasoPrueba[[#All],[Código CP]:[Prioridad]],7,TRUE)</f>
        <v>#N/A</v>
      </c>
      <c r="K347" s="34">
        <f>IF((Observaciones[[#This Row],[Fecha Levantamiento]]-Observaciones[[#This Row],[Fecha Detección]])&gt;=0,Observaciones[[#This Row],[Fecha Levantamiento]]-Observaciones[[#This Row],[Fecha Detección]]+1,0)</f>
        <v>1</v>
      </c>
      <c r="L347" s="34" t="e">
        <f>LOOKUP(Observaciones[[#This Row],[Caso de Prueba]],CasoPrueba[Código CP],CasoPrueba[Código de REQ])</f>
        <v>#N/A</v>
      </c>
    </row>
    <row r="348" spans="1:12" hidden="1">
      <c r="A348" s="166" t="s">
        <v>800</v>
      </c>
      <c r="C348" s="34" t="e">
        <f>VLOOKUP(Observaciones[Caso de Prueba],CasoPrueba[[#All],[Código CP]:[Prioridad]],7,TRUE)</f>
        <v>#N/A</v>
      </c>
      <c r="K348" s="34">
        <f>IF((Observaciones[[#This Row],[Fecha Levantamiento]]-Observaciones[[#This Row],[Fecha Detección]])&gt;=0,Observaciones[[#This Row],[Fecha Levantamiento]]-Observaciones[[#This Row],[Fecha Detección]]+1,0)</f>
        <v>1</v>
      </c>
      <c r="L348" s="34" t="e">
        <f>LOOKUP(Observaciones[[#This Row],[Caso de Prueba]],CasoPrueba[Código CP],CasoPrueba[Código de REQ])</f>
        <v>#N/A</v>
      </c>
    </row>
    <row r="349" spans="1:12" hidden="1">
      <c r="A349" s="166" t="s">
        <v>801</v>
      </c>
      <c r="C349" s="34" t="e">
        <f>VLOOKUP(Observaciones[Caso de Prueba],CasoPrueba[[#All],[Código CP]:[Prioridad]],7,TRUE)</f>
        <v>#N/A</v>
      </c>
      <c r="K349" s="34">
        <f>IF((Observaciones[[#This Row],[Fecha Levantamiento]]-Observaciones[[#This Row],[Fecha Detección]])&gt;=0,Observaciones[[#This Row],[Fecha Levantamiento]]-Observaciones[[#This Row],[Fecha Detección]]+1,0)</f>
        <v>1</v>
      </c>
      <c r="L349" s="34" t="e">
        <f>LOOKUP(Observaciones[[#This Row],[Caso de Prueba]],CasoPrueba[Código CP],CasoPrueba[Código de REQ])</f>
        <v>#N/A</v>
      </c>
    </row>
    <row r="350" spans="1:12" hidden="1">
      <c r="A350" s="166" t="s">
        <v>802</v>
      </c>
      <c r="C350" s="34" t="e">
        <f>VLOOKUP(Observaciones[Caso de Prueba],CasoPrueba[[#All],[Código CP]:[Prioridad]],7,TRUE)</f>
        <v>#N/A</v>
      </c>
      <c r="K350" s="34">
        <f>IF((Observaciones[[#This Row],[Fecha Levantamiento]]-Observaciones[[#This Row],[Fecha Detección]])&gt;=0,Observaciones[[#This Row],[Fecha Levantamiento]]-Observaciones[[#This Row],[Fecha Detección]]+1,0)</f>
        <v>1</v>
      </c>
      <c r="L350" s="34" t="e">
        <f>LOOKUP(Observaciones[[#This Row],[Caso de Prueba]],CasoPrueba[Código CP],CasoPrueba[Código de REQ])</f>
        <v>#N/A</v>
      </c>
    </row>
    <row r="351" spans="1:12" hidden="1">
      <c r="A351" s="166" t="s">
        <v>803</v>
      </c>
      <c r="C351" s="34" t="e">
        <f>VLOOKUP(Observaciones[Caso de Prueba],CasoPrueba[[#All],[Código CP]:[Prioridad]],7,TRUE)</f>
        <v>#N/A</v>
      </c>
      <c r="K351" s="34">
        <f>IF((Observaciones[[#This Row],[Fecha Levantamiento]]-Observaciones[[#This Row],[Fecha Detección]])&gt;=0,Observaciones[[#This Row],[Fecha Levantamiento]]-Observaciones[[#This Row],[Fecha Detección]]+1,0)</f>
        <v>1</v>
      </c>
      <c r="L351" s="34" t="e">
        <f>LOOKUP(Observaciones[[#This Row],[Caso de Prueba]],CasoPrueba[Código CP],CasoPrueba[Código de REQ])</f>
        <v>#N/A</v>
      </c>
    </row>
    <row r="352" spans="1:12" hidden="1">
      <c r="A352" s="166" t="s">
        <v>804</v>
      </c>
      <c r="C352" s="34" t="e">
        <f>VLOOKUP(Observaciones[Caso de Prueba],CasoPrueba[[#All],[Código CP]:[Prioridad]],7,TRUE)</f>
        <v>#N/A</v>
      </c>
      <c r="K352" s="34">
        <f>IF((Observaciones[[#This Row],[Fecha Levantamiento]]-Observaciones[[#This Row],[Fecha Detección]])&gt;=0,Observaciones[[#This Row],[Fecha Levantamiento]]-Observaciones[[#This Row],[Fecha Detección]]+1,0)</f>
        <v>1</v>
      </c>
      <c r="L352" s="34" t="e">
        <f>LOOKUP(Observaciones[[#This Row],[Caso de Prueba]],CasoPrueba[Código CP],CasoPrueba[Código de REQ])</f>
        <v>#N/A</v>
      </c>
    </row>
    <row r="353" spans="1:12" hidden="1">
      <c r="A353" s="166" t="s">
        <v>805</v>
      </c>
      <c r="C353" s="34" t="e">
        <f>VLOOKUP(Observaciones[Caso de Prueba],CasoPrueba[[#All],[Código CP]:[Prioridad]],7,TRUE)</f>
        <v>#N/A</v>
      </c>
      <c r="K353" s="34">
        <f>IF((Observaciones[[#This Row],[Fecha Levantamiento]]-Observaciones[[#This Row],[Fecha Detección]])&gt;=0,Observaciones[[#This Row],[Fecha Levantamiento]]-Observaciones[[#This Row],[Fecha Detección]]+1,0)</f>
        <v>1</v>
      </c>
      <c r="L353" s="34" t="e">
        <f>LOOKUP(Observaciones[[#This Row],[Caso de Prueba]],CasoPrueba[Código CP],CasoPrueba[Código de REQ])</f>
        <v>#N/A</v>
      </c>
    </row>
    <row r="354" spans="1:12" hidden="1">
      <c r="A354" s="166" t="s">
        <v>806</v>
      </c>
      <c r="C354" s="34" t="e">
        <f>VLOOKUP(Observaciones[Caso de Prueba],CasoPrueba[[#All],[Código CP]:[Prioridad]],7,TRUE)</f>
        <v>#N/A</v>
      </c>
      <c r="K354" s="34">
        <f>IF((Observaciones[[#This Row],[Fecha Levantamiento]]-Observaciones[[#This Row],[Fecha Detección]])&gt;=0,Observaciones[[#This Row],[Fecha Levantamiento]]-Observaciones[[#This Row],[Fecha Detección]]+1,0)</f>
        <v>1</v>
      </c>
      <c r="L354" s="34" t="e">
        <f>LOOKUP(Observaciones[[#This Row],[Caso de Prueba]],CasoPrueba[Código CP],CasoPrueba[Código de REQ])</f>
        <v>#N/A</v>
      </c>
    </row>
    <row r="355" spans="1:12" hidden="1">
      <c r="A355" s="166" t="s">
        <v>807</v>
      </c>
      <c r="C355" s="34" t="e">
        <f>VLOOKUP(Observaciones[Caso de Prueba],CasoPrueba[[#All],[Código CP]:[Prioridad]],7,TRUE)</f>
        <v>#N/A</v>
      </c>
      <c r="K355" s="34">
        <f>IF((Observaciones[[#This Row],[Fecha Levantamiento]]-Observaciones[[#This Row],[Fecha Detección]])&gt;=0,Observaciones[[#This Row],[Fecha Levantamiento]]-Observaciones[[#This Row],[Fecha Detección]]+1,0)</f>
        <v>1</v>
      </c>
      <c r="L355" s="34" t="e">
        <f>LOOKUP(Observaciones[[#This Row],[Caso de Prueba]],CasoPrueba[Código CP],CasoPrueba[Código de REQ])</f>
        <v>#N/A</v>
      </c>
    </row>
    <row r="356" spans="1:12" hidden="1">
      <c r="A356" s="166" t="s">
        <v>808</v>
      </c>
      <c r="C356" s="34" t="e">
        <f>VLOOKUP(Observaciones[Caso de Prueba],CasoPrueba[[#All],[Código CP]:[Prioridad]],7,TRUE)</f>
        <v>#N/A</v>
      </c>
      <c r="K356" s="34">
        <f>IF((Observaciones[[#This Row],[Fecha Levantamiento]]-Observaciones[[#This Row],[Fecha Detección]])&gt;=0,Observaciones[[#This Row],[Fecha Levantamiento]]-Observaciones[[#This Row],[Fecha Detección]]+1,0)</f>
        <v>1</v>
      </c>
      <c r="L356" s="34" t="e">
        <f>LOOKUP(Observaciones[[#This Row],[Caso de Prueba]],CasoPrueba[Código CP],CasoPrueba[Código de REQ])</f>
        <v>#N/A</v>
      </c>
    </row>
    <row r="357" spans="1:12" hidden="1">
      <c r="A357" s="166" t="s">
        <v>809</v>
      </c>
      <c r="C357" s="34" t="e">
        <f>VLOOKUP(Observaciones[Caso de Prueba],CasoPrueba[[#All],[Código CP]:[Prioridad]],7,TRUE)</f>
        <v>#N/A</v>
      </c>
      <c r="K357" s="34">
        <f>IF((Observaciones[[#This Row],[Fecha Levantamiento]]-Observaciones[[#This Row],[Fecha Detección]])&gt;=0,Observaciones[[#This Row],[Fecha Levantamiento]]-Observaciones[[#This Row],[Fecha Detección]]+1,0)</f>
        <v>1</v>
      </c>
      <c r="L357" s="34" t="e">
        <f>LOOKUP(Observaciones[[#This Row],[Caso de Prueba]],CasoPrueba[Código CP],CasoPrueba[Código de REQ])</f>
        <v>#N/A</v>
      </c>
    </row>
    <row r="358" spans="1:12" hidden="1">
      <c r="A358" s="166" t="s">
        <v>810</v>
      </c>
      <c r="C358" s="34" t="e">
        <f>VLOOKUP(Observaciones[Caso de Prueba],CasoPrueba[[#All],[Código CP]:[Prioridad]],7,TRUE)</f>
        <v>#N/A</v>
      </c>
      <c r="K358" s="34">
        <f>IF((Observaciones[[#This Row],[Fecha Levantamiento]]-Observaciones[[#This Row],[Fecha Detección]])&gt;=0,Observaciones[[#This Row],[Fecha Levantamiento]]-Observaciones[[#This Row],[Fecha Detección]]+1,0)</f>
        <v>1</v>
      </c>
      <c r="L358" s="34" t="e">
        <f>LOOKUP(Observaciones[[#This Row],[Caso de Prueba]],CasoPrueba[Código CP],CasoPrueba[Código de REQ])</f>
        <v>#N/A</v>
      </c>
    </row>
    <row r="359" spans="1:12" hidden="1">
      <c r="A359" s="166" t="s">
        <v>811</v>
      </c>
      <c r="C359" s="34" t="e">
        <f>VLOOKUP(Observaciones[Caso de Prueba],CasoPrueba[[#All],[Código CP]:[Prioridad]],7,TRUE)</f>
        <v>#N/A</v>
      </c>
      <c r="K359" s="34">
        <f>IF((Observaciones[[#This Row],[Fecha Levantamiento]]-Observaciones[[#This Row],[Fecha Detección]])&gt;=0,Observaciones[[#This Row],[Fecha Levantamiento]]-Observaciones[[#This Row],[Fecha Detección]]+1,0)</f>
        <v>1</v>
      </c>
      <c r="L359" s="34" t="e">
        <f>LOOKUP(Observaciones[[#This Row],[Caso de Prueba]],CasoPrueba[Código CP],CasoPrueba[Código de REQ])</f>
        <v>#N/A</v>
      </c>
    </row>
    <row r="360" spans="1:12" hidden="1">
      <c r="A360" s="166" t="s">
        <v>812</v>
      </c>
      <c r="C360" s="34" t="e">
        <f>VLOOKUP(Observaciones[Caso de Prueba],CasoPrueba[[#All],[Código CP]:[Prioridad]],7,TRUE)</f>
        <v>#N/A</v>
      </c>
      <c r="K360" s="34">
        <f>IF((Observaciones[[#This Row],[Fecha Levantamiento]]-Observaciones[[#This Row],[Fecha Detección]])&gt;=0,Observaciones[[#This Row],[Fecha Levantamiento]]-Observaciones[[#This Row],[Fecha Detección]]+1,0)</f>
        <v>1</v>
      </c>
      <c r="L360" s="34" t="e">
        <f>LOOKUP(Observaciones[[#This Row],[Caso de Prueba]],CasoPrueba[Código CP],CasoPrueba[Código de REQ])</f>
        <v>#N/A</v>
      </c>
    </row>
    <row r="361" spans="1:12" hidden="1">
      <c r="A361" s="166" t="s">
        <v>813</v>
      </c>
      <c r="C361" s="34" t="e">
        <f>VLOOKUP(Observaciones[Caso de Prueba],CasoPrueba[[#All],[Código CP]:[Prioridad]],7,TRUE)</f>
        <v>#N/A</v>
      </c>
      <c r="K361" s="34">
        <f>IF((Observaciones[[#This Row],[Fecha Levantamiento]]-Observaciones[[#This Row],[Fecha Detección]])&gt;=0,Observaciones[[#This Row],[Fecha Levantamiento]]-Observaciones[[#This Row],[Fecha Detección]]+1,0)</f>
        <v>1</v>
      </c>
      <c r="L361" s="34" t="e">
        <f>LOOKUP(Observaciones[[#This Row],[Caso de Prueba]],CasoPrueba[Código CP],CasoPrueba[Código de REQ])</f>
        <v>#N/A</v>
      </c>
    </row>
  </sheetData>
  <mergeCells count="1">
    <mergeCell ref="A1:K1"/>
  </mergeCells>
  <dataValidations disablePrompts="1" count="1">
    <dataValidation type="list" allowBlank="1" showInputMessage="1" showErrorMessage="1" sqref="H3:H361">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J3" sqref="A3:J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474</v>
      </c>
      <c r="C3" s="34" t="str">
        <f>VLOOKUP(Consultas[[#This Row],[Caso de Prueba]],CasoPrueba[[#All],[Código CP]:[Prioridad]],7,TRUE)</f>
        <v>Alta</v>
      </c>
      <c r="D3" s="31" t="s">
        <v>49</v>
      </c>
      <c r="E3" s="31" t="s">
        <v>147</v>
      </c>
      <c r="F3" s="32">
        <v>40800</v>
      </c>
      <c r="H3" s="31" t="s">
        <v>473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1"/>
  <sheetViews>
    <sheetView zoomScale="85" zoomScaleNormal="85" workbookViewId="0">
      <selection activeCell="N12" sqref="N1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2011-10-26T04:54:57Z</dcterms:modified>
</cp:coreProperties>
</file>