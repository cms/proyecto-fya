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Q41" i="3"/>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40" i="3"/>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<sst xmlns="http://schemas.openxmlformats.org/spreadsheetml/2006/main" count="3550" uniqueCount="1289">
  <si>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</si>
  <si>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</si>
  <si>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</si>
  <si>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</si>
  <si>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</si>
  <si>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</si>
  <si>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</si>
  <si>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</si>
  <si>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</si>
  <si>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</si>
  <si>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</si>
  <si>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</si>
  <si>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</si>
  <si>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</si>
  <si>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</si>
  <si>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</si>
  <si>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</si>
  <si>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</si>
  <si>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</si>
  <si>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</si>
  <si>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</si>
  <si>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</si>
  <si>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</si>
  <si>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</si>
  <si>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</si>
  <si>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</si>
  <si>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</si>
  <si>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</si>
  <si>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</si>
  <si>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</si>
  <si>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</si>
  <si>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</si>
  <si>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</si>
  <si>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</si>
  <si>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</si>
  <si>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</si>
  <si>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</si>
  <si>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</si>
  <si>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</si>
  <si>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</si>
  <si>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</si>
  <si>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</si>
  <si>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</si>
  <si>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</si>
  <si>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</si>
  <si>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</si>
  <si>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</si>
  <si>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</si>
  <si>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</si>
  <si>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</si>
  <si>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</si>
  <si>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</si>
  <si>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</si>
  <si>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</si>
  <si>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</si>
  <si>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</si>
  <si>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</si>
  <si>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</si>
  <si>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</si>
  <si>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</si>
  <si>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</si>
  <si>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</si>
  <si>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</si>
  <si>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</si>
  <si>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</si>
  <si>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</si>
  <si>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</si>
  <si>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</si>
  <si>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</si>
  <si>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</si>
  <si>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</si>
  <si>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</si>
  <si>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</si>
  <si>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</si>
  <si>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</si>
  <si>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</si>
  <si>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</si>
  <si>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</si>
  <si>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</si>
  <si>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</si>
  <si>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</si>
  <si>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</si>
  <si>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</si>
  <si>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</si>
  <si>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</si>
  <si>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</si>
  <si>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</si>
  <si>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</si>
  <si>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</si>
  <si>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</si>
  <si>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</si>
  <si>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</si>
  <si>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</si>
  <si>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</si>
  <si>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</si>
  <si>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</si>
  <si>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</si>
  <si>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</si>
  <si>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</si>
  <si>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</si>
  <si>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</si>
  <si>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</si>
  <si>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</si>
  <si>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</si>
  <si>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</si>
  <si>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</si>
  <si>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</si>
  <si>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</si>
  <si>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</si>
  <si>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</si>
  <si>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</si>
  <si>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</si>
  <si>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</si>
  <si>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</si>
  <si>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</si>
  <si>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</si>
  <si>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</si>
  <si>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</si>
  <si>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</si>
  <si>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</si>
  <si>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</si>
  <si>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</si>
  <si>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</si>
  <si>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</si>
  <si>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</si>
  <si>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</si>
  <si>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</si>
  <si>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</si>
  <si>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</si>
  <si>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</si>
  <si>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</si>
  <si>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</si>
  <si>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</si>
  <si>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</si>
  <si>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</si>
  <si>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</si>
  <si>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</si>
  <si>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</si>
  <si>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</si>
  <si>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</si>
  <si>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</si>
  <si>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</si>
  <si>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</si>
  <si>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</si>
  <si>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</si>
  <si>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</si>
  <si>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</si>
  <si>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</si>
  <si>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</si>
  <si>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</si>
  <si>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</si>
  <si>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</si>
  <si>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</si>
  <si>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</si>
  <si>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</si>
  <si>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</si>
  <si>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</si>
  <si>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</si>
  <si>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</si>
  <si>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</si>
  <si>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</si>
  <si>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</si>
  <si>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</si>
  <si>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</si>
  <si>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</si>
  <si>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</si>
  <si>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</si>
  <si>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</si>
  <si>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</si>
  <si>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</si>
  <si>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</si>
  <si>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</si>
  <si>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</si>
  <si>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</si>
  <si>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</si>
  <si>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</si>
  <si>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</si>
  <si>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</si>
  <si>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</si>
  <si>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</si>
  <si>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</si>
  <si>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</si>
  <si>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</si>
  <si>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</si>
  <si>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</si>
  <si>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</si>
  <si>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</si>
  <si>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</si>
  <si>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</si>
  <si>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</si>
  <si>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</si>
  <si>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</si>
  <si>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</si>
  <si>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</si>
  <si>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</si>
  <si>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</si>
  <si>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</si>
  <si>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</si>
  <si>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</si>
  <si>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</si>
  <si>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</si>
  <si>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</si>
  <si>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</si>
  <si>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</si>
  <si>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</si>
  <si>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</si>
  <si>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</si>
  <si>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</si>
  <si>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</si>
  <si>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</si>
  <si>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</si>
  <si>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</si>
  <si>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</si>
  <si>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</si>
  <si>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</si>
  <si>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</si>
  <si>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</si>
  <si>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</si>
  <si>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</si>
  <si>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</si>
  <si>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</si>
  <si>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</si>
  <si>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</si>
  <si>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</si>
  <si>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</si>
  <si>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</si>
  <si>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</si>
  <si>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</si>
  <si>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</si>
  <si>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</si>
  <si>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</si>
  <si>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</si>
  <si>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</si>
  <si>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</si>
  <si>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</si>
  <si>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</si>
  <si>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</si>
  <si>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</si>
  <si>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</si>
  <si>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</si>
  <si>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</si>
  <si>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</si>
  <si>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</si>
  <si>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</si>
  <si>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</si>
  <si>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</si>
  <si>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</si>
  <si>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</si>
  <si>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</si>
  <si>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</si>
  <si>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</si>
  <si>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</si>
  <si>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</si>
  <si>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</si>
  <si>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</si>
  <si>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</si>
  <si>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</si>
  <si>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</si>
  <si>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</si>
  <si>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</si>
  <si>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</si>
  <si>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</si>
  <si>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</si>
  <si>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</si>
  <si>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</si>
  <si>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</si>
  <si>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</si>
  <si>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</si>
  <si>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</si>
  <si>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</si>
  <si>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</si>
  <si>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</si>
  <si>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</si>
  <si>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</si>
  <si>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</si>
  <si>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</si>
  <si>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</si>
  <si>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</si>
  <si>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</si>
  <si>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</si>
  <si>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</si>
  <si>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</si>
  <si>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</si>
  <si>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</si>
  <si>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</si>
  <si>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</si>
  <si>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</si>
  <si>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</si>
  <si>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</si>
  <si>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</si>
  <si>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</si>
  <si>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</si>
  <si>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</si>
  <si>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</si>
  <si>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</si>
  <si>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</si>
  <si>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</si>
  <si>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</si>
  <si>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</si>
  <si>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</si>
  <si>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</si>
  <si>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</si>
  <si>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</si>
  <si>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</si>
  <si>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</si>
  <si>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</si>
  <si>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</si>
  <si>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</si>
  <si>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</si>
  <si>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</si>
  <si>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</si>
  <si>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</si>
  <si>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</si>
  <si>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</si>
  <si>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</si>
  <si>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</si>
  <si>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</si>
  <si>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</si>
  <si>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</si>
  <si>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</si>
  <si>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</si>
  <si>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</si>
  <si>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</si>
  <si>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</si>
  <si>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</si>
  <si>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</si>
  <si>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</si>
  <si>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</si>
  <si>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</si>
  <si>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</si>
  <si>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</si>
  <si>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</si>
  <si>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</si>
  <si>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</si>
  <si>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</si>
  <si>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</si>
  <si>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</si>
  <si>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</si>
  <si>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</si>
  <si>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</si>
  <si>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</si>
  <si>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</si>
  <si>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</si>
  <si>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</si>
  <si>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</si>
  <si>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</si>
  <si>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</si>
  <si>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</si>
  <si>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</si>
  <si>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</si>
  <si>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</si>
  <si>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</si>
  <si>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</si>
  <si>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</si>
  <si>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</si>
  <si>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</si>
  <si>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</si>
  <si>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</si>
  <si>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</si>
  <si>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</si>
  <si>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</si>
  <si>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</si>
  <si>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</si>
  <si>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</si>
  <si>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</si>
  <si>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</si>
  <si>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</si>
  <si>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</si>
  <si>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</si>
  <si>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</si>
  <si>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</si>
  <si>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</si>
  <si>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</si>
  <si>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</si>
  <si>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</si>
  <si>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</si>
  <si>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</si>
  <si>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</si>
  <si>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</si>
  <si>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</si>
  <si>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</si>
  <si>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</si>
  <si>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</si>
  <si>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</si>
  <si>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</si>
  <si>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</si>
  <si>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</si>
  <si>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</si>
  <si>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</si>
  <si>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</si>
  <si>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</si>
  <si>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</si>
  <si>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</si>
  <si>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</si>
  <si>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</si>
  <si>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</si>
  <si>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</si>
  <si>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</si>
  <si>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</si>
  <si>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</si>
  <si>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</si>
  <si>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</si>
  <si>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</si>
  <si>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</si>
  <si>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</si>
  <si>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</si>
  <si>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</si>
  <si>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</si>
  <si>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</si>
  <si>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</si>
  <si>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</si>
  <si>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</si>
  <si>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</si>
  <si>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</si>
  <si>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</si>
  <si>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</si>
  <si>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</si>
  <si>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</si>
  <si>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</si>
  <si>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</si>
  <si>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</si>
  <si>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</si>
  <si>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</si>
  <si>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</si>
  <si>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</si>
  <si>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</si>
  <si>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</si>
  <si>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</si>
  <si>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</si>
  <si>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</si>
  <si>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</si>
  <si>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</si>
  <si>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</si>
  <si>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</si>
  <si>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</si>
  <si>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</si>
  <si>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</si>
  <si>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</si>
  <si>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</si>
  <si>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</si>
  <si>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</si>
  <si>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</si>
  <si>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</si>
  <si>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</si>
  <si>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</si>
  <si>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</si>
  <si>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</si>
  <si>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</si>
  <si>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</si>
  <si>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</si>
  <si>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</si>
  <si>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</si>
  <si>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</si>
  <si>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</si>
  <si>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</si>
  <si>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</si>
  <si>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</si>
  <si>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</si>
  <si>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</si>
  <si>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</si>
  <si>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</si>
  <si>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</si>
  <si>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</si>
  <si>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</si>
  <si>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</si>
  <si>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</si>
  <si>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</si>
  <si>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</si>
  <si>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</si>
  <si>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</si>
  <si>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</si>
  <si>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</si>
  <si>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</si>
  <si>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</si>
  <si>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</si>
  <si>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</si>
  <si>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</si>
  <si>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</si>
  <si>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</si>
  <si>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</si>
  <si>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</si>
  <si>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</si>
  <si>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</si>
  <si>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</si>
  <si>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</si>
  <si>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</si>
  <si>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</si>
  <si>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</si>
  <si>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</si>
  <si>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</si>
  <si>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</si>
  <si>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</si>
  <si>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</si>
  <si>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</si>
  <si>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</si>
  <si>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</si>
  <si>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</si>
  <si>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</si>
  <si>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</si>
  <si>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</si>
  <si>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</si>
  <si>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</si>
  <si>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</si>
  <si>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</si>
  <si>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</si>
  <si>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</si>
  <si>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</si>
  <si>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</si>
  <si>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</si>
  <si>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</si>
  <si>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</si>
  <si>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</si>
  <si>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</si>
  <si>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</si>
  <si>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</si>
  <si>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</si>
  <si>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</si>
  <si>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</si>
  <si>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</si>
  <si>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</si>
  <si>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</si>
  <si>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</si>
  <si>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</si>
  <si>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</si>
  <si>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</si>
  <si>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</si>
  <si>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</si>
  <si>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</si>
  <si>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</si>
  <si>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</si>
  <si>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</si>
  <si>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</si>
  <si>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</si>
  <si>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</si>
  <si>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</si>
  <si>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</si>
  <si>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</si>
  <si>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</si>
  <si>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</si>
  <si>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</si>
  <si>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</si>
  <si>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</si>
  <si>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</si>
  <si>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</si>
  <si>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</si>
  <si>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</si>
  <si>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</si>
  <si>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</si>
  <si>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</si>
  <si>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</si>
  <si>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</si>
  <si>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</si>
  <si>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</si>
  <si>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</si>
  <si>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</si>
  <si>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</si>
  <si>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</si>
  <si>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</si>
  <si>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</si>
  <si>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</si>
  <si>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</si>
  <si>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</si>
  <si>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</si>
  <si>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</si>
  <si>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</si>
  <si>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</si>
  <si>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</si>
  <si>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</si>
  <si>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</si>
  <si>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</si>
  <si>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</si>
  <si>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</si>
  <si>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</si>
  <si>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</si>
  <si>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</si>
  <si>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</si>
  <si>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</si>
  <si>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</si>
  <si>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</si>
  <si>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</si>
  <si>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</si>
  <si>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</si>
  <si>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</si>
  <si>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</si>
  <si>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</si>
  <si>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</si>
  <si>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</si>
  <si>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</si>
  <si>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</si>
  <si>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</si>
  <si>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</si>
  <si>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</si>
  <si>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</si>
  <si>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</si>
  <si>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</si>
  <si>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</si>
  <si>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</si>
  <si>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</si>
  <si>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</si>
  <si>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</si>
  <si>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</si>
  <si>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</si>
  <si>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</si>
  <si>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</si>
  <si>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</si>
  <si>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</si>
  <si>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</si>
  <si>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</si>
  <si>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</si>
  <si>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</si>
  <si>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</si>
  <si>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</si>
  <si>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</si>
  <si>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</si>
  <si>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</si>
  <si>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</si>
  <si>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</si>
  <si>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</si>
  <si>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</si>
  <si>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</si>
  <si>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</si>
  <si>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</si>
  <si>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</si>
  <si>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</si>
  <si>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</si>
  <si>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</si>
  <si>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</si>
  <si>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</si>
  <si>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</si>
  <si>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</si>
  <si>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</si>
  <si>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</si>
  <si>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</si>
  <si>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</si>
  <si>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</si>
  <si>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</si>
  <si>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</si>
  <si>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</si>
  <si>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</si>
  <si>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</si>
  <si>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</si>
  <si>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</si>
  <si>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</si>
  <si>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</si>
  <si>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</si>
  <si>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</si>
  <si>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</si>
  <si>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</si>
  <si>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</si>
  <si>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</si>
  <si>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</si>
  <si>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</si>
  <si>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</si>
  <si>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</si>
  <si>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</si>
  <si>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</si>
  <si>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</si>
  <si>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</si>
  <si>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</si>
  <si>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</si>
  <si>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</si>
  <si>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</si>
  <si>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</si>
  <si>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</si>
  <si>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</si>
  <si>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</si>
  <si>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</si>
  <si>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</si>
  <si>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</si>
  <si>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</si>
  <si>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</si>
  <si>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</si>
  <si>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</si>
  <si>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</si>
  <si>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</si>
  <si>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</si>
  <si>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</si>
  <si>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</si>
  <si>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</si>
  <si>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</si>
  <si>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</si>
  <si>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</si>
  <si>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</si>
  <si>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</si>
  <si>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</si>
  <si>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</si>
  <si>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</si>
  <si>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</si>
  <si>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</si>
  <si>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</si>
  <si>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</si>
  <si>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</si>
  <si>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</si>
  <si>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</si>
  <si>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</si>
  <si>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</si>
  <si>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</si>
  <si>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</si>
  <si>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</si>
  <si>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</si>
  <si>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</si>
  <si>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</si>
  <si>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</si>
  <si>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</si>
  <si>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</si>
  <si>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</si>
  <si>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</si>
  <si>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</si>
  <si>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</si>
  <si>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</si>
  <si>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</si>
  <si>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</si>
  <si>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</si>
  <si>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</si>
  <si>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</si>
  <si>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</si>
  <si>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</si>
  <si>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</si>
  <si>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</si>
  <si>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</si>
  <si>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</si>
  <si>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</si>
  <si>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</si>
  <si>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</si>
  <si>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</si>
  <si>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</si>
  <si>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</si>
  <si>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</si>
  <si>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</si>
  <si>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</si>
  <si>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</si>
  <si>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</si>
  <si>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</si>
  <si>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</si>
  <si>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</si>
  <si>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</si>
  <si>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</si>
  <si>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</si>
  <si>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</si>
  <si>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</si>
  <si>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</si>
  <si>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</si>
  <si>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</si>
  <si>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</si>
  <si>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</si>
  <si>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</si>
  <si>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</si>
  <si>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</si>
  <si>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</si>
  <si>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</si>
  <si>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</si>
  <si>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</si>
  <si>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</si>
  <si>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</si>
  <si>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</si>
  <si>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</si>
  <si>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</si>
  <si>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</si>
  <si>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</si>
  <si>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</si>
  <si>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</si>
  <si>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</si>
  <si>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</si>
  <si>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</si>
  <si>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</si>
  <si>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</si>
  <si>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</si>
  <si>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</si>
  <si>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</si>
  <si>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</si>
  <si>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</si>
  <si>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</si>
  <si>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</si>
  <si>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</si>
  <si>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</si>
  <si>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</si>
  <si>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</si>
  <si>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</si>
  <si>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</si>
  <si>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</si>
  <si>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</si>
  <si>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</si>
  <si>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</si>
  <si>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</si>
  <si>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</si>
  <si>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</si>
  <si>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</si>
  <si>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</si>
  <si>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</si>
  <si>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</si>
  <si>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</si>
  <si>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</si>
  <si>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</si>
  <si>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</si>
  <si>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</si>
  <si>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</si>
  <si>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</si>
  <si>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</si>
  <si>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</si>
  <si>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</si>
  <si>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</si>
  <si>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</si>
  <si>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</si>
  <si>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</si>
  <si>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</si>
  <si>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</si>
  <si>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</si>
  <si>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</si>
  <si>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</si>
  <si>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</si>
  <si>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</si>
  <si>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</si>
  <si>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</si>
  <si>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</si>
  <si>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</si>
  <si>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</si>
  <si>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</si>
  <si>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</si>
  <si>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</si>
  <si>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</si>
  <si>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</si>
  <si>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</si>
  <si>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</si>
  <si>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</si>
  <si>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</si>
  <si>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</si>
  <si>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</si>
  <si>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</si>
  <si>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</si>
  <si>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</si>
  <si>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</si>
  <si>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</si>
  <si>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</si>
  <si>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</si>
  <si>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</si>
  <si>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</si>
  <si>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</si>
  <si>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</si>
  <si>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</si>
  <si>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</si>
  <si>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</si>
  <si>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</si>
  <si>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</si>
  <si>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</si>
  <si>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</si>
  <si>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</si>
  <si>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</si>
  <si>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</si>
  <si>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</si>
  <si>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</si>
  <si>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</si>
  <si>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</si>
  <si>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</si>
  <si>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</si>
  <si>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</si>
  <si>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</si>
  <si>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</si>
  <si>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</si>
  <si>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</si>
  <si>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</si>
  <si>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</si>
  <si>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</si>
  <si>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</si>
  <si>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</si>
  <si>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</si>
  <si>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</si>
  <si>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</si>
  <si>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</si>
  <si>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</si>
  <si>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</si>
  <si>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</si>
  <si>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</si>
  <si>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</si>
  <si>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</si>
  <si>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</si>
  <si>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</si>
  <si>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</si>
  <si>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</si>
  <si>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</si>
  <si>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</si>
  <si>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</si>
  <si>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</si>
  <si>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</si>
  <si>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</si>
  <si>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</si>
  <si>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</si>
  <si>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</si>
  <si>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</si>
  <si>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</si>
  <si>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</si>
  <si>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</si>
  <si>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</si>
  <si>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</si>
  <si>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</si>
  <si>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</si>
  <si>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</si>
  <si>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</si>
  <si>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</si>
  <si>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</si>
  <si>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</si>
  <si>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</si>
  <si>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</si>
  <si>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</si>
  <si>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</si>
  <si>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</si>
  <si>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</si>
  <si>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</si>
  <si>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</si>
  <si>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</si>
  <si>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</si>
  <si>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</si>
  <si>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</si>
  <si>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</si>
  <si>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</si>
  <si>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</si>
  <si>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</si>
  <si>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</si>
  <si>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</si>
  <si>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</si>
  <si>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</si>
  <si>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</si>
  <si>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</si>
  <si>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</si>
  <si>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</si>
  <si>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</si>
  <si>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</si>
  <si>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</si>
  <si>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</si>
  <si>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</si>
  <si>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</si>
  <si>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</si>
  <si>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</si>
  <si>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</si>
  <si>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</si>
  <si>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</si>
  <si>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</si>
  <si>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</si>
  <si>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</si>
  <si>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</si>
  <si>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</si>
  <si>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</si>
  <si>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</si>
  <si>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</si>
  <si>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</si>
  <si>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</si>
  <si>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</si>
  <si>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</si>
  <si>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</si>
  <si>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</si>
  <si>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</si>
  <si>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</si>
  <si>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</si>
  <si>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</si>
  <si>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</si>
  <si>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</si>
  <si>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</si>
  <si>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</si>
  <si>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</si>
  <si>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</si>
  <si>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</si>
  <si>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</si>
  <si>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</si>
  <si>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</si>
  <si>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</si>
  <si>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</si>
  <si>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</si>
  <si>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</si>
  <si>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</si>
  <si>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</si>
  <si>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</si>
  <si>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</si>
  <si>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</si>
  <si>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</si>
  <si>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</si>
  <si>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</si>
  <si>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</si>
  <si>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</si>
  <si>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</si>
  <si>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</si>
  <si>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</si>
  <si>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</si>
  <si>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</si>
  <si>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</si>
  <si>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</si>
  <si>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</si>
  <si>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</si>
  <si>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</si>
  <si>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</si>
  <si>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</si>
  <si>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</si>
  <si>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</si>
  <si>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</si>
  <si>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</si>
  <si>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</si>
  <si>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</si>
  <si>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</si>
  <si>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</si>
  <si>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</si>
  <si>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</si>
  <si>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</si>
  <si>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</si>
  <si>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</si>
  <si>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</si>
  <si>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</si>
  <si>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</si>
  <si>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</si>
  <si>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</si>
  <si>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</si>
  <si>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</si>
  <si>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</si>
  <si>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</si>
  <si>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</si>
  <si>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</si>
  <si>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</si>
  <si>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</si>
  <si>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</si>
  <si>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</si>
  <si>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</si>
  <si>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</si>
  <si>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</si>
  <si>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</si>
  <si>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</si>
  <si>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</si>
  <si>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</si>
  <si>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</si>
  <si>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</si>
  <si>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</si>
  <si>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</si>
  <si>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</si>
  <si>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</si>
  <si>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</si>
  <si>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</si>
  <si>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</si>
  <si>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</si>
  <si>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</si>
  <si>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</si>
  <si>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</si>
  <si>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</si>
  <si>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</si>
  <si>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</si>
  <si>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</si>
  <si>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</si>
  <si>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</si>
  <si>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</si>
  <si>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</si>
  <si>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</si>
  <si>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</si>
  <si>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</si>
  <si>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</si>
  <si>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</si>
  <si>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</si>
  <si>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</si>
  <si>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</si>
  <si>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</si>
  <si>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</si>
  <si>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</si>
  <si>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</si>
  <si>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</si>
  <si>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</si>
  <si>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</si>
  <si>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</si>
  <si>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</si>
  <si>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</si>
  <si>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</si>
  <si>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</si>
  <si>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</si>
  <si>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</si>
  <si>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</si>
  <si>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</si>
  <si>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</si>
  <si>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</si>
  <si>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</si>
  <si>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</si>
  <si>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</si>
  <si>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</si>
  <si>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</si>
  <si>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</si>
  <si>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</si>
  <si>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</si>
  <si>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</si>
  <si>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</si>
  <si>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</si>
  <si>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</si>
  <si>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</si>
  <si>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</si>
  <si>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</si>
  <si>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</si>
  <si>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</si>
  <si>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</si>
  <si>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</si>
  <si>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</si>
  <si>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</si>
  <si>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</si>
  <si>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</si>
  <si>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</si>
  <si>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</si>
  <si>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</si>
  <si>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</si>
  <si>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</si>
  <si>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</si>
  <si>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</si>
  <si>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</si>
  <si>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</si>
  <si>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</si>
  <si>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</si>
  <si>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</si>
  <si>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</si>
  <si>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</si>
  <si>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</si>
  <si>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</si>
  <si>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</si>
  <si>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</si>
  <si>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</si>
  <si>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</si>
  <si>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</si>
  <si>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</si>
  <si>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</si>
  <si>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</si>
  <si>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</si>
  <si>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</si>
  <si>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</si>
  <si>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</si>
  <si>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</si>
  <si>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</si>
  <si>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</si>
  <si>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</si>
  <si>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</si>
  <si>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</si>
  <si>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</si>
  <si>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</si>
  <si>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</si>
  <si>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</si>
  <si>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</si>
  <si>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</si>
  <si>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</si>
  <si>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</si>
  <si>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</si>
  <si>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</si>
  <si>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</si>
  <si>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</si>
  <si>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</si>
  <si>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</si>
  <si>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</si>
  <si>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</si>
  <si>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</si>
  <si>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</si>
  <si>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</si>
  <si>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</si>
  <si>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</si>
  <si>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</si>
  <si>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</si>
  <si>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</si>
  <si>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</si>
  <si>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</si>
  <si>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</si>
  <si>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</si>
  <si>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</si>
  <si>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</si>
  <si>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</si>
  <si>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</si>
  <si>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</si>
  <si>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</si>
  <si>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</si>
  <si>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</si>
  <si>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</si>
  <si>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</si>
  <si>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</si>
  <si>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</si>
  <si>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</si>
  <si>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</si>
  <si>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</si>
  <si>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</si>
  <si>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</si>
  <si>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</si>
  <si>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</si>
  <si>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</si>
  <si>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</si>
  <si>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</si>
  <si>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</si>
  <si>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</si>
  <si>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</si>
  <si>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</si>
  <si>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</si>
  <si>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</si>
  <si>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</si>
  <si>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</si>
  <si>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</si>
  <si>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</si>
  <si>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</si>
  <si>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</si>
  <si>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</si>
  <si>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</si>
  <si>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</si>
  <si>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</si>
  <si>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</si>
  <si>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</si>
  <si>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</si>
  <si>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</si>
  <si>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</si>
  <si>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</si>
  <si>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</si>
  <si>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</si>
  <si>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</si>
  <si>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</si>
  <si>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</si>
  <si>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</si>
  <si>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</si>
  <si>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</si>
  <si>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</si>
  <si>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</si>
  <si>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</si>
  <si>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</si>
  <si>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salida de la actividad 4, "Cuestionario  de Necesidades" no es entrada de ninuna actividad.</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</si>
  <si>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</si>
  <si>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</si>
  <si>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</si>
  <si>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</si>
  <si>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</si>
  <si>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</si>
  <si>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</si>
  <si>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</si>
  <si>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</si>
  <si>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</si>
  <si>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</si>
  <si>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</si>
  <si>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</si>
  <si>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</si>
  <si>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</si>
  <si>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</si>
  <si>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</si>
  <si>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</si>
  <si>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</si>
  <si>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</si>
  <si>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</si>
  <si>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</si>
  <si>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</si>
  <si>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</si>
  <si>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</si>
  <si>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</si>
  <si>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</si>
  <si>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</si>
  <si>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</si>
  <si>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</si>
  <si>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</si>
  <si>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</si>
  <si>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</si>
  <si>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</si>
  <si>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</si>
  <si>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</si>
  <si>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</si>
  <si>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</si>
  <si>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</si>
  <si>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</si>
  <si>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</si>
  <si>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</si>
  <si>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</si>
  <si>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</si>
  <si>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</si>
  <si>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</si>
  <si>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</si>
  <si>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</si>
  <si>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</si>
  <si>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</si>
  <si>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</si>
  <si>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</si>
  <si>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</si>
  <si>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</si>
  <si>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</si>
  <si>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</si>
  <si>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El dato de salida "Invitación a Capacitación" de la actividad X7 no concuerda con el flujo de datos.</t>
  </si>
  <si>
    <t>Hay un error de gramatical en la descripción de la actividad 12 con "encuentran".</t>
  </si>
  <si>
    <t>La actividad A7 depende de un proceso externo, tiene que tener conectores de flujo de secuencia que la unan al flujo principal.</t>
  </si>
  <si>
    <t>En la descripción de la actividad X25, probablemente debe ser "hace efectivo el recojo del bien donado"</t>
  </si>
  <si>
    <t xml:space="preserve">[OBS381]No existe el artefacto arquitectura de Procesos, probablemente debe ser Arquitectura de Negocios, que es el artefacto que incluye el integrado de los procesos de la empresa._x000D_
[OBS382]En el segundo parrafo "tampoco" no está en contexto, ya que no existe ninguna negación previa._x000D_
[OBS383]Toda tarea, actividad: proceso, subproceso, gateway, evento tiene que empezar con un verbo infinitivo. (-ar, -er, -ir). Actividades P6, A2, A22, A23 y A25._x000D_
[OBS384]Las actividades no deben tener el mismo nombre, D4, ET2, I2, P4, P7 y R4 - Repartir, P9, I5, PY3 - Consolidar, A22 y P6 - Mínimo 1 mes después_x000D_
[OBS385]Error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D._x000D_
[OBS386]En la descripción de la actividad P3, hay un error ortográfico con "apoyará"._x000D_
[OBS387]El dato de entrada "Fecha de inicio de año" de la actividad P5 no debería ser dato de entrada. Es más un evento timer. Además no es dato de salida de la actividad P4._x000D_
[OBS388]Hay un error de tipeo en la descripción de la actividad P5 con "divida"._x000D_
[OBS389]Error gramatical en la descripción de P9 con el primer "la"._x000D_
[OBS390]En la descripción de la actividad P10 se menciona "Arquitectura de Procesos", dicho termino es incorrecto. OBS381_x000D_
[OBS391]El dato de entrada de la actividad I1, no concuerda con el nombre exacto de la salida de la actividad P2: "Solicitud de elaborar POA"_x000D_
[OBS392]El dato de salida "Plan de Requerimientos Institucionales" de la actividad I1 no se usa en los procesos con los que se conecta._x000D_
[OBS393]"Plan de Requerimientos Institucionales" no debería ser dato de entrada de la actividad D1, no es salida de las actividad con las que interactúa._x000D_
[OBS394]"Boleta o factura entregada" y "Donación recibida" no pueden ser datos de entrada de la actividad D3 ya que no son salidas de las actividades con las que interactúa._x000D_
[OBS395]El dato de salida "Boleta o Factura solicitada" de la actividad D3 no se usa en los procesos con los que interactúa._x000D_
[OBS396]El dato de entrada "Solicitud de elaboración de POA" de la actividad PY1 no concuerda con el dato de salida P2._x000D_
[OBS397]Entre las actividades PY3 y PY4 hay un error con los datos que interactúan, de PY3, "Resultado de donación" y "Plan de Ejecución" de PY4._x000D_
[OBS398]El dato de salida de la actividad 4, "Cuestionario  de Necesidades" no es entrada de ninuna actividad._x000D_
[OBS399]El dato de entrada de la actividad PY5 "Solicitud de realización de auditoria" no es salida de ninguna actividad._x000D_
[OBS400]PY5 y X5 no tienen datos que los relacione_x000D_
[OBS401]El dato de entrada "Solicitud de elaboración de POA" de la actividad ET1 no concuerda con el dato de salida P2._x000D_
[OBS402]Las actividad PE1 y X10 no tiene datos que los relacione._x000D_
[OBS403]Todos los datos de entrada de PE1 no concuerdan con el flujo._x000D_
[OBS404]La actividad X10 debería tener datos de entrada, hay un conector que le apunta._x000D_
[OBS405]La actividad de salida "Fecha y lugar de reunión" de la acticidad PE1 no concuerda con el flujo._x000D_
[OBS406]El dato de entrada "Fecha de visita" de la actividad PE2 no concuerda con el flujo._x000D_
[OBS407]No hay relación entre los datos de las actividades X12 y PE4_x000D_
[OBS408]No hay relación entre los datos de las actividades X10 y PE4_x000D_
[OBS409]No hay relación entre los datos de la actividad F1 y F2._x000D_
[OBS410]Los datos de salida "Notificación enviada" y "Actividades completas" de la actividad F1 no concuerdan con el flujo._x000D_
[OBS411]Error ortográfico en la descripción de la actividad F1 con "despejará"._x000D_
[OBS412]El dato de entrada "Fecha de inicio de año" de la actividad F2 no debería ser dato de entrada. Es más un evento timer. _x000D_
[OBS413]No hay datos de salida de la actividad F2 que se relacionen con la actividad A1_x000D_
[OBS414]No hay datos de salida de la actividad F2 que se relacionen con la actividad X11_x000D_
[OBS415]No hay datos de salida de la actividad F2 que se relacionen con la actividad P9_x000D_
[OBS416]El dato de salida "Docentes capacitados" de la actividad F2, no está relacioando con el flujo._x000D_
[OBS417]La actividad A1 solo tiene realción con las activiad P2, PY1 y A2, el resto de conectores no significan relación de datos._x000D_
[OBS418]La actividad A15 no tiene ningún dato de salida que vaya hacia la actividad A14_x000D_
[OBS419]En la descripción de la actividad A14 eliminar una de las palabras "existe" o "nace"._x000D_
[OBS420]El dato de salida "Voucher codificado" de la actividad A14 no tiene relación con el flujo._x000D_
[OBS421]En la descripción de la actividad A16, luego de "Orden de Compra", debería haber una coma._x000D_
[OBS422]La última oración de la descripción de la actividad A19 tiene errores gramaticales "recepcionar un conjunto de Curriculum Vitae."_x000D_
[OBS423]Formato distinto en los datos de entrada de la actividad X4_x000D_
[OBS424]El dato de salida "Informe de Necesidades" de la actividad x6 no tiene relación con el flujo._x000D_
[OBS425]El dato de salida "Invitación a Capacitación" de la actividad X7 no concuerda con el flujo de datos._x000D_
[OBS426]Hay un error de gramatical en la descripción de la actividad 12 con "encuentran"._x000D_
[OBS427]La actividad A7 depende de un proceso externo, tiene que tener conectores de flujo de secuencia que la unan al flujo principal._x000D_
[OBS428]En la descripción de la actividad X25, probablemente debe ser "hace efectivo el recojo del bien donado"_x000D_
</t>
  </si>
  <si>
    <t>Se modificó la redacción del párrafo.</t>
  </si>
  <si>
    <t>Se cambiaron los nombres de los gateways.</t>
  </si>
  <si>
    <t>Pendiente consulta con Prof. Rosario</t>
  </si>
  <si>
    <t>Se modificaron los nombres de las actividades mencionadas.</t>
  </si>
  <si>
    <t>Se eliminó una palabra.</t>
  </si>
  <si>
    <t>Se corrigió el formato</t>
  </si>
  <si>
    <t>Se corrigió el error gramatical (Pastoral y Educación en Valores es una sola área).</t>
  </si>
  <si>
    <t>Se corrigieron las entradas y salidas.</t>
  </si>
  <si>
    <t>Es entrada de la actividad A1 (Considerando que es la actividad ET4).</t>
  </si>
  <si>
    <t>Se modificó la entrada de la actividad.</t>
  </si>
  <si>
    <t>Se agregó como entrada de la actividad ET6.</t>
  </si>
  <si>
    <t>Se eliminó la salida correspondiente.</t>
  </si>
  <si>
    <t>Se homologaron los nombres.</t>
  </si>
  <si>
    <t>Se agregó el conector correspondiente</t>
  </si>
  <si>
    <t>x Modificar procesos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</si>
</sst>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26"/>
          <c:y val="0.20151813899974841"/>
          <c:w val="0.501424941351344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0.97297297297297303</c:v>
                </c:pt>
                <c:pt idx="1">
                  <c:v>2.7027027027027029E-2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021" l="0.70000000000000062" r="0.70000000000000062" t="0.750000000000010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021" l="0.70000000000000062" r="0.70000000000000062" t="0.750000000000010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HistoricoAvance!$C$4:$C$16</c:f>
              <c:numCache>
                <c:formatCode>0</c:formatCode>
                <c:ptCount val="13"/>
                <c:pt idx="0">
                  <c:v>0</c:v>
                </c:pt>
                <c:pt idx="1">
                  <c:v>0</c:v>
                </c:pt>
                <c:pt idx="2">
                  <c:v>5</c:v>
                </c:pt>
                <c:pt idx="3">
                  <c:v>14</c:v>
                </c:pt>
                <c:pt idx="4">
                  <c:v>15</c:v>
                </c:pt>
                <c:pt idx="5">
                  <c:v>15</c:v>
                </c:pt>
                <c:pt idx="6">
                  <c:v>15</c:v>
                </c:pt>
                <c:pt idx="7">
                  <c:v>16</c:v>
                </c:pt>
                <c:pt idx="8">
                  <c:v>15</c:v>
                </c:pt>
                <c:pt idx="9">
                  <c:v>13</c:v>
                </c:pt>
                <c:pt idx="10">
                  <c:v>31</c:v>
                </c:pt>
                <c:pt idx="11">
                  <c:v>35</c:v>
                </c:pt>
                <c:pt idx="12">
                  <c:v>36</c:v>
                </c:pt>
              </c:numCache>
            </c:numRef>
          </c:val>
          <c:smooth val="0"/>
        </c:ser>
        <c:ser>
          <c:idx val="1"/>
          <c:order val="1"/>
          <c:tx>
            <c:strRef>
              <c:f>HistoricoAvance!$D$3</c:f>
              <c:strCache>
                <c:ptCount val="1"/>
                <c:pt idx="0">
                  <c:v>Fallos</c:v>
                </c:pt>
              </c:strCache>
            </c:strRef>
          </c:tx>
          <c:spPr>
            <a:ln w="50800"/>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HistoricoAvance!$D$4:$D$16</c:f>
              <c:numCache>
                <c:formatCode>0</c:formatCode>
                <c:ptCount val="13"/>
                <c:pt idx="0">
                  <c:v>10</c:v>
                </c:pt>
                <c:pt idx="1">
                  <c:v>15</c:v>
                </c:pt>
                <c:pt idx="2">
                  <c:v>10</c:v>
                </c:pt>
                <c:pt idx="3">
                  <c:v>1</c:v>
                </c:pt>
                <c:pt idx="4">
                  <c:v>10</c:v>
                </c:pt>
                <c:pt idx="5">
                  <c:v>10</c:v>
                </c:pt>
                <c:pt idx="6">
                  <c:v>20</c:v>
                </c:pt>
                <c:pt idx="7">
                  <c:v>19</c:v>
                </c:pt>
                <c:pt idx="8">
                  <c:v>20</c:v>
                </c:pt>
                <c:pt idx="9">
                  <c:v>22</c:v>
                </c:pt>
                <c:pt idx="10">
                  <c:v>4</c:v>
                </c:pt>
                <c:pt idx="11">
                  <c:v>1</c:v>
                </c:pt>
                <c:pt idx="12">
                  <c:v>1</c:v>
                </c:pt>
              </c:numCache>
            </c:numRef>
          </c:val>
          <c:smooth val="0"/>
        </c:ser>
        <c:ser>
          <c:idx val="2"/>
          <c:order val="2"/>
          <c:tx>
            <c:strRef>
              <c:f>HistoricoAvance!$E$3</c:f>
              <c:strCache>
                <c:ptCount val="1"/>
                <c:pt idx="0">
                  <c:v>Bloqueado</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HistoricoAvance!$E$4:$E$16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HistoricoAvance!$F$3</c:f>
              <c:strCache>
                <c:ptCount val="1"/>
                <c:pt idx="0">
                  <c:v>Pendiente</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HistoricoAvance!$F$4:$F$16</c:f>
              <c:numCache>
                <c:formatCode>0</c:formatCode>
                <c:ptCount val="13"/>
                <c:pt idx="0">
                  <c:v>0</c:v>
                </c:pt>
                <c:pt idx="1">
                  <c:v>0</c:v>
                </c:pt>
                <c:pt idx="2">
                  <c:v>0</c:v>
                </c:pt>
                <c:pt idx="3">
                  <c:v>0</c:v>
                </c:pt>
                <c:pt idx="4">
                  <c:v>0</c:v>
                </c:pt>
                <c:pt idx="5">
                  <c:v>0</c:v>
                </c:pt>
                <c:pt idx="6">
                  <c:v>0</c:v>
                </c:pt>
                <c:pt idx="7">
                  <c:v>0</c:v>
                </c:pt>
                <c:pt idx="8">
                  <c:v>0</c:v>
                </c:pt>
                <c:pt idx="9">
                  <c:v>1</c:v>
                </c:pt>
                <c:pt idx="10">
                  <c:v>1</c:v>
                </c:pt>
                <c:pt idx="11">
                  <c:v>0</c:v>
                </c:pt>
                <c:pt idx="12">
                  <c:v>0</c:v>
                </c:pt>
              </c:numCache>
            </c:numRef>
          </c:val>
          <c:smooth val="0"/>
        </c:ser>
        <c:ser>
          <c:idx val="4"/>
          <c:order val="4"/>
          <c:tx>
            <c:strRef>
              <c:f>HistoricoAvance!$G$3</c:f>
              <c:strCache>
                <c:ptCount val="1"/>
                <c:pt idx="0">
                  <c:v>No Aplica</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HistoricoAvance!$G$4:$G$16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5"/>
          <c:order val="5"/>
          <c:tx>
            <c:strRef>
              <c:f>HistoricoAvance!$H$3</c:f>
              <c:strCache>
                <c:ptCount val="1"/>
                <c:pt idx="0">
                  <c:v>En Proceso</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HistoricoAvance!$H$4:$H$16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6"/>
          <c:order val="6"/>
          <c:tx>
            <c:strRef>
              <c:f>HistoricoAvance!$I$3</c:f>
              <c:strCache>
                <c:ptCount val="1"/>
                <c:pt idx="0">
                  <c:v>Reejecuciones</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HistoricoAvance!$I$4:$I$16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HistoricoAvance!$J$4:$J$16</c:f>
              <c:numCache>
                <c:formatCode>General</c:formatCode>
                <c:ptCount val="13"/>
                <c:pt idx="0">
                  <c:v>10</c:v>
                </c:pt>
                <c:pt idx="1">
                  <c:v>15</c:v>
                </c:pt>
                <c:pt idx="2">
                  <c:v>15</c:v>
                </c:pt>
                <c:pt idx="3">
                  <c:v>15</c:v>
                </c:pt>
                <c:pt idx="4">
                  <c:v>25</c:v>
                </c:pt>
                <c:pt idx="5">
                  <c:v>25</c:v>
                </c:pt>
                <c:pt idx="6">
                  <c:v>35</c:v>
                </c:pt>
                <c:pt idx="7">
                  <c:v>35</c:v>
                </c:pt>
                <c:pt idx="8">
                  <c:v>35</c:v>
                </c:pt>
                <c:pt idx="9">
                  <c:v>36</c:v>
                </c:pt>
                <c:pt idx="10">
                  <c:v>36</c:v>
                </c:pt>
                <c:pt idx="11">
                  <c:v>36</c:v>
                </c:pt>
                <c:pt idx="12">
                  <c:v>37</c:v>
                </c:pt>
              </c:numCache>
            </c:numRef>
          </c:val>
          <c:smooth val="0"/>
        </c:ser>
        <c:dLbls>
          <c:showLegendKey val="0"/>
          <c:showVal val="0"/>
          <c:showCatName val="0"/>
          <c:showSerName val="0"/>
          <c:showPercent val="0"/>
          <c:showBubbleSize val="0"/>
        </c:dLbls>
        <c:marker val="1"/>
        <c:smooth val="0"/>
        <c:axId val="145841152"/>
        <c:axId val="145855232"/>
      </c:lineChart>
      <c:dateAx>
        <c:axId val="145841152"/>
        <c:scaling>
          <c:orientation val="minMax"/>
        </c:scaling>
        <c:delete val="0"/>
        <c:axPos val="b"/>
        <c:numFmt formatCode="dd/mm/yyyy" sourceLinked="1"/>
        <c:majorTickMark val="out"/>
        <c:minorTickMark val="none"/>
        <c:tickLblPos val="nextTo"/>
        <c:txPr>
          <a:bodyPr/>
          <a:lstStyle/>
          <a:p>
            <a:pPr>
              <a:defRPr lang="es-ES"/>
            </a:pPr>
            <a:endParaRPr lang="es-PE"/>
          </a:p>
        </c:txPr>
        <c:crossAx val="145855232"/>
        <c:crosses val="autoZero"/>
        <c:auto val="1"/>
        <c:lblOffset val="100"/>
        <c:baseTimeUnit val="days"/>
      </c:dateAx>
      <c:valAx>
        <c:axId val="14585523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5841152"/>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HistoricoAvance!$M$4:$M$16</c:f>
              <c:numCache>
                <c:formatCode>0</c:formatCode>
                <c:ptCount val="13"/>
                <c:pt idx="0">
                  <c:v>55</c:v>
                </c:pt>
                <c:pt idx="1">
                  <c:v>101</c:v>
                </c:pt>
                <c:pt idx="2">
                  <c:v>19</c:v>
                </c:pt>
                <c:pt idx="3">
                  <c:v>3</c:v>
                </c:pt>
                <c:pt idx="4">
                  <c:v>92</c:v>
                </c:pt>
                <c:pt idx="5">
                  <c:v>21</c:v>
                </c:pt>
                <c:pt idx="6">
                  <c:v>63</c:v>
                </c:pt>
                <c:pt idx="7">
                  <c:v>87</c:v>
                </c:pt>
                <c:pt idx="8">
                  <c:v>111</c:v>
                </c:pt>
                <c:pt idx="9">
                  <c:v>36</c:v>
                </c:pt>
                <c:pt idx="10">
                  <c:v>11</c:v>
                </c:pt>
                <c:pt idx="11">
                  <c:v>5</c:v>
                </c:pt>
                <c:pt idx="12">
                  <c:v>48</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HistoricoAvance!$N$4:$N$16</c:f>
              <c:numCache>
                <c:formatCode>0</c:formatCode>
                <c:ptCount val="13"/>
                <c:pt idx="0">
                  <c:v>0</c:v>
                </c:pt>
                <c:pt idx="1">
                  <c:v>0</c:v>
                </c:pt>
                <c:pt idx="2">
                  <c:v>101</c:v>
                </c:pt>
                <c:pt idx="3">
                  <c:v>120</c:v>
                </c:pt>
                <c:pt idx="4">
                  <c:v>123</c:v>
                </c:pt>
                <c:pt idx="5">
                  <c:v>215</c:v>
                </c:pt>
                <c:pt idx="6">
                  <c:v>215</c:v>
                </c:pt>
                <c:pt idx="7">
                  <c:v>215</c:v>
                </c:pt>
                <c:pt idx="8">
                  <c:v>215</c:v>
                </c:pt>
                <c:pt idx="9">
                  <c:v>333</c:v>
                </c:pt>
                <c:pt idx="10">
                  <c:v>369</c:v>
                </c:pt>
                <c:pt idx="11">
                  <c:v>380</c:v>
                </c:pt>
                <c:pt idx="12">
                  <c:v>380</c:v>
                </c:pt>
              </c:numCache>
            </c:numRef>
          </c:val>
          <c:smooth val="0"/>
        </c:ser>
        <c:ser>
          <c:idx val="2"/>
          <c:order val="2"/>
          <c:tx>
            <c:strRef>
              <c:f>HistoricoAvance!$O$3</c:f>
              <c:strCache>
                <c:ptCount val="1"/>
                <c:pt idx="0">
                  <c:v>Totales</c:v>
                </c:pt>
              </c:strCache>
            </c:strRef>
          </c:tx>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HistoricoAvance!$O$4:$O$16</c:f>
              <c:numCache>
                <c:formatCode>General</c:formatCode>
                <c:ptCount val="13"/>
                <c:pt idx="0">
                  <c:v>55</c:v>
                </c:pt>
                <c:pt idx="1">
                  <c:v>101</c:v>
                </c:pt>
                <c:pt idx="2">
                  <c:v>120</c:v>
                </c:pt>
                <c:pt idx="3">
                  <c:v>123</c:v>
                </c:pt>
                <c:pt idx="4">
                  <c:v>215</c:v>
                </c:pt>
                <c:pt idx="5">
                  <c:v>236</c:v>
                </c:pt>
                <c:pt idx="6">
                  <c:v>278</c:v>
                </c:pt>
                <c:pt idx="7">
                  <c:v>302</c:v>
                </c:pt>
                <c:pt idx="8">
                  <c:v>326</c:v>
                </c:pt>
                <c:pt idx="9">
                  <c:v>369</c:v>
                </c:pt>
                <c:pt idx="10">
                  <c:v>380</c:v>
                </c:pt>
                <c:pt idx="11">
                  <c:v>385</c:v>
                </c:pt>
                <c:pt idx="12">
                  <c:v>428</c:v>
                </c:pt>
              </c:numCache>
            </c:numRef>
          </c:val>
          <c:smooth val="0"/>
        </c:ser>
        <c:dLbls>
          <c:showLegendKey val="0"/>
          <c:showVal val="0"/>
          <c:showCatName val="0"/>
          <c:showSerName val="0"/>
          <c:showPercent val="0"/>
          <c:showBubbleSize val="0"/>
        </c:dLbls>
        <c:marker val="1"/>
        <c:smooth val="0"/>
        <c:axId val="145876864"/>
        <c:axId val="145878400"/>
      </c:lineChart>
      <c:dateAx>
        <c:axId val="145876864"/>
        <c:scaling>
          <c:orientation val="minMax"/>
        </c:scaling>
        <c:delete val="0"/>
        <c:axPos val="b"/>
        <c:numFmt formatCode="dd/mm/yyyy" sourceLinked="1"/>
        <c:majorTickMark val="out"/>
        <c:minorTickMark val="none"/>
        <c:tickLblPos val="nextTo"/>
        <c:txPr>
          <a:bodyPr/>
          <a:lstStyle/>
          <a:p>
            <a:pPr>
              <a:defRPr lang="es-ES"/>
            </a:pPr>
            <a:endParaRPr lang="es-PE"/>
          </a:p>
        </c:txPr>
        <c:crossAx val="145878400"/>
        <c:crosses val="autoZero"/>
        <c:auto val="1"/>
        <c:lblOffset val="100"/>
        <c:baseTimeUnit val="days"/>
      </c:dateAx>
      <c:valAx>
        <c:axId val="145878400"/>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587686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8860928"/>
        <c:axId val="148862464"/>
      </c:barChart>
      <c:catAx>
        <c:axId val="148860928"/>
        <c:scaling>
          <c:orientation val="minMax"/>
        </c:scaling>
        <c:delete val="0"/>
        <c:axPos val="b"/>
        <c:majorTickMark val="out"/>
        <c:minorTickMark val="none"/>
        <c:tickLblPos val="nextTo"/>
        <c:txPr>
          <a:bodyPr/>
          <a:lstStyle/>
          <a:p>
            <a:pPr>
              <a:defRPr lang="es-ES"/>
            </a:pPr>
            <a:endParaRPr lang="es-PE"/>
          </a:p>
        </c:txPr>
        <c:crossAx val="148862464"/>
        <c:crosses val="autoZero"/>
        <c:auto val="1"/>
        <c:lblAlgn val="ctr"/>
        <c:lblOffset val="100"/>
        <c:noMultiLvlLbl val="0"/>
      </c:catAx>
      <c:valAx>
        <c:axId val="14886246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860928"/>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49424000"/>
        <c:axId val="149425536"/>
      </c:barChart>
      <c:catAx>
        <c:axId val="149424000"/>
        <c:scaling>
          <c:orientation val="minMax"/>
        </c:scaling>
        <c:delete val="0"/>
        <c:axPos val="b"/>
        <c:majorTickMark val="out"/>
        <c:minorTickMark val="none"/>
        <c:tickLblPos val="nextTo"/>
        <c:txPr>
          <a:bodyPr/>
          <a:lstStyle/>
          <a:p>
            <a:pPr>
              <a:defRPr lang="es-ES"/>
            </a:pPr>
            <a:endParaRPr lang="es-PE"/>
          </a:p>
        </c:txPr>
        <c:crossAx val="149425536"/>
        <c:crosses val="autoZero"/>
        <c:auto val="1"/>
        <c:lblAlgn val="ctr"/>
        <c:lblOffset val="100"/>
        <c:noMultiLvlLbl val="0"/>
      </c:catAx>
      <c:valAx>
        <c:axId val="14942553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424000"/>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49458944"/>
        <c:axId val="149460480"/>
      </c:barChart>
      <c:catAx>
        <c:axId val="149458944"/>
        <c:scaling>
          <c:orientation val="minMax"/>
        </c:scaling>
        <c:delete val="0"/>
        <c:axPos val="b"/>
        <c:majorTickMark val="out"/>
        <c:minorTickMark val="none"/>
        <c:tickLblPos val="nextTo"/>
        <c:txPr>
          <a:bodyPr/>
          <a:lstStyle/>
          <a:p>
            <a:pPr>
              <a:defRPr lang="es-ES"/>
            </a:pPr>
            <a:endParaRPr lang="es-PE"/>
          </a:p>
        </c:txPr>
        <c:crossAx val="149460480"/>
        <c:crosses val="autoZero"/>
        <c:auto val="1"/>
        <c:lblAlgn val="ctr"/>
        <c:lblOffset val="100"/>
        <c:noMultiLvlLbl val="0"/>
      </c:catAx>
      <c:valAx>
        <c:axId val="14946048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458944"/>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49485056"/>
        <c:axId val="149486592"/>
      </c:barChart>
      <c:catAx>
        <c:axId val="149485056"/>
        <c:scaling>
          <c:orientation val="minMax"/>
        </c:scaling>
        <c:delete val="0"/>
        <c:axPos val="b"/>
        <c:majorTickMark val="out"/>
        <c:minorTickMark val="none"/>
        <c:tickLblPos val="nextTo"/>
        <c:txPr>
          <a:bodyPr/>
          <a:lstStyle/>
          <a:p>
            <a:pPr>
              <a:defRPr lang="es-ES"/>
            </a:pPr>
            <a:endParaRPr lang="es-PE"/>
          </a:p>
        </c:txPr>
        <c:crossAx val="149486592"/>
        <c:crosses val="autoZero"/>
        <c:auto val="1"/>
        <c:lblAlgn val="ctr"/>
        <c:lblOffset val="100"/>
        <c:noMultiLvlLbl val="0"/>
      </c:catAx>
      <c:valAx>
        <c:axId val="1494865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485056"/>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9781888"/>
        <c:axId val="149783680"/>
      </c:barChart>
      <c:catAx>
        <c:axId val="149781888"/>
        <c:scaling>
          <c:orientation val="minMax"/>
        </c:scaling>
        <c:delete val="0"/>
        <c:axPos val="b"/>
        <c:majorTickMark val="out"/>
        <c:minorTickMark val="none"/>
        <c:tickLblPos val="nextTo"/>
        <c:txPr>
          <a:bodyPr/>
          <a:lstStyle/>
          <a:p>
            <a:pPr>
              <a:defRPr lang="es-ES"/>
            </a:pPr>
            <a:endParaRPr lang="es-PE"/>
          </a:p>
        </c:txPr>
        <c:crossAx val="149783680"/>
        <c:crosses val="autoZero"/>
        <c:auto val="1"/>
        <c:lblAlgn val="ctr"/>
        <c:lblOffset val="100"/>
        <c:noMultiLvlLbl val="0"/>
      </c:catAx>
      <c:valAx>
        <c:axId val="14978368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781888"/>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9813120"/>
        <c:axId val="149814656"/>
      </c:barChart>
      <c:catAx>
        <c:axId val="149813120"/>
        <c:scaling>
          <c:orientation val="minMax"/>
        </c:scaling>
        <c:delete val="0"/>
        <c:axPos val="b"/>
        <c:majorTickMark val="out"/>
        <c:minorTickMark val="none"/>
        <c:tickLblPos val="nextTo"/>
        <c:txPr>
          <a:bodyPr/>
          <a:lstStyle/>
          <a:p>
            <a:pPr>
              <a:defRPr lang="es-ES"/>
            </a:pPr>
            <a:endParaRPr lang="es-PE"/>
          </a:p>
        </c:txPr>
        <c:crossAx val="149814656"/>
        <c:crosses val="autoZero"/>
        <c:auto val="1"/>
        <c:lblAlgn val="ctr"/>
        <c:lblOffset val="100"/>
        <c:noMultiLvlLbl val="0"/>
      </c:catAx>
      <c:valAx>
        <c:axId val="14981465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9813120"/>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47" totalsRowShown="0" headerRowDxfId="47" dataDxfId="45" headerRowBorderDxfId="46" tableBorderDxfId="44">
  <autoFilter ref="A2:L447">
    <filterColumn colId="4">
      <filters>
        <filter val="Abierta"/>
      </filters>
    </filterColumn>
    <filterColumn colId="9">
      <filters blank="1"/>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6"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6"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0.97297297297297303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v>
      </c>
      <c r="D13" s="74"/>
      <c r="E13" s="5">
        <f>COUNTIF(CasoPrueba[[#All],[Estado Testing]],$P$28)</f>
        <v>36</v>
      </c>
      <c r="F13" s="5">
        <f>COUNTIF(CasoPrueba[[#All],[Estado Testing]],$P$29)</f>
        <v>1</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0.97297297297297303</v>
      </c>
      <c r="F14" s="15">
        <f t="shared" si="0"/>
        <v>2.7027027027027029E-2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36</v>
      </c>
      <c r="D18" s="45">
        <f>C18/$C$10</f>
        <v>0.97297297297297303</v>
      </c>
      <c r="E18" s="46">
        <f>COUNTIFS(CasoPrueba[[#All],[Estado Testing]],$P$29,CasoPrueba[[#All],[Prioridad]],$P$17)</f>
        <v>1</v>
      </c>
      <c r="F18" s="47">
        <f>E18/$C$10</f>
        <v>2.7027027027027029E-2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v>
      </c>
      <c r="N18" s="53">
        <f>M18/$C$10</f>
        <v>2.7027027027027029E-2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36</v>
      </c>
      <c r="D21" s="63">
        <f t="shared" ref="D21:N21" si="2">SUM(D18:D20)</f>
        <v>0.97297297297297303</v>
      </c>
      <c r="E21" s="62">
        <f t="shared" si="2"/>
        <v>1</v>
      </c>
      <c r="F21" s="63">
        <f t="shared" si="2"/>
        <v>2.7027027027027029E-2</v>
      </c>
      <c r="G21" s="62">
        <f t="shared" si="2"/>
        <v>0</v>
      </c>
      <c r="H21" s="63">
        <f t="shared" si="2"/>
        <v>0</v>
      </c>
      <c r="I21" s="62">
        <f t="shared" si="2"/>
        <v>0</v>
      </c>
      <c r="J21" s="63">
        <f t="shared" si="2"/>
        <v>0</v>
      </c>
      <c r="K21" s="62">
        <f>SUM(K18:K20)</f>
        <v>0</v>
      </c>
      <c r="L21" s="63">
        <f>SUM(L18:L20)</f>
        <v>0</v>
      </c>
      <c r="M21" s="62">
        <f t="shared" si="2"/>
        <v>1</v>
      </c>
      <c r="N21" s="63">
        <f t="shared" si="2"/>
        <v>2.7027027027027029E-2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5</v>
      </c>
      <c r="D30" s="124">
        <f>C30/$C$10</f>
        <v>0.13513513513513514</v>
      </c>
      <c r="E30" s="125">
        <f>COUNTIFS(Observaciones[[#All],[Estado]],Resumen!$P$24,Observaciones[[#All],[Severidad]],Resumen!$P$11)</f>
        <v>84</v>
      </c>
      <c r="F30" s="124">
        <f>E30/$C$10</f>
        <v>2.2702702702702702</v>
      </c>
      <c r="G30" s="119"/>
      <c r="H30" s="122" t="s">
        <v>33</v>
      </c>
      <c r="I30" s="126">
        <f>COUNTIFS(Observaciones[[#All],[Severidad]],Resumen!$P$11,Observaciones[[#All],[Prioridad]],Resumen!$P$17)</f>
        <v>89</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25</v>
      </c>
      <c r="D31" s="124">
        <f>C31/$C$10</f>
        <v>0.67567567567567566</v>
      </c>
      <c r="E31" s="125">
        <f>COUNTIFS(Observaciones[[#All],[Estado]],Resumen!$P$24,Observaciones[[#All],[Severidad]],Resumen!$P$12)</f>
        <v>117</v>
      </c>
      <c r="F31" s="124">
        <f>E31/$C$10</f>
        <v>3.1621621621621623</v>
      </c>
      <c r="G31" s="119"/>
      <c r="H31" s="122" t="s">
        <v>35</v>
      </c>
      <c r="I31" s="126">
        <f>COUNTIFS(Observaciones[[#All],[Severidad]],Resumen!$P$12,Observaciones[[#All],[Prioridad]],Resumen!$P$17)</f>
        <v>142</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7</v>
      </c>
      <c r="D32" s="124">
        <f>C32/$C$10</f>
        <v>0.1891891891891892</v>
      </c>
      <c r="E32" s="125">
        <f>COUNTIFS(Observaciones[[#All],[Estado]],Resumen!$P$24,Observaciones[[#All],[Severidad]],Resumen!$P$13)</f>
        <v>84</v>
      </c>
      <c r="F32" s="124">
        <f>E32/$C$10</f>
        <v>2.2702702702702702</v>
      </c>
      <c r="G32" s="119"/>
      <c r="H32" s="122" t="s">
        <v>37</v>
      </c>
      <c r="I32" s="126">
        <f>COUNTIFS(Observaciones[[#All],[Severidad]],Resumen!$P$13,Observaciones[[#All],[Prioridad]],Resumen!$P$17)</f>
        <v>91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11</v>
      </c>
      <c r="D33" s="124">
        <f>C33/$C$10</f>
        <v>0.29729729729729731</v>
      </c>
      <c r="E33" s="125">
        <f>COUNTIFS(Observaciones[[#All],[Estado]],Resumen!$P$24,Observaciones[[#All],[Severidad]],Resumen!$P$14)</f>
        <v>95</v>
      </c>
      <c r="F33" s="124">
        <f>E33/$C$10</f>
        <v>2.5675675675675675</v>
      </c>
      <c r="G33" s="119"/>
      <c r="H33" s="122" t="s">
        <v>39</v>
      </c>
      <c r="I33" s="126">
        <f>COUNTIFS(Observaciones[[#All],[Severidad]],Resumen!$P$14,Observaciones[[#All],[Prioridad]],Resumen!$P$17)</f>
        <v>106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48</v>
      </c>
      <c r="D34" s="129">
        <f>SUM(D30:D33)</f>
        <v>1.2972972972972974</v>
      </c>
      <c r="E34" s="128">
        <f>SUM(E30:E33)</f>
        <v>380</v>
      </c>
      <c r="F34" s="129">
        <f>SUM(F30:F33)</f>
        <v>10.27027027027027</v>
      </c>
      <c r="G34" s="119"/>
      <c r="H34" s="122" t="s">
        <v>72</v>
      </c>
      <c r="I34" s="130">
        <f>SUM(I30:I33)</f>
        <v>428</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C25"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6.7860360360360357</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40" zoomScale="85" zoomScaleNormal="85" workbookViewId="0">
      <selection activeCell="A41" sqref="A4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1142</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1143</v>
      </c>
      <c r="Q6" s="90"/>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1144</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1145</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409.5">
      <c r="A40" s="168" t="s">
        <v>159</v>
      </c>
      <c r="B40" s="168" t="s">
        <v>1194</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NO OK</v>
      </c>
      <c r="G40" s="92" t="s">
        <v>20</v>
      </c>
      <c r="H40" s="90" t="s">
        <v>28</v>
      </c>
      <c r="I40" s="92" t="s">
        <v>28</v>
      </c>
      <c r="J40" s="90" t="s">
        <v>47</v>
      </c>
      <c r="K40" s="168"/>
      <c r="L40" s="172">
        <f>General!$A$10</f>
        <v>0</v>
      </c>
      <c r="M40" s="172"/>
      <c r="N40" s="168"/>
      <c r="O40" s="168"/>
      <c r="P40" s="171" t="s">
        <v>1273</v>
      </c>
      <c r="Q40" s="90" t="str">
        <f>CONCATENATE(General!$B$7," ",General!$B$6)</f>
        <v>Nicolay García José Ramos Ramírez</v>
      </c>
    </row>
    <row r="41" spans="1:17" ht="22.5">
      <c r="A41" s="168" t="s">
        <v>159</v>
      </c>
      <c r="B41" s="168" t="s">
        <v>1198</v>
      </c>
      <c r="C41" s="90" t="s">
        <v>170</v>
      </c>
      <c r="D41" s="31" t="s">
        <v>1199</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t="s">
        <v>28</v>
      </c>
      <c r="J41" s="90" t="s">
        <v>47</v>
      </c>
      <c r="K41" s="168"/>
      <c r="L41" s="172">
        <f>General!$A$10</f>
        <v>0</v>
      </c>
      <c r="M41" s="172"/>
      <c r="N41" s="168"/>
      <c r="O41" s="168"/>
      <c r="P41" s="171"/>
      <c r="Q41"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47"/>
  <sheetViews>
    <sheetView tabSelected="1" zoomScale="85" zoomScaleNormal="85" workbookViewId="0">
      <selection activeCell="I412" sqref="I412"/>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904</v>
      </c>
      <c r="C305" s="164" t="str">
        <f>VLOOKUP(Observaciones[Caso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904</v>
      </c>
      <c r="C306" s="164" t="str">
        <f>VLOOKUP(Observaciones[Caso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904</v>
      </c>
      <c r="C307" s="164" t="str">
        <f>VLOOKUP(Observaciones[Caso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904</v>
      </c>
      <c r="C308" s="164" t="str">
        <f>VLOOKUP(Observaciones[Caso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904</v>
      </c>
      <c r="C309" s="164" t="str">
        <f>VLOOKUP(Observaciones[Caso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904</v>
      </c>
      <c r="C310" s="164" t="str">
        <f>VLOOKUP(Observaciones[Caso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904</v>
      </c>
      <c r="C311" s="164" t="str">
        <f>VLOOKUP(Observaciones[Caso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904</v>
      </c>
      <c r="C312" s="164" t="str">
        <f>VLOOKUP(Observaciones[Caso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904</v>
      </c>
      <c r="C313" s="164" t="str">
        <f>VLOOKUP(Observaciones[Caso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904</v>
      </c>
      <c r="C314" s="34" t="str">
        <f>VLOOKUP(Observaciones[Caso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905</v>
      </c>
      <c r="C315" s="34" t="str">
        <f>VLOOKUP(Observaciones[Caso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905</v>
      </c>
      <c r="C316" s="34" t="str">
        <f>VLOOKUP(Observaciones[Caso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905</v>
      </c>
      <c r="C317" s="34" t="str">
        <f>VLOOKUP(Observaciones[Caso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905</v>
      </c>
      <c r="C318" s="34" t="str">
        <f>VLOOKUP(Observaciones[Caso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905</v>
      </c>
      <c r="C319" s="34" t="str">
        <f>VLOOKUP(Observaciones[Caso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905</v>
      </c>
      <c r="C320" s="34" t="str">
        <f>VLOOKUP(Observaciones[Caso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905</v>
      </c>
      <c r="C321" s="34" t="str">
        <f>VLOOKUP(Observaciones[Caso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905</v>
      </c>
      <c r="C322" s="34" t="str">
        <f>VLOOKUP(Observaciones[Caso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905</v>
      </c>
      <c r="C323" s="34" t="str">
        <f>VLOOKUP(Observaciones[Caso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906</v>
      </c>
      <c r="C324" s="34" t="str">
        <f>VLOOKUP(Observaciones[Caso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906</v>
      </c>
      <c r="C325" s="34" t="str">
        <f>VLOOKUP(Observaciones[Caso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906</v>
      </c>
      <c r="C326" s="34" t="str">
        <f>VLOOKUP(Observaciones[Caso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906</v>
      </c>
      <c r="C327" s="34" t="str">
        <f>VLOOKUP(Observaciones[Caso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906</v>
      </c>
      <c r="C328" s="34" t="str">
        <f>VLOOKUP(Observaciones[Caso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887</v>
      </c>
      <c r="C336" s="34" t="str">
        <f>VLOOKUP(Observaciones[Caso de Prueba],CasoPrueba[[#All],[Código CP]:[Prioridad]],7,TRUE)</f>
        <v>Alta</v>
      </c>
      <c r="D336" s="34" t="s">
        <v>162</v>
      </c>
      <c r="E336" s="34" t="s">
        <v>49</v>
      </c>
      <c r="F336" s="73">
        <v>40848</v>
      </c>
      <c r="G336" s="73">
        <v>40850</v>
      </c>
      <c r="H336" s="94" t="s">
        <v>132</v>
      </c>
      <c r="I336" s="34" t="s">
        <v>1035</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887</v>
      </c>
      <c r="C337" s="34" t="str">
        <f>VLOOKUP(Observaciones[Caso de Prueba],CasoPrueba[[#All],[Código CP]:[Prioridad]],7,TRUE)</f>
        <v>Alta</v>
      </c>
      <c r="D337" s="34" t="s">
        <v>30</v>
      </c>
      <c r="E337" s="34" t="s">
        <v>49</v>
      </c>
      <c r="F337" s="73">
        <v>40848</v>
      </c>
      <c r="G337" s="73">
        <v>40850</v>
      </c>
      <c r="H337" s="94" t="s">
        <v>132</v>
      </c>
      <c r="I337" s="34" t="s">
        <v>1036</v>
      </c>
      <c r="J337" s="34" t="s">
        <v>1102</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888</v>
      </c>
      <c r="C338" s="34" t="str">
        <f>VLOOKUP(Observaciones[Caso de Prueba],CasoPrueba[[#All],[Código CP]:[Prioridad]],7,TRUE)</f>
        <v>Alta</v>
      </c>
      <c r="D338" s="34" t="s">
        <v>30</v>
      </c>
      <c r="E338" s="34" t="s">
        <v>49</v>
      </c>
      <c r="F338" s="73">
        <v>40848</v>
      </c>
      <c r="G338" s="73">
        <v>40850</v>
      </c>
      <c r="H338" s="94" t="s">
        <v>132</v>
      </c>
      <c r="I338" s="34" t="s">
        <v>1014</v>
      </c>
      <c r="J338" s="34" t="s">
        <v>1103</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889</v>
      </c>
      <c r="C339" s="34" t="str">
        <f>VLOOKUP(Observaciones[Caso de Prueba],CasoPrueba[[#All],[Código CP]:[Prioridad]],7,TRUE)</f>
        <v>Alta</v>
      </c>
      <c r="D339" s="34" t="s">
        <v>30</v>
      </c>
      <c r="E339" s="34" t="s">
        <v>49</v>
      </c>
      <c r="F339" s="73">
        <v>40848</v>
      </c>
      <c r="G339" s="73">
        <v>40850</v>
      </c>
      <c r="H339" s="94" t="s">
        <v>132</v>
      </c>
      <c r="I339" s="34" t="s">
        <v>1063</v>
      </c>
      <c r="J339" s="34" t="s">
        <v>1104</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891</v>
      </c>
      <c r="C340" s="34" t="str">
        <f>VLOOKUP(Observaciones[Caso de Prueba],CasoPrueba[[#All],[Código CP]:[Prioridad]],7,TRUE)</f>
        <v>Alta</v>
      </c>
      <c r="D340" s="34" t="s">
        <v>162</v>
      </c>
      <c r="E340" s="34" t="s">
        <v>49</v>
      </c>
      <c r="F340" s="73">
        <v>40848</v>
      </c>
      <c r="G340" s="73">
        <v>40850</v>
      </c>
      <c r="H340" s="94" t="s">
        <v>132</v>
      </c>
      <c r="I340" s="34" t="s">
        <v>1038</v>
      </c>
      <c r="J340" s="34" t="s">
        <v>1105</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1060</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1061</v>
      </c>
      <c r="J342" s="34" t="s">
        <v>1044</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1062</v>
      </c>
      <c r="J343" s="34" t="s">
        <v>1106</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977</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1107</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955</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1068</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1108</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1109</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1069</v>
      </c>
      <c r="J350" s="34" t="s">
        <v>955</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1110</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1111</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1085</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1081</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1112</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1113</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1114</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1115</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1001</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1001</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1082</v>
      </c>
      <c r="J361" s="34" t="s">
        <v>1001</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1070</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1001</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1071</v>
      </c>
      <c r="B363" s="34" t="s">
        <v>174</v>
      </c>
      <c r="C363" s="34" t="str">
        <f>VLOOKUP(Observaciones[Caso de Prueba],CasoPrueba[[#All],[Código CP]:[Prioridad]],7,TRUE)</f>
        <v>Alta</v>
      </c>
      <c r="D363" s="34" t="s">
        <v>28</v>
      </c>
      <c r="E363" s="34" t="s">
        <v>49</v>
      </c>
      <c r="F363" s="73">
        <v>40848</v>
      </c>
      <c r="G363" s="73">
        <v>40850</v>
      </c>
      <c r="H363" s="94" t="s">
        <v>132</v>
      </c>
      <c r="I363" s="34" t="s">
        <v>1083</v>
      </c>
      <c r="J363" s="34" t="s">
        <v>1116</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1072</v>
      </c>
      <c r="B364" s="34" t="s">
        <v>174</v>
      </c>
      <c r="C364" s="34" t="str">
        <f>VLOOKUP(Observaciones[Caso de Prueba],CasoPrueba[[#All],[Código CP]:[Prioridad]],7,TRUE)</f>
        <v>Alta</v>
      </c>
      <c r="D364" s="34" t="s">
        <v>28</v>
      </c>
      <c r="E364" s="34" t="s">
        <v>49</v>
      </c>
      <c r="F364" s="73">
        <v>40848</v>
      </c>
      <c r="G364" s="73">
        <v>40850</v>
      </c>
      <c r="H364" s="94" t="s">
        <v>132</v>
      </c>
      <c r="I364" s="34" t="s">
        <v>1084</v>
      </c>
      <c r="J364" s="34" t="s">
        <v>1117</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1073</v>
      </c>
      <c r="B365" s="34" t="s">
        <v>175</v>
      </c>
      <c r="C365" s="34" t="str">
        <f>VLOOKUP(Observaciones[Caso de Prueba],CasoPrueba[[#All],[Código CP]:[Prioridad]],7,TRUE)</f>
        <v>Alta</v>
      </c>
      <c r="D365" s="34" t="s">
        <v>28</v>
      </c>
      <c r="E365" s="34" t="s">
        <v>49</v>
      </c>
      <c r="F365" s="73">
        <v>40848</v>
      </c>
      <c r="G365" s="73">
        <v>40850</v>
      </c>
      <c r="H365" s="94" t="s">
        <v>132</v>
      </c>
      <c r="I365" s="34" t="s">
        <v>597</v>
      </c>
      <c r="J365" s="34" t="s">
        <v>1118</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1074</v>
      </c>
      <c r="B366" s="34" t="s">
        <v>175</v>
      </c>
      <c r="C366" s="34" t="str">
        <f>VLOOKUP(Observaciones[Caso de Prueba],CasoPrueba[[#All],[Código CP]:[Prioridad]],7,TRUE)</f>
        <v>Alta</v>
      </c>
      <c r="D366" s="34" t="s">
        <v>28</v>
      </c>
      <c r="E366" s="34" t="s">
        <v>49</v>
      </c>
      <c r="F366" s="73">
        <v>40848</v>
      </c>
      <c r="G366" s="73">
        <v>40850</v>
      </c>
      <c r="H366" s="94" t="s">
        <v>132</v>
      </c>
      <c r="I366" s="34" t="s">
        <v>1086</v>
      </c>
      <c r="J366" s="34" t="s">
        <v>1119</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1075</v>
      </c>
      <c r="B367" s="34" t="s">
        <v>175</v>
      </c>
      <c r="C367" s="34" t="str">
        <f>VLOOKUP(Observaciones[Caso de Prueba],CasoPrueba[[#All],[Código CP]:[Prioridad]],7,TRUE)</f>
        <v>Alta</v>
      </c>
      <c r="D367" s="34" t="s">
        <v>28</v>
      </c>
      <c r="E367" s="34" t="s">
        <v>49</v>
      </c>
      <c r="F367" s="73">
        <v>40848</v>
      </c>
      <c r="G367" s="73">
        <v>40850</v>
      </c>
      <c r="H367" s="94" t="s">
        <v>132</v>
      </c>
      <c r="I367" s="34" t="s">
        <v>1087</v>
      </c>
      <c r="J367" s="34" t="s">
        <v>1117</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1076</v>
      </c>
      <c r="B368" s="34" t="s">
        <v>175</v>
      </c>
      <c r="C368" s="34" t="str">
        <f>VLOOKUP(Observaciones[Caso de Prueba],CasoPrueba[[#All],[Código CP]:[Prioridad]],7,TRUE)</f>
        <v>Alta</v>
      </c>
      <c r="D368" s="34" t="s">
        <v>28</v>
      </c>
      <c r="E368" s="34" t="s">
        <v>49</v>
      </c>
      <c r="F368" s="73">
        <v>40848</v>
      </c>
      <c r="G368" s="73">
        <v>40850</v>
      </c>
      <c r="H368" s="94" t="s">
        <v>132</v>
      </c>
      <c r="I368" s="34" t="s">
        <v>1088</v>
      </c>
      <c r="J368" s="34" t="s">
        <v>1120</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1077</v>
      </c>
      <c r="B369" s="34" t="s">
        <v>176</v>
      </c>
      <c r="C369" s="34" t="str">
        <f>VLOOKUP(Observaciones[Caso de Prueba],CasoPrueba[[#All],[Código CP]:[Prioridad]],7,TRUE)</f>
        <v>Alta</v>
      </c>
      <c r="D369" s="34" t="s">
        <v>28</v>
      </c>
      <c r="E369" s="34" t="s">
        <v>49</v>
      </c>
      <c r="F369" s="73">
        <v>40848</v>
      </c>
      <c r="G369" s="73">
        <v>40850</v>
      </c>
      <c r="H369" s="94" t="s">
        <v>132</v>
      </c>
      <c r="I369" s="34" t="s">
        <v>597</v>
      </c>
      <c r="J369" s="34" t="s">
        <v>1118</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1078</v>
      </c>
      <c r="B370" s="34" t="s">
        <v>176</v>
      </c>
      <c r="C370" s="34" t="str">
        <f>VLOOKUP(Observaciones[Caso de Prueba],CasoPrueba[[#All],[Código CP]:[Prioridad]],7,TRUE)</f>
        <v>Alta</v>
      </c>
      <c r="D370" s="34" t="s">
        <v>28</v>
      </c>
      <c r="E370" s="34" t="s">
        <v>49</v>
      </c>
      <c r="F370" s="73">
        <v>40848</v>
      </c>
      <c r="G370" s="73">
        <v>40850</v>
      </c>
      <c r="H370" s="94" t="s">
        <v>132</v>
      </c>
      <c r="I370" s="34" t="s">
        <v>1086</v>
      </c>
      <c r="J370" s="34" t="s">
        <v>1119</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1079</v>
      </c>
      <c r="B371" s="34" t="s">
        <v>176</v>
      </c>
      <c r="C371" s="34" t="str">
        <f>VLOOKUP(Observaciones[Caso de Prueba],CasoPrueba[[#All],[Código CP]:[Prioridad]],7,TRUE)</f>
        <v>Alta</v>
      </c>
      <c r="D371" s="34" t="s">
        <v>28</v>
      </c>
      <c r="E371" s="34" t="s">
        <v>49</v>
      </c>
      <c r="F371" s="73">
        <v>40848</v>
      </c>
      <c r="G371" s="73">
        <v>40850</v>
      </c>
      <c r="H371" s="94" t="s">
        <v>132</v>
      </c>
      <c r="I371" s="34" t="s">
        <v>1089</v>
      </c>
      <c r="J371" s="34" t="s">
        <v>1121</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1080</v>
      </c>
      <c r="B372" s="34" t="s">
        <v>88</v>
      </c>
      <c r="C372" s="34" t="str">
        <f>VLOOKUP(Observaciones[Caso de Prueba],CasoPrueba[[#All],[Código CP]:[Prioridad]],7,TRUE)</f>
        <v>Alta</v>
      </c>
      <c r="D372" s="34" t="s">
        <v>28</v>
      </c>
      <c r="E372" s="34" t="s">
        <v>49</v>
      </c>
      <c r="F372" s="73">
        <v>40852</v>
      </c>
      <c r="G372" s="73">
        <v>40852</v>
      </c>
      <c r="H372" s="94" t="s">
        <v>132</v>
      </c>
      <c r="I372" s="34" t="s">
        <v>1127</v>
      </c>
      <c r="J372" s="34" t="s">
        <v>1146</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1122</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1147</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1123</v>
      </c>
      <c r="B374" s="34" t="s">
        <v>153</v>
      </c>
      <c r="C374" s="34" t="str">
        <f>VLOOKUP(Observaciones[Caso de Prueba],CasoPrueba[[#All],[Código CP]:[Prioridad]],7,TRUE)</f>
        <v>Alta</v>
      </c>
      <c r="D374" s="34" t="s">
        <v>30</v>
      </c>
      <c r="E374" s="34" t="s">
        <v>49</v>
      </c>
      <c r="F374" s="73">
        <v>40852</v>
      </c>
      <c r="G374" s="73">
        <v>40852</v>
      </c>
      <c r="H374" s="94" t="s">
        <v>132</v>
      </c>
      <c r="I374" s="34" t="s">
        <v>1126</v>
      </c>
      <c r="J374" s="34" t="s">
        <v>1148</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1124</v>
      </c>
      <c r="B375" s="34" t="s">
        <v>175</v>
      </c>
      <c r="C375" s="34" t="str">
        <f>VLOOKUP(Observaciones[Caso de Prueba],CasoPrueba[[#All],[Código CP]:[Prioridad]],7,TRUE)</f>
        <v>Alta</v>
      </c>
      <c r="D375" s="34" t="s">
        <v>30</v>
      </c>
      <c r="E375" s="34" t="s">
        <v>49</v>
      </c>
      <c r="F375" s="73">
        <v>40852</v>
      </c>
      <c r="G375" s="73">
        <v>40852</v>
      </c>
      <c r="H375" s="94" t="s">
        <v>132</v>
      </c>
      <c r="I375" s="34" t="s">
        <v>1128</v>
      </c>
      <c r="J375" s="34" t="s">
        <v>1149</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1125</v>
      </c>
      <c r="B376" s="34" t="s">
        <v>175</v>
      </c>
      <c r="C376" s="34" t="str">
        <f>VLOOKUP(Observaciones[Caso de Prueba],CasoPrueba[[#All],[Código CP]:[Prioridad]],7,TRUE)</f>
        <v>Alta</v>
      </c>
      <c r="D376" s="34" t="s">
        <v>30</v>
      </c>
      <c r="E376" s="34" t="s">
        <v>49</v>
      </c>
      <c r="F376" s="73">
        <v>40852</v>
      </c>
      <c r="G376" s="73">
        <v>40852</v>
      </c>
      <c r="H376" s="94" t="s">
        <v>132</v>
      </c>
      <c r="I376" s="34" t="s">
        <v>1129</v>
      </c>
      <c r="J376" s="34" t="s">
        <v>1150</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1130</v>
      </c>
      <c r="B377" s="34" t="s">
        <v>175</v>
      </c>
      <c r="C377" s="34" t="str">
        <f>VLOOKUP(Observaciones[Caso de Prueba],CasoPrueba[[#All],[Código CP]:[Prioridad]],7,TRUE)</f>
        <v>Alta</v>
      </c>
      <c r="D377" s="34" t="s">
        <v>30</v>
      </c>
      <c r="E377" s="34" t="s">
        <v>49</v>
      </c>
      <c r="F377" s="73">
        <v>40852</v>
      </c>
      <c r="G377" s="73">
        <v>40852</v>
      </c>
      <c r="H377" s="94" t="s">
        <v>132</v>
      </c>
      <c r="I377" s="164" t="s">
        <v>1136</v>
      </c>
      <c r="J377" s="34" t="s">
        <v>1151</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1131</v>
      </c>
      <c r="B378" s="34" t="s">
        <v>176</v>
      </c>
      <c r="C378" s="34" t="str">
        <f>VLOOKUP(Observaciones[Caso de Prueba],CasoPrueba[[#All],[Código CP]:[Prioridad]],7,TRUE)</f>
        <v>Alta</v>
      </c>
      <c r="D378" s="34" t="s">
        <v>162</v>
      </c>
      <c r="E378" s="34" t="s">
        <v>49</v>
      </c>
      <c r="F378" s="73">
        <v>40852</v>
      </c>
      <c r="G378" s="73">
        <v>40852</v>
      </c>
      <c r="H378" s="94" t="s">
        <v>132</v>
      </c>
      <c r="I378" s="34" t="s">
        <v>1137</v>
      </c>
      <c r="J378" s="34" t="s">
        <v>1152</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1132</v>
      </c>
      <c r="B379" s="34" t="s">
        <v>176</v>
      </c>
      <c r="C379" s="34" t="str">
        <f>VLOOKUP(Observaciones[Caso de Prueba],CasoPrueba[[#All],[Código CP]:[Prioridad]],7,TRUE)</f>
        <v>Alta</v>
      </c>
      <c r="D379" s="34" t="s">
        <v>162</v>
      </c>
      <c r="E379" s="34" t="s">
        <v>49</v>
      </c>
      <c r="F379" s="73">
        <v>40852</v>
      </c>
      <c r="G379" s="73">
        <v>40852</v>
      </c>
      <c r="H379" s="94" t="s">
        <v>132</v>
      </c>
      <c r="I379" s="34" t="s">
        <v>1138</v>
      </c>
      <c r="J379" s="34" t="s">
        <v>1153</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1133</v>
      </c>
      <c r="B380" s="34" t="s">
        <v>176</v>
      </c>
      <c r="C380" s="34" t="str">
        <f>VLOOKUP(Observaciones[Caso de Prueba],CasoPrueba[[#All],[Código CP]:[Prioridad]],7,TRUE)</f>
        <v>Alta</v>
      </c>
      <c r="D380" s="34" t="s">
        <v>30</v>
      </c>
      <c r="E380" s="34" t="s">
        <v>49</v>
      </c>
      <c r="F380" s="73">
        <v>40852</v>
      </c>
      <c r="G380" s="73">
        <v>40852</v>
      </c>
      <c r="H380" s="94" t="s">
        <v>132</v>
      </c>
      <c r="I380" s="34" t="s">
        <v>1139</v>
      </c>
      <c r="J380" s="34" t="s">
        <v>1154</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1134</v>
      </c>
      <c r="B381" s="34" t="s">
        <v>176</v>
      </c>
      <c r="C381" s="34" t="str">
        <f>VLOOKUP(Observaciones[Caso de Prueba],CasoPrueba[[#All],[Código CP]:[Prioridad]],7,TRUE)</f>
        <v>Alta</v>
      </c>
      <c r="D381" s="34" t="s">
        <v>30</v>
      </c>
      <c r="E381" s="34" t="s">
        <v>49</v>
      </c>
      <c r="F381" s="73">
        <v>40852</v>
      </c>
      <c r="G381" s="73">
        <v>40852</v>
      </c>
      <c r="H381" s="94" t="s">
        <v>132</v>
      </c>
      <c r="I381" s="34" t="s">
        <v>1140</v>
      </c>
      <c r="J381" s="34" t="s">
        <v>1155</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1135</v>
      </c>
      <c r="B382" s="34" t="s">
        <v>176</v>
      </c>
      <c r="C382" s="34" t="str">
        <f>VLOOKUP(Observaciones[Caso de Prueba],CasoPrueba[[#All],[Código CP]:[Prioridad]],7,TRUE)</f>
        <v>Alta</v>
      </c>
      <c r="D382" s="34" t="s">
        <v>30</v>
      </c>
      <c r="E382" s="34" t="s">
        <v>49</v>
      </c>
      <c r="F382" s="73">
        <v>40852</v>
      </c>
      <c r="G382" s="73">
        <v>40852</v>
      </c>
      <c r="H382" s="94" t="s">
        <v>132</v>
      </c>
      <c r="I382" s="34" t="s">
        <v>1141</v>
      </c>
      <c r="J382" s="34" t="s">
        <v>1156</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hidden="1">
      <c r="A383" s="166" t="s">
        <v>1157</v>
      </c>
      <c r="B383" s="34" t="s">
        <v>1194</v>
      </c>
      <c r="C383" s="34" t="str">
        <f>VLOOKUP(Observaciones[Caso de Prueba],CasoPrueba[[#All],[Código CP]:[Prioridad]],7,TRUE)</f>
        <v>Alta</v>
      </c>
      <c r="D383" s="34" t="s">
        <v>28</v>
      </c>
      <c r="E383" s="34" t="s">
        <v>47</v>
      </c>
      <c r="F383" s="73">
        <v>40852</v>
      </c>
      <c r="H383" s="94" t="s">
        <v>132</v>
      </c>
      <c r="I383" s="34" t="s">
        <v>1192</v>
      </c>
      <c r="J383" s="34" t="s">
        <v>1276</v>
      </c>
      <c r="K383" s="34">
        <f>IF((Observaciones[[#This Row],[Fecha Levantamiento]]-Observaciones[[#This Row],[Fecha Detección]])&gt;=0,Observaciones[[#This Row],[Fecha Levantamiento]]-Observaciones[[#This Row],[Fecha Detección]]+1,0)</f>
        <v>0</v>
      </c>
      <c r="L383" s="34" t="str">
        <f>LOOKUP(Observaciones[[#This Row],[Caso de Prueba]],CasoPrueba[Código CP],CasoPrueba[Código de REQ])</f>
        <v>INSPECCIÓN</v>
      </c>
    </row>
    <row r="384" spans="1:12" ht="45" hidden="1">
      <c r="A384" s="166" t="s">
        <v>1158</v>
      </c>
      <c r="B384" s="34" t="s">
        <v>1194</v>
      </c>
      <c r="C384" s="34" t="str">
        <f>VLOOKUP(Observaciones[Caso de Prueba],CasoPrueba[[#All],[Código CP]:[Prioridad]],7,TRUE)</f>
        <v>Alta</v>
      </c>
      <c r="D384" s="34" t="s">
        <v>162</v>
      </c>
      <c r="E384" s="34" t="s">
        <v>47</v>
      </c>
      <c r="F384" s="73">
        <v>40852</v>
      </c>
      <c r="H384" s="94" t="s">
        <v>132</v>
      </c>
      <c r="I384" s="34" t="s">
        <v>1193</v>
      </c>
      <c r="J384" s="34" t="s">
        <v>1274</v>
      </c>
      <c r="K384" s="34">
        <f>IF((Observaciones[[#This Row],[Fecha Levantamiento]]-Observaciones[[#This Row],[Fecha Detección]])&gt;=0,Observaciones[[#This Row],[Fecha Levantamiento]]-Observaciones[[#This Row],[Fecha Detección]]+1,0)</f>
        <v>0</v>
      </c>
      <c r="L384" s="34" t="str">
        <f>LOOKUP(Observaciones[[#This Row],[Caso de Prueba]],CasoPrueba[Código CP],CasoPrueba[Código de REQ])</f>
        <v>INSPECCIÓN</v>
      </c>
    </row>
    <row r="385" spans="1:12" ht="60" hidden="1">
      <c r="A385" s="166" t="s">
        <v>1159</v>
      </c>
      <c r="B385" s="34" t="s">
        <v>1194</v>
      </c>
      <c r="C385" s="34" t="str">
        <f>VLOOKUP(Observaciones[Caso de Prueba],CasoPrueba[[#All],[Código CP]:[Prioridad]],7,TRUE)</f>
        <v>Alta</v>
      </c>
      <c r="D385" s="34" t="s">
        <v>28</v>
      </c>
      <c r="E385" s="34" t="s">
        <v>47</v>
      </c>
      <c r="F385" s="73">
        <v>40852</v>
      </c>
      <c r="H385" s="94" t="s">
        <v>132</v>
      </c>
      <c r="I385" s="34" t="s">
        <v>1195</v>
      </c>
      <c r="J385" s="34" t="s">
        <v>1275</v>
      </c>
      <c r="K385" s="34">
        <f>IF((Observaciones[[#This Row],[Fecha Levantamiento]]-Observaciones[[#This Row],[Fecha Detección]])&gt;=0,Observaciones[[#This Row],[Fecha Levantamiento]]-Observaciones[[#This Row],[Fecha Detección]]+1,0)</f>
        <v>0</v>
      </c>
      <c r="L385" s="34" t="str">
        <f>LOOKUP(Observaciones[[#This Row],[Caso de Prueba]],CasoPrueba[Código CP],CasoPrueba[Código de REQ])</f>
        <v>INSPECCIÓN</v>
      </c>
    </row>
    <row r="386" spans="1:12" ht="60" hidden="1">
      <c r="A386" s="166" t="s">
        <v>1160</v>
      </c>
      <c r="B386" s="34" t="s">
        <v>1194</v>
      </c>
      <c r="C386" s="34" t="str">
        <f>VLOOKUP(Observaciones[Caso de Prueba],CasoPrueba[[#All],[Código CP]:[Prioridad]],7,TRUE)</f>
        <v>Alta</v>
      </c>
      <c r="D386" s="34" t="s">
        <v>28</v>
      </c>
      <c r="E386" s="34" t="s">
        <v>47</v>
      </c>
      <c r="F386" s="73">
        <v>40852</v>
      </c>
      <c r="H386" s="94" t="s">
        <v>132</v>
      </c>
      <c r="I386" s="34" t="s">
        <v>1196</v>
      </c>
      <c r="J386" s="34" t="s">
        <v>1277</v>
      </c>
      <c r="K386" s="34">
        <f>IF((Observaciones[[#This Row],[Fecha Levantamiento]]-Observaciones[[#This Row],[Fecha Detección]])&gt;=0,Observaciones[[#This Row],[Fecha Levantamiento]]-Observaciones[[#This Row],[Fecha Detección]]+1,0)</f>
        <v>0</v>
      </c>
      <c r="L386" s="34" t="str">
        <f>LOOKUP(Observaciones[[#This Row],[Caso de Prueba]],CasoPrueba[Código CP],CasoPrueba[Código de REQ])</f>
        <v>INSPECCIÓN</v>
      </c>
    </row>
    <row r="387" spans="1:12" ht="120" hidden="1">
      <c r="A387" s="166" t="s">
        <v>1161</v>
      </c>
      <c r="B387" s="34" t="s">
        <v>1194</v>
      </c>
      <c r="C387" s="34" t="str">
        <f>VLOOKUP(Observaciones[Caso de Prueba],CasoPrueba[[#All],[Código CP]:[Prioridad]],7,TRUE)</f>
        <v>Alta</v>
      </c>
      <c r="D387" s="34" t="s">
        <v>28</v>
      </c>
      <c r="E387" s="34" t="s">
        <v>47</v>
      </c>
      <c r="F387" s="73">
        <v>40852</v>
      </c>
      <c r="H387" s="94" t="s">
        <v>132</v>
      </c>
      <c r="I387" s="34" t="s">
        <v>1197</v>
      </c>
      <c r="J387" s="34" t="s">
        <v>1276</v>
      </c>
      <c r="K387" s="34">
        <f>IF((Observaciones[[#This Row],[Fecha Levantamiento]]-Observaciones[[#This Row],[Fecha Detección]])&gt;=0,Observaciones[[#This Row],[Fecha Levantamiento]]-Observaciones[[#This Row],[Fecha Detección]]+1,0)</f>
        <v>0</v>
      </c>
      <c r="L387" s="34" t="str">
        <f>LOOKUP(Observaciones[[#This Row],[Caso de Prueba]],CasoPrueba[Código CP],CasoPrueba[Código de REQ])</f>
        <v>INSPECCIÓN</v>
      </c>
    </row>
    <row r="388" spans="1:12" ht="30" hidden="1">
      <c r="A388" s="166" t="s">
        <v>1162</v>
      </c>
      <c r="B388" s="34" t="s">
        <v>1194</v>
      </c>
      <c r="C388" s="34" t="str">
        <f>VLOOKUP(Observaciones[Caso de Prueba],CasoPrueba[[#All],[Código CP]:[Prioridad]],7,TRUE)</f>
        <v>Alta</v>
      </c>
      <c r="D388" s="34" t="s">
        <v>162</v>
      </c>
      <c r="E388" s="34" t="s">
        <v>47</v>
      </c>
      <c r="F388" s="73">
        <v>40852</v>
      </c>
      <c r="H388" s="94" t="s">
        <v>132</v>
      </c>
      <c r="I388" s="34" t="s">
        <v>1200</v>
      </c>
      <c r="J388" s="34" t="s">
        <v>234</v>
      </c>
      <c r="K388" s="34">
        <f>IF((Observaciones[[#This Row],[Fecha Levantamiento]]-Observaciones[[#This Row],[Fecha Detección]])&gt;=0,Observaciones[[#This Row],[Fecha Levantamiento]]-Observaciones[[#This Row],[Fecha Detección]]+1,0)</f>
        <v>0</v>
      </c>
      <c r="L388" s="34" t="str">
        <f>LOOKUP(Observaciones[[#This Row],[Caso de Prueba]],CasoPrueba[Código CP],CasoPrueba[Código de REQ])</f>
        <v>INSPECCIÓN</v>
      </c>
    </row>
    <row r="389" spans="1:12" ht="60" hidden="1">
      <c r="A389" s="166" t="s">
        <v>1163</v>
      </c>
      <c r="B389" s="34" t="s">
        <v>1194</v>
      </c>
      <c r="C389" s="34" t="str">
        <f>VLOOKUP(Observaciones[Caso de Prueba],CasoPrueba[[#All],[Código CP]:[Prioridad]],7,TRUE)</f>
        <v>Alta</v>
      </c>
      <c r="D389" s="34" t="s">
        <v>30</v>
      </c>
      <c r="E389" s="34" t="s">
        <v>47</v>
      </c>
      <c r="F389" s="73">
        <v>40852</v>
      </c>
      <c r="H389" s="94" t="s">
        <v>132</v>
      </c>
      <c r="I389" s="34" t="s">
        <v>1201</v>
      </c>
      <c r="J389" s="34" t="s">
        <v>1281</v>
      </c>
      <c r="K389" s="34">
        <f>IF((Observaciones[[#This Row],[Fecha Levantamiento]]-Observaciones[[#This Row],[Fecha Detección]])&gt;=0,Observaciones[[#This Row],[Fecha Levantamiento]]-Observaciones[[#This Row],[Fecha Detección]]+1,0)</f>
        <v>0</v>
      </c>
      <c r="L389" s="34" t="str">
        <f>LOOKUP(Observaciones[[#This Row],[Caso de Prueba]],CasoPrueba[Código CP],CasoPrueba[Código de REQ])</f>
        <v>INSPECCIÓN</v>
      </c>
    </row>
    <row r="390" spans="1:12" ht="30" hidden="1">
      <c r="A390" s="166" t="s">
        <v>1164</v>
      </c>
      <c r="B390" s="34" t="s">
        <v>1194</v>
      </c>
      <c r="C390" s="34" t="str">
        <f>VLOOKUP(Observaciones[Caso de Prueba],CasoPrueba[[#All],[Código CP]:[Prioridad]],7,TRUE)</f>
        <v>Alta</v>
      </c>
      <c r="D390" s="34" t="s">
        <v>162</v>
      </c>
      <c r="E390" s="34" t="s">
        <v>47</v>
      </c>
      <c r="F390" s="73">
        <v>40852</v>
      </c>
      <c r="H390" s="94" t="s">
        <v>132</v>
      </c>
      <c r="I390" s="34" t="s">
        <v>1202</v>
      </c>
      <c r="J390" s="34" t="s">
        <v>234</v>
      </c>
      <c r="K390" s="34">
        <f>IF((Observaciones[[#This Row],[Fecha Levantamiento]]-Observaciones[[#This Row],[Fecha Detección]])&gt;=0,Observaciones[[#This Row],[Fecha Levantamiento]]-Observaciones[[#This Row],[Fecha Detección]]+1,0)</f>
        <v>0</v>
      </c>
      <c r="L390" s="34" t="str">
        <f>LOOKUP(Observaciones[[#This Row],[Caso de Prueba]],CasoPrueba[Código CP],CasoPrueba[Código de REQ])</f>
        <v>INSPECCIÓN</v>
      </c>
    </row>
    <row r="391" spans="1:12" ht="30" hidden="1">
      <c r="A391" s="166" t="s">
        <v>1165</v>
      </c>
      <c r="B391" s="34" t="s">
        <v>1194</v>
      </c>
      <c r="C391" s="34" t="str">
        <f>VLOOKUP(Observaciones[Caso de Prueba],CasoPrueba[[#All],[Código CP]:[Prioridad]],7,TRUE)</f>
        <v>Alta</v>
      </c>
      <c r="D391" s="34" t="s">
        <v>162</v>
      </c>
      <c r="E391" s="34" t="s">
        <v>47</v>
      </c>
      <c r="F391" s="73">
        <v>40852</v>
      </c>
      <c r="H391" s="94" t="s">
        <v>132</v>
      </c>
      <c r="I391" s="34" t="s">
        <v>1203</v>
      </c>
      <c r="J391" s="34" t="s">
        <v>234</v>
      </c>
      <c r="K391" s="34">
        <f>IF((Observaciones[[#This Row],[Fecha Levantamiento]]-Observaciones[[#This Row],[Fecha Detección]])&gt;=0,Observaciones[[#This Row],[Fecha Levantamiento]]-Observaciones[[#This Row],[Fecha Detección]]+1,0)</f>
        <v>0</v>
      </c>
      <c r="L391" s="34" t="str">
        <f>LOOKUP(Observaciones[[#This Row],[Caso de Prueba]],CasoPrueba[Código CP],CasoPrueba[Código de REQ])</f>
        <v>INSPECCIÓN</v>
      </c>
    </row>
    <row r="392" spans="1:12" ht="45" hidden="1">
      <c r="A392" s="166" t="s">
        <v>1166</v>
      </c>
      <c r="B392" s="34" t="s">
        <v>1194</v>
      </c>
      <c r="C392" s="34" t="str">
        <f>VLOOKUP(Observaciones[Caso de Prueba],CasoPrueba[[#All],[Código CP]:[Prioridad]],7,TRUE)</f>
        <v>Alta</v>
      </c>
      <c r="D392" s="34" t="s">
        <v>29</v>
      </c>
      <c r="E392" s="34" t="s">
        <v>47</v>
      </c>
      <c r="F392" s="73">
        <v>40852</v>
      </c>
      <c r="H392" s="94" t="s">
        <v>132</v>
      </c>
      <c r="I392" s="34" t="s">
        <v>1204</v>
      </c>
      <c r="J392" s="34" t="s">
        <v>1276</v>
      </c>
      <c r="K392" s="34">
        <f>IF((Observaciones[[#This Row],[Fecha Levantamiento]]-Observaciones[[#This Row],[Fecha Detección]])&gt;=0,Observaciones[[#This Row],[Fecha Levantamiento]]-Observaciones[[#This Row],[Fecha Detección]]+1,0)</f>
        <v>0</v>
      </c>
      <c r="L392" s="34" t="str">
        <f>LOOKUP(Observaciones[[#This Row],[Caso de Prueba]],CasoPrueba[Código CP],CasoPrueba[Código de REQ])</f>
        <v>INSPECCIÓN</v>
      </c>
    </row>
    <row r="393" spans="1:12" ht="60" hidden="1">
      <c r="A393" s="166" t="s">
        <v>1167</v>
      </c>
      <c r="B393" s="34" t="s">
        <v>1194</v>
      </c>
      <c r="C393" s="34" t="str">
        <f>VLOOKUP(Observaciones[Caso de Prueba],CasoPrueba[[#All],[Código CP]:[Prioridad]],7,TRUE)</f>
        <v>Alta</v>
      </c>
      <c r="D393" s="34" t="s">
        <v>29</v>
      </c>
      <c r="E393" s="34" t="s">
        <v>47</v>
      </c>
      <c r="F393" s="73">
        <v>40852</v>
      </c>
      <c r="H393" s="94" t="s">
        <v>132</v>
      </c>
      <c r="I393" s="34" t="s">
        <v>1205</v>
      </c>
      <c r="J393" s="34" t="s">
        <v>1286</v>
      </c>
      <c r="K393" s="34">
        <f>IF((Observaciones[[#This Row],[Fecha Levantamiento]]-Observaciones[[#This Row],[Fecha Detección]])&gt;=0,Observaciones[[#This Row],[Fecha Levantamiento]]-Observaciones[[#This Row],[Fecha Detección]]+1,0)</f>
        <v>0</v>
      </c>
      <c r="L393" s="34" t="str">
        <f>LOOKUP(Observaciones[[#This Row],[Caso de Prueba]],CasoPrueba[Código CP],CasoPrueba[Código de REQ])</f>
        <v>INSPECCIÓN</v>
      </c>
    </row>
    <row r="394" spans="1:12" ht="45" hidden="1">
      <c r="A394" s="166" t="s">
        <v>1168</v>
      </c>
      <c r="B394" s="34" t="s">
        <v>1194</v>
      </c>
      <c r="C394" s="34" t="str">
        <f>VLOOKUP(Observaciones[Caso de Prueba],CasoPrueba[[#All],[Código CP]:[Prioridad]],7,TRUE)</f>
        <v>Alta</v>
      </c>
      <c r="D394" s="34" t="s">
        <v>29</v>
      </c>
      <c r="E394" s="34" t="s">
        <v>47</v>
      </c>
      <c r="F394" s="73">
        <v>40852</v>
      </c>
      <c r="H394" s="94" t="s">
        <v>132</v>
      </c>
      <c r="I394" s="34" t="s">
        <v>1206</v>
      </c>
      <c r="J394" s="34" t="s">
        <v>1285</v>
      </c>
      <c r="K394" s="34">
        <f>IF((Observaciones[[#This Row],[Fecha Levantamiento]]-Observaciones[[#This Row],[Fecha Detección]])&gt;=0,Observaciones[[#This Row],[Fecha Levantamiento]]-Observaciones[[#This Row],[Fecha Detección]]+1,0)</f>
        <v>0</v>
      </c>
      <c r="L394" s="34" t="str">
        <f>LOOKUP(Observaciones[[#This Row],[Caso de Prueba]],CasoPrueba[Código CP],CasoPrueba[Código de REQ])</f>
        <v>INSPECCIÓN</v>
      </c>
    </row>
    <row r="395" spans="1:12" ht="60" hidden="1">
      <c r="A395" s="166" t="s">
        <v>1169</v>
      </c>
      <c r="B395" s="34" t="s">
        <v>1194</v>
      </c>
      <c r="C395" s="34" t="str">
        <f>VLOOKUP(Observaciones[Caso de Prueba],CasoPrueba[[#All],[Código CP]:[Prioridad]],7,TRUE)</f>
        <v>Alta</v>
      </c>
      <c r="D395" s="34" t="s">
        <v>29</v>
      </c>
      <c r="E395" s="34" t="s">
        <v>47</v>
      </c>
      <c r="F395" s="73">
        <v>40852</v>
      </c>
      <c r="H395" s="94" t="s">
        <v>132</v>
      </c>
      <c r="I395" s="34" t="s">
        <v>1207</v>
      </c>
      <c r="J395" s="34" t="s">
        <v>1287</v>
      </c>
      <c r="K395" s="34">
        <f>IF((Observaciones[[#This Row],[Fecha Levantamiento]]-Observaciones[[#This Row],[Fecha Detección]])&gt;=0,Observaciones[[#This Row],[Fecha Levantamiento]]-Observaciones[[#This Row],[Fecha Detección]]+1,0)</f>
        <v>0</v>
      </c>
      <c r="L395" s="34" t="str">
        <f>LOOKUP(Observaciones[[#This Row],[Caso de Prueba]],CasoPrueba[Código CP],CasoPrueba[Código de REQ])</f>
        <v>INSPECCIÓN</v>
      </c>
    </row>
    <row r="396" spans="1:12" ht="60" hidden="1">
      <c r="A396" s="166" t="s">
        <v>1170</v>
      </c>
      <c r="B396" s="34" t="s">
        <v>1194</v>
      </c>
      <c r="C396" s="34" t="str">
        <f>VLOOKUP(Observaciones[Caso de Prueba],CasoPrueba[[#All],[Código CP]:[Prioridad]],7,TRUE)</f>
        <v>Alta</v>
      </c>
      <c r="D396" s="34" t="s">
        <v>29</v>
      </c>
      <c r="E396" s="34" t="s">
        <v>47</v>
      </c>
      <c r="F396" s="73">
        <v>40852</v>
      </c>
      <c r="H396" s="94" t="s">
        <v>132</v>
      </c>
      <c r="I396" s="34" t="s">
        <v>1208</v>
      </c>
      <c r="J396" s="34" t="s">
        <v>1288</v>
      </c>
      <c r="K396" s="34">
        <f>IF((Observaciones[[#This Row],[Fecha Levantamiento]]-Observaciones[[#This Row],[Fecha Detección]])&gt;=0,Observaciones[[#This Row],[Fecha Levantamiento]]-Observaciones[[#This Row],[Fecha Detección]]+1,0)</f>
        <v>0</v>
      </c>
      <c r="L396" s="34" t="str">
        <f>LOOKUP(Observaciones[[#This Row],[Caso de Prueba]],CasoPrueba[Código CP],CasoPrueba[Código de REQ])</f>
        <v>INSPECCIÓN</v>
      </c>
    </row>
    <row r="397" spans="1:12" ht="45" hidden="1">
      <c r="A397" s="166" t="s">
        <v>1171</v>
      </c>
      <c r="B397" s="34" t="s">
        <v>1194</v>
      </c>
      <c r="C397" s="34" t="str">
        <f>VLOOKUP(Observaciones[Caso de Prueba],CasoPrueba[[#All],[Código CP]:[Prioridad]],7,TRUE)</f>
        <v>Alta</v>
      </c>
      <c r="D397" s="34" t="s">
        <v>29</v>
      </c>
      <c r="E397" s="34" t="s">
        <v>47</v>
      </c>
      <c r="F397" s="73">
        <v>40852</v>
      </c>
      <c r="H397" s="94" t="s">
        <v>132</v>
      </c>
      <c r="I397" s="34" t="s">
        <v>1209</v>
      </c>
      <c r="J397" s="34" t="s">
        <v>1288</v>
      </c>
      <c r="K397" s="34">
        <f>IF((Observaciones[[#This Row],[Fecha Levantamiento]]-Observaciones[[#This Row],[Fecha Detección]])&gt;=0,Observaciones[[#This Row],[Fecha Levantamiento]]-Observaciones[[#This Row],[Fecha Detección]]+1,0)</f>
        <v>0</v>
      </c>
      <c r="L397" s="34" t="str">
        <f>LOOKUP(Observaciones[[#This Row],[Caso de Prueba]],CasoPrueba[Código CP],CasoPrueba[Código de REQ])</f>
        <v>INSPECCIÓN</v>
      </c>
    </row>
    <row r="398" spans="1:12" ht="45" hidden="1">
      <c r="A398" s="166" t="s">
        <v>1172</v>
      </c>
      <c r="B398" s="34" t="s">
        <v>1194</v>
      </c>
      <c r="C398" s="34" t="str">
        <f>VLOOKUP(Observaciones[Caso de Prueba],CasoPrueba[[#All],[Código CP]:[Prioridad]],7,TRUE)</f>
        <v>Alta</v>
      </c>
      <c r="D398" s="34" t="s">
        <v>29</v>
      </c>
      <c r="E398" s="34" t="s">
        <v>47</v>
      </c>
      <c r="F398" s="73">
        <v>40852</v>
      </c>
      <c r="H398" s="94" t="s">
        <v>132</v>
      </c>
      <c r="I398" s="34" t="s">
        <v>1210</v>
      </c>
      <c r="J398" s="34" t="s">
        <v>1286</v>
      </c>
      <c r="K398" s="34">
        <f>IF((Observaciones[[#This Row],[Fecha Levantamiento]]-Observaciones[[#This Row],[Fecha Detección]])&gt;=0,Observaciones[[#This Row],[Fecha Levantamiento]]-Observaciones[[#This Row],[Fecha Detección]]+1,0)</f>
        <v>0</v>
      </c>
      <c r="L398" s="34" t="str">
        <f>LOOKUP(Observaciones[[#This Row],[Caso de Prueba]],CasoPrueba[Código CP],CasoPrueba[Código de REQ])</f>
        <v>INSPECCIÓN</v>
      </c>
    </row>
    <row r="399" spans="1:12" ht="60">
      <c r="A399" s="166" t="s">
        <v>1173</v>
      </c>
      <c r="B399" s="34" t="s">
        <v>1194</v>
      </c>
      <c r="C399" s="34" t="str">
        <f>VLOOKUP(Observaciones[Caso de Prueba],CasoPrueba[[#All],[Código CP]:[Prioridad]],7,TRUE)</f>
        <v>Alta</v>
      </c>
      <c r="D399" s="34" t="s">
        <v>29</v>
      </c>
      <c r="E399" s="34" t="s">
        <v>47</v>
      </c>
      <c r="F399" s="73">
        <v>40852</v>
      </c>
      <c r="H399" s="94" t="s">
        <v>132</v>
      </c>
      <c r="I399" s="34" t="s">
        <v>1211</v>
      </c>
      <c r="K399" s="34">
        <f>IF((Observaciones[[#This Row],[Fecha Levantamiento]]-Observaciones[[#This Row],[Fecha Detección]])&gt;=0,Observaciones[[#This Row],[Fecha Levantamiento]]-Observaciones[[#This Row],[Fecha Detección]]+1,0)</f>
        <v>0</v>
      </c>
      <c r="L399" s="34" t="str">
        <f>LOOKUP(Observaciones[[#This Row],[Caso de Prueba]],CasoPrueba[Código CP],CasoPrueba[Código de REQ])</f>
        <v>INSPECCIÓN</v>
      </c>
    </row>
    <row r="400" spans="1:12" ht="45" hidden="1">
      <c r="A400" s="166" t="s">
        <v>1174</v>
      </c>
      <c r="B400" s="34" t="s">
        <v>1194</v>
      </c>
      <c r="C400" s="34" t="str">
        <f>VLOOKUP(Observaciones[Caso de Prueba],CasoPrueba[[#All],[Código CP]:[Prioridad]],7,TRUE)</f>
        <v>Alta</v>
      </c>
      <c r="D400" s="34" t="s">
        <v>30</v>
      </c>
      <c r="E400" s="34" t="s">
        <v>47</v>
      </c>
      <c r="F400" s="73">
        <v>40852</v>
      </c>
      <c r="H400" s="94" t="s">
        <v>132</v>
      </c>
      <c r="I400" s="34" t="s">
        <v>1212</v>
      </c>
      <c r="J400" s="34" t="s">
        <v>1282</v>
      </c>
      <c r="K400" s="34">
        <f>IF((Observaciones[[#This Row],[Fecha Levantamiento]]-Observaciones[[#This Row],[Fecha Detección]])&gt;=0,Observaciones[[#This Row],[Fecha Levantamiento]]-Observaciones[[#This Row],[Fecha Detección]]+1,0)</f>
        <v>0</v>
      </c>
      <c r="L400" s="34" t="str">
        <f>LOOKUP(Observaciones[[#This Row],[Caso de Prueba]],CasoPrueba[Código CP],CasoPrueba[Código de REQ])</f>
        <v>INSPECCIÓN</v>
      </c>
    </row>
    <row r="401" spans="1:12" ht="45" hidden="1">
      <c r="A401" s="166" t="s">
        <v>1175</v>
      </c>
      <c r="B401" s="34" t="s">
        <v>1194</v>
      </c>
      <c r="C401" s="34" t="str">
        <f>VLOOKUP(Observaciones[Caso de Prueba],CasoPrueba[[#All],[Código CP]:[Prioridad]],7,TRUE)</f>
        <v>Alta</v>
      </c>
      <c r="D401" s="34" t="s">
        <v>30</v>
      </c>
      <c r="E401" s="34" t="s">
        <v>47</v>
      </c>
      <c r="F401" s="73">
        <v>40852</v>
      </c>
      <c r="H401" s="94" t="s">
        <v>132</v>
      </c>
      <c r="I401" s="34" t="s">
        <v>1213</v>
      </c>
      <c r="J401" s="34" t="s">
        <v>1283</v>
      </c>
      <c r="K401" s="34">
        <f>IF((Observaciones[[#This Row],[Fecha Levantamiento]]-Observaciones[[#This Row],[Fecha Detección]])&gt;=0,Observaciones[[#This Row],[Fecha Levantamiento]]-Observaciones[[#This Row],[Fecha Detección]]+1,0)</f>
        <v>0</v>
      </c>
      <c r="L401" s="34" t="str">
        <f>LOOKUP(Observaciones[[#This Row],[Caso de Prueba]],CasoPrueba[Código CP],CasoPrueba[Código de REQ])</f>
        <v>INSPECCIÓN</v>
      </c>
    </row>
    <row r="402" spans="1:12">
      <c r="A402" s="166" t="s">
        <v>1176</v>
      </c>
      <c r="B402" s="34" t="s">
        <v>1194</v>
      </c>
      <c r="C402" s="34" t="str">
        <f>VLOOKUP(Observaciones[Caso de Prueba],CasoPrueba[[#All],[Código CP]:[Prioridad]],7,TRUE)</f>
        <v>Alta</v>
      </c>
      <c r="D402" s="34" t="s">
        <v>29</v>
      </c>
      <c r="E402" s="34" t="s">
        <v>47</v>
      </c>
      <c r="F402" s="73">
        <v>40852</v>
      </c>
      <c r="H402" s="94" t="s">
        <v>132</v>
      </c>
      <c r="I402" s="34" t="s">
        <v>1214</v>
      </c>
      <c r="K402" s="34">
        <f>IF((Observaciones[[#This Row],[Fecha Levantamiento]]-Observaciones[[#This Row],[Fecha Detección]])&gt;=0,Observaciones[[#This Row],[Fecha Levantamiento]]-Observaciones[[#This Row],[Fecha Detección]]+1,0)</f>
        <v>0</v>
      </c>
      <c r="L402" s="34" t="str">
        <f>LOOKUP(Observaciones[[#This Row],[Caso de Prueba]],CasoPrueba[Código CP],CasoPrueba[Código de REQ])</f>
        <v>INSPECCIÓN</v>
      </c>
    </row>
    <row r="403" spans="1:12" ht="45" hidden="1">
      <c r="A403" s="166" t="s">
        <v>1177</v>
      </c>
      <c r="B403" s="34" t="s">
        <v>1194</v>
      </c>
      <c r="C403" s="34" t="str">
        <f>VLOOKUP(Observaciones[Caso de Prueba],CasoPrueba[[#All],[Código CP]:[Prioridad]],7,TRUE)</f>
        <v>Alta</v>
      </c>
      <c r="D403" s="34" t="s">
        <v>29</v>
      </c>
      <c r="E403" s="34" t="s">
        <v>47</v>
      </c>
      <c r="F403" s="73">
        <v>40852</v>
      </c>
      <c r="H403" s="94" t="s">
        <v>132</v>
      </c>
      <c r="I403" s="34" t="s">
        <v>1215</v>
      </c>
      <c r="J403" s="34" t="s">
        <v>1286</v>
      </c>
      <c r="K403" s="34">
        <f>IF((Observaciones[[#This Row],[Fecha Levantamiento]]-Observaciones[[#This Row],[Fecha Detección]])&gt;=0,Observaciones[[#This Row],[Fecha Levantamiento]]-Observaciones[[#This Row],[Fecha Detección]]+1,0)</f>
        <v>0</v>
      </c>
      <c r="L403" s="34" t="str">
        <f>LOOKUP(Observaciones[[#This Row],[Caso de Prueba]],CasoPrueba[Código CP],CasoPrueba[Código de REQ])</f>
        <v>INSPECCIÓN</v>
      </c>
    </row>
    <row r="404" spans="1:12" ht="30">
      <c r="A404" s="166" t="s">
        <v>1178</v>
      </c>
      <c r="B404" s="34" t="s">
        <v>1194</v>
      </c>
      <c r="C404" s="34" t="str">
        <f>VLOOKUP(Observaciones[Caso de Prueba],CasoPrueba[[#All],[Código CP]:[Prioridad]],7,TRUE)</f>
        <v>Alta</v>
      </c>
      <c r="D404" s="34" t="s">
        <v>29</v>
      </c>
      <c r="E404" s="34" t="s">
        <v>47</v>
      </c>
      <c r="F404" s="73">
        <v>40852</v>
      </c>
      <c r="H404" s="94" t="s">
        <v>132</v>
      </c>
      <c r="I404" s="34" t="s">
        <v>1216</v>
      </c>
      <c r="K404" s="34">
        <f>IF((Observaciones[[#This Row],[Fecha Levantamiento]]-Observaciones[[#This Row],[Fecha Detección]])&gt;=0,Observaciones[[#This Row],[Fecha Levantamiento]]-Observaciones[[#This Row],[Fecha Detección]]+1,0)</f>
        <v>0</v>
      </c>
      <c r="L404" s="34" t="str">
        <f>LOOKUP(Observaciones[[#This Row],[Caso de Prueba]],CasoPrueba[Código CP],CasoPrueba[Código de REQ])</f>
        <v>INSPECCIÓN</v>
      </c>
    </row>
    <row r="405" spans="1:12" ht="30">
      <c r="A405" s="166" t="s">
        <v>1179</v>
      </c>
      <c r="B405" s="34" t="s">
        <v>1194</v>
      </c>
      <c r="C405" s="34" t="str">
        <f>VLOOKUP(Observaciones[Caso de Prueba],CasoPrueba[[#All],[Código CP]:[Prioridad]],7,TRUE)</f>
        <v>Alta</v>
      </c>
      <c r="D405" s="34" t="s">
        <v>29</v>
      </c>
      <c r="E405" s="34" t="s">
        <v>47</v>
      </c>
      <c r="F405" s="73">
        <v>40852</v>
      </c>
      <c r="H405" s="94" t="s">
        <v>132</v>
      </c>
      <c r="I405" s="34" t="s">
        <v>1217</v>
      </c>
      <c r="K405" s="34">
        <f>IF((Observaciones[[#This Row],[Fecha Levantamiento]]-Observaciones[[#This Row],[Fecha Detección]])&gt;=0,Observaciones[[#This Row],[Fecha Levantamiento]]-Observaciones[[#This Row],[Fecha Detección]]+1,0)</f>
        <v>0</v>
      </c>
      <c r="L405" s="34" t="str">
        <f>LOOKUP(Observaciones[[#This Row],[Caso de Prueba]],CasoPrueba[Código CP],CasoPrueba[Código de REQ])</f>
        <v>INSPECCIÓN</v>
      </c>
    </row>
    <row r="406" spans="1:12" ht="30">
      <c r="A406" s="166" t="s">
        <v>1180</v>
      </c>
      <c r="B406" s="34" t="s">
        <v>1194</v>
      </c>
      <c r="C406" s="34" t="str">
        <f>VLOOKUP(Observaciones[Caso de Prueba],CasoPrueba[[#All],[Código CP]:[Prioridad]],7,TRUE)</f>
        <v>Alta</v>
      </c>
      <c r="D406" s="34" t="s">
        <v>29</v>
      </c>
      <c r="E406" s="34" t="s">
        <v>47</v>
      </c>
      <c r="F406" s="73">
        <v>40852</v>
      </c>
      <c r="H406" s="94" t="s">
        <v>132</v>
      </c>
      <c r="I406" s="34" t="s">
        <v>1218</v>
      </c>
      <c r="K406" s="34">
        <f>IF((Observaciones[[#This Row],[Fecha Levantamiento]]-Observaciones[[#This Row],[Fecha Detección]])&gt;=0,Observaciones[[#This Row],[Fecha Levantamiento]]-Observaciones[[#This Row],[Fecha Detección]]+1,0)</f>
        <v>0</v>
      </c>
      <c r="L406" s="34" t="str">
        <f>LOOKUP(Observaciones[[#This Row],[Caso de Prueba]],CasoPrueba[Código CP],CasoPrueba[Código de REQ])</f>
        <v>INSPECCIÓN</v>
      </c>
    </row>
    <row r="407" spans="1:12" ht="45">
      <c r="A407" s="166" t="s">
        <v>1181</v>
      </c>
      <c r="B407" s="34" t="s">
        <v>1194</v>
      </c>
      <c r="C407" s="34" t="str">
        <f>VLOOKUP(Observaciones[Caso de Prueba],CasoPrueba[[#All],[Código CP]:[Prioridad]],7,TRUE)</f>
        <v>Alta</v>
      </c>
      <c r="D407" s="34" t="s">
        <v>29</v>
      </c>
      <c r="E407" s="34" t="s">
        <v>47</v>
      </c>
      <c r="F407" s="73">
        <v>40852</v>
      </c>
      <c r="H407" s="94" t="s">
        <v>132</v>
      </c>
      <c r="I407" s="34" t="s">
        <v>1219</v>
      </c>
      <c r="K407" s="34">
        <f>IF((Observaciones[[#This Row],[Fecha Levantamiento]]-Observaciones[[#This Row],[Fecha Detección]])&gt;=0,Observaciones[[#This Row],[Fecha Levantamiento]]-Observaciones[[#This Row],[Fecha Detección]]+1,0)</f>
        <v>0</v>
      </c>
      <c r="L407" s="34" t="str">
        <f>LOOKUP(Observaciones[[#This Row],[Caso de Prueba]],CasoPrueba[Código CP],CasoPrueba[Código de REQ])</f>
        <v>INSPECCIÓN</v>
      </c>
    </row>
    <row r="408" spans="1:12" ht="30">
      <c r="A408" s="166" t="s">
        <v>1182</v>
      </c>
      <c r="B408" s="34" t="s">
        <v>1194</v>
      </c>
      <c r="C408" s="34" t="str">
        <f>VLOOKUP(Observaciones[Caso de Prueba],CasoPrueba[[#All],[Código CP]:[Prioridad]],7,TRUE)</f>
        <v>Alta</v>
      </c>
      <c r="D408" s="34" t="s">
        <v>29</v>
      </c>
      <c r="E408" s="34" t="s">
        <v>47</v>
      </c>
      <c r="F408" s="73">
        <v>40852</v>
      </c>
      <c r="H408" s="94" t="s">
        <v>132</v>
      </c>
      <c r="I408" s="34" t="s">
        <v>1220</v>
      </c>
      <c r="K408" s="34">
        <f>IF((Observaciones[[#This Row],[Fecha Levantamiento]]-Observaciones[[#This Row],[Fecha Detección]])&gt;=0,Observaciones[[#This Row],[Fecha Levantamiento]]-Observaciones[[#This Row],[Fecha Detección]]+1,0)</f>
        <v>0</v>
      </c>
      <c r="L408" s="34" t="str">
        <f>LOOKUP(Observaciones[[#This Row],[Caso de Prueba]],CasoPrueba[Código CP],CasoPrueba[Código de REQ])</f>
        <v>INSPECCIÓN</v>
      </c>
    </row>
    <row r="409" spans="1:12" ht="30">
      <c r="A409" s="166" t="s">
        <v>1183</v>
      </c>
      <c r="B409" s="34" t="s">
        <v>1194</v>
      </c>
      <c r="C409" s="34" t="str">
        <f>VLOOKUP(Observaciones[Caso de Prueba],CasoPrueba[[#All],[Código CP]:[Prioridad]],7,TRUE)</f>
        <v>Alta</v>
      </c>
      <c r="D409" s="34" t="s">
        <v>29</v>
      </c>
      <c r="E409" s="34" t="s">
        <v>47</v>
      </c>
      <c r="F409" s="73">
        <v>40852</v>
      </c>
      <c r="H409" s="94" t="s">
        <v>132</v>
      </c>
      <c r="I409" s="34" t="s">
        <v>1221</v>
      </c>
      <c r="K409" s="34">
        <f>IF((Observaciones[[#This Row],[Fecha Levantamiento]]-Observaciones[[#This Row],[Fecha Detección]])&gt;=0,Observaciones[[#This Row],[Fecha Levantamiento]]-Observaciones[[#This Row],[Fecha Detección]]+1,0)</f>
        <v>0</v>
      </c>
      <c r="L409" s="34" t="str">
        <f>LOOKUP(Observaciones[[#This Row],[Caso de Prueba]],CasoPrueba[Código CP],CasoPrueba[Código de REQ])</f>
        <v>INSPECCIÓN</v>
      </c>
    </row>
    <row r="410" spans="1:12" ht="30">
      <c r="A410" s="166" t="s">
        <v>1184</v>
      </c>
      <c r="B410" s="34" t="s">
        <v>1194</v>
      </c>
      <c r="C410" s="34" t="str">
        <f>VLOOKUP(Observaciones[Caso de Prueba],CasoPrueba[[#All],[Código CP]:[Prioridad]],7,TRUE)</f>
        <v>Alta</v>
      </c>
      <c r="D410" s="34" t="s">
        <v>29</v>
      </c>
      <c r="E410" s="34" t="s">
        <v>47</v>
      </c>
      <c r="F410" s="73">
        <v>40852</v>
      </c>
      <c r="H410" s="94" t="s">
        <v>132</v>
      </c>
      <c r="I410" s="34" t="s">
        <v>1222</v>
      </c>
      <c r="K410" s="34">
        <f>IF((Observaciones[[#This Row],[Fecha Levantamiento]]-Observaciones[[#This Row],[Fecha Detección]])&gt;=0,Observaciones[[#This Row],[Fecha Levantamiento]]-Observaciones[[#This Row],[Fecha Detección]]+1,0)</f>
        <v>0</v>
      </c>
      <c r="L410" s="34" t="str">
        <f>LOOKUP(Observaciones[[#This Row],[Caso de Prueba]],CasoPrueba[Código CP],CasoPrueba[Código de REQ])</f>
        <v>INSPECCIÓN</v>
      </c>
    </row>
    <row r="411" spans="1:12" ht="30">
      <c r="A411" s="166" t="s">
        <v>1185</v>
      </c>
      <c r="B411" s="34" t="s">
        <v>1194</v>
      </c>
      <c r="C411" s="34" t="str">
        <f>VLOOKUP(Observaciones[Caso de Prueba],CasoPrueba[[#All],[Código CP]:[Prioridad]],7,TRUE)</f>
        <v>Alta</v>
      </c>
      <c r="D411" s="34" t="s">
        <v>29</v>
      </c>
      <c r="E411" s="34" t="s">
        <v>47</v>
      </c>
      <c r="F411" s="73">
        <v>40852</v>
      </c>
      <c r="H411" s="94" t="s">
        <v>132</v>
      </c>
      <c r="I411" s="34" t="s">
        <v>1223</v>
      </c>
      <c r="K411" s="34">
        <f>IF((Observaciones[[#This Row],[Fecha Levantamiento]]-Observaciones[[#This Row],[Fecha Detección]])&gt;=0,Observaciones[[#This Row],[Fecha Levantamiento]]-Observaciones[[#This Row],[Fecha Detección]]+1,0)</f>
        <v>0</v>
      </c>
      <c r="L411" s="34" t="str">
        <f>LOOKUP(Observaciones[[#This Row],[Caso de Prueba]],CasoPrueba[Código CP],CasoPrueba[Código de REQ])</f>
        <v>INSPECCIÓN</v>
      </c>
    </row>
    <row r="412" spans="1:12" ht="45">
      <c r="A412" s="166" t="s">
        <v>1186</v>
      </c>
      <c r="B412" s="34" t="s">
        <v>1194</v>
      </c>
      <c r="C412" s="34" t="str">
        <f>VLOOKUP(Observaciones[Caso de Prueba],CasoPrueba[[#All],[Código CP]:[Prioridad]],7,TRUE)</f>
        <v>Alta</v>
      </c>
      <c r="D412" s="34" t="s">
        <v>29</v>
      </c>
      <c r="E412" s="34" t="s">
        <v>47</v>
      </c>
      <c r="F412" s="73">
        <v>40852</v>
      </c>
      <c r="H412" s="94" t="s">
        <v>132</v>
      </c>
      <c r="I412" s="34" t="s">
        <v>1224</v>
      </c>
      <c r="K412" s="34">
        <f>IF((Observaciones[[#This Row],[Fecha Levantamiento]]-Observaciones[[#This Row],[Fecha Detección]])&gt;=0,Observaciones[[#This Row],[Fecha Levantamiento]]-Observaciones[[#This Row],[Fecha Detección]]+1,0)</f>
        <v>0</v>
      </c>
      <c r="L412" s="34" t="str">
        <f>LOOKUP(Observaciones[[#This Row],[Caso de Prueba]],CasoPrueba[Código CP],CasoPrueba[Código de REQ])</f>
        <v>INSPECCIÓN</v>
      </c>
    </row>
    <row r="413" spans="1:12" ht="30" hidden="1">
      <c r="A413" s="166" t="s">
        <v>1187</v>
      </c>
      <c r="B413" s="34" t="s">
        <v>1194</v>
      </c>
      <c r="C413" s="34" t="str">
        <f>VLOOKUP(Observaciones[Caso de Prueba],CasoPrueba[[#All],[Código CP]:[Prioridad]],7,TRUE)</f>
        <v>Alta</v>
      </c>
      <c r="D413" s="34" t="s">
        <v>162</v>
      </c>
      <c r="E413" s="34" t="s">
        <v>47</v>
      </c>
      <c r="F413" s="73">
        <v>40852</v>
      </c>
      <c r="H413" s="94" t="s">
        <v>132</v>
      </c>
      <c r="I413" s="34" t="s">
        <v>1225</v>
      </c>
      <c r="J413" s="34" t="s">
        <v>234</v>
      </c>
      <c r="K413" s="34">
        <f>IF((Observaciones[[#This Row],[Fecha Levantamiento]]-Observaciones[[#This Row],[Fecha Detección]])&gt;=0,Observaciones[[#This Row],[Fecha Levantamiento]]-Observaciones[[#This Row],[Fecha Detección]]+1,0)</f>
        <v>0</v>
      </c>
      <c r="L413" s="34" t="str">
        <f>LOOKUP(Observaciones[[#This Row],[Caso de Prueba]],CasoPrueba[Código CP],CasoPrueba[Código de REQ])</f>
        <v>INSPECCIÓN</v>
      </c>
    </row>
    <row r="414" spans="1:12" ht="45" hidden="1">
      <c r="A414" s="166" t="s">
        <v>1188</v>
      </c>
      <c r="B414" s="34" t="s">
        <v>1194</v>
      </c>
      <c r="C414" s="34" t="str">
        <f>VLOOKUP(Observaciones[Caso de Prueba],CasoPrueba[[#All],[Código CP]:[Prioridad]],7,TRUE)</f>
        <v>Alta</v>
      </c>
      <c r="D414" s="34" t="s">
        <v>30</v>
      </c>
      <c r="E414" s="34" t="s">
        <v>47</v>
      </c>
      <c r="F414" s="73">
        <v>40852</v>
      </c>
      <c r="H414" s="94" t="s">
        <v>132</v>
      </c>
      <c r="I414" s="34" t="s">
        <v>1226</v>
      </c>
      <c r="J414" s="34" t="s">
        <v>1283</v>
      </c>
      <c r="K414" s="34">
        <f>IF((Observaciones[[#This Row],[Fecha Levantamiento]]-Observaciones[[#This Row],[Fecha Detección]])&gt;=0,Observaciones[[#This Row],[Fecha Levantamiento]]-Observaciones[[#This Row],[Fecha Detección]]+1,0)</f>
        <v>0</v>
      </c>
      <c r="L414" s="34" t="str">
        <f>LOOKUP(Observaciones[[#This Row],[Caso de Prueba]],CasoPrueba[Código CP],CasoPrueba[Código de REQ])</f>
        <v>INSPECCIÓN</v>
      </c>
    </row>
    <row r="415" spans="1:12" ht="30">
      <c r="A415" s="166" t="s">
        <v>1189</v>
      </c>
      <c r="B415" s="34" t="s">
        <v>1194</v>
      </c>
      <c r="C415" s="34" t="str">
        <f>VLOOKUP(Observaciones[Caso de Prueba],CasoPrueba[[#All],[Código CP]:[Prioridad]],7,TRUE)</f>
        <v>Alta</v>
      </c>
      <c r="D415" s="34" t="s">
        <v>29</v>
      </c>
      <c r="E415" s="34" t="s">
        <v>47</v>
      </c>
      <c r="F415" s="73">
        <v>40852</v>
      </c>
      <c r="H415" s="94" t="s">
        <v>132</v>
      </c>
      <c r="I415" s="34" t="s">
        <v>1227</v>
      </c>
      <c r="K415" s="34">
        <f>IF((Observaciones[[#This Row],[Fecha Levantamiento]]-Observaciones[[#This Row],[Fecha Detección]])&gt;=0,Observaciones[[#This Row],[Fecha Levantamiento]]-Observaciones[[#This Row],[Fecha Detección]]+1,0)</f>
        <v>0</v>
      </c>
      <c r="L415" s="34" t="str">
        <f>LOOKUP(Observaciones[[#This Row],[Caso de Prueba]],CasoPrueba[Código CP],CasoPrueba[Código de REQ])</f>
        <v>INSPECCIÓN</v>
      </c>
    </row>
    <row r="416" spans="1:12" ht="30">
      <c r="A416" s="166" t="s">
        <v>1190</v>
      </c>
      <c r="B416" s="34" t="s">
        <v>1194</v>
      </c>
      <c r="C416" s="34" t="str">
        <f>VLOOKUP(Observaciones[Caso de Prueba],CasoPrueba[[#All],[Código CP]:[Prioridad]],7,TRUE)</f>
        <v>Alta</v>
      </c>
      <c r="D416" s="34" t="s">
        <v>29</v>
      </c>
      <c r="E416" s="34" t="s">
        <v>47</v>
      </c>
      <c r="F416" s="73">
        <v>40852</v>
      </c>
      <c r="H416" s="94" t="s">
        <v>132</v>
      </c>
      <c r="I416" s="34" t="s">
        <v>1228</v>
      </c>
      <c r="K416" s="34">
        <f>IF((Observaciones[[#This Row],[Fecha Levantamiento]]-Observaciones[[#This Row],[Fecha Detección]])&gt;=0,Observaciones[[#This Row],[Fecha Levantamiento]]-Observaciones[[#This Row],[Fecha Detección]]+1,0)</f>
        <v>0</v>
      </c>
      <c r="L416" s="34" t="str">
        <f>LOOKUP(Observaciones[[#This Row],[Caso de Prueba]],CasoPrueba[Código CP],CasoPrueba[Código de REQ])</f>
        <v>INSPECCIÓN</v>
      </c>
    </row>
    <row r="417" spans="1:12" ht="30">
      <c r="A417" s="166" t="s">
        <v>1191</v>
      </c>
      <c r="B417" s="34" t="s">
        <v>1194</v>
      </c>
      <c r="C417" s="34" t="str">
        <f>VLOOKUP(Observaciones[Caso de Prueba],CasoPrueba[[#All],[Código CP]:[Prioridad]],7,TRUE)</f>
        <v>Alta</v>
      </c>
      <c r="D417" s="34" t="s">
        <v>29</v>
      </c>
      <c r="E417" s="34" t="s">
        <v>47</v>
      </c>
      <c r="F417" s="73">
        <v>40852</v>
      </c>
      <c r="H417" s="94" t="s">
        <v>132</v>
      </c>
      <c r="I417" s="34" t="s">
        <v>1229</v>
      </c>
      <c r="K417" s="34">
        <f>IF((Observaciones[[#This Row],[Fecha Levantamiento]]-Observaciones[[#This Row],[Fecha Detección]])&gt;=0,Observaciones[[#This Row],[Fecha Levantamiento]]-Observaciones[[#This Row],[Fecha Detección]]+1,0)</f>
        <v>0</v>
      </c>
      <c r="L417" s="34" t="str">
        <f>LOOKUP(Observaciones[[#This Row],[Caso de Prueba]],CasoPrueba[Código CP],CasoPrueba[Código de REQ])</f>
        <v>INSPECCIÓN</v>
      </c>
    </row>
    <row r="418" spans="1:12" ht="45">
      <c r="A418" s="166" t="s">
        <v>1231</v>
      </c>
      <c r="B418" s="34" t="s">
        <v>1194</v>
      </c>
      <c r="C418" s="164" t="str">
        <f>VLOOKUP(Observaciones[Caso de Prueba],CasoPrueba[[#All],[Código CP]:[Prioridad]],7,TRUE)</f>
        <v>Alta</v>
      </c>
      <c r="D418" s="34" t="s">
        <v>29</v>
      </c>
      <c r="E418" s="34" t="s">
        <v>47</v>
      </c>
      <c r="F418" s="73">
        <v>40852</v>
      </c>
      <c r="H418" s="94" t="s">
        <v>132</v>
      </c>
      <c r="I418" s="164" t="s">
        <v>1230</v>
      </c>
      <c r="J418" s="164"/>
      <c r="K418" s="164">
        <f>IF((Observaciones[[#This Row],[Fecha Levantamiento]]-Observaciones[[#This Row],[Fecha Detección]])&gt;=0,Observaciones[[#This Row],[Fecha Levantamiento]]-Observaciones[[#This Row],[Fecha Detección]]+1,0)</f>
        <v>0</v>
      </c>
      <c r="L418" s="164" t="str">
        <f>LOOKUP(Observaciones[[#This Row],[Caso de Prueba]],CasoPrueba[Código CP],CasoPrueba[Código de REQ])</f>
        <v>INSPECCIÓN</v>
      </c>
    </row>
    <row r="419" spans="1:12" ht="45">
      <c r="A419" s="166" t="s">
        <v>1232</v>
      </c>
      <c r="B419" s="34" t="s">
        <v>1194</v>
      </c>
      <c r="C419" s="34" t="str">
        <f>VLOOKUP(Observaciones[Caso de Prueba],CasoPrueba[[#All],[Código CP]:[Prioridad]],7,TRUE)</f>
        <v>Alta</v>
      </c>
      <c r="D419" s="34" t="s">
        <v>29</v>
      </c>
      <c r="E419" s="34" t="s">
        <v>47</v>
      </c>
      <c r="F419" s="73">
        <v>40852</v>
      </c>
      <c r="H419" s="94" t="s">
        <v>132</v>
      </c>
      <c r="I419" s="34" t="s">
        <v>1261</v>
      </c>
      <c r="K419" s="34">
        <f>IF((Observaciones[[#This Row],[Fecha Levantamiento]]-Observaciones[[#This Row],[Fecha Detección]])&gt;=0,Observaciones[[#This Row],[Fecha Levantamiento]]-Observaciones[[#This Row],[Fecha Detección]]+1,0)</f>
        <v>0</v>
      </c>
      <c r="L419" s="34" t="str">
        <f>LOOKUP(Observaciones[[#This Row],[Caso de Prueba]],CasoPrueba[Código CP],CasoPrueba[Código de REQ])</f>
        <v>INSPECCIÓN</v>
      </c>
    </row>
    <row r="420" spans="1:12" ht="30">
      <c r="A420" s="166" t="s">
        <v>1233</v>
      </c>
      <c r="B420" s="34" t="s">
        <v>1194</v>
      </c>
      <c r="C420" s="34" t="str">
        <f>VLOOKUP(Observaciones[Caso de Prueba],CasoPrueba[[#All],[Código CP]:[Prioridad]],7,TRUE)</f>
        <v>Alta</v>
      </c>
      <c r="D420" s="34" t="s">
        <v>29</v>
      </c>
      <c r="E420" s="34" t="s">
        <v>47</v>
      </c>
      <c r="F420" s="73">
        <v>40852</v>
      </c>
      <c r="H420" s="94" t="s">
        <v>132</v>
      </c>
      <c r="I420" s="34" t="s">
        <v>1262</v>
      </c>
      <c r="K420" s="34">
        <f>IF((Observaciones[[#This Row],[Fecha Levantamiento]]-Observaciones[[#This Row],[Fecha Detección]])&gt;=0,Observaciones[[#This Row],[Fecha Levantamiento]]-Observaciones[[#This Row],[Fecha Detección]]+1,0)</f>
        <v>0</v>
      </c>
      <c r="L420" s="34" t="str">
        <f>LOOKUP(Observaciones[[#This Row],[Caso de Prueba]],CasoPrueba[Código CP],CasoPrueba[Código de REQ])</f>
        <v>INSPECCIÓN</v>
      </c>
    </row>
    <row r="421" spans="1:12" ht="44.25" hidden="1" customHeight="1">
      <c r="A421" s="166" t="s">
        <v>1234</v>
      </c>
      <c r="B421" s="34" t="s">
        <v>1194</v>
      </c>
      <c r="C421" s="34" t="str">
        <f>VLOOKUP(Observaciones[Caso de Prueba],CasoPrueba[[#All],[Código CP]:[Prioridad]],7,TRUE)</f>
        <v>Alta</v>
      </c>
      <c r="D421" s="34" t="s">
        <v>162</v>
      </c>
      <c r="E421" s="34" t="s">
        <v>47</v>
      </c>
      <c r="F421" s="73">
        <v>40852</v>
      </c>
      <c r="H421" s="94" t="s">
        <v>132</v>
      </c>
      <c r="I421" s="34" t="s">
        <v>1263</v>
      </c>
      <c r="J421" s="34" t="s">
        <v>1278</v>
      </c>
      <c r="K421" s="34">
        <f>IF((Observaciones[[#This Row],[Fecha Levantamiento]]-Observaciones[[#This Row],[Fecha Detección]])&gt;=0,Observaciones[[#This Row],[Fecha Levantamiento]]-Observaciones[[#This Row],[Fecha Detección]]+1,0)</f>
        <v>0</v>
      </c>
      <c r="L421" s="34" t="str">
        <f>LOOKUP(Observaciones[[#This Row],[Caso de Prueba]],CasoPrueba[Código CP],CasoPrueba[Código de REQ])</f>
        <v>INSPECCIÓN</v>
      </c>
    </row>
    <row r="422" spans="1:12" ht="30" hidden="1">
      <c r="A422" s="166" t="s">
        <v>1235</v>
      </c>
      <c r="B422" s="34" t="s">
        <v>1194</v>
      </c>
      <c r="C422" s="34" t="str">
        <f>VLOOKUP(Observaciones[Caso de Prueba],CasoPrueba[[#All],[Código CP]:[Prioridad]],7,TRUE)</f>
        <v>Alta</v>
      </c>
      <c r="D422" s="34" t="s">
        <v>30</v>
      </c>
      <c r="E422" s="34" t="s">
        <v>47</v>
      </c>
      <c r="F422" s="73">
        <v>40852</v>
      </c>
      <c r="H422" s="94" t="s">
        <v>132</v>
      </c>
      <c r="I422" s="34" t="s">
        <v>1264</v>
      </c>
      <c r="J422" s="34" t="s">
        <v>857</v>
      </c>
      <c r="K422" s="34">
        <f>IF((Observaciones[[#This Row],[Fecha Levantamiento]]-Observaciones[[#This Row],[Fecha Detección]])&gt;=0,Observaciones[[#This Row],[Fecha Levantamiento]]-Observaciones[[#This Row],[Fecha Detección]]+1,0)</f>
        <v>0</v>
      </c>
      <c r="L422" s="34" t="str">
        <f>LOOKUP(Observaciones[[#This Row],[Caso de Prueba]],CasoPrueba[Código CP],CasoPrueba[Código de REQ])</f>
        <v>INSPECCIÓN</v>
      </c>
    </row>
    <row r="423" spans="1:12" ht="45" hidden="1">
      <c r="A423" s="166" t="s">
        <v>1236</v>
      </c>
      <c r="B423" s="34" t="s">
        <v>1194</v>
      </c>
      <c r="C423" s="34" t="str">
        <f>VLOOKUP(Observaciones[Caso de Prueba],CasoPrueba[[#All],[Código CP]:[Prioridad]],7,TRUE)</f>
        <v>Alta</v>
      </c>
      <c r="D423" s="34" t="s">
        <v>162</v>
      </c>
      <c r="E423" s="34" t="s">
        <v>47</v>
      </c>
      <c r="F423" s="73">
        <v>40852</v>
      </c>
      <c r="H423" s="94" t="s">
        <v>132</v>
      </c>
      <c r="I423" s="34" t="s">
        <v>1265</v>
      </c>
      <c r="J423" s="34" t="s">
        <v>196</v>
      </c>
      <c r="K423" s="34">
        <f>IF((Observaciones[[#This Row],[Fecha Levantamiento]]-Observaciones[[#This Row],[Fecha Detección]])&gt;=0,Observaciones[[#This Row],[Fecha Levantamiento]]-Observaciones[[#This Row],[Fecha Detección]]+1,0)</f>
        <v>0</v>
      </c>
      <c r="L423" s="34" t="str">
        <f>LOOKUP(Observaciones[[#This Row],[Caso de Prueba]],CasoPrueba[Código CP],CasoPrueba[Código de REQ])</f>
        <v>INSPECCIÓN</v>
      </c>
    </row>
    <row r="424" spans="1:12" ht="60" hidden="1">
      <c r="A424" s="166" t="s">
        <v>1237</v>
      </c>
      <c r="B424" s="34" t="s">
        <v>1194</v>
      </c>
      <c r="C424" s="34" t="str">
        <f>VLOOKUP(Observaciones[Caso de Prueba],CasoPrueba[[#All],[Código CP]:[Prioridad]],7,TRUE)</f>
        <v>Alta</v>
      </c>
      <c r="D424" s="34" t="s">
        <v>162</v>
      </c>
      <c r="E424" s="34" t="s">
        <v>47</v>
      </c>
      <c r="F424" s="73">
        <v>40852</v>
      </c>
      <c r="H424" s="94" t="s">
        <v>132</v>
      </c>
      <c r="I424" s="34" t="s">
        <v>1266</v>
      </c>
      <c r="J424" s="34" t="s">
        <v>196</v>
      </c>
      <c r="K424" s="34">
        <f>IF((Observaciones[[#This Row],[Fecha Levantamiento]]-Observaciones[[#This Row],[Fecha Detección]])&gt;=0,Observaciones[[#This Row],[Fecha Levantamiento]]-Observaciones[[#This Row],[Fecha Detección]]+1,0)</f>
        <v>0</v>
      </c>
      <c r="L424" s="34" t="str">
        <f>LOOKUP(Observaciones[[#This Row],[Caso de Prueba]],CasoPrueba[Código CP],CasoPrueba[Código de REQ])</f>
        <v>INSPECCIÓN</v>
      </c>
    </row>
    <row r="425" spans="1:12" ht="30" hidden="1">
      <c r="A425" s="166" t="s">
        <v>1238</v>
      </c>
      <c r="B425" s="34" t="s">
        <v>1194</v>
      </c>
      <c r="C425" s="34" t="str">
        <f>VLOOKUP(Observaciones[Caso de Prueba],CasoPrueba[[#All],[Código CP]:[Prioridad]],7,TRUE)</f>
        <v>Alta</v>
      </c>
      <c r="D425" s="34" t="s">
        <v>162</v>
      </c>
      <c r="E425" s="34" t="s">
        <v>47</v>
      </c>
      <c r="F425" s="73">
        <v>40852</v>
      </c>
      <c r="H425" s="94" t="s">
        <v>132</v>
      </c>
      <c r="I425" s="34" t="s">
        <v>1267</v>
      </c>
      <c r="J425" s="34" t="s">
        <v>1279</v>
      </c>
      <c r="K425" s="34">
        <f>IF((Observaciones[[#This Row],[Fecha Levantamiento]]-Observaciones[[#This Row],[Fecha Detección]])&gt;=0,Observaciones[[#This Row],[Fecha Levantamiento]]-Observaciones[[#This Row],[Fecha Detección]]+1,0)</f>
        <v>0</v>
      </c>
      <c r="L425" s="34" t="str">
        <f>LOOKUP(Observaciones[[#This Row],[Caso de Prueba]],CasoPrueba[Código CP],CasoPrueba[Código de REQ])</f>
        <v>INSPECCIÓN</v>
      </c>
    </row>
    <row r="426" spans="1:12" ht="45" hidden="1">
      <c r="A426" s="166" t="s">
        <v>1239</v>
      </c>
      <c r="B426" s="34" t="s">
        <v>1194</v>
      </c>
      <c r="C426" s="34" t="str">
        <f>VLOOKUP(Observaciones[Caso de Prueba],CasoPrueba[[#All],[Código CP]:[Prioridad]],7,TRUE)</f>
        <v>Alta</v>
      </c>
      <c r="D426" s="34" t="s">
        <v>30</v>
      </c>
      <c r="E426" s="34" t="s">
        <v>47</v>
      </c>
      <c r="F426" s="73">
        <v>40852</v>
      </c>
      <c r="H426" s="94" t="s">
        <v>132</v>
      </c>
      <c r="I426" s="34" t="s">
        <v>1268</v>
      </c>
      <c r="J426" s="34" t="s">
        <v>1284</v>
      </c>
      <c r="K426" s="34">
        <f>IF((Observaciones[[#This Row],[Fecha Levantamiento]]-Observaciones[[#This Row],[Fecha Detección]])&gt;=0,Observaciones[[#This Row],[Fecha Levantamiento]]-Observaciones[[#This Row],[Fecha Detección]]+1,0)</f>
        <v>0</v>
      </c>
      <c r="L426" s="34" t="str">
        <f>LOOKUP(Observaciones[[#This Row],[Caso de Prueba]],CasoPrueba[Código CP],CasoPrueba[Código de REQ])</f>
        <v>INSPECCIÓN</v>
      </c>
    </row>
    <row r="427" spans="1:12" ht="45" hidden="1">
      <c r="A427" s="166" t="s">
        <v>1240</v>
      </c>
      <c r="B427" s="34" t="s">
        <v>1194</v>
      </c>
      <c r="C427" s="34" t="str">
        <f>VLOOKUP(Observaciones[Caso de Prueba],CasoPrueba[[#All],[Código CP]:[Prioridad]],7,TRUE)</f>
        <v>Alta</v>
      </c>
      <c r="D427" s="34" t="s">
        <v>30</v>
      </c>
      <c r="E427" s="34" t="s">
        <v>47</v>
      </c>
      <c r="F427" s="73">
        <v>40852</v>
      </c>
      <c r="H427" s="94" t="s">
        <v>132</v>
      </c>
      <c r="I427" s="34" t="s">
        <v>1269</v>
      </c>
      <c r="J427" s="34" t="s">
        <v>1285</v>
      </c>
      <c r="K427" s="34">
        <f>IF((Observaciones[[#This Row],[Fecha Levantamiento]]-Observaciones[[#This Row],[Fecha Detección]])&gt;=0,Observaciones[[#This Row],[Fecha Levantamiento]]-Observaciones[[#This Row],[Fecha Detección]]+1,0)</f>
        <v>0</v>
      </c>
      <c r="L427" s="34" t="str">
        <f>LOOKUP(Observaciones[[#This Row],[Caso de Prueba]],CasoPrueba[Código CP],CasoPrueba[Código de REQ])</f>
        <v>INSPECCIÓN</v>
      </c>
    </row>
    <row r="428" spans="1:12" ht="30" hidden="1">
      <c r="A428" s="166" t="s">
        <v>1241</v>
      </c>
      <c r="B428" s="34" t="s">
        <v>1194</v>
      </c>
      <c r="C428" s="34" t="str">
        <f>VLOOKUP(Observaciones[Caso de Prueba],CasoPrueba[[#All],[Código CP]:[Prioridad]],7,TRUE)</f>
        <v>Alta</v>
      </c>
      <c r="D428" s="34" t="s">
        <v>162</v>
      </c>
      <c r="E428" s="34" t="s">
        <v>47</v>
      </c>
      <c r="F428" s="73">
        <v>40852</v>
      </c>
      <c r="H428" s="94" t="s">
        <v>132</v>
      </c>
      <c r="I428" s="34" t="s">
        <v>1270</v>
      </c>
      <c r="J428" s="34" t="s">
        <v>1280</v>
      </c>
      <c r="K428" s="34">
        <f>IF((Observaciones[[#This Row],[Fecha Levantamiento]]-Observaciones[[#This Row],[Fecha Detección]])&gt;=0,Observaciones[[#This Row],[Fecha Levantamiento]]-Observaciones[[#This Row],[Fecha Detección]]+1,0)</f>
        <v>0</v>
      </c>
      <c r="L428" s="34" t="str">
        <f>LOOKUP(Observaciones[[#This Row],[Caso de Prueba]],CasoPrueba[Código CP],CasoPrueba[Código de REQ])</f>
        <v>INSPECCIÓN</v>
      </c>
    </row>
    <row r="429" spans="1:12" ht="45">
      <c r="A429" s="166" t="s">
        <v>1242</v>
      </c>
      <c r="B429" s="34" t="s">
        <v>1194</v>
      </c>
      <c r="C429" s="34" t="str">
        <f>VLOOKUP(Observaciones[Caso de Prueba],CasoPrueba[[#All],[Código CP]:[Prioridad]],7,TRUE)</f>
        <v>Alta</v>
      </c>
      <c r="D429" s="34" t="s">
        <v>28</v>
      </c>
      <c r="E429" s="34" t="s">
        <v>47</v>
      </c>
      <c r="F429" s="73">
        <v>40852</v>
      </c>
      <c r="H429" s="94" t="s">
        <v>132</v>
      </c>
      <c r="I429" s="34" t="s">
        <v>1271</v>
      </c>
      <c r="K429" s="34">
        <f>IF((Observaciones[[#This Row],[Fecha Levantamiento]]-Observaciones[[#This Row],[Fecha Detección]])&gt;=0,Observaciones[[#This Row],[Fecha Levantamiento]]-Observaciones[[#This Row],[Fecha Detección]]+1,0)</f>
        <v>0</v>
      </c>
      <c r="L429" s="34" t="str">
        <f>LOOKUP(Observaciones[[#This Row],[Caso de Prueba]],CasoPrueba[Código CP],CasoPrueba[Código de REQ])</f>
        <v>INSPECCIÓN</v>
      </c>
    </row>
    <row r="430" spans="1:12" ht="45" hidden="1">
      <c r="A430" s="166" t="s">
        <v>1243</v>
      </c>
      <c r="B430" s="34" t="s">
        <v>1194</v>
      </c>
      <c r="C430" s="34" t="str">
        <f>VLOOKUP(Observaciones[Caso de Prueba],CasoPrueba[[#All],[Código CP]:[Prioridad]],7,TRUE)</f>
        <v>Alta</v>
      </c>
      <c r="D430" s="34" t="s">
        <v>162</v>
      </c>
      <c r="E430" s="34" t="s">
        <v>47</v>
      </c>
      <c r="F430" s="73">
        <v>40852</v>
      </c>
      <c r="H430" s="94" t="s">
        <v>132</v>
      </c>
      <c r="I430" s="34" t="s">
        <v>1272</v>
      </c>
      <c r="J430" s="34" t="s">
        <v>196</v>
      </c>
      <c r="K430" s="34">
        <f>IF((Observaciones[[#This Row],[Fecha Levantamiento]]-Observaciones[[#This Row],[Fecha Detección]])&gt;=0,Observaciones[[#This Row],[Fecha Levantamiento]]-Observaciones[[#This Row],[Fecha Detección]]+1,0)</f>
        <v>0</v>
      </c>
      <c r="L430" s="34" t="str">
        <f>LOOKUP(Observaciones[[#This Row],[Caso de Prueba]],CasoPrueba[Código CP],CasoPrueba[Código de REQ])</f>
        <v>INSPECCIÓN</v>
      </c>
    </row>
    <row r="431" spans="1:12" hidden="1">
      <c r="A431" s="166" t="s">
        <v>1244</v>
      </c>
      <c r="B431" s="34" t="s">
        <v>1194</v>
      </c>
      <c r="C431" s="34" t="str">
        <f>VLOOKUP(Observaciones[Caso de Prueba],CasoPrueba[[#All],[Código CP]:[Prioridad]],7,TRUE)</f>
        <v>Alta</v>
      </c>
      <c r="K431" s="34">
        <f>IF((Observaciones[[#This Row],[Fecha Levantamiento]]-Observaciones[[#This Row],[Fecha Detección]])&gt;=0,Observaciones[[#This Row],[Fecha Levantamiento]]-Observaciones[[#This Row],[Fecha Detección]]+1,0)</f>
        <v>1</v>
      </c>
      <c r="L431" s="34" t="str">
        <f>LOOKUP(Observaciones[[#This Row],[Caso de Prueba]],CasoPrueba[Código CP],CasoPrueba[Código de REQ])</f>
        <v>INSPECCIÓN</v>
      </c>
    </row>
    <row r="432" spans="1:12" hidden="1">
      <c r="A432" s="166" t="s">
        <v>1245</v>
      </c>
      <c r="B432" s="34" t="s">
        <v>1194</v>
      </c>
      <c r="C432" s="34" t="str">
        <f>VLOOKUP(Observaciones[Caso de Prueba],CasoPrueba[[#All],[Código CP]:[Prioridad]],7,TRUE)</f>
        <v>Alta</v>
      </c>
      <c r="K432" s="34">
        <f>IF((Observaciones[[#This Row],[Fecha Levantamiento]]-Observaciones[[#This Row],[Fecha Detección]])&gt;=0,Observaciones[[#This Row],[Fecha Levantamiento]]-Observaciones[[#This Row],[Fecha Detección]]+1,0)</f>
        <v>1</v>
      </c>
      <c r="L432" s="34" t="str">
        <f>LOOKUP(Observaciones[[#This Row],[Caso de Prueba]],CasoPrueba[Código CP],CasoPrueba[Código de REQ])</f>
        <v>INSPECCIÓN</v>
      </c>
    </row>
    <row r="433" spans="1:12" hidden="1">
      <c r="A433" s="166" t="s">
        <v>1246</v>
      </c>
      <c r="B433" s="34" t="s">
        <v>1194</v>
      </c>
      <c r="C433" s="34" t="str">
        <f>VLOOKUP(Observaciones[Caso de Prueba],CasoPrueba[[#All],[Código CP]:[Prioridad]],7,TRUE)</f>
        <v>Alta</v>
      </c>
      <c r="K433" s="34">
        <f>IF((Observaciones[[#This Row],[Fecha Levantamiento]]-Observaciones[[#This Row],[Fecha Detección]])&gt;=0,Observaciones[[#This Row],[Fecha Levantamiento]]-Observaciones[[#This Row],[Fecha Detección]]+1,0)</f>
        <v>1</v>
      </c>
      <c r="L433" s="34" t="str">
        <f>LOOKUP(Observaciones[[#This Row],[Caso de Prueba]],CasoPrueba[Código CP],CasoPrueba[Código de REQ])</f>
        <v>INSPECCIÓN</v>
      </c>
    </row>
    <row r="434" spans="1:12" hidden="1">
      <c r="A434" s="166" t="s">
        <v>1247</v>
      </c>
      <c r="B434" s="34" t="s">
        <v>1194</v>
      </c>
      <c r="C434" s="34" t="str">
        <f>VLOOKUP(Observaciones[Caso de Prueba],CasoPrueba[[#All],[Código CP]:[Prioridad]],7,TRUE)</f>
        <v>Alta</v>
      </c>
      <c r="K434" s="34">
        <f>IF((Observaciones[[#This Row],[Fecha Levantamiento]]-Observaciones[[#This Row],[Fecha Detección]])&gt;=0,Observaciones[[#This Row],[Fecha Levantamiento]]-Observaciones[[#This Row],[Fecha Detección]]+1,0)</f>
        <v>1</v>
      </c>
      <c r="L434" s="34" t="str">
        <f>LOOKUP(Observaciones[[#This Row],[Caso de Prueba]],CasoPrueba[Código CP],CasoPrueba[Código de REQ])</f>
        <v>INSPECCIÓN</v>
      </c>
    </row>
    <row r="435" spans="1:12" hidden="1">
      <c r="A435" s="166" t="s">
        <v>1248</v>
      </c>
      <c r="B435" s="34" t="s">
        <v>1194</v>
      </c>
      <c r="C435" s="34" t="str">
        <f>VLOOKUP(Observaciones[Caso de Prueba],CasoPrueba[[#All],[Código CP]:[Prioridad]],7,TRUE)</f>
        <v>Alta</v>
      </c>
      <c r="K435" s="34">
        <f>IF((Observaciones[[#This Row],[Fecha Levantamiento]]-Observaciones[[#This Row],[Fecha Detección]])&gt;=0,Observaciones[[#This Row],[Fecha Levantamiento]]-Observaciones[[#This Row],[Fecha Detección]]+1,0)</f>
        <v>1</v>
      </c>
      <c r="L435" s="34" t="str">
        <f>LOOKUP(Observaciones[[#This Row],[Caso de Prueba]],CasoPrueba[Código CP],CasoPrueba[Código de REQ])</f>
        <v>INSPECCIÓN</v>
      </c>
    </row>
    <row r="436" spans="1:12" hidden="1">
      <c r="A436" s="166" t="s">
        <v>1249</v>
      </c>
      <c r="B436" s="34" t="s">
        <v>1194</v>
      </c>
      <c r="C436" s="34" t="str">
        <f>VLOOKUP(Observaciones[Caso de Prueba],CasoPrueba[[#All],[Código CP]:[Prioridad]],7,TRUE)</f>
        <v>Alta</v>
      </c>
      <c r="K436" s="34">
        <f>IF((Observaciones[[#This Row],[Fecha Levantamiento]]-Observaciones[[#This Row],[Fecha Detección]])&gt;=0,Observaciones[[#This Row],[Fecha Levantamiento]]-Observaciones[[#This Row],[Fecha Detección]]+1,0)</f>
        <v>1</v>
      </c>
      <c r="L436" s="34" t="str">
        <f>LOOKUP(Observaciones[[#This Row],[Caso de Prueba]],CasoPrueba[Código CP],CasoPrueba[Código de REQ])</f>
        <v>INSPECCIÓN</v>
      </c>
    </row>
    <row r="437" spans="1:12" hidden="1">
      <c r="A437" s="166" t="s">
        <v>1250</v>
      </c>
      <c r="B437" s="34" t="s">
        <v>1194</v>
      </c>
      <c r="C437" s="34" t="str">
        <f>VLOOKUP(Observaciones[Caso de Prueba],CasoPrueba[[#All],[Código CP]:[Prioridad]],7,TRUE)</f>
        <v>Alta</v>
      </c>
      <c r="K437" s="34">
        <f>IF((Observaciones[[#This Row],[Fecha Levantamiento]]-Observaciones[[#This Row],[Fecha Detección]])&gt;=0,Observaciones[[#This Row],[Fecha Levantamiento]]-Observaciones[[#This Row],[Fecha Detección]]+1,0)</f>
        <v>1</v>
      </c>
      <c r="L437" s="34" t="str">
        <f>LOOKUP(Observaciones[[#This Row],[Caso de Prueba]],CasoPrueba[Código CP],CasoPrueba[Código de REQ])</f>
        <v>INSPECCIÓN</v>
      </c>
    </row>
    <row r="438" spans="1:12" hidden="1">
      <c r="A438" s="166" t="s">
        <v>1251</v>
      </c>
      <c r="B438" s="34" t="s">
        <v>1194</v>
      </c>
      <c r="C438" s="34" t="str">
        <f>VLOOKUP(Observaciones[Caso de Prueba],CasoPrueba[[#All],[Código CP]:[Prioridad]],7,TRUE)</f>
        <v>Alta</v>
      </c>
      <c r="K438" s="34">
        <f>IF((Observaciones[[#This Row],[Fecha Levantamiento]]-Observaciones[[#This Row],[Fecha Detección]])&gt;=0,Observaciones[[#This Row],[Fecha Levantamiento]]-Observaciones[[#This Row],[Fecha Detección]]+1,0)</f>
        <v>1</v>
      </c>
      <c r="L438" s="34" t="str">
        <f>LOOKUP(Observaciones[[#This Row],[Caso de Prueba]],CasoPrueba[Código CP],CasoPrueba[Código de REQ])</f>
        <v>INSPECCIÓN</v>
      </c>
    </row>
    <row r="439" spans="1:12" hidden="1">
      <c r="A439" s="166" t="s">
        <v>1252</v>
      </c>
      <c r="B439" s="34" t="s">
        <v>1194</v>
      </c>
      <c r="C439" s="34" t="str">
        <f>VLOOKUP(Observaciones[Caso de Prueba],CasoPrueba[[#All],[Código CP]:[Prioridad]],7,TRUE)</f>
        <v>Alta</v>
      </c>
      <c r="K439" s="34">
        <f>IF((Observaciones[[#This Row],[Fecha Levantamiento]]-Observaciones[[#This Row],[Fecha Detección]])&gt;=0,Observaciones[[#This Row],[Fecha Levantamiento]]-Observaciones[[#This Row],[Fecha Detección]]+1,0)</f>
        <v>1</v>
      </c>
      <c r="L439" s="34" t="str">
        <f>LOOKUP(Observaciones[[#This Row],[Caso de Prueba]],CasoPrueba[Código CP],CasoPrueba[Código de REQ])</f>
        <v>INSPECCIÓN</v>
      </c>
    </row>
    <row r="440" spans="1:12" hidden="1">
      <c r="A440" s="166" t="s">
        <v>1253</v>
      </c>
      <c r="B440" s="34" t="s">
        <v>1194</v>
      </c>
      <c r="C440" s="34" t="str">
        <f>VLOOKUP(Observaciones[Caso de Prueba],CasoPrueba[[#All],[Código CP]:[Prioridad]],7,TRUE)</f>
        <v>Alta</v>
      </c>
      <c r="K440" s="34">
        <f>IF((Observaciones[[#This Row],[Fecha Levantamiento]]-Observaciones[[#This Row],[Fecha Detección]])&gt;=0,Observaciones[[#This Row],[Fecha Levantamiento]]-Observaciones[[#This Row],[Fecha Detección]]+1,0)</f>
        <v>1</v>
      </c>
      <c r="L440" s="34" t="str">
        <f>LOOKUP(Observaciones[[#This Row],[Caso de Prueba]],CasoPrueba[Código CP],CasoPrueba[Código de REQ])</f>
        <v>INSPECCIÓN</v>
      </c>
    </row>
    <row r="441" spans="1:12" hidden="1">
      <c r="A441" s="166" t="s">
        <v>1254</v>
      </c>
      <c r="B441" s="34" t="s">
        <v>1194</v>
      </c>
      <c r="C441" s="34" t="str">
        <f>VLOOKUP(Observaciones[Caso de Prueba],CasoPrueba[[#All],[Código CP]:[Prioridad]],7,TRUE)</f>
        <v>Alta</v>
      </c>
      <c r="K441" s="34">
        <f>IF((Observaciones[[#This Row],[Fecha Levantamiento]]-Observaciones[[#This Row],[Fecha Detección]])&gt;=0,Observaciones[[#This Row],[Fecha Levantamiento]]-Observaciones[[#This Row],[Fecha Detección]]+1,0)</f>
        <v>1</v>
      </c>
      <c r="L441" s="34" t="str">
        <f>LOOKUP(Observaciones[[#This Row],[Caso de Prueba]],CasoPrueba[Código CP],CasoPrueba[Código de REQ])</f>
        <v>INSPECCIÓN</v>
      </c>
    </row>
    <row r="442" spans="1:12" hidden="1">
      <c r="A442" s="166" t="s">
        <v>1255</v>
      </c>
      <c r="B442" s="34" t="s">
        <v>1194</v>
      </c>
      <c r="C442" s="34" t="str">
        <f>VLOOKUP(Observaciones[Caso de Prueba],CasoPrueba[[#All],[Código CP]:[Prioridad]],7,TRUE)</f>
        <v>Alta</v>
      </c>
      <c r="K442" s="34">
        <f>IF((Observaciones[[#This Row],[Fecha Levantamiento]]-Observaciones[[#This Row],[Fecha Detección]])&gt;=0,Observaciones[[#This Row],[Fecha Levantamiento]]-Observaciones[[#This Row],[Fecha Detección]]+1,0)</f>
        <v>1</v>
      </c>
      <c r="L442" s="34" t="str">
        <f>LOOKUP(Observaciones[[#This Row],[Caso de Prueba]],CasoPrueba[Código CP],CasoPrueba[Código de REQ])</f>
        <v>INSPECCIÓN</v>
      </c>
    </row>
    <row r="443" spans="1:12" hidden="1">
      <c r="A443" s="166" t="s">
        <v>1256</v>
      </c>
      <c r="B443" s="34" t="s">
        <v>1194</v>
      </c>
      <c r="C443" s="34" t="str">
        <f>VLOOKUP(Observaciones[Caso de Prueba],CasoPrueba[[#All],[Código CP]:[Prioridad]],7,TRUE)</f>
        <v>Alta</v>
      </c>
      <c r="K443" s="34">
        <f>IF((Observaciones[[#This Row],[Fecha Levantamiento]]-Observaciones[[#This Row],[Fecha Detección]])&gt;=0,Observaciones[[#This Row],[Fecha Levantamiento]]-Observaciones[[#This Row],[Fecha Detección]]+1,0)</f>
        <v>1</v>
      </c>
      <c r="L443" s="34" t="str">
        <f>LOOKUP(Observaciones[[#This Row],[Caso de Prueba]],CasoPrueba[Código CP],CasoPrueba[Código de REQ])</f>
        <v>INSPECCIÓN</v>
      </c>
    </row>
    <row r="444" spans="1:12" hidden="1">
      <c r="A444" s="166" t="s">
        <v>1257</v>
      </c>
      <c r="B444" s="34" t="s">
        <v>1194</v>
      </c>
      <c r="C444" s="34" t="str">
        <f>VLOOKUP(Observaciones[Caso de Prueba],CasoPrueba[[#All],[Código CP]:[Prioridad]],7,TRUE)</f>
        <v>Alta</v>
      </c>
      <c r="K444" s="34">
        <f>IF((Observaciones[[#This Row],[Fecha Levantamiento]]-Observaciones[[#This Row],[Fecha Detección]])&gt;=0,Observaciones[[#This Row],[Fecha Levantamiento]]-Observaciones[[#This Row],[Fecha Detección]]+1,0)</f>
        <v>1</v>
      </c>
      <c r="L444" s="34" t="str">
        <f>LOOKUP(Observaciones[[#This Row],[Caso de Prueba]],CasoPrueba[Código CP],CasoPrueba[Código de REQ])</f>
        <v>INSPECCIÓN</v>
      </c>
    </row>
    <row r="445" spans="1:12" hidden="1">
      <c r="A445" s="166" t="s">
        <v>1258</v>
      </c>
      <c r="B445" s="34" t="s">
        <v>1194</v>
      </c>
      <c r="C445" s="34" t="str">
        <f>VLOOKUP(Observaciones[Caso de Prueba],CasoPrueba[[#All],[Código CP]:[Prioridad]],7,TRUE)</f>
        <v>Alta</v>
      </c>
      <c r="K445" s="34">
        <f>IF((Observaciones[[#This Row],[Fecha Levantamiento]]-Observaciones[[#This Row],[Fecha Detección]])&gt;=0,Observaciones[[#This Row],[Fecha Levantamiento]]-Observaciones[[#This Row],[Fecha Detección]]+1,0)</f>
        <v>1</v>
      </c>
      <c r="L445" s="34" t="str">
        <f>LOOKUP(Observaciones[[#This Row],[Caso de Prueba]],CasoPrueba[Código CP],CasoPrueba[Código de REQ])</f>
        <v>INSPECCIÓN</v>
      </c>
    </row>
    <row r="446" spans="1:12" hidden="1">
      <c r="A446" s="166" t="s">
        <v>1259</v>
      </c>
      <c r="B446" s="34" t="s">
        <v>1194</v>
      </c>
      <c r="C446" s="34" t="str">
        <f>VLOOKUP(Observaciones[Caso de Prueba],CasoPrueba[[#All],[Código CP]:[Prioridad]],7,TRUE)</f>
        <v>Alta</v>
      </c>
      <c r="K446" s="34">
        <f>IF((Observaciones[[#This Row],[Fecha Levantamiento]]-Observaciones[[#This Row],[Fecha Detección]])&gt;=0,Observaciones[[#This Row],[Fecha Levantamiento]]-Observaciones[[#This Row],[Fecha Detección]]+1,0)</f>
        <v>1</v>
      </c>
      <c r="L446" s="34" t="str">
        <f>LOOKUP(Observaciones[[#This Row],[Caso de Prueba]],CasoPrueba[Código CP],CasoPrueba[Código de REQ])</f>
        <v>INSPECCIÓN</v>
      </c>
    </row>
    <row r="447" spans="1:12" hidden="1">
      <c r="A447" s="166" t="s">
        <v>1260</v>
      </c>
      <c r="B447" s="34" t="s">
        <v>1194</v>
      </c>
      <c r="C447" s="34" t="str">
        <f>VLOOKUP(Observaciones[Caso de Prueba],CasoPrueba[[#All],[Código CP]:[Prioridad]],7,TRUE)</f>
        <v>Alta</v>
      </c>
      <c r="K447" s="34">
        <f>IF((Observaciones[[#This Row],[Fecha Levantamiento]]-Observaciones[[#This Row],[Fecha Detección]])&gt;=0,Observaciones[[#This Row],[Fecha Levantamiento]]-Observaciones[[#This Row],[Fecha Detección]]+1,0)</f>
        <v>1</v>
      </c>
      <c r="L447" s="34" t="str">
        <f>LOOKUP(Observaciones[[#This Row],[Caso de Prueba]],CasoPrueba[Código CP],CasoPrueba[Código de REQ])</f>
        <v>INSPECCIÓN</v>
      </c>
    </row>
  </sheetData>
  <mergeCells count="1">
    <mergeCell ref="A1:K1"/>
  </mergeCells>
  <dataValidations count="1">
    <dataValidation type="list" allowBlank="1" showInputMessage="1" showErrorMessage="1" sqref="H3:H447">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6"/>
  <sheetViews>
    <sheetView zoomScale="85" zoomScaleNormal="85" workbookViewId="0">
      <selection activeCell="L22" sqref="L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2011-11-06T18:23:41Z</dcterms:modified>
</cp:coreProperties>
</file>