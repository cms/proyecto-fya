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calcPr calcId="144525"/>
  <pivotCaches>
    <pivotCache cacheId="0" r:id="rId8"/>
    <pivotCache cacheId="1" r:id="rId9"/>
    <pivotCache cacheId="2" r:id="rId10"/>
    <pivotCache cacheId="3" r:id="rId11"/>
    <pivotCache cacheId="4" r:id="rId12"/>
    <pivotCache cacheId="5" r:id="rId13"/>
  </pivotCaches>
</workbook>
</file>

<file path=xl/calcChain.xml><?xml version="1.0" encoding="utf-8"?>
<calcChain xmlns="http://schemas.openxmlformats.org/spreadsheetml/2006/main">
  <c r="C91" i="4" l="1"/>
  <c r="C92" i="4"/>
  <c r="C93" i="4"/>
  <c r="C94" i="4"/>
  <c r="C95" i="4"/>
  <c r="C96" i="4"/>
  <c r="C97" i="4"/>
  <c r="C98" i="4"/>
  <c r="C99" i="4"/>
  <c r="C100" i="4"/>
  <c r="C101" i="4"/>
  <c r="C102" i="4"/>
  <c r="C103" i="4"/>
  <c r="K91" i="4"/>
  <c r="K92" i="4"/>
  <c r="K93" i="4"/>
  <c r="K94" i="4"/>
  <c r="K95" i="4"/>
  <c r="K96" i="4"/>
  <c r="K97" i="4"/>
  <c r="K98" i="4"/>
  <c r="K99" i="4"/>
  <c r="K100" i="4"/>
  <c r="K101" i="4"/>
  <c r="K102" i="4"/>
  <c r="K103" i="4"/>
  <c r="L91" i="4"/>
  <c r="L92" i="4"/>
  <c r="L93" i="4"/>
  <c r="L94" i="4"/>
  <c r="L95" i="4"/>
  <c r="L96" i="4"/>
  <c r="L97" i="4"/>
  <c r="L98" i="4"/>
  <c r="L99" i="4"/>
  <c r="L100" i="4"/>
  <c r="L101" i="4"/>
  <c r="L102" i="4"/>
  <c r="L103" i="4"/>
  <c r="C87" i="4"/>
  <c r="C81" i="4"/>
  <c r="C73" i="4"/>
  <c r="K73" i="4"/>
  <c r="L73" i="4"/>
  <c r="K47" i="4"/>
  <c r="L47" i="4"/>
  <c r="C47" i="4"/>
  <c r="C30" i="4"/>
  <c r="K30" i="4"/>
  <c r="L30" i="4"/>
  <c r="C71" i="4"/>
  <c r="K71" i="4"/>
  <c r="L71" i="4"/>
  <c r="C65" i="4"/>
  <c r="K65" i="4"/>
  <c r="L65" i="4"/>
  <c r="C63" i="4"/>
  <c r="K63" i="4"/>
  <c r="L63" i="4"/>
  <c r="C59" i="4"/>
  <c r="K59" i="4"/>
  <c r="L59" i="4"/>
  <c r="C52" i="4"/>
  <c r="K52" i="4"/>
  <c r="L52" i="4"/>
  <c r="C49" i="4"/>
  <c r="K49" i="4"/>
  <c r="L49" i="4"/>
  <c r="C44" i="4"/>
  <c r="K44" i="4"/>
  <c r="L44" i="4"/>
  <c r="C33" i="4"/>
  <c r="K33" i="4"/>
  <c r="L33" i="4"/>
  <c r="C26" i="4"/>
  <c r="K26" i="4"/>
  <c r="L26" i="4"/>
  <c r="C19" i="4"/>
  <c r="K19" i="4"/>
  <c r="L19" i="4"/>
  <c r="C8" i="4"/>
  <c r="K8" i="4"/>
  <c r="L8" i="4"/>
  <c r="F14" i="3"/>
  <c r="F15" i="3"/>
  <c r="F16" i="3"/>
  <c r="F17" i="3"/>
  <c r="F18" i="3"/>
  <c r="F19" i="3"/>
  <c r="F5" i="3"/>
  <c r="F6" i="3"/>
  <c r="F7" i="3"/>
  <c r="F8" i="3"/>
  <c r="F9" i="3"/>
  <c r="F10" i="3"/>
  <c r="F11" i="3"/>
  <c r="F12" i="3"/>
  <c r="F13" i="3"/>
  <c r="Q6" i="3" l="1"/>
  <c r="Q7" i="3"/>
  <c r="Q8" i="3"/>
  <c r="Q9" i="3"/>
  <c r="Q10" i="3"/>
  <c r="Q11" i="3"/>
  <c r="Q12" i="3"/>
  <c r="Q13" i="3"/>
  <c r="Q14" i="3"/>
  <c r="Q15" i="3"/>
  <c r="Q16" i="3"/>
  <c r="Q17" i="3"/>
  <c r="Q18" i="3"/>
  <c r="Q19" i="3"/>
  <c r="C60" i="4" l="1"/>
  <c r="C72" i="4"/>
  <c r="C74" i="4"/>
  <c r="C75" i="4"/>
  <c r="C76" i="4"/>
  <c r="C77" i="4"/>
  <c r="C78" i="4"/>
  <c r="C79" i="4"/>
  <c r="C80" i="4"/>
  <c r="C86" i="4"/>
  <c r="C82" i="4"/>
  <c r="C83" i="4"/>
  <c r="C84" i="4"/>
  <c r="C85" i="4"/>
  <c r="C88" i="4"/>
  <c r="C89" i="4"/>
  <c r="C90" i="4"/>
  <c r="K70" i="4"/>
  <c r="K72" i="4"/>
  <c r="K74" i="4"/>
  <c r="K75" i="4"/>
  <c r="K76" i="4"/>
  <c r="K77" i="4"/>
  <c r="K78" i="4"/>
  <c r="K79" i="4"/>
  <c r="K80" i="4"/>
  <c r="K81" i="4"/>
  <c r="K82" i="4"/>
  <c r="K83" i="4"/>
  <c r="K84" i="4"/>
  <c r="K85" i="4"/>
  <c r="K86" i="4"/>
  <c r="K87" i="4"/>
  <c r="K88" i="4"/>
  <c r="K89" i="4"/>
  <c r="K90" i="4"/>
  <c r="L70" i="4"/>
  <c r="L72" i="4"/>
  <c r="L74" i="4"/>
  <c r="L75" i="4"/>
  <c r="L76" i="4"/>
  <c r="L77" i="4"/>
  <c r="L78" i="4"/>
  <c r="L79" i="4"/>
  <c r="L80" i="4"/>
  <c r="L81" i="4"/>
  <c r="L82" i="4"/>
  <c r="L83" i="4"/>
  <c r="L84" i="4"/>
  <c r="L85" i="4"/>
  <c r="L86" i="4"/>
  <c r="L87" i="4"/>
  <c r="L88" i="4"/>
  <c r="L89" i="4"/>
  <c r="L90" i="4"/>
  <c r="C66" i="4"/>
  <c r="C57" i="4"/>
  <c r="C45" i="4"/>
  <c r="L4" i="4"/>
  <c r="L5" i="4"/>
  <c r="L6" i="4"/>
  <c r="L7" i="4"/>
  <c r="L9" i="4"/>
  <c r="L10" i="4"/>
  <c r="L11" i="4"/>
  <c r="L12" i="4"/>
  <c r="L13" i="4"/>
  <c r="L14" i="4"/>
  <c r="L15" i="4"/>
  <c r="L16" i="4"/>
  <c r="L17" i="4"/>
  <c r="L18" i="4"/>
  <c r="L20" i="4"/>
  <c r="L21" i="4"/>
  <c r="K21" i="4"/>
  <c r="K4" i="4"/>
  <c r="K5" i="4"/>
  <c r="K6" i="4"/>
  <c r="K7" i="4"/>
  <c r="K9" i="4"/>
  <c r="K10" i="4"/>
  <c r="K11" i="4"/>
  <c r="K12" i="4"/>
  <c r="K13" i="4"/>
  <c r="K14" i="4"/>
  <c r="K15" i="4"/>
  <c r="K16" i="4"/>
  <c r="K17" i="4"/>
  <c r="K18" i="4"/>
  <c r="K20" i="4"/>
  <c r="K39" i="4"/>
  <c r="C3" i="4"/>
  <c r="C4" i="4"/>
  <c r="C5" i="4"/>
  <c r="C6" i="4"/>
  <c r="C7" i="4"/>
  <c r="C9" i="4"/>
  <c r="C10" i="4"/>
  <c r="C11" i="4"/>
  <c r="C12" i="4"/>
  <c r="C13" i="4"/>
  <c r="C14" i="4"/>
  <c r="C15" i="4"/>
  <c r="C16" i="4"/>
  <c r="C17" i="4"/>
  <c r="C18" i="4"/>
  <c r="C20" i="4"/>
  <c r="C21" i="4"/>
  <c r="C23" i="4"/>
  <c r="C22" i="4"/>
  <c r="C24" i="4"/>
  <c r="C25" i="4"/>
  <c r="C27" i="4"/>
  <c r="C28" i="4"/>
  <c r="C29" i="4"/>
  <c r="C31" i="4"/>
  <c r="C32" i="4"/>
  <c r="C34" i="4"/>
  <c r="C35" i="4"/>
  <c r="C36" i="4"/>
  <c r="C37" i="4"/>
  <c r="C38" i="4"/>
  <c r="C39" i="4"/>
  <c r="C40" i="4"/>
  <c r="C41" i="4"/>
  <c r="C42" i="4"/>
  <c r="C43" i="4"/>
  <c r="C46" i="4"/>
  <c r="C48" i="4"/>
  <c r="C50" i="4"/>
  <c r="C51" i="4"/>
  <c r="C53" i="4"/>
  <c r="C54" i="4"/>
  <c r="C55" i="4"/>
  <c r="C56" i="4"/>
  <c r="C58" i="4"/>
  <c r="C61" i="4"/>
  <c r="C62" i="4"/>
  <c r="C64" i="4"/>
  <c r="C67" i="4"/>
  <c r="C68" i="4"/>
  <c r="C69" i="4"/>
  <c r="C70" i="4"/>
  <c r="K22" i="4"/>
  <c r="K23" i="4"/>
  <c r="K24" i="4"/>
  <c r="K25" i="4"/>
  <c r="K27" i="4"/>
  <c r="K28" i="4"/>
  <c r="K29" i="4"/>
  <c r="K31" i="4"/>
  <c r="K32" i="4"/>
  <c r="K34" i="4"/>
  <c r="K35" i="4"/>
  <c r="K36" i="4"/>
  <c r="K37" i="4"/>
  <c r="K38" i="4"/>
  <c r="K40" i="4"/>
  <c r="K41" i="4"/>
  <c r="K42" i="4"/>
  <c r="K43" i="4"/>
  <c r="K45" i="4"/>
  <c r="K46" i="4"/>
  <c r="K48" i="4"/>
  <c r="K50" i="4"/>
  <c r="K51" i="4"/>
  <c r="K53" i="4"/>
  <c r="K54" i="4"/>
  <c r="K55" i="4"/>
  <c r="K56" i="4"/>
  <c r="K57" i="4"/>
  <c r="K58" i="4"/>
  <c r="K60" i="4"/>
  <c r="K61" i="4"/>
  <c r="K62" i="4"/>
  <c r="K64" i="4"/>
  <c r="K66" i="4"/>
  <c r="K67" i="4"/>
  <c r="K68" i="4"/>
  <c r="K69" i="4"/>
  <c r="L22" i="4"/>
  <c r="L23" i="4"/>
  <c r="L24" i="4"/>
  <c r="L25" i="4"/>
  <c r="L27" i="4"/>
  <c r="L28" i="4"/>
  <c r="L29" i="4"/>
  <c r="L31" i="4"/>
  <c r="L32" i="4"/>
  <c r="L34" i="4"/>
  <c r="L35" i="4"/>
  <c r="L36" i="4"/>
  <c r="L37" i="4"/>
  <c r="L38" i="4"/>
  <c r="L39" i="4"/>
  <c r="L40" i="4"/>
  <c r="L41" i="4"/>
  <c r="L42" i="4"/>
  <c r="L43" i="4"/>
  <c r="L45" i="4"/>
  <c r="L46" i="4"/>
  <c r="L48" i="4"/>
  <c r="L50" i="4"/>
  <c r="L51" i="4"/>
  <c r="L53" i="4"/>
  <c r="L54" i="4"/>
  <c r="L55" i="4"/>
  <c r="L56" i="4"/>
  <c r="L57" i="4"/>
  <c r="L58" i="4"/>
  <c r="L60" i="4"/>
  <c r="L61" i="4"/>
  <c r="L62" i="4"/>
  <c r="L64" i="4"/>
  <c r="L66" i="4"/>
  <c r="L67" i="4"/>
  <c r="L68" i="4"/>
  <c r="L69" i="4"/>
  <c r="K3" i="4"/>
  <c r="L3" i="4"/>
  <c r="L14" i="3"/>
  <c r="L15" i="3"/>
  <c r="L16" i="3"/>
  <c r="L17" i="3"/>
  <c r="L18" i="3"/>
  <c r="L19" i="3"/>
  <c r="M14" i="3"/>
  <c r="M15" i="3"/>
  <c r="M16" i="3"/>
  <c r="M17" i="3"/>
  <c r="M18" i="3"/>
  <c r="M19" i="3"/>
  <c r="C10" i="2" l="1"/>
  <c r="J6" i="6"/>
  <c r="C3" i="5"/>
  <c r="J3" i="5"/>
  <c r="O5" i="6" l="1"/>
  <c r="O6" i="6"/>
  <c r="J5" i="6"/>
  <c r="Q5" i="3"/>
  <c r="L5" i="3"/>
  <c r="M5" i="3"/>
  <c r="K33" i="2"/>
  <c r="C30" i="2"/>
  <c r="E30" i="2"/>
  <c r="C31" i="2"/>
  <c r="E31" i="2"/>
  <c r="C32" i="2"/>
  <c r="E32" i="2"/>
  <c r="C33" i="2"/>
  <c r="E33" i="2"/>
  <c r="I33" i="2"/>
  <c r="K30" i="2" l="1"/>
  <c r="J30" i="2"/>
  <c r="I30" i="2"/>
  <c r="J33" i="2"/>
  <c r="E34" i="2"/>
  <c r="C34" i="2"/>
  <c r="J32" i="2" l="1"/>
  <c r="I32" i="2"/>
  <c r="K32" i="2"/>
  <c r="I13" i="2" l="1"/>
  <c r="J4" i="6"/>
  <c r="O4" i="6"/>
  <c r="K13" i="2"/>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C11" i="2" s="1"/>
  <c r="G2" i="3"/>
  <c r="G89" i="7"/>
  <c r="E2" i="3"/>
  <c r="G2" i="2"/>
  <c r="D2" i="2"/>
  <c r="D30" i="2" l="1"/>
  <c r="D31" i="2"/>
  <c r="F33" i="2"/>
  <c r="F32" i="2"/>
  <c r="D32" i="2"/>
  <c r="F30" i="2"/>
  <c r="D33" i="2"/>
  <c r="F31" i="2"/>
  <c r="D6" i="2"/>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<sst xmlns="http://schemas.openxmlformats.org/spreadsheetml/2006/main" count="1028" uniqueCount="405">
  <si>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</si>
  <si>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</si>
  <si>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</si>
  <si>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</si>
  <si>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</si>
  <si>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</si>
  <si>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</si>
  <si>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</si>
  <si>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</si>
  <si>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</si>
  <si>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</si>
  <si>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</si>
  <si>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</si>
  <si>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</si>
  <si>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</si>
  <si>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</si>
  <si>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</si>
  <si>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</si>
  <si>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</si>
  <si>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</si>
  <si>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</si>
  <si>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</si>
  <si>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</si>
  <si>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</si>
  <si>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</si>
  <si>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</si>
  <si>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</si>
  <si>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</si>
  <si>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</si>
  <si>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</si>
  <si>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</si>
  <si>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</si>
  <si>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</si>
  <si>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</si>
  <si>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</si>
  <si>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</si>
  <si>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</si>
  <si>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</si>
  <si>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</si>
  <si>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</si>
  <si>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</si>
  <si>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</si>
  <si>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</si>
  <si>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</si>
  <si>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</si>
  <si>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</si>
  <si>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</si>
  <si>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</si>
  <si>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</si>
  <si>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</si>
  <si>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</si>
  <si>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</si>
  <si>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</si>
  <si>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</si>
  <si>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</si>
  <si>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</si>
  <si>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</si>
  <si>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</si>
  <si>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</si>
  <si>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</si>
  <si>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</si>
  <si>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</si>
  <si>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</si>
  <si>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</si>
  <si>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</si>
  <si>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</si>
  <si>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</si>
  <si>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</si>
  <si>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</si>
  <si>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</si>
  <si>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</si>
  <si>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</si>
  <si>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</si>
  <si>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</si>
  <si>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</si>
  <si>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</si>
  <si>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</si>
  <si>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</si>
  <si>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</si>
  <si>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</si>
  <si>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</si>
  <si>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</si>
  <si>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</si>
  <si>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</si>
  <si>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</si>
  <si>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</si>
  <si>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</si>
  <si>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</si>
  <si>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</si>
  <si>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</si>
  <si>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</si>
  <si>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</si>
  <si>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</si>
  <si>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</si>
  <si>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</si>
  <si>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</si>
  <si>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</si>
  <si>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</si>
  <si>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</si>
  <si>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</si>
  <si>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</si>
  <si>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</si>
  <si>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</si>
  <si>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</si>
  <si>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</si>
  <si>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</si>
  <si>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</si>
  <si>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</si>
  <si>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</si>
  <si>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</si>
  <si>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</si>
  <si>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</si>
  <si>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</si>
  <si>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</si>
  <si>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</si>
  <si>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</si>
  <si>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</si>
  <si>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</si>
  <si>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</si>
  <si>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</si>
  <si>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</si>
  <si>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</si>
  <si>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</si>
  <si>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</si>
  <si>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</si>
  <si>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</si>
  <si>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</si>
  <si>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</si>
  <si>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</si>
  <si>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</si>
  <si>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</si>
  <si>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</si>
  <si>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</si>
  <si>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</si>
  <si>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</si>
  <si>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</si>
  <si>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</si>
  <si>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</si>
  <si>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</si>
  <si>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</si>
  <si>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</si>
  <si>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</si>
  <si>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</si>
  <si>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</si>
  <si>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</si>
  <si>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</si>
  <si>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</si>
  <si>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</si>
  <si>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</si>
  <si>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INSPECCIÓN</t>
  </si>
  <si>
    <t>VALIDACIÓN OK</t>
  </si>
  <si>
    <t>OBS002</t>
  </si>
  <si>
    <t>OBS003</t>
  </si>
  <si>
    <t>OBS004</t>
  </si>
  <si>
    <t>OBS005</t>
  </si>
  <si>
    <t>OBS006</t>
  </si>
  <si>
    <t>OBS007</t>
  </si>
  <si>
    <t>OBS008</t>
  </si>
  <si>
    <t>OBS009</t>
  </si>
  <si>
    <t>-</t>
  </si>
  <si>
    <t>Responsable V&amp;V</t>
  </si>
  <si>
    <t>INSPECCIÓN DE DOCUMENTO</t>
  </si>
  <si>
    <t>MacroProceso - Gestión de Recursos Humanos</t>
  </si>
  <si>
    <t>Nicolay García</t>
  </si>
  <si>
    <t xml:space="preserve">PRY-SSIAEDUCT-03 </t>
  </si>
  <si>
    <t>Arquitectura de Negocios de la Oficina Central de Fe y Alegría Perú – ANOCFAP</t>
  </si>
  <si>
    <t>José Ramos Ramírez</t>
  </si>
  <si>
    <t>OBS001</t>
  </si>
  <si>
    <t>En actores del proceso se menciona un departamento pero no se indica cuál.</t>
  </si>
  <si>
    <t>En el procedimiento en el punto 5 hay un "es" innecesario.</t>
  </si>
  <si>
    <t>En el procedimiento en el punto 10 hay un error ortográfico: "institución".</t>
  </si>
  <si>
    <t>Página 5 innecesaria</t>
  </si>
  <si>
    <t xml:space="preserve">En el punto 2 de la caracterización el Anuncio Publicado ni el Aviso difundido deberían ser datos de entrada.
</t>
  </si>
  <si>
    <t>En el punto 5 de la caracterización la descripción no corresponde.</t>
  </si>
  <si>
    <t>Los Gateways no tienen nombre ni estan caracterizados.</t>
  </si>
  <si>
    <t>En el diagrama no se detalla el nombre del "Jefe de Departamento"  ni "Empleado del Departamento" del punto 9, 10 y 13</t>
  </si>
  <si>
    <t>El conector hacia la actividad 14 no es el correcto, se debe usar un flujo de secuencia ya que no es una actividad externa. Esta actividad debe tener un conector hacia el fin.</t>
  </si>
  <si>
    <t>CP002</t>
  </si>
  <si>
    <t>CP003</t>
  </si>
  <si>
    <t>CP004</t>
  </si>
  <si>
    <t>CP005</t>
  </si>
  <si>
    <t>CP006</t>
  </si>
  <si>
    <t>CP007</t>
  </si>
  <si>
    <t>CP008</t>
  </si>
  <si>
    <t>CP009</t>
  </si>
  <si>
    <t>CP010</t>
  </si>
  <si>
    <t>CP011</t>
  </si>
  <si>
    <t>CP012</t>
  </si>
  <si>
    <t>CP013</t>
  </si>
  <si>
    <t>CP014</t>
  </si>
  <si>
    <t>CP015</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</si>
  <si>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</si>
  <si>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</si>
  <si>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</si>
  <si>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</si>
  <si>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</si>
  <si>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</si>
  <si>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</si>
  <si>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</si>
  <si>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</si>
  <si>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</si>
  <si>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</si>
  <si>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</si>
  <si>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</si>
  <si>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</si>
  <si>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BAJA</t>
  </si>
  <si>
    <t>DESESTIMADA</t>
  </si>
  <si>
    <t>MEDIA</t>
  </si>
  <si>
    <t>OBS010</t>
  </si>
  <si>
    <t>OBS011</t>
  </si>
  <si>
    <t>OBS012</t>
  </si>
  <si>
    <t>OBS013</t>
  </si>
  <si>
    <t>OBS014</t>
  </si>
  <si>
    <t>En el propósito se mencionan los objetivos OSE pero no se menciona donde se encuentra la totalidad de los OSE</t>
  </si>
  <si>
    <t>OBS015</t>
  </si>
  <si>
    <t>OBS016</t>
  </si>
  <si>
    <t>OBS017</t>
  </si>
  <si>
    <t>OBS018</t>
  </si>
  <si>
    <t>OBS019</t>
  </si>
  <si>
    <t>OBS020</t>
  </si>
  <si>
    <t>OBS021</t>
  </si>
  <si>
    <t>OBS022</t>
  </si>
  <si>
    <t>OBS023</t>
  </si>
  <si>
    <t>OBS024</t>
  </si>
  <si>
    <t>OBS025</t>
  </si>
  <si>
    <t>OBS026</t>
  </si>
  <si>
    <t>OBS027</t>
  </si>
  <si>
    <t>OBS028</t>
  </si>
  <si>
    <t>OBS029</t>
  </si>
  <si>
    <t>OBS030</t>
  </si>
  <si>
    <t>OBS031</t>
  </si>
  <si>
    <t>OBS032</t>
  </si>
  <si>
    <t>OBS033</t>
  </si>
  <si>
    <t>OBS034</t>
  </si>
  <si>
    <t>OBS035</t>
  </si>
  <si>
    <t>OBS036</t>
  </si>
  <si>
    <t>OBS037</t>
  </si>
  <si>
    <t>OBS038</t>
  </si>
  <si>
    <t>OBS039</t>
  </si>
  <si>
    <t>OBS040</t>
  </si>
  <si>
    <t>OBS041</t>
  </si>
  <si>
    <t>OBS042</t>
  </si>
  <si>
    <t>OBS043</t>
  </si>
  <si>
    <t>OBS044</t>
  </si>
  <si>
    <t>OBS045</t>
  </si>
  <si>
    <t>OBS046</t>
  </si>
  <si>
    <t>OBS047</t>
  </si>
  <si>
    <t>OBS048</t>
  </si>
  <si>
    <t>OBS049</t>
  </si>
  <si>
    <t>OBS050</t>
  </si>
  <si>
    <t>OBS051</t>
  </si>
  <si>
    <t>OBS052</t>
  </si>
  <si>
    <t>OBS053</t>
  </si>
  <si>
    <t>OBS054</t>
  </si>
  <si>
    <t>OBS055</t>
  </si>
  <si>
    <t>En el procedimiento, el punto 5 falta indicar la acción tomada por el jefe de área.</t>
  </si>
  <si>
    <t>En el procedimiento, el punto 6 hay un error ortográfico al final: "Administrador".</t>
  </si>
  <si>
    <t>En el punto 4 de la caracterización se debe tener 2 salidas.</t>
  </si>
  <si>
    <t>En el punto 9 de la caracterización hay un error gramatical en la descripción.</t>
  </si>
  <si>
    <t>ALTA</t>
  </si>
  <si>
    <t>El diagrama es ANSI y no BPMN</t>
  </si>
  <si>
    <t>En el propósito se mencionan los objetivos OSE pero no se menciona donde se encuentra la totalidad de los OSE.</t>
  </si>
  <si>
    <t>En el punto 4 de la caracterización hay un error gramatical antes de "Administrador".</t>
  </si>
  <si>
    <t>El título que aparece en la cabecera del cuadro no es el del proceso.</t>
  </si>
  <si>
    <t>El Empleado no puede decidir si es un despido. El inicio no debe empezar en el empleado</t>
  </si>
  <si>
    <t>La actividad 3 tiene un nombre que no concuerda con el proceso.</t>
  </si>
  <si>
    <t>Luego de la actividad 12 no queda claro que sucedería con el empleado en caso de que se desapruebe la renuncia del mismo.</t>
  </si>
  <si>
    <t>Error de tipeo en la salida del punto 15 de la caracterización en "certificados".</t>
  </si>
  <si>
    <t>La actividad 9 tiene un nombre que no concuerda con el proceso.</t>
  </si>
  <si>
    <t>El nombre de la actividad 19 no puede ser una pregunta.</t>
  </si>
  <si>
    <t>En caso de despido, nunca se le comunica al empleado.</t>
  </si>
  <si>
    <t>Normalmente solo debe existir un inicio y un fin.</t>
  </si>
  <si>
    <t>Para que se efectúe la actividad 3 tiene que existir una condición de tener gastos sin justificantes. Debería haber un gateway previo.</t>
  </si>
  <si>
    <t>En la caracterización no se ha caracterizado el fin.</t>
  </si>
  <si>
    <t>En la caracterización no se ha caracterizado el inicio ni el fin.</t>
  </si>
  <si>
    <t>En la caracterización no se ha caracterizado el inicio, el fin, los gateway ni los eventos.</t>
  </si>
  <si>
    <t>En la caracterización no se ha caracterizado el inicio ni los fines.</t>
  </si>
  <si>
    <t>En la caracterización no se ha caracterizado el inicio, uno de los fines ni los eventos.</t>
  </si>
  <si>
    <t>En la caracterización no se ha caracterizado los gateways ni el fin.</t>
  </si>
  <si>
    <t>En la descripción del punto 6 de la caracterización se debe corregir el termino "de vuelta", no es correcto.</t>
  </si>
  <si>
    <t>OBS056</t>
  </si>
  <si>
    <t>OBS057</t>
  </si>
  <si>
    <t>OBS058</t>
  </si>
  <si>
    <t>OBS059</t>
  </si>
  <si>
    <t>OBS060</t>
  </si>
  <si>
    <t>OBS061</t>
  </si>
  <si>
    <t>OBS062</t>
  </si>
  <si>
    <t>OBS063</t>
  </si>
  <si>
    <t>OBS064</t>
  </si>
  <si>
    <t>OBS065</t>
  </si>
  <si>
    <t>OBS066</t>
  </si>
  <si>
    <t>OBS067</t>
  </si>
  <si>
    <t>OBS068</t>
  </si>
  <si>
    <t>OBS069</t>
  </si>
  <si>
    <t>OBS070</t>
  </si>
  <si>
    <t>OBS071</t>
  </si>
  <si>
    <t>OBS072</t>
  </si>
  <si>
    <t>OBS073</t>
  </si>
  <si>
    <t>OBS074</t>
  </si>
  <si>
    <t>En el diagrama hay un error de tipeo en el Lane del "Director General".</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</si>
  <si>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</si>
  <si>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En el punto 6, 7, 8, 9, 10, 12, 13 y 14 de la caracterización la entrada y la salida no puede ser un actor o acción, siempre es un dato.</t>
  </si>
  <si>
    <t>En el punto 1, 2, 6, 7, 11, 12 y 13 de la caracterización la entrada y la salida no puede ser un actor, siempre es un dato.</t>
  </si>
  <si>
    <t>En el punto 1, 2, 5, 6, 7, 8, 9 y 15 de la caracterización la entrada y la salida no puede ser un actor o una acción, siempre es un dato.</t>
  </si>
  <si>
    <t>En el punto 2, 3, 5, 7, 8, 10, 13, 14, 16, 17 y 19 de la caracterización la entrada y la salida no puede ser un actor o una acción, siempre es un dato.</t>
  </si>
  <si>
    <t>En el punto 2, 3, 4, 5, 8, 9 y 10 de la caracterización la entrada y la salida no puede ser un actor o una acción, siempre es un dato.</t>
  </si>
  <si>
    <t>En el punto 1, 4 y 5 de la caracterización la entrada y la salida no puede ser una acción, siempre es un dato.</t>
  </si>
  <si>
    <t>En el punto 1, 2, 3 y 4 de la caracterización la entrada y la salida no puede ser un actor siempre es un dato.</t>
  </si>
  <si>
    <t>En el punto 1 y 9 de la caracterización la entrada y la salida no puede ser un actor o acción, siempre es un dato.</t>
  </si>
  <si>
    <t>El nombre del macroproceso debe estar en la cabecera del pool.</t>
  </si>
  <si>
    <t>El nombre del proceso debe estar en la cabecera del pool.</t>
  </si>
  <si>
    <t>Las anotaciones van en el documento del EBM bajo las reglas de Negocio, o en la Definición de Proceso bajo el mismo nombre.</t>
  </si>
  <si>
    <t>OBS075</t>
  </si>
  <si>
    <t>OBS076</t>
  </si>
  <si>
    <t>OBS077</t>
  </si>
  <si>
    <t>OBS078</t>
  </si>
  <si>
    <t>OBS079</t>
  </si>
  <si>
    <t>OBS080</t>
  </si>
  <si>
    <t>OBS081</t>
  </si>
  <si>
    <t>OBS082</t>
  </si>
  <si>
    <t>OBS083</t>
  </si>
  <si>
    <t>OBS084</t>
  </si>
  <si>
    <t>OBS085</t>
  </si>
  <si>
    <t xml:space="preserve">[OBS001]En el propósito se mencionan los objetivos OSE pero no se menciona donde se encuentra la totalidad de los OSE_x000D_
[OBS002]En actores del proceso se menciona un departamento pero no se indica cuál._x000D_
[OBS003]En el procedimiento en el punto 5 hay un "es" innecesario._x000D_
[OBS004]En el procedimiento en el punto 10 hay un error ortográfico: "institución"._x000D_
[OBS005]Página 5 innecesaria_x000D_
[OBS006]El nombre del macroproceso debe estar en la cabecera del pool._x000D_
[OBS007]En la caracterización no se ha caracterizado el inicio, el fin, los gateway ni los eventos._x000D_
[OBS008]En el punto 2 de la caracterización el Anuncio Publicado ni el Aviso difundido deberían ser datos de entrada.
_x000D_
[OBS009]En el punto 5 de la caracterización la descripción no corresponde._x000D_
[OBS010]En el punto 6, 7, 8, 9, 10, 12, 13 y 14 de la caracterización la entrada y la salida no puede ser un actor o acción, siempre es un dato._x000D_
[OBS011]En el diagrama no se detalla el nombre del "Jefe de Departamento"  ni "Empleado del Departamento" del punto 9, 10 y 13_x000D_
[OBS012]Los Gateways no tienen nombre ni estan caracterizados._x000D_
[OBS013]El conector hacia la actividad 14 no es el correcto, se debe usar un flujo de secuencia ya que no es una actividad externa. Esta actividad debe tener un conector hacia el fin._x000D_
</t>
  </si>
  <si>
    <t xml:space="preserve">[OBS014]En el propósito se mencionan los objetivos OSE pero no se menciona donde se encuentra la totalidad de los OSE_x000D_
[OBS015]En el procedimiento, el punto 5 falta indicar la acción tomada por el jefe de área._x000D_
[OBS016]En el procedimiento, el punto 6 hay un error ortográfico al final: "Administrador"._x000D_
[OBS017]El nombre del proceso debe estar en la cabecera del pool._x000D_
[OBS018]En la caracterización no se ha caracterizado el inicio ni los fines._x000D_
[OBS019]En el punto 1, 2, 6, 7, 11, 12 y 13 de la caracterización la entrada y la salida no puede ser un actor, siempre es un dato._x000D_
[OBS020]En el punto 4 de la caracterización se debe tener 2 salidas._x000D_
[OBS021]En el punto 9 de la caracterización hay un error gramatical en la descripción._x000D_
[OBS022]El diagrama es ANSI y no BPMN_x000D_
</t>
  </si>
  <si>
    <t>OBS086</t>
  </si>
  <si>
    <t>OBS087</t>
  </si>
  <si>
    <t>OBS088</t>
  </si>
  <si>
    <t xml:space="preserve">[OBS023]En el propósito se mencionan los objetivos OSE pero no se menciona donde se encuentra la totalidad de los OSE._x000D_
[OBS024]El nombre del proceso debe estar en la cabecera del pool._x000D_
[OBS025]En la caracterización no se ha caracterizado el inicio, uno de los fines ni los eventos._x000D_
[OBS026]En el punto 1, 2, 5, 6, 7, 8, 9 y 15 de la caracterización la entrada y la salida no puede ser un actor o una acción, siempre es un dato._x000D_
[OBS027]En el punto 4 de la caracterización hay un error gramatical antes de "Administrador"._x000D_
[OBS028]El diagrama es ANSI y no BPMN_x000D_
</t>
  </si>
  <si>
    <t xml:space="preserve">[OBS029]El título que aparece en la cabecera del cuadro no es el del proceso._x000D_
[OBS030]En el propósito se mencionan los objetivos OSE pero no se menciona donde se encuentra la totalidad de los OSE._x000D_
[OBS031]El nombre del proceso debe estar en la cabecera del pool._x000D_
[OBS032]En la caracterización no se ha caracterizado el inicio, el fin, los gateway ni los eventos._x000D_
[OBS033]El Empleado no puede decidir si es un despido. El inicio no debe empezar en el empleado_x000D_
[OBS034]En el punto 2, 3, 5, 7, 8, 10, 13, 14, 16, 17 y 19 de la caracterización la entrada y la salida no puede ser un actor o una acción, siempre es un dato._x000D_
[OBS035]La actividad 3 tiene un nombre que no concuerda con el proceso._x000D_
[OBS036]La actividad 9 tiene un nombre que no concuerda con el proceso._x000D_
[OBS037]Luego de la actividad 12 no queda claro que sucedería con el empleado en caso de que se desapruebe la renuncia del mismo._x000D_
[OBS038]Error de tipeo en la salida del punto 15 de la caracterización en "certificados"._x000D_
[OBS039]El nombre de la actividad 19 no puede ser una pregunta._x000D_
[OBS040]En caso de despido, nunca se le comunica al empleado._x000D_
</t>
  </si>
  <si>
    <t xml:space="preserve">[OBS041]En el propósito se mencionan los objetivos OSE pero no se menciona donde se encuentra la totalidad de los OSE._x000D_
[OBS042]El nombre del proceso debe estar en la cabecera del pool._x000D_
[OBS043]En la caracterización no se ha caracterizado el inicio ni el fin._x000D_
[OBS044]En el punto 2, 3, 4, 5, 8, 9 y 10 de la caracterización la entrada y la salida no puede ser un actor o una acción, siempre es un dato._x000D_
[OBS045]El diagrama es ANSI y no BPMN_x000D_
</t>
  </si>
  <si>
    <t xml:space="preserve">[OBS046]En el propósito se mencionan los objetivos OSE pero no se menciona donde se encuentra la totalidad de los OSE._x000D_
[OBS047]El nombre del proceso debe estar en la cabecera del pool._x000D_
[OBS048]En la caracterización no se ha caracterizado el inicio ni el fin._x000D_
</t>
  </si>
  <si>
    <t xml:space="preserve">[OBS049]En el propósito se mencionan los objetivos OSE pero no se menciona donde se encuentra la totalidad de los OSE._x000D_
[OBS050]El nombre del proceso debe estar en la cabecera del pool._x000D_
[OBS051]Normalmente solo debe existir un inicio y un fin._x000D_
[OBS052]En el punto 1, 4 y 5 de la caracterización la entrada y la salida no puede ser una acción, siempre es un dato._x000D_
[OBS053]Las anotaciones van en el documento del EBM bajo las reglas de Negocio, o en la Definición de Proceso bajo el mismo nombre._x000D_
[OBS054]Para que se efectúe la actividad 3 tiene que existir una condición de tener gastos sin justificantes. Debería haber un gateway previo._x000D_
[OBS055]En la caracterización no se ha caracterizado el fin._x000D_
</t>
  </si>
  <si>
    <t xml:space="preserve">[OBS056]En el propósito se mencionan los objetivos OSE pero no se menciona donde se encuentra la totalidad de los OSE._x000D_
[OBS057]El nombre del proceso debe estar en la cabecera del pool._x000D_
[OBS058]En el diagrama hay un error de tipeo en el Lane del "Director General"._x000D_
[OBS059]En la caracterización no se ha caracterizado los gateways ni el fin._x000D_
[OBS060]En el punto 1, 2, 3 y 4 de la caracterización la entrada y la salida no puede ser un actor siempre es un dato._x000D_
[OBS061]El diagrama es ANSI y no BPMN_x000D_
</t>
  </si>
  <si>
    <t xml:space="preserve">[OBS062]En el propósito se mencionan los objetivos OSE pero no se menciona donde se encuentra la totalidad de los OSE._x000D_
[OBS063]El nombre del proceso debe estar en la cabecera del pool._x000D_
[OBS064]Las anotaciones van en el documento del EBM bajo las reglas de Negocio, o en la Definición de Proceso bajo el mismo nombre._x000D_
[OBS065]En el punto 1 y 9 de la caracterización la entrada y la salida no puede ser un actor o acción, siempre es un dato._x000D_
[OBS066]En la descripción del punto 6 de la caracterización se debe corregir el termino "de vuelta", no es correcto._x000D_
[OBS067]En la caracterización no se ha caracterizado el fin._x000D_
</t>
  </si>
  <si>
    <t xml:space="preserve">[OBS068]En el propósito se mencionan los objetivos OSE pero no se menciona donde se encuentra la totalidad de los OSE._x000D_
[OBS069]El nombre del proceso debe estar en la cabecera del pool._x000D_
[OBS070]En la caracterización no se ha caracterizado el fin._x000D_
[OBS071]El diagrama es ANSI y no BPMN_x000D_
</t>
  </si>
  <si>
    <t>En el alcance del Macroproceso debería ir un artículo entre "acompañamiento hasta" y " seguimiento del mismo."</t>
  </si>
  <si>
    <t xml:space="preserve">En el alcance del Macroproceso hay un error de tipeo en </t>
  </si>
  <si>
    <t>El nombre del Macroproceso debe estar en la cabecera del pool.</t>
  </si>
  <si>
    <t>Hay un error de notación se usa un Grupo como si fuera un SubProceso Ad-Hoc. Se está forzando el diagrama.</t>
  </si>
  <si>
    <t>En la descripción de la activiadd 6 de la caracterización hay un error ortográfico con la palabra "viajó".</t>
  </si>
  <si>
    <t>En la entrada de la caracterización de la actividad 2 debe estar ek dato de salida de la actividad 8.</t>
  </si>
  <si>
    <t xml:space="preserve">El conector entre las actividades 5, 6 y la actividad 3 no es el correcto. Son parte del mismo pool. </t>
  </si>
  <si>
    <t>El dato "Necesidad de Visitas a Programas Educativos Rurales" no tiene relación con la caracterización en la entrada de la actividad 3.</t>
  </si>
  <si>
    <t>El dato de salida de la actividad 7 debería ser entrada de la actividad 4.</t>
  </si>
  <si>
    <t xml:space="preserve">El dato "Necesidad de elaborar el Informe trimestral" no tiene relación con la caracterización en la entrada de la actividad 4. </t>
  </si>
  <si>
    <t>El dato de la entrada de la actividad 8 no concuerda con el dato de la salida de la actividad 2.</t>
  </si>
  <si>
    <t>El dato de la entrada de la actividad 5 y 6 debería ser el dato de salida de la actividad 3.</t>
  </si>
  <si>
    <t>OBS089</t>
  </si>
  <si>
    <t>OBS090</t>
  </si>
  <si>
    <t>OBS091</t>
  </si>
  <si>
    <t>OBS092</t>
  </si>
  <si>
    <t>OBS093</t>
  </si>
  <si>
    <t>OBS094</t>
  </si>
  <si>
    <t>OBS095</t>
  </si>
  <si>
    <t>OBS096</t>
  </si>
  <si>
    <t>OBS097</t>
  </si>
  <si>
    <t>OBS098</t>
  </si>
  <si>
    <t>OBS099</t>
  </si>
  <si>
    <t>OBS100</t>
  </si>
  <si>
    <t>OBS101</t>
  </si>
  <si>
    <t>En el primer parrafo hay "de" innecesario, entre "apoyar" y los Programas Educativos".</t>
  </si>
  <si>
    <t>Sugiero un estandar, en el Alcance se menciona que los procesos de otros macroprocesos estarán de color azul, mientras que en los otros documentos es de color turquesa.</t>
  </si>
  <si>
    <t>Hay un error de notación se usa un Grupo como si fuera un SubProceso de Multiple Instancia. Se está forzando el diagrama.</t>
  </si>
  <si>
    <t>El dato de salida de la actividad 6 "Fecha aceptada" no se usa nunca mas. Incluirla en la entrada de la actividad 7 o eliminarla.</t>
  </si>
  <si>
    <t>En los datos de entrada y salidad de las actividades 9, 13, 14, 15, 17 y 18 sugiero algo mas específico en el dato de la visita o viaje.</t>
  </si>
  <si>
    <t>En la actividad 21 dado que es un evento de mensaje, el verbo sería envía y no entrega.</t>
  </si>
  <si>
    <t xml:space="preserve">En el procedimiento hay un error de tipeo en el punto 1 con "programa" y un error de grámatica. En el punto 2 también hay un error de tipeo con la misma palabra. </t>
  </si>
  <si>
    <t>En las entradas y/o salidas de las actividades 5, 6, 7, 8, 9 y 10 hay error de formato, no empieza con Mayúscula.</t>
  </si>
  <si>
    <t>Los datos de salida de las actividades 9 y 10 y la entrada de la actividad 11 no es un dato.</t>
  </si>
  <si>
    <t>La actividad 12 y 14 pueden ser solo un evento envía, ya que la unica tarea que se realiza es enviar.</t>
  </si>
  <si>
    <t>En la Descripción de la actividad 15 hay un error entre "aprobado" y "Administración".</t>
  </si>
  <si>
    <t>No se ha caracterizado el inicio ni el fin.</t>
  </si>
  <si>
    <t>La actividad 2 y 6 pueden ser solo un evento envía, ya que la unica tarea que se realiza es enviar.</t>
  </si>
  <si>
    <t xml:space="preserve">[OBS072]En el alcance del Macroproceso debería ir un artículo entre "acompañamiento hasta" y " seguimiento del mismo."_x000D_
[OBS073]En el alcance del Macroproceso hay un error de tipeo en _x000D_
[OBS074]El nombre del Macroproceso debe estar en la cabecera del pool._x000D_
[OBS075]Hay un error de notación se usa un Grupo como si fuera un SubProceso Ad-Hoc. Se está forzando el diagrama._x000D_
[OBS076]El diagrama es ANSI y no BPMN_x000D_
[OBS077]En la caracterización no se ha caracterizado el inicio ni el fin._x000D_
[OBS078]El conector entre las actividades 5, 6 y la actividad 3 no es el correcto. Son parte del mismo pool. _x000D_
[OBS079]En la entrada de la caracterización de la actividad 2 debe estar ek dato de salida de la actividad 8._x000D_
[OBS080]El dato "Necesidad de Visitas a Programas Educativos Rurales" no tiene relación con la caracterización en la entrada de la actividad 3._x000D_
[OBS081]El dato "Necesidad de elaborar el Informe trimestral" no tiene relación con la caracterización en la entrada de la actividad 4. _x000D_
[OBS082]El dato de salida de la actividad 7 debería ser entrada de la actividad 4._x000D_
[OBS083]El dato de la entrada de la actividad 5 y 6 debería ser el dato de salida de la actividad 3._x000D_
[OBS084]En la descripción de la activiadd 6 de la caracterización hay un error ortográfico con la palabra "viajó"._x000D_
[OBS085]El dato de la entrada de la actividad 8 no concuerda con el dato de la salida de la actividad 2._x000D_
</t>
  </si>
  <si>
    <t xml:space="preserve">[OBS086]En el primer parrafo hay "de" innecesario, entre "apoyar" y los Programas Educativos"._x000D_
[OBS087]Sugiero un estandar, en el Alcance se menciona que los procesos de otros macroprocesos estarán de color azul, mientras que en los otros documentos es de color turquesa._x000D_
[OBS088]El nombre del Macroproceso debe estar en la cabecera del pool._x000D_
[OBS089]Hay un error de notación se usa un Grupo como si fuera un SubProceso de Multiple Instancia. Se está forzando el diagrama._x000D_
[OBS090]El dato de salida de la actividad 6 "Fecha aceptada" no se usa nunca mas. Incluirla en la entrada de la actividad 7 o eliminarla._x000D_
[OBS091]En los datos de entrada y salidad de las actividades 9, 13, 14, 15, 17 y 18 sugiero algo mas específico en el dato de la visita o viaje._x000D_
</t>
  </si>
  <si>
    <t xml:space="preserve">[OBS092]En la actividad 21 dado que es un evento de mensaje, el verbo sería envía y no entrega._x000D_
</t>
  </si>
  <si>
    <t xml:space="preserve">[OBS093]En el procedimiento hay un error de tipeo en el punto 1 con "programa" y un error de grámatica. En el punto 2 también hay un error de tipeo con la misma palabra. _x000D_
[OBS094]El nombre del Macroproceso debe estar en la cabecera del pool._x000D_
[OBS095]En las entradas y/o salidas de las actividades 5, 6, 7, 8, 9 y 10 hay error de formato, no empieza con Mayúscula._x000D_
[OBS096]Los datos de salida de las actividades 9 y 10 y la entrada de la actividad 11 no es un dato._x000D_
[OBS097]La actividad 12 y 14 pueden ser solo un evento envía, ya que la unica tarea que se realiza es enviar._x000D_
[OBS098]En la Descripción de la actividad 15 hay un error entre "aprobado" y "Administración"._x000D_
</t>
  </si>
  <si>
    <t xml:space="preserve">[OBS099]El nombre del Macroproceso debe estar en la cabecera del pool._x000D_
[OBS100]No se ha caracterizado el inicio ni el fin._x000D_
[OBS101]La actividad 2 y 6 pueden ser solo un evento envía, ya que la unica tarea que se realiza es enviar._x000D_
</t>
  </si>
  <si>
    <t>Se corrigió la redacción.</t>
  </si>
  <si>
    <t>Se modificó el nombre del pool.</t>
  </si>
  <si>
    <t>No existe evento 21 en el proceso. Se asume que el error corresponde al Caso de Prueba CP012 (Se modificó el nombre del evento).</t>
  </si>
  <si>
    <t>Se modificó el grupo por un subproceso.</t>
  </si>
  <si>
    <t>Se agregó como entrada de la actividad 7.</t>
  </si>
  <si>
    <t>El color será azul.</t>
  </si>
  <si>
    <t>Se modificaron algunas entradas y salidas.</t>
  </si>
  <si>
    <t>Se corrigió el error gramatical.</t>
  </si>
  <si>
    <t>Se colocó el nombre del macroproceso  en el pool.</t>
  </si>
  <si>
    <t>Se cambió con las sugerencias brindadas.</t>
  </si>
  <si>
    <t>Se caracterizaron el inicio y fin.</t>
  </si>
  <si>
    <t>Los procesos 5 y 6 ahora pertenecen a otro pool debido a que pertenecen a otro proceso.</t>
  </si>
  <si>
    <t>Se corrigió la entrada de la actividad 2.</t>
  </si>
  <si>
    <t>Se corrigió la salida del proceso de Planificación de los Programas Educativos Rurales.</t>
  </si>
  <si>
    <t>Se corrigió la entrada de la actividad señalada.</t>
  </si>
  <si>
    <t>Se corrigió el error ortográfico.</t>
  </si>
  <si>
    <t>Se corrigió el error de tipeo en los puntos señalados.</t>
  </si>
  <si>
    <t>Se colocó el nombre del proceso  en el pool.</t>
  </si>
  <si>
    <t>Se corrigió el formato de mayúsculas y minúsculas.</t>
  </si>
  <si>
    <t>Se corrigió las entradas y salidas de los puntos señalados.</t>
  </si>
  <si>
    <t>Se agregagó la salida y entrada del documento POA  en las actividades 14 y 15. En la Actividad 12 se agregó un documento de Recomendaciones.</t>
  </si>
  <si>
    <t>Se adicionaron documentos que salían de estas actividades.</t>
  </si>
  <si>
    <t>No se encontró el error.</t>
  </si>
  <si>
    <t>Brindar sugerencias.</t>
  </si>
  <si>
    <t>Esas entradas y salidas se ven en los procesos internamente, si revisas los documentos de cada uno de los procesos, te darás cuenta que si tienen relación, lo que pasa es que perdería sentido si se colocan esas entradas y salidas.</t>
  </si>
  <si>
    <t>Lo que sucede es que eso es interno porque sino confundiría que la salida de de Planificación de los Programas Educativos Rurales sea la necesidad de elaboración de POA cuando eso es lo que hace el proceso en sí.</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</si>
</sst>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3">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1" fontId="0" fillId="0" borderId="28" xfId="0" applyNumberFormat="1" applyBorder="1" applyProtection="1">
      <protection locked="0"/>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outline="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outline="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style="thin">
          <color indexed="22"/>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vertical="center" textRotation="0"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79"/>
          <c:y val="0.20151813899974841"/>
          <c:w val="0.50142494135134663"/>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c:v>
                </c:pt>
                <c:pt idx="1">
                  <c:v>1</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0866" l="0.70000000000000062" r="0.70000000000000062" t="0.750000000000008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0866" l="0.70000000000000062" r="0.70000000000000062" t="0.750000000000008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pt idx="1">
                  <c:v>40796</c:v>
                </c:pt>
              </c:numCache>
            </c:numRef>
          </c:cat>
          <c:val>
            <c:numRef>
              <c:f>HistoricoAvance!$C$4:$C$6</c:f>
              <c:numCache>
                <c:formatCode>0</c:formatCode>
                <c:ptCount val="3"/>
                <c:pt idx="0">
                  <c:v>0</c:v>
                </c:pt>
                <c:pt idx="1">
                  <c:v>0</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pt idx="1">
                  <c:v>40796</c:v>
                </c:pt>
              </c:numCache>
            </c:numRef>
          </c:cat>
          <c:val>
            <c:numRef>
              <c:f>HistoricoAvance!$D$4:$D$6</c:f>
              <c:numCache>
                <c:formatCode>0</c:formatCode>
                <c:ptCount val="3"/>
                <c:pt idx="0">
                  <c:v>10</c:v>
                </c:pt>
                <c:pt idx="1">
                  <c:v>15</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pt idx="1">
                  <c:v>40796</c:v>
                </c:pt>
              </c:numCache>
            </c:numRef>
          </c:cat>
          <c:val>
            <c:numRef>
              <c:f>HistoricoAvance!$E$4:$E$6</c:f>
              <c:numCache>
                <c:formatCode>0</c:formatCode>
                <c:ptCount val="3"/>
                <c:pt idx="0">
                  <c:v>0</c:v>
                </c:pt>
                <c:pt idx="1">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pt idx="1">
                  <c:v>40796</c:v>
                </c:pt>
              </c:numCache>
            </c:numRef>
          </c:cat>
          <c:val>
            <c:numRef>
              <c:f>HistoricoAvance!$F$4:$F$6</c:f>
              <c:numCache>
                <c:formatCode>0</c:formatCode>
                <c:ptCount val="3"/>
                <c:pt idx="0">
                  <c:v>0</c:v>
                </c:pt>
                <c:pt idx="1">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pt idx="1">
                  <c:v>40796</c:v>
                </c:pt>
              </c:numCache>
            </c:numRef>
          </c:cat>
          <c:val>
            <c:numRef>
              <c:f>HistoricoAvance!$G$4:$G$6</c:f>
              <c:numCache>
                <c:formatCode>0</c:formatCode>
                <c:ptCount val="3"/>
                <c:pt idx="0">
                  <c:v>0</c:v>
                </c:pt>
                <c:pt idx="1">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pt idx="1">
                  <c:v>40796</c:v>
                </c:pt>
              </c:numCache>
            </c:numRef>
          </c:cat>
          <c:val>
            <c:numRef>
              <c:f>HistoricoAvance!$H$4:$H$6</c:f>
              <c:numCache>
                <c:formatCode>0</c:formatCode>
                <c:ptCount val="3"/>
                <c:pt idx="0">
                  <c:v>0</c:v>
                </c:pt>
                <c:pt idx="1">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pt idx="1">
                  <c:v>40796</c:v>
                </c:pt>
              </c:numCache>
            </c:numRef>
          </c:cat>
          <c:val>
            <c:numRef>
              <c:f>HistoricoAvance!$I$4:$I$6</c:f>
              <c:numCache>
                <c:formatCode>0</c:formatCode>
                <c:ptCount val="3"/>
                <c:pt idx="0">
                  <c:v>0</c:v>
                </c:pt>
                <c:pt idx="1">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pt idx="1">
                  <c:v>40796</c:v>
                </c:pt>
              </c:numCache>
            </c:numRef>
          </c:cat>
          <c:val>
            <c:numRef>
              <c:f>HistoricoAvance!$J$4:$J$6</c:f>
              <c:numCache>
                <c:formatCode>General</c:formatCode>
                <c:ptCount val="3"/>
                <c:pt idx="0">
                  <c:v>10</c:v>
                </c:pt>
                <c:pt idx="1">
                  <c:v>15</c:v>
                </c:pt>
                <c:pt idx="2">
                  <c:v>0</c:v>
                </c:pt>
              </c:numCache>
            </c:numRef>
          </c:val>
          <c:smooth val="0"/>
        </c:ser>
        <c:dLbls>
          <c:showLegendKey val="0"/>
          <c:showVal val="0"/>
          <c:showCatName val="0"/>
          <c:showSerName val="0"/>
          <c:showPercent val="0"/>
          <c:showBubbleSize val="0"/>
        </c:dLbls>
        <c:marker val="1"/>
        <c:smooth val="0"/>
        <c:axId val="136867200"/>
        <c:axId val="136885376"/>
      </c:lineChart>
      <c:dateAx>
        <c:axId val="136867200"/>
        <c:scaling>
          <c:orientation val="minMax"/>
        </c:scaling>
        <c:delete val="0"/>
        <c:axPos val="b"/>
        <c:numFmt formatCode="dd/mm/yyyy" sourceLinked="1"/>
        <c:majorTickMark val="out"/>
        <c:minorTickMark val="none"/>
        <c:tickLblPos val="nextTo"/>
        <c:txPr>
          <a:bodyPr/>
          <a:lstStyle/>
          <a:p>
            <a:pPr>
              <a:defRPr lang="es-ES"/>
            </a:pPr>
            <a:endParaRPr lang="es-PE"/>
          </a:p>
        </c:txPr>
        <c:crossAx val="136885376"/>
        <c:crosses val="autoZero"/>
        <c:auto val="1"/>
        <c:lblOffset val="100"/>
        <c:baseTimeUnit val="days"/>
      </c:dateAx>
      <c:valAx>
        <c:axId val="13688537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686720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pt idx="1">
                  <c:v>40796</c:v>
                </c:pt>
              </c:numCache>
            </c:numRef>
          </c:cat>
          <c:val>
            <c:numRef>
              <c:f>HistoricoAvance!$M$4:$M$6</c:f>
              <c:numCache>
                <c:formatCode>0</c:formatCode>
                <c:ptCount val="3"/>
                <c:pt idx="0">
                  <c:v>0</c:v>
                </c:pt>
                <c:pt idx="1">
                  <c:v>0</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pt idx="1">
                  <c:v>40796</c:v>
                </c:pt>
              </c:numCache>
            </c:numRef>
          </c:cat>
          <c:val>
            <c:numRef>
              <c:f>HistoricoAvance!$N$4:$N$6</c:f>
              <c:numCache>
                <c:formatCode>0</c:formatCode>
                <c:ptCount val="3"/>
                <c:pt idx="0">
                  <c:v>0</c:v>
                </c:pt>
                <c:pt idx="1">
                  <c:v>0</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pt idx="1">
                  <c:v>40796</c:v>
                </c:pt>
              </c:numCache>
            </c:numRef>
          </c:cat>
          <c:val>
            <c:numRef>
              <c:f>HistoricoAvance!$O$4:$O$6</c:f>
              <c:numCache>
                <c:formatCode>General</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39335936"/>
        <c:axId val="139337728"/>
      </c:lineChart>
      <c:dateAx>
        <c:axId val="139335936"/>
        <c:scaling>
          <c:orientation val="minMax"/>
        </c:scaling>
        <c:delete val="0"/>
        <c:axPos val="b"/>
        <c:numFmt formatCode="dd/mm/yyyy" sourceLinked="1"/>
        <c:majorTickMark val="out"/>
        <c:minorTickMark val="none"/>
        <c:tickLblPos val="nextTo"/>
        <c:txPr>
          <a:bodyPr/>
          <a:lstStyle/>
          <a:p>
            <a:pPr>
              <a:defRPr lang="es-ES"/>
            </a:pPr>
            <a:endParaRPr lang="es-PE"/>
          </a:p>
        </c:txPr>
        <c:crossAx val="139337728"/>
        <c:crosses val="autoZero"/>
        <c:auto val="1"/>
        <c:lblOffset val="100"/>
        <c:baseTimeUnit val="days"/>
      </c:dateAx>
      <c:valAx>
        <c:axId val="13933772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933593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9368320"/>
        <c:axId val="139369856"/>
      </c:barChart>
      <c:catAx>
        <c:axId val="139368320"/>
        <c:scaling>
          <c:orientation val="minMax"/>
        </c:scaling>
        <c:delete val="0"/>
        <c:axPos val="b"/>
        <c:majorTickMark val="out"/>
        <c:minorTickMark val="none"/>
        <c:tickLblPos val="nextTo"/>
        <c:txPr>
          <a:bodyPr/>
          <a:lstStyle/>
          <a:p>
            <a:pPr>
              <a:defRPr lang="es-ES"/>
            </a:pPr>
            <a:endParaRPr lang="es-PE"/>
          </a:p>
        </c:txPr>
        <c:crossAx val="139369856"/>
        <c:crosses val="autoZero"/>
        <c:auto val="1"/>
        <c:lblAlgn val="ctr"/>
        <c:lblOffset val="100"/>
        <c:noMultiLvlLbl val="0"/>
      </c:catAx>
      <c:valAx>
        <c:axId val="1393698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368320"/>
        <c:crosses val="autoZero"/>
        <c:crossBetween val="between"/>
      </c:valAx>
    </c:plotArea>
    <c:plotVisOnly val="1"/>
    <c:dispBlanksAs val="gap"/>
    <c:showDLblsOverMax val="0"/>
  </c:chart>
  <c:printSettings>
    <c:headerFooter/>
    <c:pageMargins b="0.75000000000000855" l="0.70000000000000062" r="0.70000000000000062" t="0.750000000000008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9280768"/>
        <c:axId val="139282304"/>
      </c:barChart>
      <c:catAx>
        <c:axId val="139280768"/>
        <c:scaling>
          <c:orientation val="minMax"/>
        </c:scaling>
        <c:delete val="0"/>
        <c:axPos val="b"/>
        <c:majorTickMark val="out"/>
        <c:minorTickMark val="none"/>
        <c:tickLblPos val="nextTo"/>
        <c:txPr>
          <a:bodyPr/>
          <a:lstStyle/>
          <a:p>
            <a:pPr>
              <a:defRPr lang="es-ES"/>
            </a:pPr>
            <a:endParaRPr lang="es-PE"/>
          </a:p>
        </c:txPr>
        <c:crossAx val="139282304"/>
        <c:crosses val="autoZero"/>
        <c:auto val="1"/>
        <c:lblAlgn val="ctr"/>
        <c:lblOffset val="100"/>
        <c:noMultiLvlLbl val="0"/>
      </c:catAx>
      <c:valAx>
        <c:axId val="13928230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280768"/>
        <c:crosses val="autoZero"/>
        <c:crossBetween val="between"/>
      </c:valAx>
    </c:plotArea>
    <c:plotVisOnly val="1"/>
    <c:dispBlanksAs val="gap"/>
    <c:showDLblsOverMax val="0"/>
  </c:chart>
  <c:printSettings>
    <c:headerFooter/>
    <c:pageMargins b="0.75000000000000855" l="0.70000000000000062" r="0.70000000000000062" t="0.750000000000008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39311360"/>
        <c:axId val="139317248"/>
      </c:barChart>
      <c:catAx>
        <c:axId val="139311360"/>
        <c:scaling>
          <c:orientation val="minMax"/>
        </c:scaling>
        <c:delete val="0"/>
        <c:axPos val="b"/>
        <c:majorTickMark val="out"/>
        <c:minorTickMark val="none"/>
        <c:tickLblPos val="nextTo"/>
        <c:txPr>
          <a:bodyPr/>
          <a:lstStyle/>
          <a:p>
            <a:pPr>
              <a:defRPr lang="es-ES"/>
            </a:pPr>
            <a:endParaRPr lang="es-PE"/>
          </a:p>
        </c:txPr>
        <c:crossAx val="139317248"/>
        <c:crosses val="autoZero"/>
        <c:auto val="1"/>
        <c:lblAlgn val="ctr"/>
        <c:lblOffset val="100"/>
        <c:noMultiLvlLbl val="0"/>
      </c:catAx>
      <c:valAx>
        <c:axId val="13931724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311360"/>
        <c:crosses val="autoZero"/>
        <c:crossBetween val="between"/>
      </c:valAx>
    </c:plotArea>
    <c:plotVisOnly val="1"/>
    <c:dispBlanksAs val="gap"/>
    <c:showDLblsOverMax val="0"/>
  </c:chart>
  <c:printSettings>
    <c:headerFooter/>
    <c:pageMargins b="0.75000000000000855" l="0.70000000000000062" r="0.70000000000000062" t="0.750000000000008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0978432"/>
        <c:axId val="140992512"/>
      </c:barChart>
      <c:catAx>
        <c:axId val="140978432"/>
        <c:scaling>
          <c:orientation val="minMax"/>
        </c:scaling>
        <c:delete val="0"/>
        <c:axPos val="b"/>
        <c:majorTickMark val="out"/>
        <c:minorTickMark val="none"/>
        <c:tickLblPos val="nextTo"/>
        <c:txPr>
          <a:bodyPr/>
          <a:lstStyle/>
          <a:p>
            <a:pPr>
              <a:defRPr lang="es-ES"/>
            </a:pPr>
            <a:endParaRPr lang="es-PE"/>
          </a:p>
        </c:txPr>
        <c:crossAx val="140992512"/>
        <c:crosses val="autoZero"/>
        <c:auto val="1"/>
        <c:lblAlgn val="ctr"/>
        <c:lblOffset val="100"/>
        <c:noMultiLvlLbl val="0"/>
      </c:catAx>
      <c:valAx>
        <c:axId val="14099251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978432"/>
        <c:crosses val="autoZero"/>
        <c:crossBetween val="between"/>
      </c:valAx>
    </c:plotArea>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017088"/>
        <c:axId val="141018624"/>
      </c:barChart>
      <c:catAx>
        <c:axId val="141017088"/>
        <c:scaling>
          <c:orientation val="minMax"/>
        </c:scaling>
        <c:delete val="0"/>
        <c:axPos val="b"/>
        <c:majorTickMark val="out"/>
        <c:minorTickMark val="none"/>
        <c:tickLblPos val="nextTo"/>
        <c:txPr>
          <a:bodyPr/>
          <a:lstStyle/>
          <a:p>
            <a:pPr>
              <a:defRPr lang="es-ES"/>
            </a:pPr>
            <a:endParaRPr lang="es-PE"/>
          </a:p>
        </c:txPr>
        <c:crossAx val="141018624"/>
        <c:crosses val="autoZero"/>
        <c:auto val="1"/>
        <c:lblAlgn val="ctr"/>
        <c:lblOffset val="100"/>
        <c:noMultiLvlLbl val="0"/>
      </c:catAx>
      <c:valAx>
        <c:axId val="1410186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017088"/>
        <c:crosses val="autoZero"/>
        <c:crossBetween val="between"/>
      </c:valAx>
    </c:plotArea>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0798208"/>
        <c:axId val="140804096"/>
      </c:barChart>
      <c:catAx>
        <c:axId val="140798208"/>
        <c:scaling>
          <c:orientation val="minMax"/>
        </c:scaling>
        <c:delete val="0"/>
        <c:axPos val="b"/>
        <c:majorTickMark val="out"/>
        <c:minorTickMark val="none"/>
        <c:tickLblPos val="nextTo"/>
        <c:txPr>
          <a:bodyPr/>
          <a:lstStyle/>
          <a:p>
            <a:pPr>
              <a:defRPr lang="es-ES"/>
            </a:pPr>
            <a:endParaRPr lang="es-PE"/>
          </a:p>
        </c:txPr>
        <c:crossAx val="140804096"/>
        <c:crosses val="autoZero"/>
        <c:auto val="1"/>
        <c:lblAlgn val="ctr"/>
        <c:lblOffset val="100"/>
        <c:noMultiLvlLbl val="0"/>
      </c:catAx>
      <c:valAx>
        <c:axId val="1408040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798208"/>
        <c:crosses val="autoZero"/>
        <c:crossBetween val="between"/>
      </c:valAx>
    </c:plotArea>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calculatedColumnFormula>General!$A$10</calculatedColumnFormula>
    </tableColumn>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103" totalsRowShown="0" headerRowDxfId="47" dataDxfId="45" headerRowBorderDxfId="46" tableBorderDxfId="44">
  <autoFilter ref="A2:L103">
    <filterColumn colId="1">
      <filters>
        <filter val="CP011"/>
        <filter val="CP012"/>
        <filter val="CP013"/>
        <filter val="CP014"/>
        <filter val="CP015"/>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6" headerRowBorderDxfId="5" tableBorderDxfId="4">
  <tableColumns count="4">
    <tableColumn id="1" name="Fecha" dataDxfId="3"/>
    <tableColumn id="2" name="Abiertas" dataDxfId="2"/>
    <tableColumn id="4" name="Cerradas" dataDxfId="1"/>
    <tableColumn id="5" name="Totales" dataDxfId="0">
      <calculatedColumnFormula>SUM(HistoricoIncidencias[[#This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7" sqref="B7"/>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2" t="s">
        <v>0</v>
      </c>
      <c r="B1" s="173"/>
      <c r="C1" s="173"/>
      <c r="D1" s="173"/>
      <c r="XFB1" s="4" t="s">
        <v>135</v>
      </c>
    </row>
    <row r="2" spans="1:4 16382:16382" ht="19.5" customHeight="1">
      <c r="A2" s="174" t="s">
        <v>1</v>
      </c>
      <c r="B2" s="174"/>
      <c r="C2" s="174"/>
      <c r="D2" s="174"/>
      <c r="XFB2" s="4" t="s">
        <v>136</v>
      </c>
    </row>
    <row r="3" spans="1:4 16382:16382" ht="19.5" customHeight="1">
      <c r="A3" s="114" t="s">
        <v>139</v>
      </c>
      <c r="B3" s="117" t="s">
        <v>164</v>
      </c>
      <c r="C3" s="114" t="s">
        <v>2</v>
      </c>
      <c r="D3" s="118" t="s">
        <v>138</v>
      </c>
      <c r="XFB3" s="4" t="s">
        <v>137</v>
      </c>
    </row>
    <row r="4" spans="1:4 16382:16382" ht="19.5" customHeight="1">
      <c r="A4" s="115" t="s">
        <v>140</v>
      </c>
      <c r="B4" s="175" t="s">
        <v>165</v>
      </c>
      <c r="C4" s="175"/>
      <c r="D4" s="175"/>
      <c r="XFB4" s="4" t="s">
        <v>138</v>
      </c>
    </row>
    <row r="5" spans="1:4 16382:16382" ht="120" customHeight="1">
      <c r="A5" s="114" t="s">
        <v>3</v>
      </c>
      <c r="B5" s="176" t="s">
        <v>300</v>
      </c>
      <c r="C5" s="177"/>
      <c r="D5" s="178"/>
    </row>
    <row r="6" spans="1:4 16382:16382" ht="19.5" customHeight="1">
      <c r="A6" s="114" t="s">
        <v>148</v>
      </c>
      <c r="B6" s="119" t="s">
        <v>166</v>
      </c>
      <c r="C6" s="114" t="s">
        <v>4</v>
      </c>
      <c r="D6" s="1" t="s">
        <v>166</v>
      </c>
    </row>
    <row r="7" spans="1:4 16382:16382" ht="19.5" customHeight="1">
      <c r="A7" s="114" t="s">
        <v>160</v>
      </c>
      <c r="B7" s="117" t="s">
        <v>163</v>
      </c>
      <c r="C7" s="114" t="s">
        <v>141</v>
      </c>
      <c r="D7" s="2" t="s">
        <v>166</v>
      </c>
    </row>
    <row r="8" spans="1:4 16382:16382" ht="19.5" customHeight="1">
      <c r="A8" s="179" t="s">
        <v>5</v>
      </c>
      <c r="B8" s="179"/>
      <c r="C8" s="179" t="s">
        <v>6</v>
      </c>
      <c r="D8" s="179"/>
    </row>
    <row r="9" spans="1:4 16382:16382" ht="19.5" customHeight="1">
      <c r="A9" s="116" t="s">
        <v>7</v>
      </c>
      <c r="B9" s="116" t="s">
        <v>8</v>
      </c>
      <c r="C9" s="116" t="s">
        <v>7</v>
      </c>
      <c r="D9" s="116" t="s">
        <v>8</v>
      </c>
    </row>
    <row r="10" spans="1:4 16382:16382" ht="19.5" customHeight="1">
      <c r="A10" s="120" t="s">
        <v>159</v>
      </c>
      <c r="B10" s="3" t="s">
        <v>159</v>
      </c>
      <c r="C10" s="3" t="s">
        <v>159</v>
      </c>
      <c r="D10" s="3" t="s">
        <v>159</v>
      </c>
    </row>
    <row r="11" spans="1:4 16382:16382" hidden="1"/>
  </sheetData>
  <mergeCells count="6">
    <mergeCell ref="A1:D1"/>
    <mergeCell ref="A2:D2"/>
    <mergeCell ref="B4:D4"/>
    <mergeCell ref="B5:D5"/>
    <mergeCell ref="A8:B8"/>
    <mergeCell ref="C8:D8"/>
  </mergeCells>
  <dataValidations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124" zoomScaleNormal="124" workbookViewId="0">
      <pane ySplit="7" topLeftCell="A8" activePane="bottomLeft" state="frozen"/>
      <selection pane="bottomLeft" activeCell="D6" sqref="D6"/>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81" t="str">
        <f>General!$B$4</f>
        <v>Arquitectura de Negocios de la Oficina Central de Fe y Alegría Perú – ANOCFAP</v>
      </c>
      <c r="H2" s="181"/>
      <c r="I2" s="181"/>
      <c r="J2" s="181"/>
      <c r="K2" s="181"/>
      <c r="L2" s="181"/>
      <c r="M2" s="181"/>
      <c r="N2" s="181"/>
      <c r="O2" s="181"/>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v>
      </c>
      <c r="E4" s="139"/>
      <c r="F4" s="138" t="s">
        <v>12</v>
      </c>
      <c r="G4" s="182" t="str">
        <f>IF(SUM($C$30:$C$31)&gt;0,P37,IF((SUM($C$30:$C$31)=0)*(SUM($C$32:$C$33)),$P$36,IF($C$34=0,$P$35,$P$35)))</f>
        <v>SATISFACTORIO</v>
      </c>
      <c r="H4" s="182"/>
      <c r="I4" s="182"/>
      <c r="J4" s="182"/>
      <c r="K4" s="182"/>
      <c r="L4" s="182"/>
      <c r="M4" s="182"/>
      <c r="N4" s="182"/>
      <c r="O4" s="182"/>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33</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130</v>
      </c>
      <c r="L12" s="81"/>
      <c r="M12" s="79"/>
      <c r="N12" s="79"/>
      <c r="O12" s="79"/>
      <c r="P12" s="89" t="s">
        <v>35</v>
      </c>
      <c r="Q12" s="13" t="s">
        <v>36</v>
      </c>
      <c r="R12" s="79"/>
    </row>
    <row r="13" spans="1:18" ht="30.75" thickBot="1">
      <c r="A13" s="79"/>
      <c r="B13" s="136" t="s">
        <v>113</v>
      </c>
      <c r="C13" s="9">
        <f>COUNTIF(CasoPrueba[[#All],[Estado Testing]],$P$29)</f>
        <v>15</v>
      </c>
      <c r="D13" s="79"/>
      <c r="E13" s="5">
        <f>COUNTIF(CasoPrueba[[#All],[Estado Testing]],$P$28)</f>
        <v>0</v>
      </c>
      <c r="F13" s="5">
        <f>COUNTIF(CasoPrueba[[#All],[Estado Testing]],$P$29)</f>
        <v>15</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37</v>
      </c>
      <c r="Q13" s="14" t="s">
        <v>38</v>
      </c>
      <c r="R13" s="79"/>
    </row>
    <row r="14" spans="1:18" ht="15.75" thickBot="1">
      <c r="A14" s="79"/>
      <c r="B14" s="136" t="s">
        <v>17</v>
      </c>
      <c r="C14" s="9">
        <f>COUNTIF(CasoPrueba[[#All],[Estado Testing]],$P$30)</f>
        <v>0</v>
      </c>
      <c r="D14" s="79"/>
      <c r="E14" s="15">
        <f t="shared" ref="E14:J14" si="0">E13/$C$10</f>
        <v>0</v>
      </c>
      <c r="F14" s="15">
        <f t="shared" si="0"/>
        <v>1</v>
      </c>
      <c r="G14" s="15">
        <f t="shared" si="0"/>
        <v>0</v>
      </c>
      <c r="H14" s="15">
        <f t="shared" si="0"/>
        <v>0</v>
      </c>
      <c r="I14" s="15">
        <f t="shared" si="0"/>
        <v>0</v>
      </c>
      <c r="J14" s="15">
        <f t="shared" si="0"/>
        <v>0</v>
      </c>
      <c r="K14" s="15">
        <f>K13/C10</f>
        <v>0</v>
      </c>
      <c r="L14" s="83"/>
      <c r="M14" s="79"/>
      <c r="N14" s="79"/>
      <c r="O14" s="79"/>
      <c r="P14" s="91" t="s">
        <v>39</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3" t="s">
        <v>25</v>
      </c>
      <c r="C16" s="184" t="s">
        <v>19</v>
      </c>
      <c r="D16" s="184"/>
      <c r="E16" s="185" t="s">
        <v>20</v>
      </c>
      <c r="F16" s="185"/>
      <c r="G16" s="186" t="s">
        <v>21</v>
      </c>
      <c r="H16" s="186"/>
      <c r="I16" s="187" t="s">
        <v>22</v>
      </c>
      <c r="J16" s="188"/>
      <c r="K16" s="191" t="s">
        <v>23</v>
      </c>
      <c r="L16" s="192"/>
      <c r="M16" s="189" t="s">
        <v>24</v>
      </c>
      <c r="N16" s="190"/>
      <c r="O16" s="79"/>
      <c r="P16" s="10" t="s">
        <v>41</v>
      </c>
      <c r="Q16" s="11" t="s">
        <v>42</v>
      </c>
      <c r="R16" s="79"/>
    </row>
    <row r="17" spans="1:18" ht="15.75" hidden="1" thickBot="1">
      <c r="A17" s="79"/>
      <c r="B17" s="183"/>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0</v>
      </c>
      <c r="D18" s="45">
        <f>C18/$C$10</f>
        <v>0</v>
      </c>
      <c r="E18" s="46">
        <f>COUNTIFS(CasoPrueba[[#All],[Estado Testing]],$P$29,CasoPrueba[[#All],[Prioridad]],$P$17)</f>
        <v>15</v>
      </c>
      <c r="F18" s="47">
        <f>E18/$C$10</f>
        <v>1</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15</v>
      </c>
      <c r="N18" s="53">
        <f>M18/$C$10</f>
        <v>1</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0</v>
      </c>
      <c r="D21" s="63">
        <f t="shared" ref="D21:N21" si="2">SUM(D18:D20)</f>
        <v>0</v>
      </c>
      <c r="E21" s="62">
        <f t="shared" si="2"/>
        <v>15</v>
      </c>
      <c r="F21" s="63">
        <f t="shared" si="2"/>
        <v>1</v>
      </c>
      <c r="G21" s="62">
        <f t="shared" si="2"/>
        <v>0</v>
      </c>
      <c r="H21" s="63">
        <f t="shared" si="2"/>
        <v>0</v>
      </c>
      <c r="I21" s="62">
        <f t="shared" si="2"/>
        <v>0</v>
      </c>
      <c r="J21" s="63">
        <f t="shared" si="2"/>
        <v>0</v>
      </c>
      <c r="K21" s="62">
        <f>SUM(K18:K20)</f>
        <v>0</v>
      </c>
      <c r="L21" s="63">
        <f>SUM(L18:L20)</f>
        <v>0</v>
      </c>
      <c r="M21" s="62">
        <f t="shared" si="2"/>
        <v>15</v>
      </c>
      <c r="N21" s="63">
        <f t="shared" si="2"/>
        <v>1</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80" t="s">
        <v>69</v>
      </c>
      <c r="C28" s="180" t="s">
        <v>70</v>
      </c>
      <c r="D28" s="180"/>
      <c r="E28" s="180" t="s">
        <v>71</v>
      </c>
      <c r="F28" s="180"/>
      <c r="G28" s="124"/>
      <c r="H28" s="124"/>
      <c r="I28" s="124"/>
      <c r="J28" s="124"/>
      <c r="K28" s="124"/>
      <c r="L28" s="124"/>
      <c r="M28" s="79"/>
      <c r="N28" s="79"/>
      <c r="O28" s="79"/>
      <c r="P28" s="108" t="s">
        <v>19</v>
      </c>
      <c r="Q28" s="14" t="s">
        <v>55</v>
      </c>
      <c r="R28" s="79"/>
    </row>
    <row r="29" spans="1:18" ht="15.75" hidden="1" thickBot="1">
      <c r="A29" s="124"/>
      <c r="B29" s="180"/>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0</v>
      </c>
      <c r="D30" s="129">
        <f>C30/$C$10</f>
        <v>0</v>
      </c>
      <c r="E30" s="130">
        <f>COUNTIFS(Observaciones[[#All],[Estado]],Resumen!$P$24,Observaciones[[#All],[Severidad]],Resumen!$P$11)</f>
        <v>0</v>
      </c>
      <c r="F30" s="129">
        <f>E30/$C$10</f>
        <v>0</v>
      </c>
      <c r="G30" s="124"/>
      <c r="H30" s="127" t="s">
        <v>33</v>
      </c>
      <c r="I30" s="131">
        <f>COUNTIFS(Observaciones[[#All],[Severidad]],Resumen!$P$11,Observaciones[[#All],[Prioridad]],Resumen!$P$17)</f>
        <v>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0</v>
      </c>
      <c r="D31" s="129">
        <f>C31/$C$10</f>
        <v>0</v>
      </c>
      <c r="E31" s="130">
        <f>COUNTIFS(Observaciones[[#All],[Estado]],Resumen!$P$24,Observaciones[[#All],[Severidad]],Resumen!$P$12)</f>
        <v>0</v>
      </c>
      <c r="F31" s="129">
        <f>E31/$C$10</f>
        <v>0</v>
      </c>
      <c r="G31" s="124"/>
      <c r="H31" s="127" t="s">
        <v>35</v>
      </c>
      <c r="I31" s="131">
        <f>COUNTIFS(Observaciones[[#All],[Severidad]],Resumen!$P$12,Observaciones[[#All],[Prioridad]],Resumen!$P$17)</f>
        <v>0</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0</v>
      </c>
      <c r="D32" s="129">
        <f>C32/$C$10</f>
        <v>0</v>
      </c>
      <c r="E32" s="130">
        <f>COUNTIFS(Observaciones[[#All],[Estado]],Resumen!$P$24,Observaciones[[#All],[Severidad]],Resumen!$P$13)</f>
        <v>0</v>
      </c>
      <c r="F32" s="129">
        <f>E32/$C$10</f>
        <v>0</v>
      </c>
      <c r="G32" s="124"/>
      <c r="H32" s="127" t="s">
        <v>37</v>
      </c>
      <c r="I32" s="131">
        <f>COUNTIFS(Observaciones[[#All],[Severidad]],Resumen!$P$13,Observaciones[[#All],[Prioridad]],Resumen!$P$17)</f>
        <v>0</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0</v>
      </c>
      <c r="D33" s="129">
        <f>C33/$C$10</f>
        <v>0</v>
      </c>
      <c r="E33" s="130">
        <f>COUNTIFS(Observaciones[[#All],[Estado]],Resumen!$P$24,Observaciones[[#All],[Severidad]],Resumen!$P$14)</f>
        <v>0</v>
      </c>
      <c r="F33" s="129">
        <f>E33/$C$10</f>
        <v>0</v>
      </c>
      <c r="G33" s="124"/>
      <c r="H33" s="127" t="s">
        <v>39</v>
      </c>
      <c r="I33" s="131">
        <f>COUNTIFS(Observaciones[[#All],[Severidad]],Resumen!$P$14,Observaciones[[#All],[Prioridad]],Resumen!$P$17)</f>
        <v>0</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0</v>
      </c>
      <c r="D34" s="134">
        <f>SUM(D30:D33)</f>
        <v>0</v>
      </c>
      <c r="E34" s="133">
        <f>SUM(E30:E33)</f>
        <v>0</v>
      </c>
      <c r="F34" s="134">
        <f>SUM(F30:F33)</f>
        <v>0</v>
      </c>
      <c r="G34" s="124"/>
      <c r="H34" s="127" t="s">
        <v>72</v>
      </c>
      <c r="I34" s="135">
        <f>SUM(I30:I33)</f>
        <v>0</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zoomScale="55" zoomScaleNormal="55"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3" t="s">
        <v>114</v>
      </c>
      <c r="B1" s="193"/>
      <c r="C1" s="193"/>
      <c r="D1" s="193"/>
      <c r="E1" s="193"/>
      <c r="F1" s="193"/>
      <c r="G1" s="193"/>
      <c r="H1" s="193"/>
      <c r="I1" s="193"/>
      <c r="J1" s="193"/>
      <c r="K1" s="193"/>
      <c r="L1" s="193"/>
      <c r="M1" s="193"/>
      <c r="N1" s="193"/>
      <c r="O1" s="193"/>
      <c r="P1" s="193"/>
      <c r="Q1" s="193"/>
      <c r="R1" s="193"/>
    </row>
    <row r="22" spans="1:18" ht="21">
      <c r="A22" s="193" t="s">
        <v>115</v>
      </c>
      <c r="B22" s="193"/>
      <c r="C22" s="193"/>
      <c r="D22" s="193"/>
      <c r="E22" s="193"/>
      <c r="F22" s="193"/>
      <c r="G22" s="193"/>
      <c r="H22" s="193"/>
      <c r="I22" s="193"/>
      <c r="J22" s="193"/>
      <c r="K22" s="193"/>
      <c r="L22" s="193"/>
      <c r="M22" s="193"/>
      <c r="N22" s="193"/>
      <c r="O22" s="193"/>
      <c r="P22" s="193"/>
      <c r="Q22" s="193"/>
      <c r="R22" s="193"/>
    </row>
    <row r="44" spans="1:18" ht="21">
      <c r="A44" s="193" t="s">
        <v>116</v>
      </c>
      <c r="B44" s="193"/>
      <c r="C44" s="193"/>
      <c r="D44" s="193"/>
      <c r="E44" s="193"/>
      <c r="F44" s="193"/>
      <c r="G44" s="193"/>
      <c r="H44" s="193"/>
      <c r="I44" s="193"/>
      <c r="J44" s="193"/>
      <c r="K44" s="193"/>
      <c r="L44" s="193"/>
      <c r="M44" s="193"/>
      <c r="N44" s="193"/>
      <c r="O44" s="193"/>
      <c r="P44" s="193"/>
      <c r="Q44" s="193"/>
      <c r="R44" s="193"/>
    </row>
    <row r="66" spans="1:18" ht="21">
      <c r="A66" s="193" t="s">
        <v>117</v>
      </c>
      <c r="B66" s="193"/>
      <c r="C66" s="193"/>
      <c r="D66" s="193"/>
      <c r="E66" s="193"/>
      <c r="F66" s="193"/>
      <c r="G66" s="193"/>
      <c r="H66" s="193"/>
      <c r="I66" s="193"/>
      <c r="J66" s="193"/>
      <c r="K66" s="193"/>
      <c r="L66" s="193"/>
      <c r="M66" s="193"/>
      <c r="N66" s="193"/>
      <c r="O66" s="193"/>
      <c r="P66" s="193"/>
      <c r="Q66" s="193"/>
      <c r="R66" s="193"/>
    </row>
    <row r="67" spans="1:18" ht="15.75" thickBot="1"/>
    <row r="68" spans="1:18" ht="15.75" thickBot="1">
      <c r="B68" s="194" t="s">
        <v>118</v>
      </c>
      <c r="C68" s="195"/>
      <c r="D68" s="195"/>
      <c r="E68" s="195"/>
      <c r="F68" s="196"/>
      <c r="G68" s="67">
        <f>AVERAGE(Observaciones[[#All],[Tiempo de Solución (Dias)]])</f>
        <v>0</v>
      </c>
      <c r="H68" s="68" t="s">
        <v>119</v>
      </c>
    </row>
    <row r="70" spans="1:18">
      <c r="B70" s="69" t="s">
        <v>120</v>
      </c>
      <c r="C70" t="s">
        <v>122</v>
      </c>
      <c r="G70" s="69" t="s">
        <v>120</v>
      </c>
      <c r="H70" t="s">
        <v>123</v>
      </c>
      <c r="L70" s="69" t="s">
        <v>120</v>
      </c>
      <c r="M70" t="s">
        <v>124</v>
      </c>
    </row>
    <row r="71" spans="1:18">
      <c r="B71" s="70" t="s">
        <v>37</v>
      </c>
      <c r="C71" s="35">
        <v>1</v>
      </c>
      <c r="G71" s="70" t="s">
        <v>28</v>
      </c>
      <c r="H71" s="35">
        <v>2</v>
      </c>
      <c r="L71" s="70" t="s">
        <v>49</v>
      </c>
      <c r="M71" s="35">
        <v>2</v>
      </c>
    </row>
    <row r="72" spans="1:18">
      <c r="B72" s="70" t="s">
        <v>39</v>
      </c>
      <c r="C72" s="35">
        <v>1</v>
      </c>
      <c r="G72" s="70" t="s">
        <v>121</v>
      </c>
      <c r="H72" s="35">
        <v>2</v>
      </c>
      <c r="L72" s="70" t="s">
        <v>121</v>
      </c>
      <c r="M72" s="35">
        <v>2</v>
      </c>
    </row>
    <row r="73" spans="1:18">
      <c r="B73" s="70" t="s">
        <v>121</v>
      </c>
      <c r="C73" s="35">
        <v>2</v>
      </c>
    </row>
    <row r="87" spans="1:18" ht="21">
      <c r="A87" s="193" t="s">
        <v>126</v>
      </c>
      <c r="B87" s="193"/>
      <c r="C87" s="193"/>
      <c r="D87" s="193"/>
      <c r="E87" s="193"/>
      <c r="F87" s="193"/>
      <c r="G87" s="193"/>
      <c r="H87" s="193"/>
      <c r="I87" s="193"/>
      <c r="J87" s="193"/>
      <c r="K87" s="193"/>
      <c r="L87" s="193"/>
      <c r="M87" s="193"/>
      <c r="N87" s="193"/>
      <c r="O87" s="193"/>
      <c r="P87" s="193"/>
      <c r="Q87" s="193"/>
      <c r="R87" s="193"/>
    </row>
    <row r="88" spans="1:18" ht="15.75" thickBot="1"/>
    <row r="89" spans="1:18" ht="15.75" thickBot="1">
      <c r="B89" s="194" t="s">
        <v>127</v>
      </c>
      <c r="C89" s="195"/>
      <c r="D89" s="195"/>
      <c r="E89" s="195"/>
      <c r="F89" s="196"/>
      <c r="G89" s="67">
        <f>AVERAGE(Consultas[[#All],[Tiempo de Solución]])</f>
        <v>1</v>
      </c>
      <c r="H89" s="68" t="s">
        <v>119</v>
      </c>
    </row>
    <row r="91" spans="1:18">
      <c r="B91" s="69" t="s">
        <v>120</v>
      </c>
      <c r="C91" t="s">
        <v>129</v>
      </c>
      <c r="G91" s="69" t="s">
        <v>120</v>
      </c>
      <c r="H91" t="s">
        <v>123</v>
      </c>
      <c r="L91" s="69" t="s">
        <v>120</v>
      </c>
      <c r="M91" t="s">
        <v>124</v>
      </c>
    </row>
    <row r="92" spans="1:18">
      <c r="B92" s="70" t="s">
        <v>143</v>
      </c>
      <c r="C92" s="35"/>
      <c r="G92" s="70" t="s">
        <v>144</v>
      </c>
      <c r="H92" s="35">
        <v>1</v>
      </c>
      <c r="L92" s="70" t="s">
        <v>49</v>
      </c>
      <c r="M92" s="35">
        <v>1</v>
      </c>
    </row>
    <row r="93" spans="1:18">
      <c r="B93" s="70" t="s">
        <v>121</v>
      </c>
      <c r="C93" s="35"/>
      <c r="G93" s="70" t="s">
        <v>121</v>
      </c>
      <c r="H93" s="35">
        <v>1</v>
      </c>
      <c r="L93" s="70" t="s">
        <v>121</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topLeftCell="A8" zoomScale="85" zoomScaleNormal="85" workbookViewId="0">
      <selection activeCell="B16" sqref="B16"/>
    </sheetView>
  </sheetViews>
  <sheetFormatPr baseColWidth="10" defaultColWidth="0" defaultRowHeight="15"/>
  <cols>
    <col min="1" max="1" width="16.140625" style="31" bestFit="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7" t="str">
        <f>General!$B$4</f>
        <v>Arquitectura de Negocios de la Oficina Central de Fe y Alegría Perú – ANOCFAP</v>
      </c>
      <c r="H2" s="198"/>
      <c r="I2" s="198"/>
      <c r="J2" s="198"/>
      <c r="K2" s="198"/>
      <c r="L2" s="198"/>
      <c r="M2" s="198"/>
      <c r="N2" s="199"/>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134</v>
      </c>
      <c r="B4" s="149" t="s">
        <v>133</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270">
      <c r="A5" s="95" t="s">
        <v>149</v>
      </c>
      <c r="B5" s="95" t="s">
        <v>88</v>
      </c>
      <c r="C5" s="95" t="s">
        <v>161</v>
      </c>
      <c r="D5" s="168" t="s">
        <v>162</v>
      </c>
      <c r="E5" s="95" t="s">
        <v>150</v>
      </c>
      <c r="F5" s="96" t="str">
        <f>IF(CasoPrueba[[#This Row],[Estado Testing]]=Resumen!$P$28,"OK",IF(CasoPrueba[[#This Row],[Estado Testing]]=Resumen!$P$29,"NO OK",IF((CasoPrueba[[#This Row],[Estado Testing]]=Resumen!$P$30)+(CasoPrueba[[#This Row],[Estado Testing]]=Resumen!$P$31),"OBSERVADO","")))</f>
        <v>NO OK</v>
      </c>
      <c r="G5" s="95" t="s">
        <v>20</v>
      </c>
      <c r="H5" s="95" t="s">
        <v>28</v>
      </c>
      <c r="I5" s="97" t="s">
        <v>205</v>
      </c>
      <c r="J5" s="95" t="s">
        <v>47</v>
      </c>
      <c r="L5" s="98" t="str">
        <f>General!$A$10</f>
        <v>-</v>
      </c>
      <c r="M5" s="98" t="str">
        <f>General!$A$10</f>
        <v>-</v>
      </c>
      <c r="P5" s="97" t="s">
        <v>323</v>
      </c>
      <c r="Q5" s="97" t="str">
        <f>CONCATENATE(General!$B$7," ",General!$B$6)</f>
        <v>Nicolay García José Ramos Ramírez</v>
      </c>
      <c r="R5" s="107"/>
    </row>
    <row r="6" spans="1:18" ht="168.75">
      <c r="A6" s="95" t="s">
        <v>149</v>
      </c>
      <c r="B6" s="95" t="s">
        <v>177</v>
      </c>
      <c r="C6" s="95" t="s">
        <v>161</v>
      </c>
      <c r="D6" s="4" t="s">
        <v>191</v>
      </c>
      <c r="E6" s="95" t="s">
        <v>150</v>
      </c>
      <c r="F6" s="96" t="str">
        <f>IF(CasoPrueba[[#This Row],[Estado Testing]]=Resumen!$P$28,"OK",IF(CasoPrueba[[#This Row],[Estado Testing]]=Resumen!$P$29,"NO OK",IF((CasoPrueba[[#This Row],[Estado Testing]]=Resumen!$P$30)+(CasoPrueba[[#This Row],[Estado Testing]]=Resumen!$P$31),"OBSERVADO","")))</f>
        <v>NO OK</v>
      </c>
      <c r="G6" s="95" t="s">
        <v>20</v>
      </c>
      <c r="H6" s="95" t="s">
        <v>28</v>
      </c>
      <c r="I6" s="97" t="s">
        <v>259</v>
      </c>
      <c r="J6" s="95" t="s">
        <v>47</v>
      </c>
      <c r="K6" s="95"/>
      <c r="L6" s="98"/>
      <c r="M6" s="98"/>
      <c r="N6" s="95"/>
      <c r="O6" s="95"/>
      <c r="P6" s="97" t="s">
        <v>324</v>
      </c>
      <c r="Q6" s="97" t="str">
        <f>CONCATENATE(General!$B$7," ",General!$B$6)</f>
        <v>Nicolay García José Ramos Ramírez</v>
      </c>
    </row>
    <row r="7" spans="1:18" ht="123.75">
      <c r="A7" s="95" t="s">
        <v>149</v>
      </c>
      <c r="B7" s="95" t="s">
        <v>178</v>
      </c>
      <c r="C7" s="95" t="s">
        <v>161</v>
      </c>
      <c r="D7" s="4" t="s">
        <v>192</v>
      </c>
      <c r="E7" s="95" t="s">
        <v>150</v>
      </c>
      <c r="F7" s="96" t="str">
        <f>IF(CasoPrueba[[#This Row],[Estado Testing]]=Resumen!$P$28,"OK",IF(CasoPrueba[[#This Row],[Estado Testing]]=Resumen!$P$29,"NO OK",IF((CasoPrueba[[#This Row],[Estado Testing]]=Resumen!$P$30)+(CasoPrueba[[#This Row],[Estado Testing]]=Resumen!$P$31),"OBSERVADO","")))</f>
        <v>NO OK</v>
      </c>
      <c r="G7" s="95" t="s">
        <v>20</v>
      </c>
      <c r="H7" s="95" t="s">
        <v>28</v>
      </c>
      <c r="I7" s="97" t="s">
        <v>259</v>
      </c>
      <c r="J7" s="95" t="s">
        <v>47</v>
      </c>
      <c r="K7" s="95"/>
      <c r="L7" s="98"/>
      <c r="M7" s="98"/>
      <c r="N7" s="95"/>
      <c r="O7" s="95"/>
      <c r="P7" s="97" t="s">
        <v>328</v>
      </c>
      <c r="Q7" s="97" t="str">
        <f>CONCATENATE(General!$B$7," ",General!$B$6)</f>
        <v>Nicolay García José Ramos Ramírez</v>
      </c>
    </row>
    <row r="8" spans="1:18" ht="236.25">
      <c r="A8" s="95" t="s">
        <v>149</v>
      </c>
      <c r="B8" s="95" t="s">
        <v>179</v>
      </c>
      <c r="C8" s="95" t="s">
        <v>161</v>
      </c>
      <c r="D8" s="4" t="s">
        <v>193</v>
      </c>
      <c r="E8" s="95" t="s">
        <v>150</v>
      </c>
      <c r="F8" s="96" t="str">
        <f>IF(CasoPrueba[[#This Row],[Estado Testing]]=Resumen!$P$28,"OK",IF(CasoPrueba[[#This Row],[Estado Testing]]=Resumen!$P$29,"NO OK",IF((CasoPrueba[[#This Row],[Estado Testing]]=Resumen!$P$30)+(CasoPrueba[[#This Row],[Estado Testing]]=Resumen!$P$31),"OBSERVADO","")))</f>
        <v>NO OK</v>
      </c>
      <c r="G8" s="95" t="s">
        <v>20</v>
      </c>
      <c r="H8" s="95" t="s">
        <v>28</v>
      </c>
      <c r="I8" s="97" t="s">
        <v>205</v>
      </c>
      <c r="J8" s="95" t="s">
        <v>47</v>
      </c>
      <c r="K8" s="95"/>
      <c r="L8" s="98"/>
      <c r="M8" s="98"/>
      <c r="N8" s="95"/>
      <c r="O8" s="95"/>
      <c r="P8" s="97" t="s">
        <v>329</v>
      </c>
      <c r="Q8" s="97" t="str">
        <f>CONCATENATE(General!$B$7," ",General!$B$6)</f>
        <v>Nicolay García José Ramos Ramírez</v>
      </c>
    </row>
    <row r="9" spans="1:18" ht="90">
      <c r="A9" s="95" t="s">
        <v>149</v>
      </c>
      <c r="B9" s="95" t="s">
        <v>180</v>
      </c>
      <c r="C9" s="95" t="s">
        <v>161</v>
      </c>
      <c r="D9" s="4" t="s">
        <v>194</v>
      </c>
      <c r="E9" s="95" t="s">
        <v>150</v>
      </c>
      <c r="F9" s="96" t="str">
        <f>IF(CasoPrueba[[#This Row],[Estado Testing]]=Resumen!$P$28,"OK",IF(CasoPrueba[[#This Row],[Estado Testing]]=Resumen!$P$29,"NO OK",IF((CasoPrueba[[#This Row],[Estado Testing]]=Resumen!$P$30)+(CasoPrueba[[#This Row],[Estado Testing]]=Resumen!$P$31),"OBSERVADO","")))</f>
        <v>NO OK</v>
      </c>
      <c r="G9" s="95" t="s">
        <v>20</v>
      </c>
      <c r="H9" s="95" t="s">
        <v>28</v>
      </c>
      <c r="I9" s="97" t="s">
        <v>259</v>
      </c>
      <c r="J9" s="95" t="s">
        <v>47</v>
      </c>
      <c r="K9" s="95"/>
      <c r="L9" s="98"/>
      <c r="M9" s="98"/>
      <c r="N9" s="95"/>
      <c r="O9" s="95"/>
      <c r="P9" s="97" t="s">
        <v>330</v>
      </c>
      <c r="Q9" s="97" t="str">
        <f>CONCATENATE(General!$B$7," ",General!$B$6)</f>
        <v>Nicolay García José Ramos Ramírez</v>
      </c>
    </row>
    <row r="10" spans="1:18" ht="56.25">
      <c r="A10" s="95" t="s">
        <v>149</v>
      </c>
      <c r="B10" s="95" t="s">
        <v>181</v>
      </c>
      <c r="C10" s="95" t="s">
        <v>161</v>
      </c>
      <c r="D10" s="4" t="s">
        <v>195</v>
      </c>
      <c r="E10" s="95" t="s">
        <v>150</v>
      </c>
      <c r="F10" s="96" t="str">
        <f>IF(CasoPrueba[[#This Row],[Estado Testing]]=Resumen!$P$28,"OK",IF(CasoPrueba[[#This Row],[Estado Testing]]=Resumen!$P$29,"NO OK",IF((CasoPrueba[[#This Row],[Estado Testing]]=Resumen!$P$30)+(CasoPrueba[[#This Row],[Estado Testing]]=Resumen!$P$31),"OBSERVADO","")))</f>
        <v>NO OK</v>
      </c>
      <c r="G10" s="95" t="s">
        <v>20</v>
      </c>
      <c r="H10" s="95" t="s">
        <v>28</v>
      </c>
      <c r="I10" s="97" t="s">
        <v>205</v>
      </c>
      <c r="J10" s="95" t="s">
        <v>47</v>
      </c>
      <c r="K10" s="95"/>
      <c r="L10" s="98"/>
      <c r="M10" s="98"/>
      <c r="N10" s="95"/>
      <c r="O10" s="95"/>
      <c r="P10" s="97" t="s">
        <v>331</v>
      </c>
      <c r="Q10" s="97" t="str">
        <f>CONCATENATE(General!$B$7," ",General!$B$6)</f>
        <v>Nicolay García José Ramos Ramírez</v>
      </c>
    </row>
    <row r="11" spans="1:18" ht="135">
      <c r="A11" s="95" t="s">
        <v>149</v>
      </c>
      <c r="B11" s="95" t="s">
        <v>182</v>
      </c>
      <c r="C11" s="95" t="s">
        <v>161</v>
      </c>
      <c r="D11" s="4" t="s">
        <v>196</v>
      </c>
      <c r="E11" s="95" t="s">
        <v>150</v>
      </c>
      <c r="F11" s="96" t="str">
        <f>IF(CasoPrueba[[#This Row],[Estado Testing]]=Resumen!$P$28,"OK",IF(CasoPrueba[[#This Row],[Estado Testing]]=Resumen!$P$29,"NO OK",IF((CasoPrueba[[#This Row],[Estado Testing]]=Resumen!$P$30)+(CasoPrueba[[#This Row],[Estado Testing]]=Resumen!$P$31),"OBSERVADO","")))</f>
        <v>NO OK</v>
      </c>
      <c r="G11" s="95" t="s">
        <v>20</v>
      </c>
      <c r="H11" s="95" t="s">
        <v>28</v>
      </c>
      <c r="I11" s="97" t="s">
        <v>205</v>
      </c>
      <c r="J11" s="95" t="s">
        <v>47</v>
      </c>
      <c r="K11" s="95"/>
      <c r="L11" s="98"/>
      <c r="M11" s="98"/>
      <c r="N11" s="95"/>
      <c r="O11" s="95"/>
      <c r="P11" s="97" t="s">
        <v>332</v>
      </c>
      <c r="Q11" s="97" t="str">
        <f>CONCATENATE(General!$B$7," ",General!$B$6)</f>
        <v>Nicolay García José Ramos Ramírez</v>
      </c>
    </row>
    <row r="12" spans="1:18" ht="112.5">
      <c r="A12" s="95" t="s">
        <v>149</v>
      </c>
      <c r="B12" s="95" t="s">
        <v>183</v>
      </c>
      <c r="C12" s="95" t="s">
        <v>161</v>
      </c>
      <c r="D12" s="4" t="s">
        <v>197</v>
      </c>
      <c r="E12" s="95" t="s">
        <v>150</v>
      </c>
      <c r="F12" s="96" t="str">
        <f>IF(CasoPrueba[[#This Row],[Estado Testing]]=Resumen!$P$28,"OK",IF(CasoPrueba[[#This Row],[Estado Testing]]=Resumen!$P$29,"NO OK",IF((CasoPrueba[[#This Row],[Estado Testing]]=Resumen!$P$30)+(CasoPrueba[[#This Row],[Estado Testing]]=Resumen!$P$31),"OBSERVADO","")))</f>
        <v>NO OK</v>
      </c>
      <c r="G12" s="95" t="s">
        <v>20</v>
      </c>
      <c r="H12" s="95" t="s">
        <v>28</v>
      </c>
      <c r="I12" s="97" t="s">
        <v>259</v>
      </c>
      <c r="J12" s="95" t="s">
        <v>47</v>
      </c>
      <c r="K12" s="95"/>
      <c r="L12" s="98"/>
      <c r="M12" s="98"/>
      <c r="N12" s="95"/>
      <c r="O12" s="95"/>
      <c r="P12" s="97" t="s">
        <v>333</v>
      </c>
      <c r="Q12" s="97" t="str">
        <f>CONCATENATE(General!$B$7," ",General!$B$6)</f>
        <v>Nicolay García José Ramos Ramírez</v>
      </c>
    </row>
    <row r="13" spans="1:18" ht="123.75">
      <c r="A13" s="95" t="s">
        <v>149</v>
      </c>
      <c r="B13" s="95" t="s">
        <v>184</v>
      </c>
      <c r="C13" s="95" t="s">
        <v>161</v>
      </c>
      <c r="D13" s="4" t="s">
        <v>198</v>
      </c>
      <c r="E13" s="95" t="s">
        <v>150</v>
      </c>
      <c r="F13" s="96" t="str">
        <f>IF(CasoPrueba[[#This Row],[Estado Testing]]=Resumen!$P$28,"OK",IF(CasoPrueba[[#This Row],[Estado Testing]]=Resumen!$P$29,"NO OK",IF((CasoPrueba[[#This Row],[Estado Testing]]=Resumen!$P$30)+(CasoPrueba[[#This Row],[Estado Testing]]=Resumen!$P$31),"OBSERVADO","")))</f>
        <v>NO OK</v>
      </c>
      <c r="G13" s="95" t="s">
        <v>20</v>
      </c>
      <c r="H13" s="95" t="s">
        <v>28</v>
      </c>
      <c r="I13" s="97" t="s">
        <v>205</v>
      </c>
      <c r="J13" s="95" t="s">
        <v>47</v>
      </c>
      <c r="K13" s="95"/>
      <c r="L13" s="98"/>
      <c r="M13" s="98"/>
      <c r="N13" s="95"/>
      <c r="O13" s="95"/>
      <c r="P13" s="97" t="s">
        <v>334</v>
      </c>
      <c r="Q13" s="97" t="str">
        <f>CONCATENATE(General!$B$7," ",General!$B$6)</f>
        <v>Nicolay García José Ramos Ramírez</v>
      </c>
    </row>
    <row r="14" spans="1:18" ht="67.5">
      <c r="A14" s="95" t="s">
        <v>149</v>
      </c>
      <c r="B14" s="95" t="s">
        <v>185</v>
      </c>
      <c r="C14" s="95" t="s">
        <v>161</v>
      </c>
      <c r="D14" s="31" t="s">
        <v>199</v>
      </c>
      <c r="E14" s="95" t="s">
        <v>150</v>
      </c>
      <c r="F14" s="96" t="str">
        <f>IF(CasoPrueba[[#This Row],[Estado Testing]]=Resumen!$P$28,"OK",IF(CasoPrueba[[#This Row],[Estado Testing]]=Resumen!$P$29,"NO OK",IF((CasoPrueba[[#This Row],[Estado Testing]]=Resumen!$P$30)+(CasoPrueba[[#This Row],[Estado Testing]]=Resumen!$P$31),"OBSERVADO","")))</f>
        <v>NO OK</v>
      </c>
      <c r="G14" s="97" t="s">
        <v>20</v>
      </c>
      <c r="H14" s="95" t="s">
        <v>28</v>
      </c>
      <c r="I14" s="97" t="s">
        <v>259</v>
      </c>
      <c r="J14" s="95" t="s">
        <v>47</v>
      </c>
      <c r="K14" s="95"/>
      <c r="L14" s="98" t="str">
        <f>General!$A$10</f>
        <v>-</v>
      </c>
      <c r="M14" s="98" t="str">
        <f>General!$A$10</f>
        <v>-</v>
      </c>
      <c r="N14" s="95"/>
      <c r="O14" s="95"/>
      <c r="P14" s="97" t="s">
        <v>335</v>
      </c>
      <c r="Q14" s="97" t="str">
        <f>CONCATENATE(General!$B$7," ",General!$B$6)</f>
        <v>Nicolay García José Ramos Ramírez</v>
      </c>
    </row>
    <row r="15" spans="1:18" ht="281.25">
      <c r="A15" s="95" t="s">
        <v>149</v>
      </c>
      <c r="B15" s="95" t="s">
        <v>186</v>
      </c>
      <c r="C15" s="95" t="s">
        <v>161</v>
      </c>
      <c r="D15" s="31" t="s">
        <v>200</v>
      </c>
      <c r="E15" s="95" t="s">
        <v>150</v>
      </c>
      <c r="F15" s="96" t="str">
        <f>IF(CasoPrueba[[#This Row],[Estado Testing]]=Resumen!$P$28,"OK",IF(CasoPrueba[[#This Row],[Estado Testing]]=Resumen!$P$29,"NO OK",IF((CasoPrueba[[#This Row],[Estado Testing]]=Resumen!$P$30)+(CasoPrueba[[#This Row],[Estado Testing]]=Resumen!$P$31),"OBSERVADO","")))</f>
        <v>NO OK</v>
      </c>
      <c r="G15" s="97" t="s">
        <v>20</v>
      </c>
      <c r="H15" s="95" t="s">
        <v>28</v>
      </c>
      <c r="I15" s="97" t="s">
        <v>259</v>
      </c>
      <c r="J15" s="95" t="s">
        <v>47</v>
      </c>
      <c r="K15" s="95"/>
      <c r="L15" s="98" t="str">
        <f>General!$A$10</f>
        <v>-</v>
      </c>
      <c r="M15" s="98" t="str">
        <f>General!$A$10</f>
        <v>-</v>
      </c>
      <c r="N15" s="95"/>
      <c r="O15" s="95"/>
      <c r="P15" s="97" t="s">
        <v>374</v>
      </c>
      <c r="Q15" s="97" t="str">
        <f>CONCATENATE(General!$B$7," ",General!$B$6)</f>
        <v>Nicolay García José Ramos Ramírez</v>
      </c>
    </row>
    <row r="16" spans="1:18" ht="146.25">
      <c r="A16" s="95" t="s">
        <v>149</v>
      </c>
      <c r="B16" s="95" t="s">
        <v>187</v>
      </c>
      <c r="C16" s="95" t="s">
        <v>161</v>
      </c>
      <c r="D16" s="31" t="s">
        <v>201</v>
      </c>
      <c r="E16" s="95" t="s">
        <v>150</v>
      </c>
      <c r="F16" s="96" t="str">
        <f>IF(CasoPrueba[[#This Row],[Estado Testing]]=Resumen!$P$28,"OK",IF(CasoPrueba[[#This Row],[Estado Testing]]=Resumen!$P$29,"NO OK",IF((CasoPrueba[[#This Row],[Estado Testing]]=Resumen!$P$30)+(CasoPrueba[[#This Row],[Estado Testing]]=Resumen!$P$31),"OBSERVADO","")))</f>
        <v>NO OK</v>
      </c>
      <c r="G16" s="97" t="s">
        <v>20</v>
      </c>
      <c r="H16" s="95" t="s">
        <v>28</v>
      </c>
      <c r="I16" s="97" t="s">
        <v>259</v>
      </c>
      <c r="J16" s="95" t="s">
        <v>47</v>
      </c>
      <c r="K16" s="95"/>
      <c r="L16" s="98" t="str">
        <f>General!$A$10</f>
        <v>-</v>
      </c>
      <c r="M16" s="98" t="str">
        <f>General!$A$10</f>
        <v>-</v>
      </c>
      <c r="N16" s="95"/>
      <c r="O16" s="95"/>
      <c r="P16" s="97" t="s">
        <v>375</v>
      </c>
      <c r="Q16" s="97" t="str">
        <f>CONCATENATE(General!$B$7," ",General!$B$6)</f>
        <v>Nicolay García José Ramos Ramírez</v>
      </c>
    </row>
    <row r="17" spans="1:17" ht="33.75">
      <c r="A17" s="95" t="s">
        <v>149</v>
      </c>
      <c r="B17" s="95" t="s">
        <v>188</v>
      </c>
      <c r="C17" s="95" t="s">
        <v>161</v>
      </c>
      <c r="D17" s="31" t="s">
        <v>202</v>
      </c>
      <c r="E17" s="95" t="s">
        <v>150</v>
      </c>
      <c r="F17" s="96" t="str">
        <f>IF(CasoPrueba[[#This Row],[Estado Testing]]=Resumen!$P$28,"OK",IF(CasoPrueba[[#This Row],[Estado Testing]]=Resumen!$P$29,"NO OK",IF((CasoPrueba[[#This Row],[Estado Testing]]=Resumen!$P$30)+(CasoPrueba[[#This Row],[Estado Testing]]=Resumen!$P$31),"OBSERVADO","")))</f>
        <v>NO OK</v>
      </c>
      <c r="G17" s="97" t="s">
        <v>20</v>
      </c>
      <c r="H17" s="95" t="s">
        <v>28</v>
      </c>
      <c r="I17" s="97" t="s">
        <v>205</v>
      </c>
      <c r="J17" s="95" t="s">
        <v>47</v>
      </c>
      <c r="K17" s="95"/>
      <c r="L17" s="98" t="str">
        <f>General!$A$10</f>
        <v>-</v>
      </c>
      <c r="M17" s="98" t="str">
        <f>General!$A$10</f>
        <v>-</v>
      </c>
      <c r="N17" s="95"/>
      <c r="O17" s="95"/>
      <c r="P17" s="97" t="s">
        <v>376</v>
      </c>
      <c r="Q17" s="97" t="str">
        <f>CONCATENATE(General!$B$7," ",General!$B$6)</f>
        <v>Nicolay García José Ramos Ramírez</v>
      </c>
    </row>
    <row r="18" spans="1:17" ht="146.25">
      <c r="A18" s="95" t="s">
        <v>149</v>
      </c>
      <c r="B18" s="95" t="s">
        <v>189</v>
      </c>
      <c r="C18" s="95" t="s">
        <v>161</v>
      </c>
      <c r="D18" s="31" t="s">
        <v>203</v>
      </c>
      <c r="E18" s="95" t="s">
        <v>150</v>
      </c>
      <c r="F18" s="96" t="str">
        <f>IF(CasoPrueba[[#This Row],[Estado Testing]]=Resumen!$P$28,"OK",IF(CasoPrueba[[#This Row],[Estado Testing]]=Resumen!$P$29,"NO OK",IF((CasoPrueba[[#This Row],[Estado Testing]]=Resumen!$P$30)+(CasoPrueba[[#This Row],[Estado Testing]]=Resumen!$P$31),"OBSERVADO","")))</f>
        <v>NO OK</v>
      </c>
      <c r="G18" s="97" t="s">
        <v>20</v>
      </c>
      <c r="H18" s="95" t="s">
        <v>28</v>
      </c>
      <c r="I18" s="97" t="s">
        <v>205</v>
      </c>
      <c r="J18" s="95" t="s">
        <v>47</v>
      </c>
      <c r="K18" s="95"/>
      <c r="L18" s="98" t="str">
        <f>General!$A$10</f>
        <v>-</v>
      </c>
      <c r="M18" s="98" t="str">
        <f>General!$A$10</f>
        <v>-</v>
      </c>
      <c r="N18" s="95"/>
      <c r="O18" s="95"/>
      <c r="P18" s="97" t="s">
        <v>377</v>
      </c>
      <c r="Q18" s="97" t="str">
        <f>CONCATENATE(General!$B$7," ",General!$B$6)</f>
        <v>Nicolay García José Ramos Ramírez</v>
      </c>
    </row>
    <row r="19" spans="1:17" ht="56.25">
      <c r="A19" s="95" t="s">
        <v>149</v>
      </c>
      <c r="B19" s="95" t="s">
        <v>190</v>
      </c>
      <c r="C19" s="95" t="s">
        <v>161</v>
      </c>
      <c r="D19" s="31" t="s">
        <v>204</v>
      </c>
      <c r="E19" s="95" t="s">
        <v>150</v>
      </c>
      <c r="F19" s="96" t="str">
        <f>IF(CasoPrueba[[#This Row],[Estado Testing]]=Resumen!$P$28,"OK",IF(CasoPrueba[[#This Row],[Estado Testing]]=Resumen!$P$29,"NO OK",IF((CasoPrueba[[#This Row],[Estado Testing]]=Resumen!$P$30)+(CasoPrueba[[#This Row],[Estado Testing]]=Resumen!$P$31),"OBSERVADO","")))</f>
        <v>NO OK</v>
      </c>
      <c r="G19" s="97" t="s">
        <v>20</v>
      </c>
      <c r="H19" s="95" t="s">
        <v>28</v>
      </c>
      <c r="I19" s="97" t="s">
        <v>205</v>
      </c>
      <c r="J19" s="95" t="s">
        <v>47</v>
      </c>
      <c r="K19" s="95"/>
      <c r="L19" s="98" t="str">
        <f>General!$A$10</f>
        <v>-</v>
      </c>
      <c r="M19" s="98" t="str">
        <f>General!$A$10</f>
        <v>-</v>
      </c>
      <c r="N19" s="95"/>
      <c r="O19" s="95"/>
      <c r="P19" s="97" t="s">
        <v>378</v>
      </c>
      <c r="Q19" s="97"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G5:G13</xm:sqref>
        </x14:dataValidation>
        <x14:dataValidation type="list" allowBlank="1" showInputMessage="1" showErrorMessage="1">
          <x14:formula1>
            <xm:f>Resumen!$P$17:$P$19</xm:f>
          </x14:formula1>
          <xm:sqref>H5:H13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103"/>
  <sheetViews>
    <sheetView tabSelected="1" zoomScale="85" zoomScaleNormal="85" workbookViewId="0">
      <selection activeCell="J94" sqref="J94"/>
    </sheetView>
  </sheetViews>
  <sheetFormatPr baseColWidth="10" defaultColWidth="0" defaultRowHeight="15"/>
  <cols>
    <col min="1" max="1" width="12.7109375" style="77" customWidth="1"/>
    <col min="2" max="5" width="12.7109375" style="34" customWidth="1"/>
    <col min="6" max="7" width="12.7109375" style="78" customWidth="1"/>
    <col min="8" max="8" width="13.28515625" style="99" customWidth="1"/>
    <col min="9" max="9" width="41.5703125" style="34" customWidth="1"/>
    <col min="10" max="10" width="36.5703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0" t="s">
        <v>96</v>
      </c>
      <c r="B1" s="200"/>
      <c r="C1" s="200"/>
      <c r="D1" s="200"/>
      <c r="E1" s="200"/>
      <c r="F1" s="200"/>
      <c r="G1" s="200"/>
      <c r="H1" s="200"/>
      <c r="I1" s="200"/>
      <c r="J1" s="200"/>
      <c r="K1" s="200"/>
      <c r="N1" s="31" t="s">
        <v>131</v>
      </c>
    </row>
    <row r="2" spans="1:14" s="76" customFormat="1" ht="38.25">
      <c r="A2" s="158" t="s">
        <v>89</v>
      </c>
      <c r="B2" s="159" t="s">
        <v>90</v>
      </c>
      <c r="C2" s="159" t="s">
        <v>78</v>
      </c>
      <c r="D2" s="159" t="s">
        <v>79</v>
      </c>
      <c r="E2" s="159" t="s">
        <v>91</v>
      </c>
      <c r="F2" s="160" t="s">
        <v>92</v>
      </c>
      <c r="G2" s="160" t="s">
        <v>93</v>
      </c>
      <c r="H2" s="160" t="s">
        <v>128</v>
      </c>
      <c r="I2" s="159" t="s">
        <v>3</v>
      </c>
      <c r="J2" s="159" t="s">
        <v>94</v>
      </c>
      <c r="K2" s="161" t="s">
        <v>103</v>
      </c>
      <c r="L2" s="161" t="s">
        <v>142</v>
      </c>
      <c r="N2" s="31" t="s">
        <v>132</v>
      </c>
    </row>
    <row r="3" spans="1:14" ht="45" hidden="1">
      <c r="A3" s="34" t="s">
        <v>167</v>
      </c>
      <c r="B3" s="34" t="s">
        <v>88</v>
      </c>
      <c r="C3" s="34" t="str">
        <f>VLOOKUP(Observaciones[Caso de Prueba],CasoPrueba[[#All],[Código CP]:[Prioridad]],7,TRUE)</f>
        <v>Alta</v>
      </c>
      <c r="D3" s="34" t="s">
        <v>205</v>
      </c>
      <c r="E3" s="34" t="s">
        <v>47</v>
      </c>
      <c r="F3" s="78">
        <v>40784</v>
      </c>
      <c r="H3" s="99" t="s">
        <v>131</v>
      </c>
      <c r="I3" s="34" t="s">
        <v>213</v>
      </c>
      <c r="K3" s="34">
        <f>IF((Observaciones[[#This Row],[Fecha Levantamiento]]-Observaciones[[#This Row],[Fecha Detección]])&gt;=0,Observaciones[[#This Row],[Fecha Levantamiento]]-Observaciones[[#This Row],[Fecha Detección]]+1,0)</f>
        <v>0</v>
      </c>
      <c r="L3" s="34" t="str">
        <f>LOOKUP(Observaciones[[#This Row],[Caso de Prueba]],CasoPrueba[Código CP],CasoPrueba[Código de REQ])</f>
        <v>INSPECCIÓN</v>
      </c>
    </row>
    <row r="4" spans="1:14" ht="30" hidden="1">
      <c r="A4" s="34" t="s">
        <v>151</v>
      </c>
      <c r="B4" s="34" t="s">
        <v>88</v>
      </c>
      <c r="C4" s="34" t="str">
        <f>VLOOKUP(Observaciones[Caso de Prueba],CasoPrueba[[#All],[Código CP]:[Prioridad]],7,TRUE)</f>
        <v>Alta</v>
      </c>
      <c r="D4" s="34" t="s">
        <v>205</v>
      </c>
      <c r="E4" s="34" t="s">
        <v>47</v>
      </c>
      <c r="F4" s="78">
        <v>40784</v>
      </c>
      <c r="H4" s="99" t="s">
        <v>131</v>
      </c>
      <c r="I4" s="34" t="s">
        <v>168</v>
      </c>
      <c r="K4" s="34">
        <f>IF((Observaciones[[#This Row],[Fecha Levantamiento]]-Observaciones[[#This Row],[Fecha Detección]])&gt;=0,Observaciones[[#This Row],[Fecha Levantamiento]]-Observaciones[[#This Row],[Fecha Detección]]+1,0)</f>
        <v>0</v>
      </c>
      <c r="L4" s="34" t="str">
        <f>LOOKUP(Observaciones[[#This Row],[Caso de Prueba]],CasoPrueba[Código CP],CasoPrueba[Código de REQ])</f>
        <v>INSPECCIÓN</v>
      </c>
    </row>
    <row r="5" spans="1:14" ht="30" hidden="1">
      <c r="A5" s="34" t="s">
        <v>152</v>
      </c>
      <c r="B5" s="34" t="s">
        <v>88</v>
      </c>
      <c r="C5" s="34" t="str">
        <f>VLOOKUP(Observaciones[Caso de Prueba],CasoPrueba[[#All],[Código CP]:[Prioridad]],7,TRUE)</f>
        <v>Alta</v>
      </c>
      <c r="D5" s="34" t="s">
        <v>206</v>
      </c>
      <c r="E5" s="34" t="s">
        <v>47</v>
      </c>
      <c r="F5" s="78">
        <v>40784</v>
      </c>
      <c r="H5" s="99" t="s">
        <v>131</v>
      </c>
      <c r="I5" s="34" t="s">
        <v>169</v>
      </c>
      <c r="K5" s="34">
        <f>IF((Observaciones[[#This Row],[Fecha Levantamiento]]-Observaciones[[#This Row],[Fecha Detección]])&gt;=0,Observaciones[[#This Row],[Fecha Levantamiento]]-Observaciones[[#This Row],[Fecha Detección]]+1,0)</f>
        <v>0</v>
      </c>
      <c r="L5" s="34" t="str">
        <f>LOOKUP(Observaciones[[#This Row],[Caso de Prueba]],CasoPrueba[Código CP],CasoPrueba[Código de REQ])</f>
        <v>INSPECCIÓN</v>
      </c>
    </row>
    <row r="6" spans="1:14" ht="30" hidden="1">
      <c r="A6" s="34" t="s">
        <v>153</v>
      </c>
      <c r="B6" s="34" t="s">
        <v>88</v>
      </c>
      <c r="C6" s="34" t="str">
        <f>VLOOKUP(Observaciones[Caso de Prueba],CasoPrueba[[#All],[Código CP]:[Prioridad]],7,TRUE)</f>
        <v>Alta</v>
      </c>
      <c r="D6" s="34" t="s">
        <v>206</v>
      </c>
      <c r="E6" s="34" t="s">
        <v>47</v>
      </c>
      <c r="F6" s="78">
        <v>40784</v>
      </c>
      <c r="H6" s="99" t="s">
        <v>131</v>
      </c>
      <c r="I6" s="34" t="s">
        <v>170</v>
      </c>
      <c r="K6" s="34">
        <f>IF((Observaciones[[#This Row],[Fecha Levantamiento]]-Observaciones[[#This Row],[Fecha Detección]])&gt;=0,Observaciones[[#This Row],[Fecha Levantamiento]]-Observaciones[[#This Row],[Fecha Detección]]+1,0)</f>
        <v>0</v>
      </c>
      <c r="L6" s="34" t="str">
        <f>LOOKUP(Observaciones[[#This Row],[Caso de Prueba]],CasoPrueba[Código CP],CasoPrueba[Código de REQ])</f>
        <v>INSPECCIÓN</v>
      </c>
    </row>
    <row r="7" spans="1:14" ht="30" hidden="1">
      <c r="A7" s="34" t="s">
        <v>154</v>
      </c>
      <c r="B7" s="34" t="s">
        <v>88</v>
      </c>
      <c r="C7" s="34" t="str">
        <f>VLOOKUP(Observaciones[Caso de Prueba],CasoPrueba[[#All],[Código CP]:[Prioridad]],7,TRUE)</f>
        <v>Alta</v>
      </c>
      <c r="D7" s="34" t="s">
        <v>206</v>
      </c>
      <c r="E7" s="34" t="s">
        <v>47</v>
      </c>
      <c r="F7" s="78">
        <v>40784</v>
      </c>
      <c r="H7" s="99" t="s">
        <v>131</v>
      </c>
      <c r="I7" s="34" t="s">
        <v>171</v>
      </c>
      <c r="K7" s="34">
        <f>IF((Observaciones[[#This Row],[Fecha Levantamiento]]-Observaciones[[#This Row],[Fecha Detección]])&gt;=0,Observaciones[[#This Row],[Fecha Levantamiento]]-Observaciones[[#This Row],[Fecha Detección]]+1,0)</f>
        <v>0</v>
      </c>
      <c r="L7" s="34" t="str">
        <f>LOOKUP(Observaciones[[#This Row],[Caso de Prueba]],CasoPrueba[Código CP],CasoPrueba[Código de REQ])</f>
        <v>INSPECCIÓN</v>
      </c>
    </row>
    <row r="8" spans="1:14" ht="30" hidden="1">
      <c r="A8" s="34" t="s">
        <v>155</v>
      </c>
      <c r="B8" s="34" t="s">
        <v>88</v>
      </c>
      <c r="C8" s="34" t="str">
        <f>VLOOKUP(Observaciones[Caso de Prueba],CasoPrueba[[#All],[Código CP]:[Prioridad]],7,TRUE)</f>
        <v>Alta</v>
      </c>
      <c r="D8" s="34" t="s">
        <v>205</v>
      </c>
      <c r="E8" s="34" t="s">
        <v>47</v>
      </c>
      <c r="F8" s="78">
        <v>40793</v>
      </c>
      <c r="H8" s="99" t="s">
        <v>131</v>
      </c>
      <c r="I8" s="34" t="s">
        <v>309</v>
      </c>
      <c r="K8" s="34">
        <f>IF((Observaciones[[#This Row],[Fecha Levantamiento]]-Observaciones[[#This Row],[Fecha Detección]])&gt;=0,Observaciones[[#This Row],[Fecha Levantamiento]]-Observaciones[[#This Row],[Fecha Detección]]+1,0)</f>
        <v>0</v>
      </c>
      <c r="L8" s="34" t="str">
        <f>LOOKUP(Observaciones[[#This Row],[Caso de Prueba]],CasoPrueba[Código CP],CasoPrueba[Código de REQ])</f>
        <v>INSPECCIÓN</v>
      </c>
    </row>
    <row r="9" spans="1:14" ht="45" hidden="1" customHeight="1">
      <c r="A9" s="34" t="s">
        <v>156</v>
      </c>
      <c r="B9" s="34" t="s">
        <v>88</v>
      </c>
      <c r="C9" s="34" t="str">
        <f>VLOOKUP(Observaciones[Caso de Prueba],CasoPrueba[[#All],[Código CP]:[Prioridad]],7,TRUE)</f>
        <v>Alta</v>
      </c>
      <c r="D9" s="34" t="s">
        <v>207</v>
      </c>
      <c r="E9" s="34" t="s">
        <v>47</v>
      </c>
      <c r="F9" s="78">
        <v>40784</v>
      </c>
      <c r="H9" s="99" t="s">
        <v>131</v>
      </c>
      <c r="I9" s="34" t="s">
        <v>275</v>
      </c>
      <c r="K9" s="34">
        <f>IF((Observaciones[[#This Row],[Fecha Levantamiento]]-Observaciones[[#This Row],[Fecha Detección]])&gt;=0,Observaciones[[#This Row],[Fecha Levantamiento]]-Observaciones[[#This Row],[Fecha Detección]]+1,0)</f>
        <v>0</v>
      </c>
      <c r="L9" s="34" t="str">
        <f>LOOKUP(Observaciones[[#This Row],[Caso de Prueba]],CasoPrueba[Código CP],CasoPrueba[Código de REQ])</f>
        <v>INSPECCIÓN</v>
      </c>
    </row>
    <row r="10" spans="1:14" ht="60" hidden="1">
      <c r="A10" s="34" t="s">
        <v>157</v>
      </c>
      <c r="B10" s="34" t="s">
        <v>88</v>
      </c>
      <c r="C10" s="34" t="str">
        <f>VLOOKUP(Observaciones[Caso de Prueba],CasoPrueba[[#All],[Código CP]:[Prioridad]],7,TRUE)</f>
        <v>Alta</v>
      </c>
      <c r="D10" s="34" t="s">
        <v>207</v>
      </c>
      <c r="E10" s="34" t="s">
        <v>47</v>
      </c>
      <c r="F10" s="78">
        <v>40784</v>
      </c>
      <c r="H10" s="99" t="s">
        <v>131</v>
      </c>
      <c r="I10" s="34" t="s">
        <v>172</v>
      </c>
      <c r="K10" s="34">
        <f>IF((Observaciones[[#This Row],[Fecha Levantamiento]]-Observaciones[[#This Row],[Fecha Detección]])&gt;=0,Observaciones[[#This Row],[Fecha Levantamiento]]-Observaciones[[#This Row],[Fecha Detección]]+1,0)</f>
        <v>0</v>
      </c>
      <c r="L10" s="34" t="str">
        <f>LOOKUP(Observaciones[[#This Row],[Caso de Prueba]],CasoPrueba[Código CP],CasoPrueba[Código de REQ])</f>
        <v>INSPECCIÓN</v>
      </c>
    </row>
    <row r="11" spans="1:14" ht="30" hidden="1">
      <c r="A11" s="34" t="s">
        <v>158</v>
      </c>
      <c r="B11" s="34" t="s">
        <v>88</v>
      </c>
      <c r="C11" s="34" t="str">
        <f>VLOOKUP(Observaciones[Caso de Prueba],CasoPrueba[[#All],[Código CP]:[Prioridad]],7,TRUE)</f>
        <v>Alta</v>
      </c>
      <c r="D11" s="34" t="s">
        <v>207</v>
      </c>
      <c r="E11" s="34" t="s">
        <v>47</v>
      </c>
      <c r="F11" s="78">
        <v>40784</v>
      </c>
      <c r="H11" s="99" t="s">
        <v>131</v>
      </c>
      <c r="I11" s="34" t="s">
        <v>173</v>
      </c>
      <c r="K11" s="34">
        <f>IF((Observaciones[[#This Row],[Fecha Levantamiento]]-Observaciones[[#This Row],[Fecha Detección]])&gt;=0,Observaciones[[#This Row],[Fecha Levantamiento]]-Observaciones[[#This Row],[Fecha Detección]]+1,0)</f>
        <v>0</v>
      </c>
      <c r="L11" s="34" t="str">
        <f>LOOKUP(Observaciones[[#This Row],[Caso de Prueba]],CasoPrueba[Código CP],CasoPrueba[Código de REQ])</f>
        <v>INSPECCIÓN</v>
      </c>
    </row>
    <row r="12" spans="1:14" ht="68.25" hidden="1" customHeight="1">
      <c r="A12" s="34" t="s">
        <v>208</v>
      </c>
      <c r="B12" s="34" t="s">
        <v>88</v>
      </c>
      <c r="C12" s="34" t="str">
        <f>VLOOKUP(Observaciones[Caso de Prueba],CasoPrueba[[#All],[Código CP]:[Prioridad]],7,TRUE)</f>
        <v>Alta</v>
      </c>
      <c r="D12" s="34" t="s">
        <v>207</v>
      </c>
      <c r="E12" s="34" t="s">
        <v>47</v>
      </c>
      <c r="F12" s="78">
        <v>40784</v>
      </c>
      <c r="H12" s="99" t="s">
        <v>131</v>
      </c>
      <c r="I12" s="34" t="s">
        <v>301</v>
      </c>
      <c r="K12" s="34">
        <f>IF((Observaciones[[#This Row],[Fecha Levantamiento]]-Observaciones[[#This Row],[Fecha Detección]])&gt;=0,Observaciones[[#This Row],[Fecha Levantamiento]]-Observaciones[[#This Row],[Fecha Detección]]+1,0)</f>
        <v>0</v>
      </c>
      <c r="L12" s="34" t="str">
        <f>LOOKUP(Observaciones[[#This Row],[Caso de Prueba]],CasoPrueba[Código CP],CasoPrueba[Código de REQ])</f>
        <v>INSPECCIÓN</v>
      </c>
    </row>
    <row r="13" spans="1:14" ht="45" hidden="1">
      <c r="A13" s="34" t="s">
        <v>209</v>
      </c>
      <c r="B13" s="34" t="s">
        <v>88</v>
      </c>
      <c r="C13" s="34" t="str">
        <f>VLOOKUP(Observaciones[Caso de Prueba],CasoPrueba[[#All],[Código CP]:[Prioridad]],7,TRUE)</f>
        <v>Alta</v>
      </c>
      <c r="D13" s="34" t="s">
        <v>207</v>
      </c>
      <c r="E13" s="34" t="s">
        <v>47</v>
      </c>
      <c r="F13" s="78">
        <v>40784</v>
      </c>
      <c r="H13" s="99" t="s">
        <v>131</v>
      </c>
      <c r="I13" s="34" t="s">
        <v>175</v>
      </c>
      <c r="J13" s="170"/>
      <c r="K13" s="34">
        <f>IF((Observaciones[[#This Row],[Fecha Levantamiento]]-Observaciones[[#This Row],[Fecha Detección]])&gt;=0,Observaciones[[#This Row],[Fecha Levantamiento]]-Observaciones[[#This Row],[Fecha Detección]]+1,0)</f>
        <v>0</v>
      </c>
      <c r="L13" s="34" t="str">
        <f>LOOKUP(Observaciones[[#This Row],[Caso de Prueba]],CasoPrueba[Código CP],CasoPrueba[Código de REQ])</f>
        <v>INSPECCIÓN</v>
      </c>
    </row>
    <row r="14" spans="1:14" ht="33" hidden="1" customHeight="1">
      <c r="A14" s="34" t="s">
        <v>210</v>
      </c>
      <c r="B14" s="34" t="s">
        <v>88</v>
      </c>
      <c r="C14" s="34" t="str">
        <f>VLOOKUP(Observaciones[Caso de Prueba],CasoPrueba[[#All],[Código CP]:[Prioridad]],7,TRUE)</f>
        <v>Alta</v>
      </c>
      <c r="D14" s="34" t="s">
        <v>205</v>
      </c>
      <c r="E14" s="34" t="s">
        <v>47</v>
      </c>
      <c r="F14" s="78">
        <v>40784</v>
      </c>
      <c r="G14" s="171"/>
      <c r="H14" s="99" t="s">
        <v>131</v>
      </c>
      <c r="I14" s="170" t="s">
        <v>174</v>
      </c>
      <c r="J14" s="170"/>
      <c r="K14" s="34">
        <f>IF((Observaciones[[#This Row],[Fecha Levantamiento]]-Observaciones[[#This Row],[Fecha Detección]])&gt;=0,Observaciones[[#This Row],[Fecha Levantamiento]]-Observaciones[[#This Row],[Fecha Detección]]+1,0)</f>
        <v>0</v>
      </c>
      <c r="L14" s="34" t="str">
        <f>LOOKUP(Observaciones[[#This Row],[Caso de Prueba]],CasoPrueba[Código CP],CasoPrueba[Código de REQ])</f>
        <v>INSPECCIÓN</v>
      </c>
    </row>
    <row r="15" spans="1:14" ht="74.25" hidden="1" customHeight="1">
      <c r="A15" s="34" t="s">
        <v>211</v>
      </c>
      <c r="B15" s="34" t="s">
        <v>88</v>
      </c>
      <c r="C15" s="34" t="str">
        <f>VLOOKUP(Observaciones[Caso de Prueba],CasoPrueba[[#All],[Código CP]:[Prioridad]],7,TRUE)</f>
        <v>Alta</v>
      </c>
      <c r="D15" s="34" t="s">
        <v>205</v>
      </c>
      <c r="E15" s="34" t="s">
        <v>47</v>
      </c>
      <c r="F15" s="78">
        <v>40784</v>
      </c>
      <c r="G15" s="171"/>
      <c r="H15" s="99" t="s">
        <v>131</v>
      </c>
      <c r="I15" s="170" t="s">
        <v>176</v>
      </c>
      <c r="J15" s="170"/>
      <c r="K15" s="34">
        <f>IF((Observaciones[[#This Row],[Fecha Levantamiento]]-Observaciones[[#This Row],[Fecha Detección]])&gt;=0,Observaciones[[#This Row],[Fecha Levantamiento]]-Observaciones[[#This Row],[Fecha Detección]]+1,0)</f>
        <v>0</v>
      </c>
      <c r="L15" s="34" t="str">
        <f>LOOKUP(Observaciones[[#This Row],[Caso de Prueba]],CasoPrueba[Código CP],CasoPrueba[Código de REQ])</f>
        <v>INSPECCIÓN</v>
      </c>
    </row>
    <row r="16" spans="1:14" ht="45" hidden="1">
      <c r="A16" s="34" t="s">
        <v>212</v>
      </c>
      <c r="B16" s="34" t="s">
        <v>177</v>
      </c>
      <c r="C16" s="34" t="str">
        <f>VLOOKUP(Observaciones[Caso de Prueba],CasoPrueba[[#All],[Código CP]:[Prioridad]],7,TRUE)</f>
        <v>Alta</v>
      </c>
      <c r="D16" s="34" t="s">
        <v>205</v>
      </c>
      <c r="E16" s="34" t="s">
        <v>47</v>
      </c>
      <c r="F16" s="78">
        <v>40786</v>
      </c>
      <c r="G16" s="171"/>
      <c r="H16" s="99" t="s">
        <v>131</v>
      </c>
      <c r="I16" s="34" t="s">
        <v>213</v>
      </c>
      <c r="J16" s="170"/>
      <c r="K16" s="34">
        <f>IF((Observaciones[[#This Row],[Fecha Levantamiento]]-Observaciones[[#This Row],[Fecha Detección]])&gt;=0,Observaciones[[#This Row],[Fecha Levantamiento]]-Observaciones[[#This Row],[Fecha Detección]]+1,0)</f>
        <v>0</v>
      </c>
      <c r="L16" s="34" t="str">
        <f>LOOKUP(Observaciones[[#This Row],[Caso de Prueba]],CasoPrueba[Código CP],CasoPrueba[Código de REQ])</f>
        <v>INSPECCIÓN</v>
      </c>
    </row>
    <row r="17" spans="1:12" ht="30" hidden="1">
      <c r="A17" s="34" t="s">
        <v>214</v>
      </c>
      <c r="B17" s="34" t="s">
        <v>177</v>
      </c>
      <c r="C17" s="34" t="str">
        <f>VLOOKUP(Observaciones[Caso de Prueba],CasoPrueba[[#All],[Código CP]:[Prioridad]],7,TRUE)</f>
        <v>Alta</v>
      </c>
      <c r="D17" s="170" t="s">
        <v>206</v>
      </c>
      <c r="E17" s="34" t="s">
        <v>47</v>
      </c>
      <c r="F17" s="78">
        <v>40786</v>
      </c>
      <c r="G17" s="171"/>
      <c r="H17" s="99" t="s">
        <v>131</v>
      </c>
      <c r="I17" s="170" t="s">
        <v>255</v>
      </c>
      <c r="J17" s="170"/>
      <c r="K17" s="34">
        <f>IF((Observaciones[[#This Row],[Fecha Levantamiento]]-Observaciones[[#This Row],[Fecha Detección]])&gt;=0,Observaciones[[#This Row],[Fecha Levantamiento]]-Observaciones[[#This Row],[Fecha Detección]]+1,0)</f>
        <v>0</v>
      </c>
      <c r="L17" s="34" t="str">
        <f>LOOKUP(Observaciones[[#This Row],[Caso de Prueba]],CasoPrueba[Código CP],CasoPrueba[Código de REQ])</f>
        <v>INSPECCIÓN</v>
      </c>
    </row>
    <row r="18" spans="1:12" ht="30" hidden="1">
      <c r="A18" s="34" t="s">
        <v>215</v>
      </c>
      <c r="B18" s="34" t="s">
        <v>177</v>
      </c>
      <c r="C18" s="34" t="str">
        <f>VLOOKUP(Observaciones[Caso de Prueba],CasoPrueba[[#All],[Código CP]:[Prioridad]],7,TRUE)</f>
        <v>Alta</v>
      </c>
      <c r="D18" s="170" t="s">
        <v>206</v>
      </c>
      <c r="E18" s="34" t="s">
        <v>47</v>
      </c>
      <c r="F18" s="78">
        <v>40786</v>
      </c>
      <c r="G18" s="171"/>
      <c r="H18" s="99" t="s">
        <v>131</v>
      </c>
      <c r="I18" s="170" t="s">
        <v>256</v>
      </c>
      <c r="J18" s="170"/>
      <c r="K18" s="34">
        <f>IF((Observaciones[[#This Row],[Fecha Levantamiento]]-Observaciones[[#This Row],[Fecha Detección]])&gt;=0,Observaciones[[#This Row],[Fecha Levantamiento]]-Observaciones[[#This Row],[Fecha Detección]]+1,0)</f>
        <v>0</v>
      </c>
      <c r="L18" s="34" t="str">
        <f>LOOKUP(Observaciones[[#This Row],[Caso de Prueba]],CasoPrueba[Código CP],CasoPrueba[Código de REQ])</f>
        <v>INSPECCIÓN</v>
      </c>
    </row>
    <row r="19" spans="1:12" ht="30" hidden="1">
      <c r="A19" s="34" t="s">
        <v>216</v>
      </c>
      <c r="B19" s="34" t="s">
        <v>177</v>
      </c>
      <c r="C19" s="34" t="str">
        <f>VLOOKUP(Observaciones[Caso de Prueba],CasoPrueba[[#All],[Código CP]:[Prioridad]],7,TRUE)</f>
        <v>Alta</v>
      </c>
      <c r="D19" s="170" t="s">
        <v>205</v>
      </c>
      <c r="E19" s="34" t="s">
        <v>47</v>
      </c>
      <c r="F19" s="78">
        <v>40793</v>
      </c>
      <c r="H19" s="99" t="s">
        <v>131</v>
      </c>
      <c r="I19" s="34" t="s">
        <v>310</v>
      </c>
      <c r="J19" s="170"/>
      <c r="K19" s="34">
        <f>IF((Observaciones[[#This Row],[Fecha Levantamiento]]-Observaciones[[#This Row],[Fecha Detección]])&gt;=0,Observaciones[[#This Row],[Fecha Levantamiento]]-Observaciones[[#This Row],[Fecha Detección]]+1,0)</f>
        <v>0</v>
      </c>
      <c r="L19" s="34" t="str">
        <f>LOOKUP(Observaciones[[#This Row],[Caso de Prueba]],CasoPrueba[Código CP],CasoPrueba[Código de REQ])</f>
        <v>INSPECCIÓN</v>
      </c>
    </row>
    <row r="20" spans="1:12" ht="45.75" hidden="1" customHeight="1">
      <c r="A20" s="34" t="s">
        <v>217</v>
      </c>
      <c r="B20" s="34" t="s">
        <v>177</v>
      </c>
      <c r="C20" s="34" t="str">
        <f>VLOOKUP(Observaciones[Caso de Prueba],CasoPrueba[[#All],[Código CP]:[Prioridad]],7,TRUE)</f>
        <v>Alta</v>
      </c>
      <c r="D20" s="34" t="s">
        <v>207</v>
      </c>
      <c r="E20" s="34" t="s">
        <v>47</v>
      </c>
      <c r="F20" s="78">
        <v>40786</v>
      </c>
      <c r="H20" s="99" t="s">
        <v>131</v>
      </c>
      <c r="I20" s="34" t="s">
        <v>276</v>
      </c>
      <c r="J20" s="170"/>
      <c r="K20" s="34">
        <f>IF((Observaciones[[#This Row],[Fecha Levantamiento]]-Observaciones[[#This Row],[Fecha Detección]])&gt;=0,Observaciones[[#This Row],[Fecha Levantamiento]]-Observaciones[[#This Row],[Fecha Detección]]+1,0)</f>
        <v>0</v>
      </c>
      <c r="L20" s="34" t="str">
        <f>LOOKUP(Observaciones[[#This Row],[Caso de Prueba]],CasoPrueba[Código CP],CasoPrueba[Código de REQ])</f>
        <v>INSPECCIÓN</v>
      </c>
    </row>
    <row r="21" spans="1:12" ht="45" hidden="1">
      <c r="A21" s="34" t="s">
        <v>218</v>
      </c>
      <c r="B21" s="34" t="s">
        <v>177</v>
      </c>
      <c r="C21" s="34" t="str">
        <f>VLOOKUP(Observaciones[Caso de Prueba],CasoPrueba[[#All],[Código CP]:[Prioridad]],7,TRUE)</f>
        <v>Alta</v>
      </c>
      <c r="D21" s="34" t="s">
        <v>207</v>
      </c>
      <c r="E21" s="34" t="s">
        <v>47</v>
      </c>
      <c r="F21" s="78">
        <v>40786</v>
      </c>
      <c r="G21" s="171"/>
      <c r="H21" s="99" t="s">
        <v>131</v>
      </c>
      <c r="I21" s="34" t="s">
        <v>302</v>
      </c>
      <c r="J21" s="170"/>
      <c r="K21" s="34">
        <f>IF((Observaciones[[#This Row],[Fecha Levantamiento]]-Observaciones[[#This Row],[Fecha Detección]])&gt;=0,Observaciones[[#This Row],[Fecha Levantamiento]]-Observaciones[[#This Row],[Fecha Detección]]+1,0)</f>
        <v>0</v>
      </c>
      <c r="L21" s="34" t="str">
        <f>LOOKUP(Observaciones[[#This Row],[Caso de Prueba]],CasoPrueba[Código CP],CasoPrueba[Código de REQ])</f>
        <v>INSPECCIÓN</v>
      </c>
    </row>
    <row r="22" spans="1:12" ht="30" hidden="1">
      <c r="A22" s="34" t="s">
        <v>219</v>
      </c>
      <c r="B22" s="34" t="s">
        <v>177</v>
      </c>
      <c r="C22" s="34" t="str">
        <f>VLOOKUP(Observaciones[Caso de Prueba],CasoPrueba[[#All],[Código CP]:[Prioridad]],7,TRUE)</f>
        <v>Alta</v>
      </c>
      <c r="D22" s="34" t="s">
        <v>207</v>
      </c>
      <c r="E22" s="34" t="s">
        <v>47</v>
      </c>
      <c r="F22" s="78">
        <v>40786</v>
      </c>
      <c r="H22" s="99" t="s">
        <v>131</v>
      </c>
      <c r="I22" s="34" t="s">
        <v>257</v>
      </c>
      <c r="K22" s="34">
        <f>IF((Observaciones[[#This Row],[Fecha Levantamiento]]-Observaciones[[#This Row],[Fecha Detección]])&gt;=0,Observaciones[[#This Row],[Fecha Levantamiento]]-Observaciones[[#This Row],[Fecha Detección]]+1,0)</f>
        <v>0</v>
      </c>
      <c r="L22" s="34" t="str">
        <f>LOOKUP(Observaciones[[#This Row],[Caso de Prueba]],CasoPrueba[Código CP],CasoPrueba[Código de REQ])</f>
        <v>INSPECCIÓN</v>
      </c>
    </row>
    <row r="23" spans="1:12" ht="30" hidden="1">
      <c r="A23" s="34" t="s">
        <v>220</v>
      </c>
      <c r="B23" s="34" t="s">
        <v>177</v>
      </c>
      <c r="C23" s="34" t="str">
        <f>VLOOKUP(Observaciones[Caso de Prueba],CasoPrueba[[#All],[Código CP]:[Prioridad]],7,TRUE)</f>
        <v>Alta</v>
      </c>
      <c r="D23" s="34" t="s">
        <v>206</v>
      </c>
      <c r="E23" s="34" t="s">
        <v>47</v>
      </c>
      <c r="F23" s="78">
        <v>40786</v>
      </c>
      <c r="H23" s="99" t="s">
        <v>131</v>
      </c>
      <c r="I23" s="34" t="s">
        <v>258</v>
      </c>
      <c r="K23" s="34">
        <f>IF((Observaciones[[#This Row],[Fecha Levantamiento]]-Observaciones[[#This Row],[Fecha Detección]])&gt;=0,Observaciones[[#This Row],[Fecha Levantamiento]]-Observaciones[[#This Row],[Fecha Detección]]+1,0)</f>
        <v>0</v>
      </c>
      <c r="L23" s="34" t="str">
        <f>LOOKUP(Observaciones[[#This Row],[Caso de Prueba]],CasoPrueba[Código CP],CasoPrueba[Código de REQ])</f>
        <v>INSPECCIÓN</v>
      </c>
    </row>
    <row r="24" spans="1:12" hidden="1">
      <c r="A24" s="34" t="s">
        <v>221</v>
      </c>
      <c r="B24" s="34" t="s">
        <v>177</v>
      </c>
      <c r="C24" s="34" t="str">
        <f>VLOOKUP(Observaciones[Caso de Prueba],CasoPrueba[[#All],[Código CP]:[Prioridad]],7,TRUE)</f>
        <v>Alta</v>
      </c>
      <c r="D24" s="34" t="s">
        <v>259</v>
      </c>
      <c r="E24" s="34" t="s">
        <v>47</v>
      </c>
      <c r="F24" s="78">
        <v>40786</v>
      </c>
      <c r="H24" s="99" t="s">
        <v>131</v>
      </c>
      <c r="I24" s="34" t="s">
        <v>260</v>
      </c>
      <c r="K24" s="34">
        <f>IF((Observaciones[[#This Row],[Fecha Levantamiento]]-Observaciones[[#This Row],[Fecha Detección]])&gt;=0,Observaciones[[#This Row],[Fecha Levantamiento]]-Observaciones[[#This Row],[Fecha Detección]]+1,0)</f>
        <v>0</v>
      </c>
      <c r="L24" s="34" t="str">
        <f>LOOKUP(Observaciones[[#This Row],[Caso de Prueba]],CasoPrueba[Código CP],CasoPrueba[Código de REQ])</f>
        <v>INSPECCIÓN</v>
      </c>
    </row>
    <row r="25" spans="1:12" ht="45" hidden="1">
      <c r="A25" s="34" t="s">
        <v>222</v>
      </c>
      <c r="B25" s="34" t="s">
        <v>178</v>
      </c>
      <c r="C25" s="34" t="str">
        <f>VLOOKUP(Observaciones[Caso de Prueba],CasoPrueba[[#All],[Código CP]:[Prioridad]],7,TRUE)</f>
        <v>Alta</v>
      </c>
      <c r="D25" s="34" t="s">
        <v>205</v>
      </c>
      <c r="E25" s="34" t="s">
        <v>47</v>
      </c>
      <c r="F25" s="78">
        <v>40786</v>
      </c>
      <c r="G25" s="171"/>
      <c r="H25" s="99" t="s">
        <v>131</v>
      </c>
      <c r="I25" s="34" t="s">
        <v>261</v>
      </c>
      <c r="K25" s="34">
        <f>IF((Observaciones[[#This Row],[Fecha Levantamiento]]-Observaciones[[#This Row],[Fecha Detección]])&gt;=0,Observaciones[[#This Row],[Fecha Levantamiento]]-Observaciones[[#This Row],[Fecha Detección]]+1,0)</f>
        <v>0</v>
      </c>
      <c r="L25" s="34" t="str">
        <f>LOOKUP(Observaciones[[#This Row],[Caso de Prueba]],CasoPrueba[Código CP],CasoPrueba[Código de REQ])</f>
        <v>INSPECCIÓN</v>
      </c>
    </row>
    <row r="26" spans="1:12" ht="30" hidden="1">
      <c r="A26" s="34" t="s">
        <v>223</v>
      </c>
      <c r="B26" s="34" t="s">
        <v>178</v>
      </c>
      <c r="C26" s="34" t="str">
        <f>VLOOKUP(Observaciones[Caso de Prueba],CasoPrueba[[#All],[Código CP]:[Prioridad]],7,TRUE)</f>
        <v>Alta</v>
      </c>
      <c r="D26" s="170" t="s">
        <v>205</v>
      </c>
      <c r="E26" s="34" t="s">
        <v>47</v>
      </c>
      <c r="F26" s="78">
        <v>40793</v>
      </c>
      <c r="H26" s="99" t="s">
        <v>131</v>
      </c>
      <c r="I26" s="34" t="s">
        <v>310</v>
      </c>
      <c r="K26" s="34">
        <f>IF((Observaciones[[#This Row],[Fecha Levantamiento]]-Observaciones[[#This Row],[Fecha Detección]])&gt;=0,Observaciones[[#This Row],[Fecha Levantamiento]]-Observaciones[[#This Row],[Fecha Detección]]+1,0)</f>
        <v>0</v>
      </c>
      <c r="L26" s="34" t="str">
        <f>LOOKUP(Observaciones[[#This Row],[Caso de Prueba]],CasoPrueba[Código CP],CasoPrueba[Código de REQ])</f>
        <v>INSPECCIÓN</v>
      </c>
    </row>
    <row r="27" spans="1:12" ht="30" hidden="1">
      <c r="A27" s="34" t="s">
        <v>224</v>
      </c>
      <c r="B27" s="34" t="s">
        <v>178</v>
      </c>
      <c r="C27" s="34" t="str">
        <f>VLOOKUP(Observaciones[Caso de Prueba],CasoPrueba[[#All],[Código CP]:[Prioridad]],7,TRUE)</f>
        <v>Alta</v>
      </c>
      <c r="D27" s="34" t="s">
        <v>207</v>
      </c>
      <c r="E27" s="34" t="s">
        <v>47</v>
      </c>
      <c r="F27" s="78">
        <v>40786</v>
      </c>
      <c r="H27" s="99" t="s">
        <v>131</v>
      </c>
      <c r="I27" s="34" t="s">
        <v>277</v>
      </c>
      <c r="K27" s="34">
        <f>IF((Observaciones[[#This Row],[Fecha Levantamiento]]-Observaciones[[#This Row],[Fecha Detección]])&gt;=0,Observaciones[[#This Row],[Fecha Levantamiento]]-Observaciones[[#This Row],[Fecha Detección]]+1,0)</f>
        <v>0</v>
      </c>
      <c r="L27" s="34" t="str">
        <f>LOOKUP(Observaciones[[#This Row],[Caso de Prueba]],CasoPrueba[Código CP],CasoPrueba[Código de REQ])</f>
        <v>INSPECCIÓN</v>
      </c>
    </row>
    <row r="28" spans="1:12" ht="60" hidden="1">
      <c r="A28" s="34" t="s">
        <v>225</v>
      </c>
      <c r="B28" s="34" t="s">
        <v>178</v>
      </c>
      <c r="C28" s="34" t="str">
        <f>VLOOKUP(Observaciones[Caso de Prueba],CasoPrueba[[#All],[Código CP]:[Prioridad]],7,TRUE)</f>
        <v>Alta</v>
      </c>
      <c r="D28" s="34" t="s">
        <v>207</v>
      </c>
      <c r="E28" s="34" t="s">
        <v>47</v>
      </c>
      <c r="F28" s="78">
        <v>40786</v>
      </c>
      <c r="H28" s="99" t="s">
        <v>131</v>
      </c>
      <c r="I28" s="34" t="s">
        <v>303</v>
      </c>
      <c r="K28" s="34">
        <f>IF((Observaciones[[#This Row],[Fecha Levantamiento]]-Observaciones[[#This Row],[Fecha Detección]])&gt;=0,Observaciones[[#This Row],[Fecha Levantamiento]]-Observaciones[[#This Row],[Fecha Detección]]+1,0)</f>
        <v>0</v>
      </c>
      <c r="L28" s="34" t="str">
        <f>LOOKUP(Observaciones[[#This Row],[Caso de Prueba]],CasoPrueba[Código CP],CasoPrueba[Código de REQ])</f>
        <v>INSPECCIÓN</v>
      </c>
    </row>
    <row r="29" spans="1:12" ht="30" hidden="1">
      <c r="A29" s="34" t="s">
        <v>226</v>
      </c>
      <c r="B29" s="34" t="s">
        <v>178</v>
      </c>
      <c r="C29" s="34" t="str">
        <f>VLOOKUP(Observaciones[Caso de Prueba],CasoPrueba[[#All],[Código CP]:[Prioridad]],7,TRUE)</f>
        <v>Alta</v>
      </c>
      <c r="D29" s="34" t="s">
        <v>206</v>
      </c>
      <c r="E29" s="34" t="s">
        <v>47</v>
      </c>
      <c r="F29" s="78">
        <v>40786</v>
      </c>
      <c r="H29" s="99" t="s">
        <v>131</v>
      </c>
      <c r="I29" s="34" t="s">
        <v>262</v>
      </c>
      <c r="K29" s="34">
        <f>IF((Observaciones[[#This Row],[Fecha Levantamiento]]-Observaciones[[#This Row],[Fecha Detección]])&gt;=0,Observaciones[[#This Row],[Fecha Levantamiento]]-Observaciones[[#This Row],[Fecha Detección]]+1,0)</f>
        <v>0</v>
      </c>
      <c r="L29" s="34" t="str">
        <f>LOOKUP(Observaciones[[#This Row],[Caso de Prueba]],CasoPrueba[Código CP],CasoPrueba[Código de REQ])</f>
        <v>INSPECCIÓN</v>
      </c>
    </row>
    <row r="30" spans="1:12" hidden="1">
      <c r="A30" s="34" t="s">
        <v>227</v>
      </c>
      <c r="B30" s="34" t="s">
        <v>178</v>
      </c>
      <c r="C30" s="34" t="str">
        <f>VLOOKUP(Observaciones[Caso de Prueba],CasoPrueba[[#All],[Código CP]:[Prioridad]],7,TRUE)</f>
        <v>Alta</v>
      </c>
      <c r="D30" s="34" t="s">
        <v>259</v>
      </c>
      <c r="E30" s="34" t="s">
        <v>47</v>
      </c>
      <c r="F30" s="78">
        <v>40793</v>
      </c>
      <c r="H30" s="99" t="s">
        <v>131</v>
      </c>
      <c r="I30" s="34" t="s">
        <v>260</v>
      </c>
      <c r="K30" s="34">
        <f>IF((Observaciones[[#This Row],[Fecha Levantamiento]]-Observaciones[[#This Row],[Fecha Detección]])&gt;=0,Observaciones[[#This Row],[Fecha Levantamiento]]-Observaciones[[#This Row],[Fecha Detección]]+1,0)</f>
        <v>0</v>
      </c>
      <c r="L30" s="34" t="str">
        <f>LOOKUP(Observaciones[[#This Row],[Caso de Prueba]],CasoPrueba[Código CP],CasoPrueba[Código de REQ])</f>
        <v>INSPECCIÓN</v>
      </c>
    </row>
    <row r="31" spans="1:12" ht="30" hidden="1">
      <c r="A31" s="34" t="s">
        <v>228</v>
      </c>
      <c r="B31" s="34" t="s">
        <v>179</v>
      </c>
      <c r="C31" s="34" t="str">
        <f>VLOOKUP(Observaciones[Caso de Prueba],CasoPrueba[[#All],[Código CP]:[Prioridad]],7,TRUE)</f>
        <v>Alta</v>
      </c>
      <c r="D31" s="34" t="s">
        <v>205</v>
      </c>
      <c r="E31" s="34" t="s">
        <v>47</v>
      </c>
      <c r="F31" s="78">
        <v>40788</v>
      </c>
      <c r="H31" s="99" t="s">
        <v>131</v>
      </c>
      <c r="I31" s="34" t="s">
        <v>263</v>
      </c>
      <c r="K31" s="34">
        <f>IF((Observaciones[[#This Row],[Fecha Levantamiento]]-Observaciones[[#This Row],[Fecha Detección]])&gt;=0,Observaciones[[#This Row],[Fecha Levantamiento]]-Observaciones[[#This Row],[Fecha Detección]]+1,0)</f>
        <v>0</v>
      </c>
      <c r="L31" s="34" t="str">
        <f>LOOKUP(Observaciones[[#This Row],[Caso de Prueba]],CasoPrueba[Código CP],CasoPrueba[Código de REQ])</f>
        <v>INSPECCIÓN</v>
      </c>
    </row>
    <row r="32" spans="1:12" ht="45" hidden="1">
      <c r="A32" s="34" t="s">
        <v>229</v>
      </c>
      <c r="B32" s="34" t="s">
        <v>179</v>
      </c>
      <c r="C32" s="34" t="str">
        <f>VLOOKUP(Observaciones[Caso de Prueba],CasoPrueba[[#All],[Código CP]:[Prioridad]],7,TRUE)</f>
        <v>Alta</v>
      </c>
      <c r="D32" s="34" t="s">
        <v>205</v>
      </c>
      <c r="E32" s="34" t="s">
        <v>47</v>
      </c>
      <c r="F32" s="78">
        <v>40788</v>
      </c>
      <c r="G32" s="171"/>
      <c r="H32" s="99" t="s">
        <v>131</v>
      </c>
      <c r="I32" s="34" t="s">
        <v>261</v>
      </c>
      <c r="K32" s="34">
        <f>IF((Observaciones[[#This Row],[Fecha Levantamiento]]-Observaciones[[#This Row],[Fecha Detección]])&gt;=0,Observaciones[[#This Row],[Fecha Levantamiento]]-Observaciones[[#This Row],[Fecha Detección]]+1,0)</f>
        <v>0</v>
      </c>
      <c r="L32" s="34" t="str">
        <f>LOOKUP(Observaciones[[#This Row],[Caso de Prueba]],CasoPrueba[Código CP],CasoPrueba[Código de REQ])</f>
        <v>INSPECCIÓN</v>
      </c>
    </row>
    <row r="33" spans="1:12" ht="30" hidden="1">
      <c r="A33" s="34" t="s">
        <v>230</v>
      </c>
      <c r="B33" s="34" t="s">
        <v>179</v>
      </c>
      <c r="C33" s="34" t="str">
        <f>VLOOKUP(Observaciones[Caso de Prueba],CasoPrueba[[#All],[Código CP]:[Prioridad]],7,TRUE)</f>
        <v>Alta</v>
      </c>
      <c r="D33" s="170" t="s">
        <v>205</v>
      </c>
      <c r="E33" s="34" t="s">
        <v>47</v>
      </c>
      <c r="F33" s="78">
        <v>40793</v>
      </c>
      <c r="H33" s="99" t="s">
        <v>131</v>
      </c>
      <c r="I33" s="34" t="s">
        <v>310</v>
      </c>
      <c r="K33" s="34">
        <f>IF((Observaciones[[#This Row],[Fecha Levantamiento]]-Observaciones[[#This Row],[Fecha Detección]])&gt;=0,Observaciones[[#This Row],[Fecha Levantamiento]]-Observaciones[[#This Row],[Fecha Detección]]+1,0)</f>
        <v>0</v>
      </c>
      <c r="L33" s="34" t="str">
        <f>LOOKUP(Observaciones[[#This Row],[Caso de Prueba]],CasoPrueba[Código CP],CasoPrueba[Código de REQ])</f>
        <v>INSPECCIÓN</v>
      </c>
    </row>
    <row r="34" spans="1:12" ht="30" hidden="1">
      <c r="A34" s="34" t="s">
        <v>231</v>
      </c>
      <c r="B34" s="34" t="s">
        <v>179</v>
      </c>
      <c r="C34" s="34" t="str">
        <f>VLOOKUP(Observaciones[Caso de Prueba],CasoPrueba[[#All],[Código CP]:[Prioridad]],7,TRUE)</f>
        <v>Alta</v>
      </c>
      <c r="D34" s="34" t="s">
        <v>207</v>
      </c>
      <c r="E34" s="34" t="s">
        <v>47</v>
      </c>
      <c r="F34" s="78">
        <v>40788</v>
      </c>
      <c r="H34" s="99" t="s">
        <v>131</v>
      </c>
      <c r="I34" s="34" t="s">
        <v>275</v>
      </c>
      <c r="K34" s="34">
        <f>IF((Observaciones[[#This Row],[Fecha Levantamiento]]-Observaciones[[#This Row],[Fecha Detección]])&gt;=0,Observaciones[[#This Row],[Fecha Levantamiento]]-Observaciones[[#This Row],[Fecha Detección]]+1,0)</f>
        <v>0</v>
      </c>
      <c r="L34" s="34" t="str">
        <f>LOOKUP(Observaciones[[#This Row],[Caso de Prueba]],CasoPrueba[Código CP],CasoPrueba[Código de REQ])</f>
        <v>INSPECCIÓN</v>
      </c>
    </row>
    <row r="35" spans="1:12" ht="45" hidden="1">
      <c r="A35" s="34" t="s">
        <v>232</v>
      </c>
      <c r="B35" s="34" t="s">
        <v>179</v>
      </c>
      <c r="C35" s="34" t="str">
        <f>VLOOKUP(Observaciones[Caso de Prueba],CasoPrueba[[#All],[Código CP]:[Prioridad]],7,TRUE)</f>
        <v>Alta</v>
      </c>
      <c r="D35" s="34" t="s">
        <v>205</v>
      </c>
      <c r="E35" s="34" t="s">
        <v>47</v>
      </c>
      <c r="F35" s="78">
        <v>40788</v>
      </c>
      <c r="H35" s="99" t="s">
        <v>131</v>
      </c>
      <c r="I35" s="34" t="s">
        <v>264</v>
      </c>
      <c r="K35" s="34">
        <f>IF((Observaciones[[#This Row],[Fecha Levantamiento]]-Observaciones[[#This Row],[Fecha Detección]])&gt;=0,Observaciones[[#This Row],[Fecha Levantamiento]]-Observaciones[[#This Row],[Fecha Detección]]+1,0)</f>
        <v>0</v>
      </c>
      <c r="L35" s="34" t="str">
        <f>LOOKUP(Observaciones[[#This Row],[Caso de Prueba]],CasoPrueba[Código CP],CasoPrueba[Código de REQ])</f>
        <v>INSPECCIÓN</v>
      </c>
    </row>
    <row r="36" spans="1:12" ht="60" hidden="1">
      <c r="A36" s="34" t="s">
        <v>233</v>
      </c>
      <c r="B36" s="34" t="s">
        <v>179</v>
      </c>
      <c r="C36" s="34" t="str">
        <f>VLOOKUP(Observaciones[Caso de Prueba],CasoPrueba[[#All],[Código CP]:[Prioridad]],7,TRUE)</f>
        <v>Alta</v>
      </c>
      <c r="D36" s="34" t="s">
        <v>207</v>
      </c>
      <c r="E36" s="34" t="s">
        <v>47</v>
      </c>
      <c r="F36" s="78">
        <v>40788</v>
      </c>
      <c r="H36" s="99" t="s">
        <v>131</v>
      </c>
      <c r="I36" s="34" t="s">
        <v>304</v>
      </c>
      <c r="K36" s="34">
        <f>IF((Observaciones[[#This Row],[Fecha Levantamiento]]-Observaciones[[#This Row],[Fecha Detección]])&gt;=0,Observaciones[[#This Row],[Fecha Levantamiento]]-Observaciones[[#This Row],[Fecha Detección]]+1,0)</f>
        <v>0</v>
      </c>
      <c r="L36" s="34" t="str">
        <f>LOOKUP(Observaciones[[#This Row],[Caso de Prueba]],CasoPrueba[Código CP],CasoPrueba[Código de REQ])</f>
        <v>INSPECCIÓN</v>
      </c>
    </row>
    <row r="37" spans="1:12" ht="30" hidden="1">
      <c r="A37" s="34" t="s">
        <v>234</v>
      </c>
      <c r="B37" s="34" t="s">
        <v>179</v>
      </c>
      <c r="C37" s="34" t="str">
        <f>VLOOKUP(Observaciones[Caso de Prueba],CasoPrueba[[#All],[Código CP]:[Prioridad]],7,TRUE)</f>
        <v>Alta</v>
      </c>
      <c r="D37" s="34" t="s">
        <v>207</v>
      </c>
      <c r="E37" s="34" t="s">
        <v>47</v>
      </c>
      <c r="F37" s="78">
        <v>40788</v>
      </c>
      <c r="H37" s="99" t="s">
        <v>131</v>
      </c>
      <c r="I37" s="34" t="s">
        <v>265</v>
      </c>
      <c r="K37" s="34">
        <f>IF((Observaciones[[#This Row],[Fecha Levantamiento]]-Observaciones[[#This Row],[Fecha Detección]])&gt;=0,Observaciones[[#This Row],[Fecha Levantamiento]]-Observaciones[[#This Row],[Fecha Detección]]+1,0)</f>
        <v>0</v>
      </c>
      <c r="L37" s="34" t="str">
        <f>LOOKUP(Observaciones[[#This Row],[Caso de Prueba]],CasoPrueba[Código CP],CasoPrueba[Código de REQ])</f>
        <v>INSPECCIÓN</v>
      </c>
    </row>
    <row r="38" spans="1:12" ht="30" hidden="1">
      <c r="A38" s="34" t="s">
        <v>235</v>
      </c>
      <c r="B38" s="34" t="s">
        <v>179</v>
      </c>
      <c r="C38" s="34" t="str">
        <f>VLOOKUP(Observaciones[Caso de Prueba],CasoPrueba[[#All],[Código CP]:[Prioridad]],7,TRUE)</f>
        <v>Alta</v>
      </c>
      <c r="D38" s="34" t="s">
        <v>207</v>
      </c>
      <c r="E38" s="34" t="s">
        <v>47</v>
      </c>
      <c r="F38" s="78">
        <v>40788</v>
      </c>
      <c r="H38" s="99" t="s">
        <v>131</v>
      </c>
      <c r="I38" s="34" t="s">
        <v>268</v>
      </c>
      <c r="K38" s="34">
        <f>IF((Observaciones[[#This Row],[Fecha Levantamiento]]-Observaciones[[#This Row],[Fecha Detección]])&gt;=0,Observaciones[[#This Row],[Fecha Levantamiento]]-Observaciones[[#This Row],[Fecha Detección]]+1,0)</f>
        <v>0</v>
      </c>
      <c r="L38" s="34" t="str">
        <f>LOOKUP(Observaciones[[#This Row],[Caso de Prueba]],CasoPrueba[Código CP],CasoPrueba[Código de REQ])</f>
        <v>INSPECCIÓN</v>
      </c>
    </row>
    <row r="39" spans="1:12" ht="45" hidden="1">
      <c r="A39" s="34" t="s">
        <v>236</v>
      </c>
      <c r="B39" s="34" t="s">
        <v>179</v>
      </c>
      <c r="C39" s="34" t="str">
        <f>VLOOKUP(Observaciones[Caso de Prueba],CasoPrueba[[#All],[Código CP]:[Prioridad]],7,TRUE)</f>
        <v>Alta</v>
      </c>
      <c r="D39" s="34" t="s">
        <v>207</v>
      </c>
      <c r="E39" s="34" t="s">
        <v>47</v>
      </c>
      <c r="F39" s="78">
        <v>40788</v>
      </c>
      <c r="H39" s="99" t="s">
        <v>131</v>
      </c>
      <c r="I39" s="34" t="s">
        <v>266</v>
      </c>
      <c r="K39" s="34">
        <f>IF((Observaciones[[#This Row],[Fecha Levantamiento]]-Observaciones[[#This Row],[Fecha Detección]])&gt;=0,Observaciones[[#This Row],[Fecha Levantamiento]]-Observaciones[[#This Row],[Fecha Detección]]+1,0)</f>
        <v>0</v>
      </c>
      <c r="L39" s="34" t="str">
        <f>LOOKUP(Observaciones[[#This Row],[Caso de Prueba]],CasoPrueba[Código CP],CasoPrueba[Código de REQ])</f>
        <v>INSPECCIÓN</v>
      </c>
    </row>
    <row r="40" spans="1:12" ht="30" hidden="1">
      <c r="A40" s="34" t="s">
        <v>237</v>
      </c>
      <c r="B40" s="34" t="s">
        <v>179</v>
      </c>
      <c r="C40" s="34" t="str">
        <f>VLOOKUP(Observaciones[Caso de Prueba],CasoPrueba[[#All],[Código CP]:[Prioridad]],7,TRUE)</f>
        <v>Alta</v>
      </c>
      <c r="D40" s="34" t="s">
        <v>206</v>
      </c>
      <c r="E40" s="34" t="s">
        <v>47</v>
      </c>
      <c r="F40" s="78">
        <v>40788</v>
      </c>
      <c r="H40" s="99" t="s">
        <v>131</v>
      </c>
      <c r="I40" s="34" t="s">
        <v>267</v>
      </c>
      <c r="K40" s="34">
        <f>IF((Observaciones[[#This Row],[Fecha Levantamiento]]-Observaciones[[#This Row],[Fecha Detección]])&gt;=0,Observaciones[[#This Row],[Fecha Levantamiento]]-Observaciones[[#This Row],[Fecha Detección]]+1,0)</f>
        <v>0</v>
      </c>
      <c r="L40" s="34" t="str">
        <f>LOOKUP(Observaciones[[#This Row],[Caso de Prueba]],CasoPrueba[Código CP],CasoPrueba[Código de REQ])</f>
        <v>INSPECCIÓN</v>
      </c>
    </row>
    <row r="41" spans="1:12" ht="30" hidden="1">
      <c r="A41" s="34" t="s">
        <v>238</v>
      </c>
      <c r="B41" s="34" t="s">
        <v>179</v>
      </c>
      <c r="C41" s="34" t="str">
        <f>VLOOKUP(Observaciones[Caso de Prueba],CasoPrueba[[#All],[Código CP]:[Prioridad]],7,TRUE)</f>
        <v>Alta</v>
      </c>
      <c r="D41" s="34" t="s">
        <v>205</v>
      </c>
      <c r="E41" s="34" t="s">
        <v>47</v>
      </c>
      <c r="F41" s="78">
        <v>40788</v>
      </c>
      <c r="H41" s="99" t="s">
        <v>131</v>
      </c>
      <c r="I41" s="34" t="s">
        <v>269</v>
      </c>
      <c r="K41" s="34">
        <f>IF((Observaciones[[#This Row],[Fecha Levantamiento]]-Observaciones[[#This Row],[Fecha Detección]])&gt;=0,Observaciones[[#This Row],[Fecha Levantamiento]]-Observaciones[[#This Row],[Fecha Detección]]+1,0)</f>
        <v>0</v>
      </c>
      <c r="L41" s="34" t="str">
        <f>LOOKUP(Observaciones[[#This Row],[Caso de Prueba]],CasoPrueba[Código CP],CasoPrueba[Código de REQ])</f>
        <v>INSPECCIÓN</v>
      </c>
    </row>
    <row r="42" spans="1:12" ht="30" hidden="1">
      <c r="A42" s="34" t="s">
        <v>239</v>
      </c>
      <c r="B42" s="34" t="s">
        <v>179</v>
      </c>
      <c r="C42" s="34" t="str">
        <f>VLOOKUP(Observaciones[Caso de Prueba],CasoPrueba[[#All],[Código CP]:[Prioridad]],7,TRUE)</f>
        <v>Alta</v>
      </c>
      <c r="D42" s="34" t="s">
        <v>207</v>
      </c>
      <c r="E42" s="34" t="s">
        <v>47</v>
      </c>
      <c r="F42" s="78">
        <v>40788</v>
      </c>
      <c r="H42" s="99" t="s">
        <v>131</v>
      </c>
      <c r="I42" s="34" t="s">
        <v>270</v>
      </c>
      <c r="K42" s="34">
        <f>IF((Observaciones[[#This Row],[Fecha Levantamiento]]-Observaciones[[#This Row],[Fecha Detección]])&gt;=0,Observaciones[[#This Row],[Fecha Levantamiento]]-Observaciones[[#This Row],[Fecha Detección]]+1,0)</f>
        <v>0</v>
      </c>
      <c r="L42" s="34" t="str">
        <f>LOOKUP(Observaciones[[#This Row],[Caso de Prueba]],CasoPrueba[Código CP],CasoPrueba[Código de REQ])</f>
        <v>INSPECCIÓN</v>
      </c>
    </row>
    <row r="43" spans="1:12" ht="45" hidden="1">
      <c r="A43" s="34" t="s">
        <v>240</v>
      </c>
      <c r="B43" s="34" t="s">
        <v>180</v>
      </c>
      <c r="C43" s="34" t="str">
        <f>VLOOKUP(Observaciones[Caso de Prueba],CasoPrueba[[#All],[Código CP]:[Prioridad]],7,TRUE)</f>
        <v>Alta</v>
      </c>
      <c r="D43" s="34" t="s">
        <v>205</v>
      </c>
      <c r="E43" s="34" t="s">
        <v>47</v>
      </c>
      <c r="F43" s="78">
        <v>40788</v>
      </c>
      <c r="G43" s="171"/>
      <c r="H43" s="99" t="s">
        <v>131</v>
      </c>
      <c r="I43" s="34" t="s">
        <v>261</v>
      </c>
      <c r="K43" s="34">
        <f>IF((Observaciones[[#This Row],[Fecha Levantamiento]]-Observaciones[[#This Row],[Fecha Detección]])&gt;=0,Observaciones[[#This Row],[Fecha Levantamiento]]-Observaciones[[#This Row],[Fecha Detección]]+1,0)</f>
        <v>0</v>
      </c>
      <c r="L43" s="34" t="str">
        <f>LOOKUP(Observaciones[[#This Row],[Caso de Prueba]],CasoPrueba[Código CP],CasoPrueba[Código de REQ])</f>
        <v>INSPECCIÓN</v>
      </c>
    </row>
    <row r="44" spans="1:12" ht="30" hidden="1">
      <c r="A44" s="34" t="s">
        <v>241</v>
      </c>
      <c r="B44" s="34" t="s">
        <v>180</v>
      </c>
      <c r="C44" s="34" t="str">
        <f>VLOOKUP(Observaciones[Caso de Prueba],CasoPrueba[[#All],[Código CP]:[Prioridad]],7,TRUE)</f>
        <v>Alta</v>
      </c>
      <c r="D44" s="170" t="s">
        <v>205</v>
      </c>
      <c r="E44" s="34" t="s">
        <v>47</v>
      </c>
      <c r="F44" s="78">
        <v>40793</v>
      </c>
      <c r="H44" s="99" t="s">
        <v>131</v>
      </c>
      <c r="I44" s="34" t="s">
        <v>310</v>
      </c>
      <c r="K44" s="34">
        <f>IF((Observaciones[[#This Row],[Fecha Levantamiento]]-Observaciones[[#This Row],[Fecha Detección]])&gt;=0,Observaciones[[#This Row],[Fecha Levantamiento]]-Observaciones[[#This Row],[Fecha Detección]]+1,0)</f>
        <v>0</v>
      </c>
      <c r="L44" s="34" t="str">
        <f>LOOKUP(Observaciones[[#This Row],[Caso de Prueba]],CasoPrueba[Código CP],CasoPrueba[Código de REQ])</f>
        <v>INSPECCIÓN</v>
      </c>
    </row>
    <row r="45" spans="1:12" ht="30" hidden="1">
      <c r="A45" s="34" t="s">
        <v>242</v>
      </c>
      <c r="B45" s="34" t="s">
        <v>180</v>
      </c>
      <c r="C45" s="34" t="str">
        <f>VLOOKUP(Observaciones[Caso de Prueba],CasoPrueba[[#All],[Código CP]:[Prioridad]],7,TRUE)</f>
        <v>Alta</v>
      </c>
      <c r="D45" s="34" t="s">
        <v>207</v>
      </c>
      <c r="E45" s="34" t="s">
        <v>47</v>
      </c>
      <c r="F45" s="78">
        <v>40788</v>
      </c>
      <c r="H45" s="99" t="s">
        <v>131</v>
      </c>
      <c r="I45" s="34" t="s">
        <v>274</v>
      </c>
      <c r="K45" s="34">
        <f>IF((Observaciones[[#This Row],[Fecha Levantamiento]]-Observaciones[[#This Row],[Fecha Detección]])&gt;=0,Observaciones[[#This Row],[Fecha Levantamiento]]-Observaciones[[#This Row],[Fecha Detección]]+1,0)</f>
        <v>0</v>
      </c>
      <c r="L45" s="34" t="str">
        <f>LOOKUP(Observaciones[[#This Row],[Caso de Prueba]],CasoPrueba[Código CP],CasoPrueba[Código de REQ])</f>
        <v>INSPECCIÓN</v>
      </c>
    </row>
    <row r="46" spans="1:12" ht="60" hidden="1">
      <c r="A46" s="34" t="s">
        <v>243</v>
      </c>
      <c r="B46" s="34" t="s">
        <v>180</v>
      </c>
      <c r="C46" s="34" t="str">
        <f>VLOOKUP(Observaciones[Caso de Prueba],CasoPrueba[[#All],[Código CP]:[Prioridad]],7,TRUE)</f>
        <v>Alta</v>
      </c>
      <c r="D46" s="34" t="s">
        <v>207</v>
      </c>
      <c r="E46" s="34" t="s">
        <v>47</v>
      </c>
      <c r="F46" s="78">
        <v>40788</v>
      </c>
      <c r="H46" s="99" t="s">
        <v>131</v>
      </c>
      <c r="I46" s="34" t="s">
        <v>305</v>
      </c>
      <c r="K46" s="34">
        <f>IF((Observaciones[[#This Row],[Fecha Levantamiento]]-Observaciones[[#This Row],[Fecha Detección]])&gt;=0,Observaciones[[#This Row],[Fecha Levantamiento]]-Observaciones[[#This Row],[Fecha Detección]]+1,0)</f>
        <v>0</v>
      </c>
      <c r="L46" s="34" t="str">
        <f>LOOKUP(Observaciones[[#This Row],[Caso de Prueba]],CasoPrueba[Código CP],CasoPrueba[Código de REQ])</f>
        <v>INSPECCIÓN</v>
      </c>
    </row>
    <row r="47" spans="1:12" hidden="1">
      <c r="A47" s="34" t="s">
        <v>244</v>
      </c>
      <c r="B47" s="34" t="s">
        <v>180</v>
      </c>
      <c r="C47" s="34" t="str">
        <f>VLOOKUP(Observaciones[Caso de Prueba],CasoPrueba[[#All],[Código CP]:[Prioridad]],7,TRUE)</f>
        <v>Alta</v>
      </c>
      <c r="D47" s="34" t="s">
        <v>259</v>
      </c>
      <c r="E47" s="34" t="s">
        <v>47</v>
      </c>
      <c r="F47" s="78">
        <v>40793</v>
      </c>
      <c r="H47" s="99" t="s">
        <v>131</v>
      </c>
      <c r="I47" s="34" t="s">
        <v>260</v>
      </c>
      <c r="K47" s="34">
        <f>IF((Observaciones[[#This Row],[Fecha Levantamiento]]-Observaciones[[#This Row],[Fecha Detección]])&gt;=0,Observaciones[[#This Row],[Fecha Levantamiento]]-Observaciones[[#This Row],[Fecha Detección]]+1,0)</f>
        <v>0</v>
      </c>
      <c r="L47" s="34" t="str">
        <f>LOOKUP(Observaciones[[#This Row],[Caso de Prueba]],CasoPrueba[Código CP],CasoPrueba[Código de REQ])</f>
        <v>INSPECCIÓN</v>
      </c>
    </row>
    <row r="48" spans="1:12" ht="45" hidden="1">
      <c r="A48" s="34" t="s">
        <v>245</v>
      </c>
      <c r="B48" s="34" t="s">
        <v>181</v>
      </c>
      <c r="C48" s="34" t="str">
        <f>VLOOKUP(Observaciones[Caso de Prueba],CasoPrueba[[#All],[Código CP]:[Prioridad]],7,TRUE)</f>
        <v>Alta</v>
      </c>
      <c r="D48" s="34" t="s">
        <v>205</v>
      </c>
      <c r="E48" s="34" t="s">
        <v>47</v>
      </c>
      <c r="F48" s="78">
        <v>40788</v>
      </c>
      <c r="G48" s="171"/>
      <c r="H48" s="99" t="s">
        <v>131</v>
      </c>
      <c r="I48" s="34" t="s">
        <v>261</v>
      </c>
      <c r="K48" s="34">
        <f>IF((Observaciones[[#This Row],[Fecha Levantamiento]]-Observaciones[[#This Row],[Fecha Detección]])&gt;=0,Observaciones[[#This Row],[Fecha Levantamiento]]-Observaciones[[#This Row],[Fecha Detección]]+1,0)</f>
        <v>0</v>
      </c>
      <c r="L48" s="34" t="str">
        <f>LOOKUP(Observaciones[[#This Row],[Caso de Prueba]],CasoPrueba[Código CP],CasoPrueba[Código de REQ])</f>
        <v>INSPECCIÓN</v>
      </c>
    </row>
    <row r="49" spans="1:12" ht="30" hidden="1">
      <c r="A49" s="34" t="s">
        <v>246</v>
      </c>
      <c r="B49" s="34" t="s">
        <v>181</v>
      </c>
      <c r="C49" s="34" t="str">
        <f>VLOOKUP(Observaciones[Caso de Prueba],CasoPrueba[[#All],[Código CP]:[Prioridad]],7,TRUE)</f>
        <v>Alta</v>
      </c>
      <c r="D49" s="170" t="s">
        <v>205</v>
      </c>
      <c r="E49" s="34" t="s">
        <v>47</v>
      </c>
      <c r="F49" s="78">
        <v>40793</v>
      </c>
      <c r="H49" s="99" t="s">
        <v>131</v>
      </c>
      <c r="I49" s="34" t="s">
        <v>310</v>
      </c>
      <c r="K49" s="34">
        <f>IF((Observaciones[[#This Row],[Fecha Levantamiento]]-Observaciones[[#This Row],[Fecha Detección]])&gt;=0,Observaciones[[#This Row],[Fecha Levantamiento]]-Observaciones[[#This Row],[Fecha Detección]]+1,0)</f>
        <v>0</v>
      </c>
      <c r="L49" s="34" t="str">
        <f>LOOKUP(Observaciones[[#This Row],[Caso de Prueba]],CasoPrueba[Código CP],CasoPrueba[Código de REQ])</f>
        <v>INSPECCIÓN</v>
      </c>
    </row>
    <row r="50" spans="1:12" ht="30" hidden="1">
      <c r="A50" s="34" t="s">
        <v>247</v>
      </c>
      <c r="B50" s="34" t="s">
        <v>181</v>
      </c>
      <c r="C50" s="34" t="str">
        <f>VLOOKUP(Observaciones[Caso de Prueba],CasoPrueba[[#All],[Código CP]:[Prioridad]],7,TRUE)</f>
        <v>Alta</v>
      </c>
      <c r="D50" s="34" t="s">
        <v>207</v>
      </c>
      <c r="E50" s="34" t="s">
        <v>47</v>
      </c>
      <c r="F50" s="78">
        <v>40788</v>
      </c>
      <c r="H50" s="99" t="s">
        <v>131</v>
      </c>
      <c r="I50" s="34" t="s">
        <v>274</v>
      </c>
      <c r="K50" s="34">
        <f>IF((Observaciones[[#This Row],[Fecha Levantamiento]]-Observaciones[[#This Row],[Fecha Detección]])&gt;=0,Observaciones[[#This Row],[Fecha Levantamiento]]-Observaciones[[#This Row],[Fecha Detección]]+1,0)</f>
        <v>0</v>
      </c>
      <c r="L50" s="34" t="str">
        <f>LOOKUP(Observaciones[[#This Row],[Caso de Prueba]],CasoPrueba[Código CP],CasoPrueba[Código de REQ])</f>
        <v>INSPECCIÓN</v>
      </c>
    </row>
    <row r="51" spans="1:12" ht="45" hidden="1">
      <c r="A51" s="34" t="s">
        <v>248</v>
      </c>
      <c r="B51" s="34" t="s">
        <v>182</v>
      </c>
      <c r="C51" s="34" t="str">
        <f>VLOOKUP(Observaciones[Caso de Prueba],CasoPrueba[[#All],[Código CP]:[Prioridad]],7,TRUE)</f>
        <v>Alta</v>
      </c>
      <c r="D51" s="34" t="s">
        <v>205</v>
      </c>
      <c r="E51" s="34" t="s">
        <v>47</v>
      </c>
      <c r="F51" s="78">
        <v>40789</v>
      </c>
      <c r="G51" s="171"/>
      <c r="H51" s="99" t="s">
        <v>131</v>
      </c>
      <c r="I51" s="34" t="s">
        <v>261</v>
      </c>
      <c r="K51" s="34">
        <f>IF((Observaciones[[#This Row],[Fecha Levantamiento]]-Observaciones[[#This Row],[Fecha Detección]])&gt;=0,Observaciones[[#This Row],[Fecha Levantamiento]]-Observaciones[[#This Row],[Fecha Detección]]+1,0)</f>
        <v>0</v>
      </c>
      <c r="L51" s="34" t="str">
        <f>LOOKUP(Observaciones[[#This Row],[Caso de Prueba]],CasoPrueba[Código CP],CasoPrueba[Código de REQ])</f>
        <v>INSPECCIÓN</v>
      </c>
    </row>
    <row r="52" spans="1:12" ht="30" hidden="1">
      <c r="A52" s="34" t="s">
        <v>249</v>
      </c>
      <c r="B52" s="34" t="s">
        <v>182</v>
      </c>
      <c r="C52" s="34" t="str">
        <f>VLOOKUP(Observaciones[Caso de Prueba],CasoPrueba[[#All],[Código CP]:[Prioridad]],7,TRUE)</f>
        <v>Alta</v>
      </c>
      <c r="D52" s="170" t="s">
        <v>205</v>
      </c>
      <c r="E52" s="34" t="s">
        <v>47</v>
      </c>
      <c r="F52" s="78">
        <v>40793</v>
      </c>
      <c r="H52" s="99" t="s">
        <v>131</v>
      </c>
      <c r="I52" s="34" t="s">
        <v>310</v>
      </c>
      <c r="K52" s="34">
        <f>IF((Observaciones[[#This Row],[Fecha Levantamiento]]-Observaciones[[#This Row],[Fecha Detección]])&gt;=0,Observaciones[[#This Row],[Fecha Levantamiento]]-Observaciones[[#This Row],[Fecha Detección]]+1,0)</f>
        <v>0</v>
      </c>
      <c r="L52" s="34" t="str">
        <f>LOOKUP(Observaciones[[#This Row],[Caso de Prueba]],CasoPrueba[Código CP],CasoPrueba[Código de REQ])</f>
        <v>INSPECCIÓN</v>
      </c>
    </row>
    <row r="53" spans="1:12" ht="30" hidden="1">
      <c r="A53" s="34" t="s">
        <v>250</v>
      </c>
      <c r="B53" s="34" t="s">
        <v>182</v>
      </c>
      <c r="C53" s="34" t="str">
        <f>VLOOKUP(Observaciones[Caso de Prueba],CasoPrueba[[#All],[Código CP]:[Prioridad]],7,TRUE)</f>
        <v>Alta</v>
      </c>
      <c r="D53" s="34" t="s">
        <v>205</v>
      </c>
      <c r="E53" s="34" t="s">
        <v>47</v>
      </c>
      <c r="F53" s="78">
        <v>40789</v>
      </c>
      <c r="H53" s="99" t="s">
        <v>131</v>
      </c>
      <c r="I53" s="34" t="s">
        <v>271</v>
      </c>
      <c r="K53" s="34">
        <f>IF((Observaciones[[#This Row],[Fecha Levantamiento]]-Observaciones[[#This Row],[Fecha Detección]])&gt;=0,Observaciones[[#This Row],[Fecha Levantamiento]]-Observaciones[[#This Row],[Fecha Detección]]+1,0)</f>
        <v>0</v>
      </c>
      <c r="L53" s="34" t="str">
        <f>LOOKUP(Observaciones[[#This Row],[Caso de Prueba]],CasoPrueba[Código CP],CasoPrueba[Código de REQ])</f>
        <v>INSPECCIÓN</v>
      </c>
    </row>
    <row r="54" spans="1:12" ht="45" hidden="1">
      <c r="A54" s="34" t="s">
        <v>251</v>
      </c>
      <c r="B54" s="34" t="s">
        <v>182</v>
      </c>
      <c r="C54" s="34" t="str">
        <f>VLOOKUP(Observaciones[Caso de Prueba],CasoPrueba[[#All],[Código CP]:[Prioridad]],7,TRUE)</f>
        <v>Alta</v>
      </c>
      <c r="D54" s="34" t="s">
        <v>207</v>
      </c>
      <c r="E54" s="34" t="s">
        <v>47</v>
      </c>
      <c r="F54" s="78">
        <v>40789</v>
      </c>
      <c r="H54" s="99" t="s">
        <v>131</v>
      </c>
      <c r="I54" s="34" t="s">
        <v>306</v>
      </c>
      <c r="K54" s="34">
        <f>IF((Observaciones[[#This Row],[Fecha Levantamiento]]-Observaciones[[#This Row],[Fecha Detección]])&gt;=0,Observaciones[[#This Row],[Fecha Levantamiento]]-Observaciones[[#This Row],[Fecha Detección]]+1,0)</f>
        <v>0</v>
      </c>
      <c r="L54" s="34" t="str">
        <f>LOOKUP(Observaciones[[#This Row],[Caso de Prueba]],CasoPrueba[Código CP],CasoPrueba[Código de REQ])</f>
        <v>INSPECCIÓN</v>
      </c>
    </row>
    <row r="55" spans="1:12" ht="60" hidden="1">
      <c r="A55" s="34" t="s">
        <v>252</v>
      </c>
      <c r="B55" s="34" t="s">
        <v>182</v>
      </c>
      <c r="C55" s="34" t="str">
        <f>VLOOKUP(Observaciones[Caso de Prueba],CasoPrueba[[#All],[Código CP]:[Prioridad]],7,TRUE)</f>
        <v>Alta</v>
      </c>
      <c r="D55" s="34" t="s">
        <v>205</v>
      </c>
      <c r="E55" s="34" t="s">
        <v>47</v>
      </c>
      <c r="F55" s="78">
        <v>40793</v>
      </c>
      <c r="H55" s="99" t="s">
        <v>131</v>
      </c>
      <c r="I55" s="34" t="s">
        <v>311</v>
      </c>
      <c r="K55" s="34">
        <f>IF((Observaciones[[#This Row],[Fecha Levantamiento]]-Observaciones[[#This Row],[Fecha Detección]])&gt;=0,Observaciones[[#This Row],[Fecha Levantamiento]]-Observaciones[[#This Row],[Fecha Detección]]+1,0)</f>
        <v>0</v>
      </c>
      <c r="L55" s="34" t="str">
        <f>LOOKUP(Observaciones[[#This Row],[Caso de Prueba]],CasoPrueba[Código CP],CasoPrueba[Código de REQ])</f>
        <v>INSPECCIÓN</v>
      </c>
    </row>
    <row r="56" spans="1:12" ht="60" hidden="1">
      <c r="A56" s="34" t="s">
        <v>253</v>
      </c>
      <c r="B56" s="34" t="s">
        <v>182</v>
      </c>
      <c r="C56" s="34" t="str">
        <f>VLOOKUP(Observaciones[Caso de Prueba],CasoPrueba[[#All],[Código CP]:[Prioridad]],7,TRUE)</f>
        <v>Alta</v>
      </c>
      <c r="D56" s="34" t="s">
        <v>205</v>
      </c>
      <c r="E56" s="34" t="s">
        <v>47</v>
      </c>
      <c r="F56" s="78">
        <v>40789</v>
      </c>
      <c r="H56" s="99" t="s">
        <v>131</v>
      </c>
      <c r="I56" s="34" t="s">
        <v>272</v>
      </c>
      <c r="K56" s="34">
        <f>IF((Observaciones[[#This Row],[Fecha Levantamiento]]-Observaciones[[#This Row],[Fecha Detección]])&gt;=0,Observaciones[[#This Row],[Fecha Levantamiento]]-Observaciones[[#This Row],[Fecha Detección]]+1,0)</f>
        <v>0</v>
      </c>
      <c r="L56" s="34" t="str">
        <f>LOOKUP(Observaciones[[#This Row],[Caso de Prueba]],CasoPrueba[Código CP],CasoPrueba[Código de REQ])</f>
        <v>INSPECCIÓN</v>
      </c>
    </row>
    <row r="57" spans="1:12" ht="30" hidden="1">
      <c r="A57" s="34" t="s">
        <v>254</v>
      </c>
      <c r="B57" s="34" t="s">
        <v>182</v>
      </c>
      <c r="C57" s="34" t="str">
        <f>VLOOKUP(Observaciones[Caso de Prueba],CasoPrueba[[#All],[Código CP]:[Prioridad]],7,TRUE)</f>
        <v>Alta</v>
      </c>
      <c r="D57" s="34" t="s">
        <v>207</v>
      </c>
      <c r="E57" s="34" t="s">
        <v>47</v>
      </c>
      <c r="F57" s="78">
        <v>40789</v>
      </c>
      <c r="H57" s="99" t="s">
        <v>131</v>
      </c>
      <c r="I57" s="34" t="s">
        <v>273</v>
      </c>
      <c r="K57" s="34">
        <f>IF((Observaciones[[#This Row],[Fecha Levantamiento]]-Observaciones[[#This Row],[Fecha Detección]])&gt;=0,Observaciones[[#This Row],[Fecha Levantamiento]]-Observaciones[[#This Row],[Fecha Detección]]+1,0)</f>
        <v>0</v>
      </c>
      <c r="L57" s="34" t="str">
        <f>LOOKUP(Observaciones[[#This Row],[Caso de Prueba]],CasoPrueba[Código CP],CasoPrueba[Código de REQ])</f>
        <v>INSPECCIÓN</v>
      </c>
    </row>
    <row r="58" spans="1:12" ht="45" hidden="1">
      <c r="A58" s="34" t="s">
        <v>280</v>
      </c>
      <c r="B58" s="34" t="s">
        <v>183</v>
      </c>
      <c r="C58" s="34" t="str">
        <f>VLOOKUP(Observaciones[Caso de Prueba],CasoPrueba[[#All],[Código CP]:[Prioridad]],7,TRUE)</f>
        <v>Alta</v>
      </c>
      <c r="D58" s="34" t="s">
        <v>205</v>
      </c>
      <c r="E58" s="34" t="s">
        <v>47</v>
      </c>
      <c r="F58" s="78">
        <v>40789</v>
      </c>
      <c r="H58" s="99" t="s">
        <v>131</v>
      </c>
      <c r="I58" s="34" t="s">
        <v>261</v>
      </c>
      <c r="K58" s="34">
        <f>IF((Observaciones[[#This Row],[Fecha Levantamiento]]-Observaciones[[#This Row],[Fecha Detección]])&gt;=0,Observaciones[[#This Row],[Fecha Levantamiento]]-Observaciones[[#This Row],[Fecha Detección]]+1,0)</f>
        <v>0</v>
      </c>
      <c r="L58" s="34" t="str">
        <f>LOOKUP(Observaciones[[#This Row],[Caso de Prueba]],CasoPrueba[Código CP],CasoPrueba[Código de REQ])</f>
        <v>INSPECCIÓN</v>
      </c>
    </row>
    <row r="59" spans="1:12" ht="30" hidden="1">
      <c r="A59" s="34" t="s">
        <v>281</v>
      </c>
      <c r="B59" s="34" t="s">
        <v>183</v>
      </c>
      <c r="C59" s="34" t="str">
        <f>VLOOKUP(Observaciones[Caso de Prueba],CasoPrueba[[#All],[Código CP]:[Prioridad]],7,TRUE)</f>
        <v>Alta</v>
      </c>
      <c r="D59" s="170" t="s">
        <v>205</v>
      </c>
      <c r="E59" s="34" t="s">
        <v>47</v>
      </c>
      <c r="F59" s="78">
        <v>40793</v>
      </c>
      <c r="H59" s="99" t="s">
        <v>131</v>
      </c>
      <c r="I59" s="34" t="s">
        <v>310</v>
      </c>
      <c r="K59" s="34">
        <f>IF((Observaciones[[#This Row],[Fecha Levantamiento]]-Observaciones[[#This Row],[Fecha Detección]])&gt;=0,Observaciones[[#This Row],[Fecha Levantamiento]]-Observaciones[[#This Row],[Fecha Detección]]+1,0)</f>
        <v>0</v>
      </c>
      <c r="L59" s="34" t="str">
        <f>LOOKUP(Observaciones[[#This Row],[Caso de Prueba]],CasoPrueba[Código CP],CasoPrueba[Código de REQ])</f>
        <v>INSPECCIÓN</v>
      </c>
    </row>
    <row r="60" spans="1:12" ht="30" hidden="1">
      <c r="A60" s="34" t="s">
        <v>282</v>
      </c>
      <c r="B60" s="34" t="s">
        <v>183</v>
      </c>
      <c r="C60" s="34" t="str">
        <f>VLOOKUP(Observaciones[Caso de Prueba],CasoPrueba[[#All],[Código CP]:[Prioridad]],7,TRUE)</f>
        <v>Alta</v>
      </c>
      <c r="D60" s="34" t="s">
        <v>206</v>
      </c>
      <c r="E60" s="34" t="s">
        <v>47</v>
      </c>
      <c r="F60" s="78">
        <v>40789</v>
      </c>
      <c r="H60" s="99" t="s">
        <v>131</v>
      </c>
      <c r="I60" s="34" t="s">
        <v>299</v>
      </c>
      <c r="K60" s="34">
        <f>IF((Observaciones[[#This Row],[Fecha Levantamiento]]-Observaciones[[#This Row],[Fecha Detección]])&gt;=0,Observaciones[[#This Row],[Fecha Levantamiento]]-Observaciones[[#This Row],[Fecha Detección]]+1,0)</f>
        <v>0</v>
      </c>
      <c r="L60" s="34" t="str">
        <f>LOOKUP(Observaciones[[#This Row],[Caso de Prueba]],CasoPrueba[Código CP],CasoPrueba[Código de REQ])</f>
        <v>INSPECCIÓN</v>
      </c>
    </row>
    <row r="61" spans="1:12" ht="30" hidden="1">
      <c r="A61" s="34" t="s">
        <v>283</v>
      </c>
      <c r="B61" s="34" t="s">
        <v>183</v>
      </c>
      <c r="C61" s="34" t="str">
        <f>VLOOKUP(Observaciones[Caso de Prueba],CasoPrueba[[#All],[Código CP]:[Prioridad]],7,TRUE)</f>
        <v>Alta</v>
      </c>
      <c r="D61" s="34" t="s">
        <v>207</v>
      </c>
      <c r="E61" s="34" t="s">
        <v>47</v>
      </c>
      <c r="F61" s="78">
        <v>40789</v>
      </c>
      <c r="H61" s="99" t="s">
        <v>131</v>
      </c>
      <c r="I61" s="34" t="s">
        <v>278</v>
      </c>
      <c r="K61" s="34">
        <f>IF((Observaciones[[#This Row],[Fecha Levantamiento]]-Observaciones[[#This Row],[Fecha Detección]])&gt;=0,Observaciones[[#This Row],[Fecha Levantamiento]]-Observaciones[[#This Row],[Fecha Detección]]+1,0)</f>
        <v>0</v>
      </c>
      <c r="L61" s="34" t="str">
        <f>LOOKUP(Observaciones[[#This Row],[Caso de Prueba]],CasoPrueba[Código CP],CasoPrueba[Código de REQ])</f>
        <v>INSPECCIÓN</v>
      </c>
    </row>
    <row r="62" spans="1:12" ht="45" hidden="1">
      <c r="A62" s="34" t="s">
        <v>284</v>
      </c>
      <c r="B62" s="34" t="s">
        <v>183</v>
      </c>
      <c r="C62" s="34" t="str">
        <f>VLOOKUP(Observaciones[Caso de Prueba],CasoPrueba[[#All],[Código CP]:[Prioridad]],7,TRUE)</f>
        <v>Alta</v>
      </c>
      <c r="D62" s="34" t="s">
        <v>207</v>
      </c>
      <c r="E62" s="34" t="s">
        <v>47</v>
      </c>
      <c r="F62" s="78">
        <v>40789</v>
      </c>
      <c r="H62" s="99" t="s">
        <v>131</v>
      </c>
      <c r="I62" s="34" t="s">
        <v>307</v>
      </c>
      <c r="K62" s="34">
        <f>IF((Observaciones[[#This Row],[Fecha Levantamiento]]-Observaciones[[#This Row],[Fecha Detección]])&gt;=0,Observaciones[[#This Row],[Fecha Levantamiento]]-Observaciones[[#This Row],[Fecha Detección]]+1,0)</f>
        <v>0</v>
      </c>
      <c r="L62" s="34" t="str">
        <f>LOOKUP(Observaciones[[#This Row],[Caso de Prueba]],CasoPrueba[Código CP],CasoPrueba[Código de REQ])</f>
        <v>INSPECCIÓN</v>
      </c>
    </row>
    <row r="63" spans="1:12" hidden="1">
      <c r="A63" s="34" t="s">
        <v>285</v>
      </c>
      <c r="B63" s="34" t="s">
        <v>183</v>
      </c>
      <c r="C63" s="34" t="str">
        <f>VLOOKUP(Observaciones[Caso de Prueba],CasoPrueba[[#All],[Código CP]:[Prioridad]],7,TRUE)</f>
        <v>Alta</v>
      </c>
      <c r="D63" s="34" t="s">
        <v>259</v>
      </c>
      <c r="E63" s="34" t="s">
        <v>47</v>
      </c>
      <c r="F63" s="78">
        <v>40793</v>
      </c>
      <c r="H63" s="99" t="s">
        <v>131</v>
      </c>
      <c r="I63" s="34" t="s">
        <v>260</v>
      </c>
      <c r="K63" s="34">
        <f>IF((Observaciones[[#This Row],[Fecha Levantamiento]]-Observaciones[[#This Row],[Fecha Detección]])&gt;=0,Observaciones[[#This Row],[Fecha Levantamiento]]-Observaciones[[#This Row],[Fecha Detección]]+1,0)</f>
        <v>0</v>
      </c>
      <c r="L63" s="34" t="str">
        <f>LOOKUP(Observaciones[[#This Row],[Caso de Prueba]],CasoPrueba[Código CP],CasoPrueba[Código de REQ])</f>
        <v>INSPECCIÓN</v>
      </c>
    </row>
    <row r="64" spans="1:12" ht="45" hidden="1">
      <c r="A64" s="34" t="s">
        <v>286</v>
      </c>
      <c r="B64" s="34" t="s">
        <v>184</v>
      </c>
      <c r="C64" s="34" t="str">
        <f>VLOOKUP(Observaciones[Caso de Prueba],CasoPrueba[[#All],[Código CP]:[Prioridad]],7,TRUE)</f>
        <v>Alta</v>
      </c>
      <c r="D64" s="34" t="s">
        <v>205</v>
      </c>
      <c r="E64" s="34" t="s">
        <v>47</v>
      </c>
      <c r="F64" s="78">
        <v>40791</v>
      </c>
      <c r="H64" s="99" t="s">
        <v>131</v>
      </c>
      <c r="I64" s="34" t="s">
        <v>261</v>
      </c>
      <c r="K64" s="34">
        <f>IF((Observaciones[[#This Row],[Fecha Levantamiento]]-Observaciones[[#This Row],[Fecha Detección]])&gt;=0,Observaciones[[#This Row],[Fecha Levantamiento]]-Observaciones[[#This Row],[Fecha Detección]]+1,0)</f>
        <v>0</v>
      </c>
      <c r="L64" s="34" t="str">
        <f>LOOKUP(Observaciones[[#This Row],[Caso de Prueba]],CasoPrueba[Código CP],CasoPrueba[Código de REQ])</f>
        <v>INSPECCIÓN</v>
      </c>
    </row>
    <row r="65" spans="1:12" ht="30" hidden="1">
      <c r="A65" s="34" t="s">
        <v>287</v>
      </c>
      <c r="B65" s="34" t="s">
        <v>184</v>
      </c>
      <c r="C65" s="34" t="str">
        <f>VLOOKUP(Observaciones[Caso de Prueba],CasoPrueba[[#All],[Código CP]:[Prioridad]],7,TRUE)</f>
        <v>Alta</v>
      </c>
      <c r="D65" s="170" t="s">
        <v>205</v>
      </c>
      <c r="E65" s="34" t="s">
        <v>47</v>
      </c>
      <c r="F65" s="78">
        <v>40793</v>
      </c>
      <c r="H65" s="99" t="s">
        <v>131</v>
      </c>
      <c r="I65" s="34" t="s">
        <v>310</v>
      </c>
      <c r="K65" s="34">
        <f>IF((Observaciones[[#This Row],[Fecha Levantamiento]]-Observaciones[[#This Row],[Fecha Detección]])&gt;=0,Observaciones[[#This Row],[Fecha Levantamiento]]-Observaciones[[#This Row],[Fecha Detección]]+1,0)</f>
        <v>0</v>
      </c>
      <c r="L65" s="34" t="str">
        <f>LOOKUP(Observaciones[[#This Row],[Caso de Prueba]],CasoPrueba[Código CP],CasoPrueba[Código de REQ])</f>
        <v>INSPECCIÓN</v>
      </c>
    </row>
    <row r="66" spans="1:12" ht="60" hidden="1">
      <c r="A66" s="34" t="s">
        <v>288</v>
      </c>
      <c r="B66" s="34" t="s">
        <v>184</v>
      </c>
      <c r="C66" s="34" t="str">
        <f>VLOOKUP(Observaciones[Caso de Prueba],CasoPrueba[[#All],[Código CP]:[Prioridad]],7,TRUE)</f>
        <v>Alta</v>
      </c>
      <c r="D66" s="34" t="s">
        <v>205</v>
      </c>
      <c r="E66" s="34" t="s">
        <v>47</v>
      </c>
      <c r="F66" s="78">
        <v>40793</v>
      </c>
      <c r="H66" s="99" t="s">
        <v>131</v>
      </c>
      <c r="I66" s="34" t="s">
        <v>311</v>
      </c>
      <c r="K66" s="34">
        <f>IF((Observaciones[[#This Row],[Fecha Levantamiento]]-Observaciones[[#This Row],[Fecha Detección]])&gt;=0,Observaciones[[#This Row],[Fecha Levantamiento]]-Observaciones[[#This Row],[Fecha Detección]]+1,0)</f>
        <v>0</v>
      </c>
      <c r="L66" s="34" t="str">
        <f>LOOKUP(Observaciones[[#This Row],[Caso de Prueba]],CasoPrueba[Código CP],CasoPrueba[Código de REQ])</f>
        <v>INSPECCIÓN</v>
      </c>
    </row>
    <row r="67" spans="1:12" ht="45" hidden="1">
      <c r="A67" s="34" t="s">
        <v>289</v>
      </c>
      <c r="B67" s="34" t="s">
        <v>184</v>
      </c>
      <c r="C67" s="34" t="str">
        <f>VLOOKUP(Observaciones[Caso de Prueba],CasoPrueba[[#All],[Código CP]:[Prioridad]],7,TRUE)</f>
        <v>Alta</v>
      </c>
      <c r="D67" s="34" t="s">
        <v>207</v>
      </c>
      <c r="E67" s="34" t="s">
        <v>47</v>
      </c>
      <c r="F67" s="78">
        <v>40791</v>
      </c>
      <c r="H67" s="99" t="s">
        <v>131</v>
      </c>
      <c r="I67" s="34" t="s">
        <v>308</v>
      </c>
      <c r="K67" s="34">
        <f>IF((Observaciones[[#This Row],[Fecha Levantamiento]]-Observaciones[[#This Row],[Fecha Detección]])&gt;=0,Observaciones[[#This Row],[Fecha Levantamiento]]-Observaciones[[#This Row],[Fecha Detección]]+1,0)</f>
        <v>0</v>
      </c>
      <c r="L67" s="34" t="str">
        <f>LOOKUP(Observaciones[[#This Row],[Caso de Prueba]],CasoPrueba[Código CP],CasoPrueba[Código de REQ])</f>
        <v>INSPECCIÓN</v>
      </c>
    </row>
    <row r="68" spans="1:12" ht="45" hidden="1">
      <c r="A68" s="34" t="s">
        <v>290</v>
      </c>
      <c r="B68" s="34" t="s">
        <v>184</v>
      </c>
      <c r="C68" s="34" t="str">
        <f>VLOOKUP(Observaciones[Caso de Prueba],CasoPrueba[[#All],[Código CP]:[Prioridad]],7,TRUE)</f>
        <v>Alta</v>
      </c>
      <c r="D68" s="34" t="s">
        <v>206</v>
      </c>
      <c r="E68" s="34" t="s">
        <v>47</v>
      </c>
      <c r="F68" s="78">
        <v>40791</v>
      </c>
      <c r="H68" s="99" t="s">
        <v>131</v>
      </c>
      <c r="I68" s="34" t="s">
        <v>279</v>
      </c>
      <c r="K68" s="34">
        <f>IF((Observaciones[[#This Row],[Fecha Levantamiento]]-Observaciones[[#This Row],[Fecha Detección]])&gt;=0,Observaciones[[#This Row],[Fecha Levantamiento]]-Observaciones[[#This Row],[Fecha Detección]]+1,0)</f>
        <v>0</v>
      </c>
      <c r="L68" s="34" t="str">
        <f>LOOKUP(Observaciones[[#This Row],[Caso de Prueba]],CasoPrueba[Código CP],CasoPrueba[Código de REQ])</f>
        <v>INSPECCIÓN</v>
      </c>
    </row>
    <row r="69" spans="1:12" ht="30" hidden="1">
      <c r="A69" s="34" t="s">
        <v>291</v>
      </c>
      <c r="B69" s="34" t="s">
        <v>184</v>
      </c>
      <c r="C69" s="34" t="str">
        <f>VLOOKUP(Observaciones[Caso de Prueba],CasoPrueba[[#All],[Código CP]:[Prioridad]],7,TRUE)</f>
        <v>Alta</v>
      </c>
      <c r="D69" s="34" t="s">
        <v>207</v>
      </c>
      <c r="E69" s="34" t="s">
        <v>47</v>
      </c>
      <c r="F69" s="78">
        <v>40791</v>
      </c>
      <c r="H69" s="99" t="s">
        <v>131</v>
      </c>
      <c r="I69" s="34" t="s">
        <v>273</v>
      </c>
      <c r="K69" s="34">
        <f>IF((Observaciones[[#This Row],[Fecha Levantamiento]]-Observaciones[[#This Row],[Fecha Detección]])&gt;=0,Observaciones[[#This Row],[Fecha Levantamiento]]-Observaciones[[#This Row],[Fecha Detección]]+1,0)</f>
        <v>0</v>
      </c>
      <c r="L69" s="34" t="str">
        <f>LOOKUP(Observaciones[[#This Row],[Caso de Prueba]],CasoPrueba[Código CP],CasoPrueba[Código de REQ])</f>
        <v>INSPECCIÓN</v>
      </c>
    </row>
    <row r="70" spans="1:12" ht="45" hidden="1">
      <c r="A70" s="34" t="s">
        <v>292</v>
      </c>
      <c r="B70" s="34" t="s">
        <v>185</v>
      </c>
      <c r="C70" s="34" t="str">
        <f>VLOOKUP(Observaciones[Caso de Prueba],CasoPrueba[[#All],[Código CP]:[Prioridad]],7,TRUE)</f>
        <v>Alta</v>
      </c>
      <c r="D70" s="34" t="s">
        <v>205</v>
      </c>
      <c r="E70" s="34" t="s">
        <v>47</v>
      </c>
      <c r="F70" s="78">
        <v>40791</v>
      </c>
      <c r="H70" s="99" t="s">
        <v>131</v>
      </c>
      <c r="I70" s="34" t="s">
        <v>261</v>
      </c>
      <c r="K70" s="34">
        <f>IF((Observaciones[[#This Row],[Fecha Levantamiento]]-Observaciones[[#This Row],[Fecha Detección]])&gt;=0,Observaciones[[#This Row],[Fecha Levantamiento]]-Observaciones[[#This Row],[Fecha Detección]]+1,0)</f>
        <v>0</v>
      </c>
      <c r="L70" s="34" t="str">
        <f>LOOKUP(Observaciones[[#This Row],[Caso de Prueba]],CasoPrueba[Código CP],CasoPrueba[Código de REQ])</f>
        <v>INSPECCIÓN</v>
      </c>
    </row>
    <row r="71" spans="1:12" ht="30" hidden="1">
      <c r="A71" s="34" t="s">
        <v>293</v>
      </c>
      <c r="B71" s="34" t="s">
        <v>185</v>
      </c>
      <c r="C71" s="34" t="str">
        <f>VLOOKUP(Observaciones[Caso de Prueba],CasoPrueba[[#All],[Código CP]:[Prioridad]],7,TRUE)</f>
        <v>Alta</v>
      </c>
      <c r="D71" s="170" t="s">
        <v>205</v>
      </c>
      <c r="E71" s="34" t="s">
        <v>47</v>
      </c>
      <c r="F71" s="78">
        <v>40793</v>
      </c>
      <c r="H71" s="99" t="s">
        <v>131</v>
      </c>
      <c r="I71" s="34" t="s">
        <v>310</v>
      </c>
      <c r="K71" s="34">
        <f>IF((Observaciones[[#This Row],[Fecha Levantamiento]]-Observaciones[[#This Row],[Fecha Detección]])&gt;=0,Observaciones[[#This Row],[Fecha Levantamiento]]-Observaciones[[#This Row],[Fecha Detección]]+1,0)</f>
        <v>0</v>
      </c>
      <c r="L71" s="34" t="str">
        <f>LOOKUP(Observaciones[[#This Row],[Caso de Prueba]],CasoPrueba[Código CP],CasoPrueba[Código de REQ])</f>
        <v>INSPECCIÓN</v>
      </c>
    </row>
    <row r="72" spans="1:12" ht="30" hidden="1">
      <c r="A72" s="34" t="s">
        <v>294</v>
      </c>
      <c r="B72" s="34" t="s">
        <v>185</v>
      </c>
      <c r="C72" s="34" t="str">
        <f>VLOOKUP(Observaciones[Caso de Prueba],CasoPrueba[[#All],[Código CP]:[Prioridad]],7,TRUE)</f>
        <v>Alta</v>
      </c>
      <c r="D72" s="34" t="s">
        <v>207</v>
      </c>
      <c r="E72" s="34" t="s">
        <v>47</v>
      </c>
      <c r="F72" s="78">
        <v>40791</v>
      </c>
      <c r="H72" s="99" t="s">
        <v>131</v>
      </c>
      <c r="I72" s="34" t="s">
        <v>273</v>
      </c>
      <c r="K72" s="34">
        <f>IF((Observaciones[[#This Row],[Fecha Levantamiento]]-Observaciones[[#This Row],[Fecha Detección]])&gt;=0,Observaciones[[#This Row],[Fecha Levantamiento]]-Observaciones[[#This Row],[Fecha Detección]]+1,0)</f>
        <v>0</v>
      </c>
      <c r="L72" s="34" t="str">
        <f>LOOKUP(Observaciones[[#This Row],[Caso de Prueba]],CasoPrueba[Código CP],CasoPrueba[Código de REQ])</f>
        <v>INSPECCIÓN</v>
      </c>
    </row>
    <row r="73" spans="1:12" hidden="1">
      <c r="A73" s="34" t="s">
        <v>295</v>
      </c>
      <c r="B73" s="34" t="s">
        <v>185</v>
      </c>
      <c r="C73" s="34" t="str">
        <f>VLOOKUP(Observaciones[Caso de Prueba],CasoPrueba[[#All],[Código CP]:[Prioridad]],7,TRUE)</f>
        <v>Alta</v>
      </c>
      <c r="D73" s="34" t="s">
        <v>259</v>
      </c>
      <c r="E73" s="34" t="s">
        <v>47</v>
      </c>
      <c r="F73" s="78">
        <v>40793</v>
      </c>
      <c r="H73" s="99" t="s">
        <v>131</v>
      </c>
      <c r="I73" s="34" t="s">
        <v>260</v>
      </c>
      <c r="K73" s="34">
        <f>IF((Observaciones[[#This Row],[Fecha Levantamiento]]-Observaciones[[#This Row],[Fecha Detección]])&gt;=0,Observaciones[[#This Row],[Fecha Levantamiento]]-Observaciones[[#This Row],[Fecha Detección]]+1,0)</f>
        <v>0</v>
      </c>
      <c r="L73" s="34" t="str">
        <f>LOOKUP(Observaciones[[#This Row],[Caso de Prueba]],CasoPrueba[Código CP],CasoPrueba[Código de REQ])</f>
        <v>INSPECCIÓN</v>
      </c>
    </row>
    <row r="74" spans="1:12" ht="45">
      <c r="A74" s="34" t="s">
        <v>296</v>
      </c>
      <c r="B74" s="34" t="s">
        <v>186</v>
      </c>
      <c r="C74" s="34" t="str">
        <f>VLOOKUP(Observaciones[Caso de Prueba],CasoPrueba[[#All],[Código CP]:[Prioridad]],7,TRUE)</f>
        <v>Alta</v>
      </c>
      <c r="D74" s="34" t="s">
        <v>206</v>
      </c>
      <c r="E74" s="34" t="s">
        <v>47</v>
      </c>
      <c r="F74" s="78">
        <v>40793</v>
      </c>
      <c r="H74" s="99" t="s">
        <v>131</v>
      </c>
      <c r="I74" s="34" t="s">
        <v>336</v>
      </c>
      <c r="J74" s="34" t="s">
        <v>386</v>
      </c>
      <c r="K74" s="34">
        <f>IF((Observaciones[[#This Row],[Fecha Levantamiento]]-Observaciones[[#This Row],[Fecha Detección]])&gt;=0,Observaciones[[#This Row],[Fecha Levantamiento]]-Observaciones[[#This Row],[Fecha Detección]]+1,0)</f>
        <v>0</v>
      </c>
      <c r="L74" s="34" t="str">
        <f>LOOKUP(Observaciones[[#This Row],[Caso de Prueba]],CasoPrueba[Código CP],CasoPrueba[Código de REQ])</f>
        <v>INSPECCIÓN</v>
      </c>
    </row>
    <row r="75" spans="1:12" ht="69" customHeight="1">
      <c r="A75" s="34" t="s">
        <v>297</v>
      </c>
      <c r="B75" s="34" t="s">
        <v>186</v>
      </c>
      <c r="C75" s="34" t="str">
        <f>VLOOKUP(Observaciones[Caso de Prueba],CasoPrueba[[#All],[Código CP]:[Prioridad]],7,TRUE)</f>
        <v>Alta</v>
      </c>
      <c r="D75" s="34" t="s">
        <v>206</v>
      </c>
      <c r="E75" s="34" t="s">
        <v>47</v>
      </c>
      <c r="F75" s="78">
        <v>40793</v>
      </c>
      <c r="H75" s="99" t="s">
        <v>131</v>
      </c>
      <c r="I75" s="34" t="s">
        <v>337</v>
      </c>
      <c r="J75" s="34" t="s">
        <v>401</v>
      </c>
      <c r="K75" s="34">
        <f>IF((Observaciones[[#This Row],[Fecha Levantamiento]]-Observaciones[[#This Row],[Fecha Detección]])&gt;=0,Observaciones[[#This Row],[Fecha Levantamiento]]-Observaciones[[#This Row],[Fecha Detección]]+1,0)</f>
        <v>0</v>
      </c>
      <c r="L75" s="34" t="str">
        <f>LOOKUP(Observaciones[[#This Row],[Caso de Prueba]],CasoPrueba[Código CP],CasoPrueba[Código de REQ])</f>
        <v>INSPECCIÓN</v>
      </c>
    </row>
    <row r="76" spans="1:12" ht="30">
      <c r="A76" s="34" t="s">
        <v>298</v>
      </c>
      <c r="B76" s="34" t="s">
        <v>186</v>
      </c>
      <c r="C76" s="34" t="str">
        <f>VLOOKUP(Observaciones[Caso de Prueba],CasoPrueba[[#All],[Código CP]:[Prioridad]],7,TRUE)</f>
        <v>Alta</v>
      </c>
      <c r="D76" s="170" t="s">
        <v>205</v>
      </c>
      <c r="E76" s="34" t="s">
        <v>47</v>
      </c>
      <c r="F76" s="78">
        <v>40793</v>
      </c>
      <c r="H76" s="99" t="s">
        <v>131</v>
      </c>
      <c r="I76" s="34" t="s">
        <v>338</v>
      </c>
      <c r="J76" s="34" t="s">
        <v>387</v>
      </c>
      <c r="K76" s="34">
        <f>IF((Observaciones[[#This Row],[Fecha Levantamiento]]-Observaciones[[#This Row],[Fecha Detección]])&gt;=0,Observaciones[[#This Row],[Fecha Levantamiento]]-Observaciones[[#This Row],[Fecha Detección]]+1,0)</f>
        <v>0</v>
      </c>
      <c r="L76" s="34" t="str">
        <f>LOOKUP(Observaciones[[#This Row],[Caso de Prueba]],CasoPrueba[Código CP],CasoPrueba[Código de REQ])</f>
        <v>INSPECCIÓN</v>
      </c>
    </row>
    <row r="77" spans="1:12" ht="45">
      <c r="A77" s="34" t="s">
        <v>312</v>
      </c>
      <c r="B77" s="34" t="s">
        <v>186</v>
      </c>
      <c r="C77" s="34" t="str">
        <f>VLOOKUP(Observaciones[Caso de Prueba],CasoPrueba[[#All],[Código CP]:[Prioridad]],7,TRUE)</f>
        <v>Alta</v>
      </c>
      <c r="D77" s="34" t="s">
        <v>259</v>
      </c>
      <c r="E77" s="34" t="s">
        <v>47</v>
      </c>
      <c r="F77" s="78">
        <v>40793</v>
      </c>
      <c r="H77" s="99" t="s">
        <v>131</v>
      </c>
      <c r="I77" s="34" t="s">
        <v>339</v>
      </c>
      <c r="J77" s="34" t="s">
        <v>388</v>
      </c>
      <c r="K77" s="34">
        <f>IF((Observaciones[[#This Row],[Fecha Levantamiento]]-Observaciones[[#This Row],[Fecha Detección]])&gt;=0,Observaciones[[#This Row],[Fecha Levantamiento]]-Observaciones[[#This Row],[Fecha Detección]]+1,0)</f>
        <v>0</v>
      </c>
      <c r="L77" s="34" t="str">
        <f>LOOKUP(Observaciones[[#This Row],[Caso de Prueba]],CasoPrueba[Código CP],CasoPrueba[Código de REQ])</f>
        <v>INSPECCIÓN</v>
      </c>
    </row>
    <row r="78" spans="1:12">
      <c r="A78" s="34" t="s">
        <v>313</v>
      </c>
      <c r="B78" s="34" t="s">
        <v>186</v>
      </c>
      <c r="C78" s="34" t="str">
        <f>VLOOKUP(Observaciones[Caso de Prueba],CasoPrueba[[#All],[Código CP]:[Prioridad]],7,TRUE)</f>
        <v>Alta</v>
      </c>
      <c r="D78" s="34" t="s">
        <v>259</v>
      </c>
      <c r="E78" s="34" t="s">
        <v>47</v>
      </c>
      <c r="F78" s="78">
        <v>40793</v>
      </c>
      <c r="H78" s="99" t="s">
        <v>131</v>
      </c>
      <c r="I78" s="34" t="s">
        <v>260</v>
      </c>
      <c r="J78" s="34" t="s">
        <v>402</v>
      </c>
      <c r="K78" s="34">
        <f>IF((Observaciones[[#This Row],[Fecha Levantamiento]]-Observaciones[[#This Row],[Fecha Detección]])&gt;=0,Observaciones[[#This Row],[Fecha Levantamiento]]-Observaciones[[#This Row],[Fecha Detección]]+1,0)</f>
        <v>0</v>
      </c>
      <c r="L78" s="34" t="str">
        <f>LOOKUP(Observaciones[[#This Row],[Caso de Prueba]],CasoPrueba[Código CP],CasoPrueba[Código de REQ])</f>
        <v>INSPECCIÓN</v>
      </c>
    </row>
    <row r="79" spans="1:12" ht="30">
      <c r="A79" s="34" t="s">
        <v>314</v>
      </c>
      <c r="B79" s="34" t="s">
        <v>186</v>
      </c>
      <c r="C79" s="34" t="str">
        <f>VLOOKUP(Observaciones[Caso de Prueba],CasoPrueba[[#All],[Código CP]:[Prioridad]],7,TRUE)</f>
        <v>Alta</v>
      </c>
      <c r="D79" s="34" t="s">
        <v>207</v>
      </c>
      <c r="E79" s="34" t="s">
        <v>47</v>
      </c>
      <c r="F79" s="78">
        <v>40793</v>
      </c>
      <c r="H79" s="99" t="s">
        <v>131</v>
      </c>
      <c r="I79" s="34" t="s">
        <v>274</v>
      </c>
      <c r="J79" s="34" t="s">
        <v>389</v>
      </c>
      <c r="K79" s="34">
        <f>IF((Observaciones[[#This Row],[Fecha Levantamiento]]-Observaciones[[#This Row],[Fecha Detección]])&gt;=0,Observaciones[[#This Row],[Fecha Levantamiento]]-Observaciones[[#This Row],[Fecha Detección]]+1,0)</f>
        <v>0</v>
      </c>
      <c r="L79" s="34" t="str">
        <f>LOOKUP(Observaciones[[#This Row],[Caso de Prueba]],CasoPrueba[Código CP],CasoPrueba[Código de REQ])</f>
        <v>INSPECCIÓN</v>
      </c>
    </row>
    <row r="80" spans="1:12" ht="45">
      <c r="A80" s="34" t="s">
        <v>315</v>
      </c>
      <c r="B80" s="34" t="s">
        <v>186</v>
      </c>
      <c r="C80" s="34" t="str">
        <f>VLOOKUP(Observaciones[Caso de Prueba],CasoPrueba[[#All],[Código CP]:[Prioridad]],7,TRUE)</f>
        <v>Alta</v>
      </c>
      <c r="D80" s="34" t="s">
        <v>207</v>
      </c>
      <c r="E80" s="34" t="s">
        <v>47</v>
      </c>
      <c r="F80" s="78">
        <v>40793</v>
      </c>
      <c r="H80" s="99" t="s">
        <v>131</v>
      </c>
      <c r="I80" s="34" t="s">
        <v>342</v>
      </c>
      <c r="J80" s="34" t="s">
        <v>390</v>
      </c>
      <c r="K80" s="34">
        <f>IF((Observaciones[[#This Row],[Fecha Levantamiento]]-Observaciones[[#This Row],[Fecha Detección]])&gt;=0,Observaciones[[#This Row],[Fecha Levantamiento]]-Observaciones[[#This Row],[Fecha Detección]]+1,0)</f>
        <v>0</v>
      </c>
      <c r="L80" s="34" t="str">
        <f>LOOKUP(Observaciones[[#This Row],[Caso de Prueba]],CasoPrueba[Código CP],CasoPrueba[Código de REQ])</f>
        <v>INSPECCIÓN</v>
      </c>
    </row>
    <row r="81" spans="1:12" ht="45">
      <c r="A81" s="34" t="s">
        <v>316</v>
      </c>
      <c r="B81" s="34" t="s">
        <v>186</v>
      </c>
      <c r="C81" s="34" t="str">
        <f>VLOOKUP(Observaciones[Caso de Prueba],CasoPrueba[[#All],[Código CP]:[Prioridad]],7,TRUE)</f>
        <v>Alta</v>
      </c>
      <c r="D81" s="34" t="s">
        <v>205</v>
      </c>
      <c r="E81" s="34" t="s">
        <v>47</v>
      </c>
      <c r="F81" s="78">
        <v>40793</v>
      </c>
      <c r="H81" s="99" t="s">
        <v>131</v>
      </c>
      <c r="I81" s="34" t="s">
        <v>341</v>
      </c>
      <c r="J81" s="34" t="s">
        <v>391</v>
      </c>
      <c r="K81" s="34">
        <f>IF((Observaciones[[#This Row],[Fecha Levantamiento]]-Observaciones[[#This Row],[Fecha Detección]])&gt;=0,Observaciones[[#This Row],[Fecha Levantamiento]]-Observaciones[[#This Row],[Fecha Detección]]+1,0)</f>
        <v>0</v>
      </c>
      <c r="L81" s="34" t="str">
        <f>LOOKUP(Observaciones[[#This Row],[Caso de Prueba]],CasoPrueba[Código CP],CasoPrueba[Código de REQ])</f>
        <v>INSPECCIÓN</v>
      </c>
    </row>
    <row r="82" spans="1:12" ht="60">
      <c r="A82" s="34" t="s">
        <v>317</v>
      </c>
      <c r="B82" s="34" t="s">
        <v>186</v>
      </c>
      <c r="C82" s="34" t="str">
        <f>VLOOKUP(Observaciones[Caso de Prueba],CasoPrueba[[#All],[Código CP]:[Prioridad]],7,TRUE)</f>
        <v>Alta</v>
      </c>
      <c r="D82" s="34" t="s">
        <v>207</v>
      </c>
      <c r="E82" s="34" t="s">
        <v>47</v>
      </c>
      <c r="F82" s="78">
        <v>40793</v>
      </c>
      <c r="H82" s="99" t="s">
        <v>131</v>
      </c>
      <c r="I82" s="34" t="s">
        <v>343</v>
      </c>
      <c r="J82" s="34" t="s">
        <v>392</v>
      </c>
      <c r="K82" s="34">
        <f>IF((Observaciones[[#This Row],[Fecha Levantamiento]]-Observaciones[[#This Row],[Fecha Detección]])&gt;=0,Observaciones[[#This Row],[Fecha Levantamiento]]-Observaciones[[#This Row],[Fecha Detección]]+1,0)</f>
        <v>0</v>
      </c>
      <c r="L82" s="34" t="str">
        <f>LOOKUP(Observaciones[[#This Row],[Caso de Prueba]],CasoPrueba[Código CP],CasoPrueba[Código de REQ])</f>
        <v>INSPECCIÓN</v>
      </c>
    </row>
    <row r="83" spans="1:12" ht="60">
      <c r="A83" s="34" t="s">
        <v>318</v>
      </c>
      <c r="B83" s="34" t="s">
        <v>186</v>
      </c>
      <c r="C83" s="34" t="str">
        <f>VLOOKUP(Observaciones[Caso de Prueba],CasoPrueba[[#All],[Código CP]:[Prioridad]],7,TRUE)</f>
        <v>Alta</v>
      </c>
      <c r="D83" s="34" t="s">
        <v>207</v>
      </c>
      <c r="E83" s="34" t="s">
        <v>47</v>
      </c>
      <c r="F83" s="78">
        <v>40793</v>
      </c>
      <c r="H83" s="99" t="s">
        <v>131</v>
      </c>
      <c r="I83" s="34" t="s">
        <v>345</v>
      </c>
      <c r="J83" s="34" t="s">
        <v>392</v>
      </c>
      <c r="K83" s="34">
        <f>IF((Observaciones[[#This Row],[Fecha Levantamiento]]-Observaciones[[#This Row],[Fecha Detección]])&gt;=0,Observaciones[[#This Row],[Fecha Levantamiento]]-Observaciones[[#This Row],[Fecha Detección]]+1,0)</f>
        <v>0</v>
      </c>
      <c r="L83" s="34" t="str">
        <f>LOOKUP(Observaciones[[#This Row],[Caso de Prueba]],CasoPrueba[Código CP],CasoPrueba[Código de REQ])</f>
        <v>INSPECCIÓN</v>
      </c>
    </row>
    <row r="84" spans="1:12" ht="30">
      <c r="A84" s="34" t="s">
        <v>319</v>
      </c>
      <c r="B84" s="34" t="s">
        <v>186</v>
      </c>
      <c r="C84" s="34" t="str">
        <f>VLOOKUP(Observaciones[Caso de Prueba],CasoPrueba[[#All],[Código CP]:[Prioridad]],7,TRUE)</f>
        <v>Alta</v>
      </c>
      <c r="D84" s="34" t="s">
        <v>207</v>
      </c>
      <c r="E84" s="34" t="s">
        <v>47</v>
      </c>
      <c r="F84" s="78">
        <v>40793</v>
      </c>
      <c r="H84" s="99" t="s">
        <v>131</v>
      </c>
      <c r="I84" s="34" t="s">
        <v>344</v>
      </c>
      <c r="J84" s="34" t="s">
        <v>393</v>
      </c>
      <c r="K84" s="34">
        <f>IF((Observaciones[[#This Row],[Fecha Levantamiento]]-Observaciones[[#This Row],[Fecha Detección]])&gt;=0,Observaciones[[#This Row],[Fecha Levantamiento]]-Observaciones[[#This Row],[Fecha Detección]]+1,0)</f>
        <v>0</v>
      </c>
      <c r="L84" s="34" t="str">
        <f>LOOKUP(Observaciones[[#This Row],[Caso de Prueba]],CasoPrueba[Código CP],CasoPrueba[Código de REQ])</f>
        <v>INSPECCIÓN</v>
      </c>
    </row>
    <row r="85" spans="1:12" ht="105">
      <c r="A85" s="34" t="s">
        <v>320</v>
      </c>
      <c r="B85" s="34" t="s">
        <v>186</v>
      </c>
      <c r="C85" s="34" t="str">
        <f>VLOOKUP(Observaciones[Caso de Prueba],CasoPrueba[[#All],[Código CP]:[Prioridad]],7,TRUE)</f>
        <v>Alta</v>
      </c>
      <c r="D85" s="34" t="s">
        <v>207</v>
      </c>
      <c r="E85" s="34" t="s">
        <v>47</v>
      </c>
      <c r="F85" s="78">
        <v>40793</v>
      </c>
      <c r="H85" s="99" t="s">
        <v>131</v>
      </c>
      <c r="I85" s="34" t="s">
        <v>347</v>
      </c>
      <c r="J85" s="34" t="s">
        <v>403</v>
      </c>
      <c r="K85" s="34">
        <f>IF((Observaciones[[#This Row],[Fecha Levantamiento]]-Observaciones[[#This Row],[Fecha Detección]])&gt;=0,Observaciones[[#This Row],[Fecha Levantamiento]]-Observaciones[[#This Row],[Fecha Detección]]+1,0)</f>
        <v>0</v>
      </c>
      <c r="L85" s="34" t="str">
        <f>LOOKUP(Observaciones[[#This Row],[Caso de Prueba]],CasoPrueba[Código CP],CasoPrueba[Código de REQ])</f>
        <v>INSPECCIÓN</v>
      </c>
    </row>
    <row r="86" spans="1:12" ht="45">
      <c r="A86" s="34" t="s">
        <v>321</v>
      </c>
      <c r="B86" s="34" t="s">
        <v>186</v>
      </c>
      <c r="C86" s="34" t="str">
        <f>VLOOKUP(Observaciones[Caso de Prueba],CasoPrueba[[#All],[Código CP]:[Prioridad]],7,TRUE)</f>
        <v>Alta</v>
      </c>
      <c r="D86" s="34" t="s">
        <v>206</v>
      </c>
      <c r="E86" s="34" t="s">
        <v>47</v>
      </c>
      <c r="F86" s="78">
        <v>40793</v>
      </c>
      <c r="H86" s="99" t="s">
        <v>131</v>
      </c>
      <c r="I86" s="34" t="s">
        <v>340</v>
      </c>
      <c r="J86" s="34" t="s">
        <v>394</v>
      </c>
      <c r="K86" s="34">
        <f>IF((Observaciones[[#This Row],[Fecha Levantamiento]]-Observaciones[[#This Row],[Fecha Detección]])&gt;=0,Observaciones[[#This Row],[Fecha Levantamiento]]-Observaciones[[#This Row],[Fecha Detección]]+1,0)</f>
        <v>0</v>
      </c>
      <c r="L86" s="34" t="str">
        <f>LOOKUP(Observaciones[[#This Row],[Caso de Prueba]],CasoPrueba[Código CP],CasoPrueba[Código de REQ])</f>
        <v>INSPECCIÓN</v>
      </c>
    </row>
    <row r="87" spans="1:12" ht="90">
      <c r="A87" s="34" t="s">
        <v>322</v>
      </c>
      <c r="B87" s="34" t="s">
        <v>186</v>
      </c>
      <c r="C87" s="34" t="str">
        <f>VLOOKUP(Observaciones[Caso de Prueba],CasoPrueba[[#All],[Código CP]:[Prioridad]],7,TRUE)</f>
        <v>Alta</v>
      </c>
      <c r="D87" s="34" t="s">
        <v>207</v>
      </c>
      <c r="E87" s="34" t="s">
        <v>47</v>
      </c>
      <c r="F87" s="78">
        <v>40793</v>
      </c>
      <c r="H87" s="99" t="s">
        <v>131</v>
      </c>
      <c r="I87" s="34" t="s">
        <v>346</v>
      </c>
      <c r="J87" s="34" t="s">
        <v>404</v>
      </c>
      <c r="K87" s="34">
        <f>IF((Observaciones[[#This Row],[Fecha Levantamiento]]-Observaciones[[#This Row],[Fecha Detección]])&gt;=0,Observaciones[[#This Row],[Fecha Levantamiento]]-Observaciones[[#This Row],[Fecha Detección]]+1,0)</f>
        <v>0</v>
      </c>
      <c r="L87" s="34" t="str">
        <f>LOOKUP(Observaciones[[#This Row],[Caso de Prueba]],CasoPrueba[Código CP],CasoPrueba[Código de REQ])</f>
        <v>INSPECCIÓN</v>
      </c>
    </row>
    <row r="88" spans="1:12" ht="47.25" customHeight="1">
      <c r="A88" s="34" t="s">
        <v>325</v>
      </c>
      <c r="B88" s="34" t="s">
        <v>187</v>
      </c>
      <c r="C88" s="34" t="str">
        <f>VLOOKUP(Observaciones[Caso de Prueba],CasoPrueba[[#All],[Código CP]:[Prioridad]],7,TRUE)</f>
        <v>Alta</v>
      </c>
      <c r="D88" s="34" t="s">
        <v>206</v>
      </c>
      <c r="E88" s="34" t="s">
        <v>47</v>
      </c>
      <c r="F88" s="78">
        <v>40795</v>
      </c>
      <c r="H88" s="99" t="s">
        <v>131</v>
      </c>
      <c r="I88" s="34" t="s">
        <v>361</v>
      </c>
      <c r="J88" s="34" t="s">
        <v>379</v>
      </c>
      <c r="K88" s="34">
        <f>IF((Observaciones[[#This Row],[Fecha Levantamiento]]-Observaciones[[#This Row],[Fecha Detección]])&gt;=0,Observaciones[[#This Row],[Fecha Levantamiento]]-Observaciones[[#This Row],[Fecha Detección]]+1,0)</f>
        <v>0</v>
      </c>
      <c r="L88" s="34" t="str">
        <f>LOOKUP(Observaciones[[#This Row],[Caso de Prueba]],CasoPrueba[Código CP],CasoPrueba[Código de REQ])</f>
        <v>INSPECCIÓN</v>
      </c>
    </row>
    <row r="89" spans="1:12" ht="75">
      <c r="A89" s="34" t="s">
        <v>326</v>
      </c>
      <c r="B89" s="34" t="s">
        <v>187</v>
      </c>
      <c r="C89" s="34" t="str">
        <f>VLOOKUP(Observaciones[Caso de Prueba],CasoPrueba[[#All],[Código CP]:[Prioridad]],7,TRUE)</f>
        <v>Alta</v>
      </c>
      <c r="D89" s="34" t="s">
        <v>206</v>
      </c>
      <c r="E89" s="34" t="s">
        <v>47</v>
      </c>
      <c r="F89" s="78">
        <v>40795</v>
      </c>
      <c r="H89" s="99" t="s">
        <v>131</v>
      </c>
      <c r="I89" s="34" t="s">
        <v>362</v>
      </c>
      <c r="J89" s="34" t="s">
        <v>384</v>
      </c>
      <c r="K89" s="34">
        <f>IF((Observaciones[[#This Row],[Fecha Levantamiento]]-Observaciones[[#This Row],[Fecha Detección]])&gt;=0,Observaciones[[#This Row],[Fecha Levantamiento]]-Observaciones[[#This Row],[Fecha Detección]]+1,0)</f>
        <v>0</v>
      </c>
      <c r="L89" s="34" t="str">
        <f>LOOKUP(Observaciones[[#This Row],[Caso de Prueba]],CasoPrueba[Código CP],CasoPrueba[Código de REQ])</f>
        <v>INSPECCIÓN</v>
      </c>
    </row>
    <row r="90" spans="1:12" ht="30">
      <c r="A90" s="34" t="s">
        <v>327</v>
      </c>
      <c r="B90" s="34" t="s">
        <v>187</v>
      </c>
      <c r="C90" s="34" t="str">
        <f>VLOOKUP(Observaciones[Caso de Prueba],CasoPrueba[[#All],[Código CP]:[Prioridad]],7,TRUE)</f>
        <v>Alta</v>
      </c>
      <c r="D90" s="34" t="s">
        <v>205</v>
      </c>
      <c r="E90" s="34" t="s">
        <v>47</v>
      </c>
      <c r="F90" s="78">
        <v>40795</v>
      </c>
      <c r="H90" s="99" t="s">
        <v>131</v>
      </c>
      <c r="I90" s="34" t="s">
        <v>338</v>
      </c>
      <c r="J90" s="34" t="s">
        <v>380</v>
      </c>
      <c r="K90" s="34">
        <f>IF((Observaciones[[#This Row],[Fecha Levantamiento]]-Observaciones[[#This Row],[Fecha Detección]])&gt;=0,Observaciones[[#This Row],[Fecha Levantamiento]]-Observaciones[[#This Row],[Fecha Detección]]+1,0)</f>
        <v>0</v>
      </c>
      <c r="L90" s="34" t="str">
        <f>LOOKUP(Observaciones[[#This Row],[Caso de Prueba]],CasoPrueba[Código CP],CasoPrueba[Código de REQ])</f>
        <v>INSPECCIÓN</v>
      </c>
    </row>
    <row r="91" spans="1:12" ht="45">
      <c r="A91" s="34" t="s">
        <v>348</v>
      </c>
      <c r="B91" s="34" t="s">
        <v>187</v>
      </c>
      <c r="C91" s="34" t="str">
        <f>VLOOKUP(Observaciones[Caso de Prueba],CasoPrueba[[#All],[Código CP]:[Prioridad]],7,TRUE)</f>
        <v>Alta</v>
      </c>
      <c r="D91" s="34" t="s">
        <v>259</v>
      </c>
      <c r="E91" s="34" t="s">
        <v>47</v>
      </c>
      <c r="F91" s="78">
        <v>40795</v>
      </c>
      <c r="H91" s="99" t="s">
        <v>131</v>
      </c>
      <c r="I91" s="34" t="s">
        <v>363</v>
      </c>
      <c r="J91" s="34" t="s">
        <v>382</v>
      </c>
      <c r="K91" s="34">
        <f>IF((Observaciones[[#This Row],[Fecha Levantamiento]]-Observaciones[[#This Row],[Fecha Detección]])&gt;=0,Observaciones[[#This Row],[Fecha Levantamiento]]-Observaciones[[#This Row],[Fecha Detección]]+1,0)</f>
        <v>0</v>
      </c>
      <c r="L91" s="34" t="str">
        <f>LOOKUP(Observaciones[[#This Row],[Caso de Prueba]],CasoPrueba[Código CP],CasoPrueba[Código de REQ])</f>
        <v>INSPECCIÓN</v>
      </c>
    </row>
    <row r="92" spans="1:12" ht="45">
      <c r="A92" s="34" t="s">
        <v>349</v>
      </c>
      <c r="B92" s="34" t="s">
        <v>187</v>
      </c>
      <c r="C92" s="34" t="str">
        <f>VLOOKUP(Observaciones[Caso de Prueba],CasoPrueba[[#All],[Código CP]:[Prioridad]],7,TRUE)</f>
        <v>Alta</v>
      </c>
      <c r="D92" s="34" t="s">
        <v>205</v>
      </c>
      <c r="E92" s="34" t="s">
        <v>47</v>
      </c>
      <c r="F92" s="78">
        <v>40795</v>
      </c>
      <c r="H92" s="99" t="s">
        <v>131</v>
      </c>
      <c r="I92" s="34" t="s">
        <v>364</v>
      </c>
      <c r="J92" s="34" t="s">
        <v>383</v>
      </c>
      <c r="K92" s="34">
        <f>IF((Observaciones[[#This Row],[Fecha Levantamiento]]-Observaciones[[#This Row],[Fecha Detección]])&gt;=0,Observaciones[[#This Row],[Fecha Levantamiento]]-Observaciones[[#This Row],[Fecha Detección]]+1,0)</f>
        <v>0</v>
      </c>
      <c r="L92" s="34" t="str">
        <f>LOOKUP(Observaciones[[#This Row],[Caso de Prueba]],CasoPrueba[Código CP],CasoPrueba[Código de REQ])</f>
        <v>INSPECCIÓN</v>
      </c>
    </row>
    <row r="93" spans="1:12" ht="68.25" customHeight="1">
      <c r="A93" s="34" t="s">
        <v>350</v>
      </c>
      <c r="B93" s="34" t="s">
        <v>187</v>
      </c>
      <c r="C93" s="34" t="str">
        <f>VLOOKUP(Observaciones[Caso de Prueba],CasoPrueba[[#All],[Código CP]:[Prioridad]],7,TRUE)</f>
        <v>Alta</v>
      </c>
      <c r="D93" s="34" t="s">
        <v>205</v>
      </c>
      <c r="E93" s="34" t="s">
        <v>47</v>
      </c>
      <c r="F93" s="78">
        <v>40795</v>
      </c>
      <c r="H93" s="99" t="s">
        <v>131</v>
      </c>
      <c r="I93" s="34" t="s">
        <v>365</v>
      </c>
      <c r="J93" s="34" t="s">
        <v>385</v>
      </c>
      <c r="K93" s="34">
        <f>IF((Observaciones[[#This Row],[Fecha Levantamiento]]-Observaciones[[#This Row],[Fecha Detección]])&gt;=0,Observaciones[[#This Row],[Fecha Levantamiento]]-Observaciones[[#This Row],[Fecha Detección]]+1,0)</f>
        <v>0</v>
      </c>
      <c r="L93" s="34" t="str">
        <f>LOOKUP(Observaciones[[#This Row],[Caso de Prueba]],CasoPrueba[Código CP],CasoPrueba[Código de REQ])</f>
        <v>INSPECCIÓN</v>
      </c>
    </row>
    <row r="94" spans="1:12" ht="80.25" customHeight="1">
      <c r="A94" s="34" t="s">
        <v>351</v>
      </c>
      <c r="B94" s="34" t="s">
        <v>188</v>
      </c>
      <c r="C94" s="34" t="str">
        <f>VLOOKUP(Observaciones[Caso de Prueba],CasoPrueba[[#All],[Código CP]:[Prioridad]],7,TRUE)</f>
        <v>Alta</v>
      </c>
      <c r="D94" s="34" t="s">
        <v>205</v>
      </c>
      <c r="E94" s="34" t="s">
        <v>47</v>
      </c>
      <c r="F94" s="78">
        <v>40795</v>
      </c>
      <c r="H94" s="99" t="s">
        <v>131</v>
      </c>
      <c r="I94" s="34" t="s">
        <v>366</v>
      </c>
      <c r="J94" s="34" t="s">
        <v>381</v>
      </c>
      <c r="K94" s="34">
        <f>IF((Observaciones[[#This Row],[Fecha Levantamiento]]-Observaciones[[#This Row],[Fecha Detección]])&gt;=0,Observaciones[[#This Row],[Fecha Levantamiento]]-Observaciones[[#This Row],[Fecha Detección]]+1,0)</f>
        <v>0</v>
      </c>
      <c r="L94" s="34" t="str">
        <f>LOOKUP(Observaciones[[#This Row],[Caso de Prueba]],CasoPrueba[Código CP],CasoPrueba[Código de REQ])</f>
        <v>INSPECCIÓN</v>
      </c>
    </row>
    <row r="95" spans="1:12" ht="60">
      <c r="A95" s="34" t="s">
        <v>352</v>
      </c>
      <c r="B95" s="34" t="s">
        <v>189</v>
      </c>
      <c r="C95" s="34" t="str">
        <f>VLOOKUP(Observaciones[Caso de Prueba],CasoPrueba[[#All],[Código CP]:[Prioridad]],7,TRUE)</f>
        <v>Alta</v>
      </c>
      <c r="D95" s="34" t="s">
        <v>206</v>
      </c>
      <c r="E95" s="34" t="s">
        <v>47</v>
      </c>
      <c r="F95" s="78">
        <v>40795</v>
      </c>
      <c r="H95" s="99" t="s">
        <v>131</v>
      </c>
      <c r="I95" s="34" t="s">
        <v>367</v>
      </c>
      <c r="J95" s="34" t="s">
        <v>395</v>
      </c>
      <c r="K95" s="34">
        <f>IF((Observaciones[[#This Row],[Fecha Levantamiento]]-Observaciones[[#This Row],[Fecha Detección]])&gt;=0,Observaciones[[#This Row],[Fecha Levantamiento]]-Observaciones[[#This Row],[Fecha Detección]]+1,0)</f>
        <v>0</v>
      </c>
      <c r="L95" s="34" t="str">
        <f>LOOKUP(Observaciones[[#This Row],[Caso de Prueba]],CasoPrueba[Código CP],CasoPrueba[Código de REQ])</f>
        <v>INSPECCIÓN</v>
      </c>
    </row>
    <row r="96" spans="1:12" ht="30">
      <c r="A96" s="34" t="s">
        <v>353</v>
      </c>
      <c r="B96" s="34" t="s">
        <v>189</v>
      </c>
      <c r="C96" s="34" t="str">
        <f>VLOOKUP(Observaciones[Caso de Prueba],CasoPrueba[[#All],[Código CP]:[Prioridad]],7,TRUE)</f>
        <v>Alta</v>
      </c>
      <c r="D96" s="34" t="s">
        <v>205</v>
      </c>
      <c r="E96" s="34" t="s">
        <v>47</v>
      </c>
      <c r="F96" s="78">
        <v>40795</v>
      </c>
      <c r="H96" s="99" t="s">
        <v>131</v>
      </c>
      <c r="I96" s="34" t="s">
        <v>338</v>
      </c>
      <c r="J96" s="34" t="s">
        <v>396</v>
      </c>
      <c r="K96" s="34">
        <f>IF((Observaciones[[#This Row],[Fecha Levantamiento]]-Observaciones[[#This Row],[Fecha Detección]])&gt;=0,Observaciones[[#This Row],[Fecha Levantamiento]]-Observaciones[[#This Row],[Fecha Detección]]+1,0)</f>
        <v>0</v>
      </c>
      <c r="L96" s="34" t="str">
        <f>LOOKUP(Observaciones[[#This Row],[Caso de Prueba]],CasoPrueba[Código CP],CasoPrueba[Código de REQ])</f>
        <v>INSPECCIÓN</v>
      </c>
    </row>
    <row r="97" spans="1:12" ht="45">
      <c r="A97" s="34" t="s">
        <v>354</v>
      </c>
      <c r="B97" s="34" t="s">
        <v>189</v>
      </c>
      <c r="C97" s="34" t="str">
        <f>VLOOKUP(Observaciones[Caso de Prueba],CasoPrueba[[#All],[Código CP]:[Prioridad]],7,TRUE)</f>
        <v>Alta</v>
      </c>
      <c r="D97" s="34" t="s">
        <v>206</v>
      </c>
      <c r="E97" s="34" t="s">
        <v>47</v>
      </c>
      <c r="F97" s="78">
        <v>40795</v>
      </c>
      <c r="H97" s="99" t="s">
        <v>131</v>
      </c>
      <c r="I97" s="34" t="s">
        <v>368</v>
      </c>
      <c r="J97" s="34" t="s">
        <v>397</v>
      </c>
      <c r="K97" s="34">
        <f>IF((Observaciones[[#This Row],[Fecha Levantamiento]]-Observaciones[[#This Row],[Fecha Detección]])&gt;=0,Observaciones[[#This Row],[Fecha Levantamiento]]-Observaciones[[#This Row],[Fecha Detección]]+1,0)</f>
        <v>0</v>
      </c>
      <c r="L97" s="34" t="str">
        <f>LOOKUP(Observaciones[[#This Row],[Caso de Prueba]],CasoPrueba[Código CP],CasoPrueba[Código de REQ])</f>
        <v>INSPECCIÓN</v>
      </c>
    </row>
    <row r="98" spans="1:12" ht="30">
      <c r="A98" s="34" t="s">
        <v>355</v>
      </c>
      <c r="B98" s="34" t="s">
        <v>189</v>
      </c>
      <c r="C98" s="34" t="str">
        <f>VLOOKUP(Observaciones[Caso de Prueba],CasoPrueba[[#All],[Código CP]:[Prioridad]],7,TRUE)</f>
        <v>Alta</v>
      </c>
      <c r="D98" s="34" t="s">
        <v>207</v>
      </c>
      <c r="E98" s="34" t="s">
        <v>47</v>
      </c>
      <c r="F98" s="78">
        <v>40795</v>
      </c>
      <c r="H98" s="99" t="s">
        <v>131</v>
      </c>
      <c r="I98" s="34" t="s">
        <v>369</v>
      </c>
      <c r="J98" s="34" t="s">
        <v>398</v>
      </c>
      <c r="K98" s="34">
        <f>IF((Observaciones[[#This Row],[Fecha Levantamiento]]-Observaciones[[#This Row],[Fecha Detección]])&gt;=0,Observaciones[[#This Row],[Fecha Levantamiento]]-Observaciones[[#This Row],[Fecha Detección]]+1,0)</f>
        <v>0</v>
      </c>
      <c r="L98" s="34" t="str">
        <f>LOOKUP(Observaciones[[#This Row],[Caso de Prueba]],CasoPrueba[Código CP],CasoPrueba[Código de REQ])</f>
        <v>INSPECCIÓN</v>
      </c>
    </row>
    <row r="99" spans="1:12" ht="60">
      <c r="A99" s="34" t="s">
        <v>356</v>
      </c>
      <c r="B99" s="34" t="s">
        <v>189</v>
      </c>
      <c r="C99" s="34" t="str">
        <f>VLOOKUP(Observaciones[Caso de Prueba],CasoPrueba[[#All],[Código CP]:[Prioridad]],7,TRUE)</f>
        <v>Alta</v>
      </c>
      <c r="D99" s="34" t="s">
        <v>205</v>
      </c>
      <c r="E99" s="34" t="s">
        <v>47</v>
      </c>
      <c r="F99" s="78">
        <v>40795</v>
      </c>
      <c r="H99" s="99" t="s">
        <v>131</v>
      </c>
      <c r="I99" s="34" t="s">
        <v>370</v>
      </c>
      <c r="J99" s="34" t="s">
        <v>399</v>
      </c>
      <c r="K99" s="34">
        <f>IF((Observaciones[[#This Row],[Fecha Levantamiento]]-Observaciones[[#This Row],[Fecha Detección]])&gt;=0,Observaciones[[#This Row],[Fecha Levantamiento]]-Observaciones[[#This Row],[Fecha Detección]]+1,0)</f>
        <v>0</v>
      </c>
      <c r="L99" s="34" t="str">
        <f>LOOKUP(Observaciones[[#This Row],[Caso de Prueba]],CasoPrueba[Código CP],CasoPrueba[Código de REQ])</f>
        <v>INSPECCIÓN</v>
      </c>
    </row>
    <row r="100" spans="1:12" ht="30">
      <c r="A100" s="34" t="s">
        <v>357</v>
      </c>
      <c r="B100" s="34" t="s">
        <v>189</v>
      </c>
      <c r="C100" s="34" t="str">
        <f>VLOOKUP(Observaciones[Caso de Prueba],CasoPrueba[[#All],[Código CP]:[Prioridad]],7,TRUE)</f>
        <v>Alta</v>
      </c>
      <c r="D100" s="34" t="s">
        <v>206</v>
      </c>
      <c r="E100" s="34" t="s">
        <v>47</v>
      </c>
      <c r="F100" s="78">
        <v>40795</v>
      </c>
      <c r="H100" s="99" t="s">
        <v>131</v>
      </c>
      <c r="I100" s="34" t="s">
        <v>371</v>
      </c>
      <c r="J100" s="34" t="s">
        <v>386</v>
      </c>
      <c r="K100" s="34">
        <f>IF((Observaciones[[#This Row],[Fecha Levantamiento]]-Observaciones[[#This Row],[Fecha Detección]])&gt;=0,Observaciones[[#This Row],[Fecha Levantamiento]]-Observaciones[[#This Row],[Fecha Detección]]+1,0)</f>
        <v>0</v>
      </c>
      <c r="L100" s="34" t="str">
        <f>LOOKUP(Observaciones[[#This Row],[Caso de Prueba]],CasoPrueba[Código CP],CasoPrueba[Código de REQ])</f>
        <v>INSPECCIÓN</v>
      </c>
    </row>
    <row r="101" spans="1:12" ht="30">
      <c r="A101" s="34" t="s">
        <v>358</v>
      </c>
      <c r="B101" s="34" t="s">
        <v>190</v>
      </c>
      <c r="C101" s="34" t="str">
        <f>VLOOKUP(Observaciones[Caso de Prueba],CasoPrueba[[#All],[Código CP]:[Prioridad]],7,TRUE)</f>
        <v>Alta</v>
      </c>
      <c r="D101" s="34" t="s">
        <v>205</v>
      </c>
      <c r="E101" s="34" t="s">
        <v>47</v>
      </c>
      <c r="F101" s="78">
        <v>40795</v>
      </c>
      <c r="H101" s="99" t="s">
        <v>131</v>
      </c>
      <c r="I101" s="34" t="s">
        <v>338</v>
      </c>
      <c r="J101" s="34" t="s">
        <v>396</v>
      </c>
      <c r="K101" s="34">
        <f>IF((Observaciones[[#This Row],[Fecha Levantamiento]]-Observaciones[[#This Row],[Fecha Detección]])&gt;=0,Observaciones[[#This Row],[Fecha Levantamiento]]-Observaciones[[#This Row],[Fecha Detección]]+1,0)</f>
        <v>0</v>
      </c>
      <c r="L101" s="34" t="str">
        <f>LOOKUP(Observaciones[[#This Row],[Caso de Prueba]],CasoPrueba[Código CP],CasoPrueba[Código de REQ])</f>
        <v>INSPECCIÓN</v>
      </c>
    </row>
    <row r="102" spans="1:12">
      <c r="A102" s="34" t="s">
        <v>359</v>
      </c>
      <c r="B102" s="34" t="s">
        <v>190</v>
      </c>
      <c r="C102" s="34" t="str">
        <f>VLOOKUP(Observaciones[Caso de Prueba],CasoPrueba[[#All],[Código CP]:[Prioridad]],7,TRUE)</f>
        <v>Alta</v>
      </c>
      <c r="D102" s="34" t="s">
        <v>207</v>
      </c>
      <c r="E102" s="34" t="s">
        <v>47</v>
      </c>
      <c r="F102" s="78">
        <v>40795</v>
      </c>
      <c r="H102" s="99" t="s">
        <v>131</v>
      </c>
      <c r="I102" s="34" t="s">
        <v>372</v>
      </c>
      <c r="J102" s="34" t="s">
        <v>389</v>
      </c>
      <c r="K102" s="34">
        <f>IF((Observaciones[[#This Row],[Fecha Levantamiento]]-Observaciones[[#This Row],[Fecha Detección]])&gt;=0,Observaciones[[#This Row],[Fecha Levantamiento]]-Observaciones[[#This Row],[Fecha Detección]]+1,0)</f>
        <v>0</v>
      </c>
      <c r="L102" s="34" t="str">
        <f>LOOKUP(Observaciones[[#This Row],[Caso de Prueba]],CasoPrueba[Código CP],CasoPrueba[Código de REQ])</f>
        <v>INSPECCIÓN</v>
      </c>
    </row>
    <row r="103" spans="1:12" ht="45">
      <c r="A103" s="34" t="s">
        <v>360</v>
      </c>
      <c r="B103" s="34" t="s">
        <v>190</v>
      </c>
      <c r="C103" s="34" t="str">
        <f>VLOOKUP(Observaciones[Caso de Prueba],CasoPrueba[[#All],[Código CP]:[Prioridad]],7,TRUE)</f>
        <v>Alta</v>
      </c>
      <c r="D103" s="34" t="s">
        <v>205</v>
      </c>
      <c r="E103" s="34" t="s">
        <v>47</v>
      </c>
      <c r="F103" s="78">
        <v>40795</v>
      </c>
      <c r="H103" s="99" t="s">
        <v>131</v>
      </c>
      <c r="I103" s="34" t="s">
        <v>373</v>
      </c>
      <c r="J103" s="34" t="s">
        <v>400</v>
      </c>
      <c r="K103" s="34">
        <f>IF((Observaciones[[#This Row],[Fecha Levantamiento]]-Observaciones[[#This Row],[Fecha Detección]])&gt;=0,Observaciones[[#This Row],[Fecha Levantamiento]]-Observaciones[[#This Row],[Fecha Detección]]+1,0)</f>
        <v>0</v>
      </c>
      <c r="L103" s="34" t="str">
        <f>LOOKUP(Observaciones[[#This Row],[Caso de Prueba]],CasoPrueba[Código CP],CasoPrueba[Código de REQ])</f>
        <v>INSPECCIÓN</v>
      </c>
    </row>
  </sheetData>
  <mergeCells count="1">
    <mergeCell ref="A1:K1"/>
  </mergeCells>
  <dataValidations count="1">
    <dataValidation type="list" allowBlank="1" showInputMessage="1" showErrorMessage="1" sqref="H3:H103">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D3:D12</xm:sqref>
        </x14:dataValidation>
        <x14:dataValidation type="list" allowBlank="1" showInputMessage="1" showErrorMessage="1">
          <x14:formula1>
            <xm:f>Resumen!$P$22:$P$24</xm:f>
          </x14:formula1>
          <xm:sqref>E3:E12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B3" sqref="B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1" t="s">
        <v>102</v>
      </c>
      <c r="B1" s="201"/>
      <c r="C1" s="201"/>
      <c r="D1" s="201"/>
      <c r="E1" s="201"/>
      <c r="F1" s="201"/>
      <c r="G1" s="201"/>
      <c r="H1" s="201"/>
      <c r="I1" s="201"/>
      <c r="J1" s="201"/>
      <c r="K1" s="36"/>
      <c r="L1" s="36"/>
      <c r="M1" t="s">
        <v>145</v>
      </c>
      <c r="XFD1" s="31"/>
    </row>
    <row r="2" spans="1:13 16384:16384" ht="39.75" customHeight="1">
      <c r="A2" s="162" t="s">
        <v>97</v>
      </c>
      <c r="B2" s="162" t="s">
        <v>90</v>
      </c>
      <c r="C2" s="162" t="s">
        <v>78</v>
      </c>
      <c r="D2" s="162" t="s">
        <v>91</v>
      </c>
      <c r="E2" s="162" t="s">
        <v>128</v>
      </c>
      <c r="F2" s="163" t="s">
        <v>98</v>
      </c>
      <c r="G2" s="163" t="s">
        <v>99</v>
      </c>
      <c r="H2" s="162" t="s">
        <v>100</v>
      </c>
      <c r="I2" s="162" t="s">
        <v>101</v>
      </c>
      <c r="J2" s="162" t="s">
        <v>95</v>
      </c>
      <c r="M2" s="31" t="s">
        <v>146</v>
      </c>
    </row>
    <row r="3" spans="1:13 16384:16384" ht="41.25" customHeight="1">
      <c r="A3" s="31" t="s">
        <v>125</v>
      </c>
      <c r="C3" s="34" t="e">
        <f>VLOOKUP(Consultas[[#This Row],[Caso de Prueba]],CasoPrueba[[#All],[Código CP]:[Prioridad]],7,TRUE)</f>
        <v>#N/A</v>
      </c>
      <c r="D3" s="31" t="s">
        <v>49</v>
      </c>
      <c r="J3" s="34">
        <f>IF((Consultas[[#This Row],[Fecha Respuesta]]-Consultas[[#This Row],[Fecha Solicitud]])&gt;=0,(Consultas[[#This Row],[Fecha Respuesta]]-Consultas[[#This Row],[Fecha Solicitud]])+1,0)</f>
        <v>1</v>
      </c>
      <c r="M3" s="31" t="s">
        <v>147</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G22" sqref="G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2" t="s">
        <v>110</v>
      </c>
      <c r="C2" s="202"/>
      <c r="D2" s="202"/>
      <c r="E2" s="202"/>
      <c r="F2" s="202"/>
      <c r="G2" s="202"/>
      <c r="H2" s="202"/>
      <c r="I2" s="202"/>
      <c r="J2" s="202"/>
      <c r="L2" s="202" t="s">
        <v>111</v>
      </c>
      <c r="M2" s="202"/>
      <c r="N2" s="202"/>
      <c r="O2" s="202"/>
    </row>
    <row r="3" spans="2:15" ht="26.25" thickBot="1">
      <c r="B3" s="164" t="s">
        <v>112</v>
      </c>
      <c r="C3" s="166" t="s">
        <v>104</v>
      </c>
      <c r="D3" s="166" t="s">
        <v>105</v>
      </c>
      <c r="E3" s="166" t="s">
        <v>21</v>
      </c>
      <c r="F3" s="166" t="s">
        <v>22</v>
      </c>
      <c r="G3" s="166" t="s">
        <v>23</v>
      </c>
      <c r="H3" s="167" t="s">
        <v>24</v>
      </c>
      <c r="I3" s="167" t="s">
        <v>106</v>
      </c>
      <c r="J3" s="167" t="s">
        <v>109</v>
      </c>
      <c r="L3" s="164" t="s">
        <v>112</v>
      </c>
      <c r="M3" s="165" t="s">
        <v>107</v>
      </c>
      <c r="N3" s="166" t="s">
        <v>108</v>
      </c>
      <c r="O3" s="167" t="s">
        <v>109</v>
      </c>
    </row>
    <row r="4" spans="2:15">
      <c r="B4" s="37">
        <v>40791</v>
      </c>
      <c r="C4" s="39">
        <v>0</v>
      </c>
      <c r="D4" s="39">
        <v>10</v>
      </c>
      <c r="E4" s="39">
        <v>0</v>
      </c>
      <c r="F4" s="39">
        <v>0</v>
      </c>
      <c r="G4" s="39">
        <v>0</v>
      </c>
      <c r="H4" s="39">
        <v>0</v>
      </c>
      <c r="I4" s="39">
        <v>0</v>
      </c>
      <c r="J4" s="41">
        <f>SUM(HistóricoEjecuciones[[#This Row],[Aciertos]:[En Proceso]])</f>
        <v>10</v>
      </c>
      <c r="L4" s="37">
        <v>40791</v>
      </c>
      <c r="M4" s="39">
        <v>0</v>
      </c>
      <c r="N4" s="39">
        <v>0</v>
      </c>
      <c r="O4" s="38">
        <f>SUM(HistoricoIncidencias[[#This Row],[Abiertas]:[Cerradas]])</f>
        <v>0</v>
      </c>
    </row>
    <row r="5" spans="2:15">
      <c r="B5" s="72">
        <v>40796</v>
      </c>
      <c r="C5" s="39">
        <v>0</v>
      </c>
      <c r="D5" s="39">
        <v>15</v>
      </c>
      <c r="E5" s="39">
        <v>0</v>
      </c>
      <c r="F5" s="39">
        <v>0</v>
      </c>
      <c r="G5" s="39">
        <v>0</v>
      </c>
      <c r="H5" s="39">
        <v>0</v>
      </c>
      <c r="I5" s="39">
        <v>0</v>
      </c>
      <c r="J5" s="42">
        <f>SUM(HistóricoEjecuciones[[#This Row],[Aciertos]:[En Proceso]])</f>
        <v>15</v>
      </c>
      <c r="L5" s="73">
        <v>40796</v>
      </c>
      <c r="M5" s="40">
        <v>0</v>
      </c>
      <c r="N5" s="40">
        <v>0</v>
      </c>
      <c r="O5" s="38">
        <f>SUM(HistoricoIncidencias[[#This Row],[Abiertas]:[Cerradas]])</f>
        <v>0</v>
      </c>
    </row>
    <row r="6" spans="2:15">
      <c r="B6" s="72"/>
      <c r="C6" s="39"/>
      <c r="D6" s="39"/>
      <c r="E6" s="39"/>
      <c r="F6" s="39"/>
      <c r="G6" s="39"/>
      <c r="H6" s="39"/>
      <c r="I6" s="39"/>
      <c r="J6" s="42">
        <f>SUM(HistóricoEjecuciones[[#This Row],[Aciertos]:[En Proceso]])</f>
        <v>0</v>
      </c>
      <c r="L6" s="72"/>
      <c r="M6" s="169"/>
      <c r="N6" s="169"/>
      <c r="O6" s="75">
        <f>SUM(HistoricoIncidencias[[#This Row],[Abiertas]:[Cerradas]])</f>
        <v>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2011-09-10T21:49:50Z</dcterms:modified>
</cp:coreProperties>
</file>