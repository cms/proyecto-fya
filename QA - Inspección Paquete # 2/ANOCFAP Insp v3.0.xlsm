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Q36" i="3" l="1"/>
  <c r="F37" i="3"/>
  <c r="F38" i="3"/>
  <c r="F39" i="3"/>
  <c r="L39" i="3"/>
  <c r="Q39" i="3"/>
  <c r="L38" i="3"/>
  <c r="Q38" i="3"/>
  <c r="L37" i="3"/>
  <c r="Q37" i="3"/>
  <c r="F30" i="3"/>
  <c r="L30" i="3"/>
  <c r="Q30" i="3"/>
  <c r="F31" i="3"/>
  <c r="L31" i="3"/>
  <c r="Q31" i="3"/>
  <c r="F32" i="3"/>
  <c r="L32" i="3"/>
  <c r="Q32" i="3"/>
  <c r="F33" i="3"/>
  <c r="L33" i="3"/>
  <c r="Q33" i="3"/>
  <c r="F34" i="3"/>
  <c r="L34" i="3"/>
  <c r="Q34" i="3"/>
  <c r="F35" i="3"/>
  <c r="L35" i="3"/>
  <c r="Q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<sst xmlns="http://schemas.openxmlformats.org/spreadsheetml/2006/main" count="2307" uniqueCount="927">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</sst>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0" fontId="41" fillId="0" borderId="0" xfId="0" applyFont="1" applyAlignment="1">
      <alignment vertical="center" wrapText="1"/>
    </xf>
    <xf numFmtId="0" fontId="41" fillId="0" borderId="0" xfId="0" applyNumberFormat="1" applyFont="1" applyAlignment="1" applyProtection="1">
      <alignment vertical="center" wrapText="1"/>
    </xf>
    <xf numFmtId="0" fontId="41" fillId="0" borderId="0" xfId="0" applyNumberFormat="1" applyFont="1" applyAlignment="1">
      <alignment vertical="center" wrapText="1"/>
    </xf>
    <xf numFmtId="14" fontId="41"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41"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1" fillId="0" borderId="0" xfId="0" applyFont="1" applyBorder="1" applyAlignment="1">
      <alignment vertical="center" wrapText="1"/>
    </xf>
    <xf numFmtId="0" fontId="0" fillId="0" borderId="0" xfId="0" applyBorder="1" applyAlignment="1">
      <alignment vertical="center" wrapText="1"/>
    </xf>
    <xf numFmtId="0" fontId="41" fillId="0" borderId="0" xfId="0" applyNumberFormat="1" applyFont="1" applyBorder="1" applyAlignment="1" applyProtection="1">
      <alignment vertical="center" wrapText="1"/>
    </xf>
    <xf numFmtId="0" fontId="41" fillId="0" borderId="0" xfId="0" applyNumberFormat="1" applyFont="1" applyBorder="1" applyAlignment="1">
      <alignment vertical="center" wrapText="1"/>
    </xf>
    <xf numFmtId="14" fontId="41"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73"/>
          <c:y val="0.20151813899974841"/>
          <c:w val="0.5014249413513469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0.42857142857142855</c:v>
                </c:pt>
                <c:pt idx="1">
                  <c:v>0.5714285714285714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HistoricoAvance!$C$4:$C$9</c:f>
              <c:numCache>
                <c:formatCode>0</c:formatCode>
                <c:ptCount val="6"/>
                <c:pt idx="0">
                  <c:v>0</c:v>
                </c:pt>
                <c:pt idx="1">
                  <c:v>0</c:v>
                </c:pt>
                <c:pt idx="2">
                  <c:v>5</c:v>
                </c:pt>
                <c:pt idx="3">
                  <c:v>14</c:v>
                </c:pt>
                <c:pt idx="4">
                  <c:v>15</c:v>
                </c:pt>
                <c:pt idx="5">
                  <c:v>15</c:v>
                </c:pt>
              </c:numCache>
            </c:numRef>
          </c:val>
          <c:smooth val="0"/>
        </c:ser>
        <c:ser>
          <c:idx val="1"/>
          <c:order val="1"/>
          <c:tx>
            <c:strRef>
              <c:f>HistoricoAvance!$D$3</c:f>
              <c:strCache>
                <c:ptCount val="1"/>
                <c:pt idx="0">
                  <c:v>Fallos</c:v>
                </c:pt>
              </c:strCache>
            </c:strRef>
          </c:tx>
          <c:spPr>
            <a:ln w="50800"/>
          </c:spPr>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HistoricoAvance!$D$4:$D$9</c:f>
              <c:numCache>
                <c:formatCode>0</c:formatCode>
                <c:ptCount val="6"/>
                <c:pt idx="0">
                  <c:v>10</c:v>
                </c:pt>
                <c:pt idx="1">
                  <c:v>15</c:v>
                </c:pt>
                <c:pt idx="2">
                  <c:v>10</c:v>
                </c:pt>
                <c:pt idx="3">
                  <c:v>1</c:v>
                </c:pt>
                <c:pt idx="4">
                  <c:v>10</c:v>
                </c:pt>
                <c:pt idx="5">
                  <c:v>10</c:v>
                </c:pt>
              </c:numCache>
            </c:numRef>
          </c:val>
          <c:smooth val="0"/>
        </c:ser>
        <c:ser>
          <c:idx val="2"/>
          <c:order val="2"/>
          <c:tx>
            <c:strRef>
              <c:f>HistoricoAvance!$E$3</c:f>
              <c:strCache>
                <c:ptCount val="1"/>
                <c:pt idx="0">
                  <c:v>Bloqueado</c:v>
                </c:pt>
              </c:strCache>
            </c:strRef>
          </c:tx>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HistoricoAvance!$E$4:$E$9</c:f>
              <c:numCache>
                <c:formatCode>0</c:formatCode>
                <c:ptCount val="6"/>
                <c:pt idx="0">
                  <c:v>0</c:v>
                </c:pt>
                <c:pt idx="1">
                  <c:v>0</c:v>
                </c:pt>
                <c:pt idx="2">
                  <c:v>0</c:v>
                </c:pt>
                <c:pt idx="3">
                  <c:v>0</c:v>
                </c:pt>
                <c:pt idx="4">
                  <c:v>0</c:v>
                </c:pt>
                <c:pt idx="5">
                  <c:v>0</c:v>
                </c:pt>
              </c:numCache>
            </c:numRef>
          </c:val>
          <c:smooth val="0"/>
        </c:ser>
        <c:ser>
          <c:idx val="3"/>
          <c:order val="3"/>
          <c:tx>
            <c:strRef>
              <c:f>HistoricoAvance!$F$3</c:f>
              <c:strCache>
                <c:ptCount val="1"/>
                <c:pt idx="0">
                  <c:v>Pendiente</c:v>
                </c:pt>
              </c:strCache>
            </c:strRef>
          </c:tx>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HistoricoAvance!$F$4:$F$9</c:f>
              <c:numCache>
                <c:formatCode>0</c:formatCode>
                <c:ptCount val="6"/>
                <c:pt idx="0">
                  <c:v>0</c:v>
                </c:pt>
                <c:pt idx="1">
                  <c:v>0</c:v>
                </c:pt>
                <c:pt idx="2">
                  <c:v>0</c:v>
                </c:pt>
                <c:pt idx="3">
                  <c:v>0</c:v>
                </c:pt>
                <c:pt idx="4">
                  <c:v>0</c:v>
                </c:pt>
                <c:pt idx="5">
                  <c:v>0</c:v>
                </c:pt>
              </c:numCache>
            </c:numRef>
          </c:val>
          <c:smooth val="0"/>
        </c:ser>
        <c:ser>
          <c:idx val="4"/>
          <c:order val="4"/>
          <c:tx>
            <c:strRef>
              <c:f>HistoricoAvance!$G$3</c:f>
              <c:strCache>
                <c:ptCount val="1"/>
                <c:pt idx="0">
                  <c:v>No Aplica</c:v>
                </c:pt>
              </c:strCache>
            </c:strRef>
          </c:tx>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HistoricoAvance!$G$4:$G$9</c:f>
              <c:numCache>
                <c:formatCode>0</c:formatCode>
                <c:ptCount val="6"/>
                <c:pt idx="0">
                  <c:v>0</c:v>
                </c:pt>
                <c:pt idx="1">
                  <c:v>0</c:v>
                </c:pt>
                <c:pt idx="2">
                  <c:v>0</c:v>
                </c:pt>
                <c:pt idx="3">
                  <c:v>0</c:v>
                </c:pt>
                <c:pt idx="4">
                  <c:v>0</c:v>
                </c:pt>
                <c:pt idx="5">
                  <c:v>0</c:v>
                </c:pt>
              </c:numCache>
            </c:numRef>
          </c:val>
          <c:smooth val="0"/>
        </c:ser>
        <c:ser>
          <c:idx val="5"/>
          <c:order val="5"/>
          <c:tx>
            <c:strRef>
              <c:f>HistoricoAvance!$H$3</c:f>
              <c:strCache>
                <c:ptCount val="1"/>
                <c:pt idx="0">
                  <c:v>En Proceso</c:v>
                </c:pt>
              </c:strCache>
            </c:strRef>
          </c:tx>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HistoricoAvance!$H$4:$H$9</c:f>
              <c:numCache>
                <c:formatCode>0</c:formatCode>
                <c:ptCount val="6"/>
                <c:pt idx="0">
                  <c:v>0</c:v>
                </c:pt>
                <c:pt idx="1">
                  <c:v>0</c:v>
                </c:pt>
                <c:pt idx="2">
                  <c:v>0</c:v>
                </c:pt>
                <c:pt idx="3">
                  <c:v>0</c:v>
                </c:pt>
                <c:pt idx="4">
                  <c:v>0</c:v>
                </c:pt>
                <c:pt idx="5">
                  <c:v>0</c:v>
                </c:pt>
              </c:numCache>
            </c:numRef>
          </c:val>
          <c:smooth val="0"/>
        </c:ser>
        <c:ser>
          <c:idx val="6"/>
          <c:order val="6"/>
          <c:tx>
            <c:strRef>
              <c:f>HistoricoAvance!$I$3</c:f>
              <c:strCache>
                <c:ptCount val="1"/>
                <c:pt idx="0">
                  <c:v>Reejecuciones</c:v>
                </c:pt>
              </c:strCache>
            </c:strRef>
          </c:tx>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HistoricoAvance!$I$4:$I$9</c:f>
              <c:numCache>
                <c:formatCode>0</c:formatCode>
                <c:ptCount val="6"/>
                <c:pt idx="0">
                  <c:v>0</c:v>
                </c:pt>
                <c:pt idx="1">
                  <c:v>0</c:v>
                </c:pt>
                <c:pt idx="2">
                  <c:v>0</c:v>
                </c:pt>
                <c:pt idx="3">
                  <c:v>0</c:v>
                </c:pt>
                <c:pt idx="4">
                  <c:v>0</c:v>
                </c:pt>
                <c:pt idx="5">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HistoricoAvance!$B$4:$B$9</c:f>
              <c:numCache>
                <c:formatCode>dd/mm/yyyy</c:formatCode>
                <c:ptCount val="6"/>
                <c:pt idx="0">
                  <c:v>40791</c:v>
                </c:pt>
                <c:pt idx="1">
                  <c:v>40796</c:v>
                </c:pt>
                <c:pt idx="2">
                  <c:v>40800</c:v>
                </c:pt>
                <c:pt idx="3">
                  <c:v>40802</c:v>
                </c:pt>
                <c:pt idx="4">
                  <c:v>40830</c:v>
                </c:pt>
                <c:pt idx="5">
                  <c:v>40835</c:v>
                </c:pt>
              </c:numCache>
            </c:numRef>
          </c:cat>
          <c:val>
            <c:numRef>
              <c:f>HistoricoAvance!$J$4:$J$9</c:f>
              <c:numCache>
                <c:formatCode>General</c:formatCode>
                <c:ptCount val="6"/>
                <c:pt idx="0">
                  <c:v>10</c:v>
                </c:pt>
                <c:pt idx="1">
                  <c:v>15</c:v>
                </c:pt>
                <c:pt idx="2">
                  <c:v>15</c:v>
                </c:pt>
                <c:pt idx="3">
                  <c:v>15</c:v>
                </c:pt>
                <c:pt idx="4">
                  <c:v>25</c:v>
                </c:pt>
                <c:pt idx="5">
                  <c:v>25</c:v>
                </c:pt>
              </c:numCache>
            </c:numRef>
          </c:val>
          <c:smooth val="0"/>
        </c:ser>
        <c:dLbls>
          <c:showLegendKey val="0"/>
          <c:showVal val="0"/>
          <c:showCatName val="0"/>
          <c:showSerName val="0"/>
          <c:showPercent val="0"/>
          <c:showBubbleSize val="0"/>
        </c:dLbls>
        <c:marker val="1"/>
        <c:smooth val="0"/>
        <c:axId val="147987840"/>
        <c:axId val="147989632"/>
      </c:lineChart>
      <c:dateAx>
        <c:axId val="147987840"/>
        <c:scaling>
          <c:orientation val="minMax"/>
        </c:scaling>
        <c:delete val="0"/>
        <c:axPos val="b"/>
        <c:numFmt formatCode="dd/mm/yyyy" sourceLinked="1"/>
        <c:majorTickMark val="out"/>
        <c:minorTickMark val="none"/>
        <c:tickLblPos val="nextTo"/>
        <c:txPr>
          <a:bodyPr/>
          <a:lstStyle/>
          <a:p>
            <a:pPr>
              <a:defRPr lang="es-ES"/>
            </a:pPr>
            <a:endParaRPr lang="es-PE"/>
          </a:p>
        </c:txPr>
        <c:crossAx val="147989632"/>
        <c:crosses val="autoZero"/>
        <c:auto val="1"/>
        <c:lblOffset val="100"/>
        <c:baseTimeUnit val="days"/>
      </c:dateAx>
      <c:valAx>
        <c:axId val="14798963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798784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HistoricoAvance!$L$4:$L$9</c:f>
              <c:numCache>
                <c:formatCode>dd/mm/yyyy</c:formatCode>
                <c:ptCount val="6"/>
                <c:pt idx="0">
                  <c:v>40791</c:v>
                </c:pt>
                <c:pt idx="1">
                  <c:v>40796</c:v>
                </c:pt>
                <c:pt idx="2">
                  <c:v>40800</c:v>
                </c:pt>
                <c:pt idx="3">
                  <c:v>40802</c:v>
                </c:pt>
                <c:pt idx="4">
                  <c:v>40830</c:v>
                </c:pt>
                <c:pt idx="5">
                  <c:v>40835</c:v>
                </c:pt>
              </c:numCache>
            </c:numRef>
          </c:cat>
          <c:val>
            <c:numRef>
              <c:f>HistoricoAvance!$M$4:$M$9</c:f>
              <c:numCache>
                <c:formatCode>0</c:formatCode>
                <c:ptCount val="6"/>
                <c:pt idx="0">
                  <c:v>55</c:v>
                </c:pt>
                <c:pt idx="1">
                  <c:v>101</c:v>
                </c:pt>
                <c:pt idx="2">
                  <c:v>19</c:v>
                </c:pt>
                <c:pt idx="3">
                  <c:v>3</c:v>
                </c:pt>
                <c:pt idx="4">
                  <c:v>92</c:v>
                </c:pt>
                <c:pt idx="5">
                  <c:v>21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HistoricoAvance!$L$4:$L$9</c:f>
              <c:numCache>
                <c:formatCode>dd/mm/yyyy</c:formatCode>
                <c:ptCount val="6"/>
                <c:pt idx="0">
                  <c:v>40791</c:v>
                </c:pt>
                <c:pt idx="1">
                  <c:v>40796</c:v>
                </c:pt>
                <c:pt idx="2">
                  <c:v>40800</c:v>
                </c:pt>
                <c:pt idx="3">
                  <c:v>40802</c:v>
                </c:pt>
                <c:pt idx="4">
                  <c:v>40830</c:v>
                </c:pt>
                <c:pt idx="5">
                  <c:v>40835</c:v>
                </c:pt>
              </c:numCache>
            </c:numRef>
          </c:cat>
          <c:val>
            <c:numRef>
              <c:f>HistoricoAvance!$N$4:$N$9</c:f>
              <c:numCache>
                <c:formatCode>0</c:formatCode>
                <c:ptCount val="6"/>
                <c:pt idx="0">
                  <c:v>0</c:v>
                </c:pt>
                <c:pt idx="1">
                  <c:v>0</c:v>
                </c:pt>
                <c:pt idx="2">
                  <c:v>101</c:v>
                </c:pt>
                <c:pt idx="3">
                  <c:v>120</c:v>
                </c:pt>
                <c:pt idx="4">
                  <c:v>123</c:v>
                </c:pt>
                <c:pt idx="5">
                  <c:v>215</c:v>
                </c:pt>
              </c:numCache>
            </c:numRef>
          </c:val>
          <c:smooth val="0"/>
        </c:ser>
        <c:ser>
          <c:idx val="2"/>
          <c:order val="2"/>
          <c:tx>
            <c:strRef>
              <c:f>HistoricoAvance!$O$3</c:f>
              <c:strCache>
                <c:ptCount val="1"/>
                <c:pt idx="0">
                  <c:v>Totales</c:v>
                </c:pt>
              </c:strCache>
            </c:strRef>
          </c:tx>
          <c:cat>
            <c:numRef>
              <c:f>HistoricoAvance!$L$4:$L$9</c:f>
              <c:numCache>
                <c:formatCode>dd/mm/yyyy</c:formatCode>
                <c:ptCount val="6"/>
                <c:pt idx="0">
                  <c:v>40791</c:v>
                </c:pt>
                <c:pt idx="1">
                  <c:v>40796</c:v>
                </c:pt>
                <c:pt idx="2">
                  <c:v>40800</c:v>
                </c:pt>
                <c:pt idx="3">
                  <c:v>40802</c:v>
                </c:pt>
                <c:pt idx="4">
                  <c:v>40830</c:v>
                </c:pt>
                <c:pt idx="5">
                  <c:v>40835</c:v>
                </c:pt>
              </c:numCache>
            </c:numRef>
          </c:cat>
          <c:val>
            <c:numRef>
              <c:f>HistoricoAvance!$O$4:$O$9</c:f>
              <c:numCache>
                <c:formatCode>General</c:formatCode>
                <c:ptCount val="6"/>
                <c:pt idx="0">
                  <c:v>55</c:v>
                </c:pt>
                <c:pt idx="1">
                  <c:v>101</c:v>
                </c:pt>
                <c:pt idx="2">
                  <c:v>120</c:v>
                </c:pt>
                <c:pt idx="3">
                  <c:v>123</c:v>
                </c:pt>
                <c:pt idx="4">
                  <c:v>215</c:v>
                </c:pt>
                <c:pt idx="5">
                  <c:v>236</c:v>
                </c:pt>
              </c:numCache>
            </c:numRef>
          </c:val>
          <c:smooth val="0"/>
        </c:ser>
        <c:dLbls>
          <c:showLegendKey val="0"/>
          <c:showVal val="0"/>
          <c:showCatName val="0"/>
          <c:showSerName val="0"/>
          <c:showPercent val="0"/>
          <c:showBubbleSize val="0"/>
        </c:dLbls>
        <c:marker val="1"/>
        <c:smooth val="0"/>
        <c:axId val="148023552"/>
        <c:axId val="148033536"/>
      </c:lineChart>
      <c:dateAx>
        <c:axId val="148023552"/>
        <c:scaling>
          <c:orientation val="minMax"/>
        </c:scaling>
        <c:delete val="0"/>
        <c:axPos val="b"/>
        <c:numFmt formatCode="dd/mm/yyyy" sourceLinked="1"/>
        <c:majorTickMark val="out"/>
        <c:minorTickMark val="none"/>
        <c:tickLblPos val="nextTo"/>
        <c:txPr>
          <a:bodyPr/>
          <a:lstStyle/>
          <a:p>
            <a:pPr>
              <a:defRPr lang="es-ES"/>
            </a:pPr>
            <a:endParaRPr lang="es-PE"/>
          </a:p>
        </c:txPr>
        <c:crossAx val="148033536"/>
        <c:crosses val="autoZero"/>
        <c:auto val="1"/>
        <c:lblOffset val="100"/>
        <c:baseTimeUnit val="days"/>
      </c:dateAx>
      <c:valAx>
        <c:axId val="14803353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802355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51589632"/>
        <c:axId val="151591168"/>
      </c:barChart>
      <c:catAx>
        <c:axId val="151589632"/>
        <c:scaling>
          <c:orientation val="minMax"/>
        </c:scaling>
        <c:delete val="0"/>
        <c:axPos val="b"/>
        <c:majorTickMark val="out"/>
        <c:minorTickMark val="none"/>
        <c:tickLblPos val="nextTo"/>
        <c:txPr>
          <a:bodyPr/>
          <a:lstStyle/>
          <a:p>
            <a:pPr>
              <a:defRPr lang="es-ES"/>
            </a:pPr>
            <a:endParaRPr lang="es-PE"/>
          </a:p>
        </c:txPr>
        <c:crossAx val="151591168"/>
        <c:crosses val="autoZero"/>
        <c:auto val="1"/>
        <c:lblAlgn val="ctr"/>
        <c:lblOffset val="100"/>
        <c:noMultiLvlLbl val="0"/>
      </c:catAx>
      <c:valAx>
        <c:axId val="15159116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1589632"/>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51632512"/>
        <c:axId val="151634304"/>
      </c:barChart>
      <c:catAx>
        <c:axId val="151632512"/>
        <c:scaling>
          <c:orientation val="minMax"/>
        </c:scaling>
        <c:delete val="0"/>
        <c:axPos val="b"/>
        <c:majorTickMark val="out"/>
        <c:minorTickMark val="none"/>
        <c:tickLblPos val="nextTo"/>
        <c:txPr>
          <a:bodyPr/>
          <a:lstStyle/>
          <a:p>
            <a:pPr>
              <a:defRPr lang="es-ES"/>
            </a:pPr>
            <a:endParaRPr lang="es-PE"/>
          </a:p>
        </c:txPr>
        <c:crossAx val="151634304"/>
        <c:crosses val="autoZero"/>
        <c:auto val="1"/>
        <c:lblAlgn val="ctr"/>
        <c:lblOffset val="100"/>
        <c:noMultiLvlLbl val="0"/>
      </c:catAx>
      <c:valAx>
        <c:axId val="1516343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1632512"/>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51794048"/>
        <c:axId val="151795584"/>
      </c:barChart>
      <c:catAx>
        <c:axId val="151794048"/>
        <c:scaling>
          <c:orientation val="minMax"/>
        </c:scaling>
        <c:delete val="0"/>
        <c:axPos val="b"/>
        <c:majorTickMark val="out"/>
        <c:minorTickMark val="none"/>
        <c:tickLblPos val="nextTo"/>
        <c:txPr>
          <a:bodyPr/>
          <a:lstStyle/>
          <a:p>
            <a:pPr>
              <a:defRPr lang="es-ES"/>
            </a:pPr>
            <a:endParaRPr lang="es-PE"/>
          </a:p>
        </c:txPr>
        <c:crossAx val="151795584"/>
        <c:crosses val="autoZero"/>
        <c:auto val="1"/>
        <c:lblAlgn val="ctr"/>
        <c:lblOffset val="100"/>
        <c:noMultiLvlLbl val="0"/>
      </c:catAx>
      <c:valAx>
        <c:axId val="1517955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179404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51828352"/>
        <c:axId val="151829888"/>
      </c:barChart>
      <c:catAx>
        <c:axId val="151828352"/>
        <c:scaling>
          <c:orientation val="minMax"/>
        </c:scaling>
        <c:delete val="0"/>
        <c:axPos val="b"/>
        <c:majorTickMark val="out"/>
        <c:minorTickMark val="none"/>
        <c:tickLblPos val="nextTo"/>
        <c:txPr>
          <a:bodyPr/>
          <a:lstStyle/>
          <a:p>
            <a:pPr>
              <a:defRPr lang="es-ES"/>
            </a:pPr>
            <a:endParaRPr lang="es-PE"/>
          </a:p>
        </c:txPr>
        <c:crossAx val="151829888"/>
        <c:crosses val="autoZero"/>
        <c:auto val="1"/>
        <c:lblAlgn val="ctr"/>
        <c:lblOffset val="100"/>
        <c:noMultiLvlLbl val="0"/>
      </c:catAx>
      <c:valAx>
        <c:axId val="1518298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1828352"/>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52006656"/>
        <c:axId val="152008192"/>
      </c:barChart>
      <c:catAx>
        <c:axId val="152006656"/>
        <c:scaling>
          <c:orientation val="minMax"/>
        </c:scaling>
        <c:delete val="0"/>
        <c:axPos val="b"/>
        <c:majorTickMark val="out"/>
        <c:minorTickMark val="none"/>
        <c:tickLblPos val="nextTo"/>
        <c:txPr>
          <a:bodyPr/>
          <a:lstStyle/>
          <a:p>
            <a:pPr>
              <a:defRPr lang="es-ES"/>
            </a:pPr>
            <a:endParaRPr lang="es-PE"/>
          </a:p>
        </c:txPr>
        <c:crossAx val="152008192"/>
        <c:crosses val="autoZero"/>
        <c:auto val="1"/>
        <c:lblAlgn val="ctr"/>
        <c:lblOffset val="100"/>
        <c:noMultiLvlLbl val="0"/>
      </c:catAx>
      <c:valAx>
        <c:axId val="1520081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2006656"/>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v3.0.xlsm]CuadrosResumen!Tabla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2025344"/>
        <c:axId val="152039424"/>
      </c:barChart>
      <c:catAx>
        <c:axId val="152025344"/>
        <c:scaling>
          <c:orientation val="minMax"/>
        </c:scaling>
        <c:delete val="0"/>
        <c:axPos val="b"/>
        <c:majorTickMark val="out"/>
        <c:minorTickMark val="none"/>
        <c:tickLblPos val="nextTo"/>
        <c:txPr>
          <a:bodyPr/>
          <a:lstStyle/>
          <a:p>
            <a:pPr>
              <a:defRPr lang="es-ES"/>
            </a:pPr>
            <a:endParaRPr lang="es-PE"/>
          </a:p>
        </c:txPr>
        <c:crossAx val="152039424"/>
        <c:crosses val="autoZero"/>
        <c:auto val="1"/>
        <c:lblAlgn val="ctr"/>
        <c:lblOffset val="100"/>
        <c:noMultiLvlLbl val="0"/>
      </c:catAx>
      <c:valAx>
        <c:axId val="1520394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2025344"/>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68" dataDxfId="66" headerRowBorderDxfId="67" tableBorderDxfId="65">
  <autoFilter ref="A4:Q3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1">
      <filters>
        <filter val="CP016"/>
        <filter val="CP017"/>
        <filter val="CP018"/>
        <filter val="CP021"/>
        <filter val="CP022"/>
        <filter val="CP023"/>
      </filters>
    </filterColumn>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9"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9"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0.42857142857142855</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20</v>
      </c>
      <c r="D13" s="74"/>
      <c r="E13" s="5">
        <f>COUNTIF(CasoPrueba[[#All],[Estado Testing]],$P$28)</f>
        <v>15</v>
      </c>
      <c r="F13" s="5">
        <f>COUNTIF(CasoPrueba[[#All],[Estado Testing]],$P$29)</f>
        <v>20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0.42857142857142855</v>
      </c>
      <c r="F14" s="15">
        <f t="shared" si="0"/>
        <v>0.5714285714285714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15</v>
      </c>
      <c r="D18" s="45">
        <f>C18/$C$10</f>
        <v>0.42857142857142855</v>
      </c>
      <c r="E18" s="46">
        <f>COUNTIFS(CasoPrueba[[#All],[Estado Testing]],$P$29,CasoPrueba[[#All],[Prioridad]],$P$17)</f>
        <v>20</v>
      </c>
      <c r="F18" s="47">
        <f>E18/$C$10</f>
        <v>0.5714285714285714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20</v>
      </c>
      <c r="N18" s="53">
        <f>M18/$C$10</f>
        <v>0.5714285714285714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15</v>
      </c>
      <c r="D21" s="63">
        <f t="shared" ref="D21:N21" si="2">SUM(D18:D20)</f>
        <v>0.42857142857142855</v>
      </c>
      <c r="E21" s="62">
        <f t="shared" si="2"/>
        <v>20</v>
      </c>
      <c r="F21" s="63">
        <f t="shared" si="2"/>
        <v>0.5714285714285714</v>
      </c>
      <c r="G21" s="62">
        <f t="shared" si="2"/>
        <v>0</v>
      </c>
      <c r="H21" s="63">
        <f t="shared" si="2"/>
        <v>0</v>
      </c>
      <c r="I21" s="62">
        <f t="shared" si="2"/>
        <v>0</v>
      </c>
      <c r="J21" s="63">
        <f t="shared" si="2"/>
        <v>0</v>
      </c>
      <c r="K21" s="62">
        <f>SUM(K18:K20)</f>
        <v>0</v>
      </c>
      <c r="L21" s="63">
        <f>SUM(L18:L20)</f>
        <v>0</v>
      </c>
      <c r="M21" s="62">
        <f t="shared" si="2"/>
        <v>20</v>
      </c>
      <c r="N21" s="63">
        <f t="shared" si="2"/>
        <v>0.5714285714285714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14</v>
      </c>
      <c r="D30" s="124">
        <f>C30/$C$10</f>
        <v>0.4</v>
      </c>
      <c r="E30" s="125">
        <f>COUNTIFS(Observaciones[[#All],[Estado]],Resumen!$P$24,Observaciones[[#All],[Severidad]],Resumen!$P$11)</f>
        <v>22</v>
      </c>
      <c r="F30" s="124">
        <f>E30/$C$10</f>
        <v>0.62857142857142856</v>
      </c>
      <c r="G30" s="119"/>
      <c r="H30" s="122" t="s">
        <v>33</v>
      </c>
      <c r="I30" s="126">
        <f>COUNTIFS(Observaciones[[#All],[Severidad]],Resumen!$P$11,Observaciones[[#All],[Prioridad]],Resumen!$P$17)</f>
        <v>36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0.2</v>
      </c>
      <c r="E31" s="125">
        <f>COUNTIFS(Observaciones[[#All],[Estado]],Resumen!$P$24,Observaciones[[#All],[Severidad]],Resumen!$P$12)</f>
        <v>83</v>
      </c>
      <c r="F31" s="124">
        <f>E31/$C$10</f>
        <v>2.3714285714285714</v>
      </c>
      <c r="G31" s="119"/>
      <c r="H31" s="122" t="s">
        <v>35</v>
      </c>
      <c r="I31" s="126">
        <f>COUNTIFS(Observaciones[[#All],[Severidad]],Resumen!$P$12,Observaciones[[#All],[Prioridad]],Resumen!$P$17)</f>
        <v>90</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0</v>
      </c>
      <c r="D32" s="124">
        <f>C32/$C$10</f>
        <v>0</v>
      </c>
      <c r="E32" s="125">
        <f>COUNTIFS(Observaciones[[#All],[Estado]],Resumen!$P$24,Observaciones[[#All],[Severidad]],Resumen!$P$13)</f>
        <v>60</v>
      </c>
      <c r="F32" s="124">
        <f>E32/$C$10</f>
        <v>1.7142857142857142</v>
      </c>
      <c r="G32" s="119"/>
      <c r="H32" s="122" t="s">
        <v>37</v>
      </c>
      <c r="I32" s="126">
        <f>COUNTIFS(Observaciones[[#All],[Severidad]],Resumen!$P$13,Observaciones[[#All],[Prioridad]],Resumen!$P$17)</f>
        <v>60</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50</v>
      </c>
      <c r="F33" s="124">
        <f>E33/$C$10</f>
        <v>1.4285714285714286</v>
      </c>
      <c r="G33" s="119"/>
      <c r="H33" s="122" t="s">
        <v>39</v>
      </c>
      <c r="I33" s="126">
        <f>COUNTIFS(Observaciones[[#All],[Severidad]],Resumen!$P$14,Observaciones[[#All],[Prioridad]],Resumen!$P$17)</f>
        <v>50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21</v>
      </c>
      <c r="D34" s="129">
        <f>SUM(D30:D33)</f>
        <v>0.60000000000000009</v>
      </c>
      <c r="E34" s="128">
        <f>SUM(E30:E33)</f>
        <v>215</v>
      </c>
      <c r="F34" s="129">
        <f>SUM(F30:F33)</f>
        <v>6.1428571428571432</v>
      </c>
      <c r="G34" s="119"/>
      <c r="H34" s="122" t="s">
        <v>72</v>
      </c>
      <c r="I34" s="130">
        <f>SUM(I30:I33)</f>
        <v>236</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94"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6.6284916201117321</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26" zoomScaleNormal="100" workbookViewId="0">
      <selection activeCell="C27" sqref="C27"/>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22.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c r="Q30" s="90" t="str">
        <f>CONCATENATE(General!$B$7," ",General!$B$6)</f>
        <v>Nicolay García José Ramos Ramírez</v>
      </c>
    </row>
    <row r="31" spans="1:17" ht="30">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c r="Q31" s="90" t="str">
        <f>CONCATENATE(General!$B$7," ",General!$B$6)</f>
        <v>Nicolay García José Ramos Ramírez</v>
      </c>
    </row>
    <row r="32" spans="1:17" ht="30">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c r="Q32" s="90" t="str">
        <f>CONCATENATE(General!$B$7," ",General!$B$6)</f>
        <v>Nicolay García José Ramos Ramírez</v>
      </c>
    </row>
    <row r="33" spans="1:17" ht="22.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c r="Q33" s="90" t="str">
        <f>CONCATENATE(General!$B$7," ",General!$B$6)</f>
        <v>Nicolay García José Ramos Ramírez</v>
      </c>
    </row>
    <row r="34" spans="1:17" ht="30">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c r="Q34" s="90" t="str">
        <f>CONCATENATE(General!$B$7," ",General!$B$6)</f>
        <v>Nicolay García José Ramos Ramírez</v>
      </c>
    </row>
    <row r="35" spans="1:17" ht="22.5">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c r="Q35" s="90" t="str">
        <f>CONCATENATE(General!$B$7," ",General!$B$6)</f>
        <v>Nicolay García José Ramos Ramírez</v>
      </c>
    </row>
    <row r="36" spans="1:17" ht="30">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c r="Q36" s="90" t="str">
        <f>CONCATENATE(General!$B$7," ",General!$B$6)</f>
        <v>Nicolay García José Ramos Ramírez</v>
      </c>
    </row>
    <row r="37" spans="1:17" ht="22.5">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NO OK</v>
      </c>
      <c r="G37" s="92" t="s">
        <v>20</v>
      </c>
      <c r="H37" s="90" t="s">
        <v>28</v>
      </c>
      <c r="I37" s="92" t="s">
        <v>28</v>
      </c>
      <c r="J37" s="90" t="s">
        <v>47</v>
      </c>
      <c r="K37" s="168"/>
      <c r="L37" s="172">
        <f>General!$A$10</f>
        <v>0</v>
      </c>
      <c r="M37" s="172"/>
      <c r="N37" s="168"/>
      <c r="O37" s="168"/>
      <c r="P37" s="171"/>
      <c r="Q37" s="168" t="str">
        <f>CONCATENATE(General!$B$7," ",General!$B$6)</f>
        <v>Nicolay García José Ramos Ramírez</v>
      </c>
    </row>
    <row r="38" spans="1:17" ht="30">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c r="Q38" s="168" t="str">
        <f>CONCATENATE(General!$B$7," ",General!$B$6)</f>
        <v>Nicolay García José Ramos Ramírez</v>
      </c>
    </row>
    <row r="39" spans="1:17" ht="22.5">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361"/>
  <sheetViews>
    <sheetView tabSelected="1" zoomScale="85" zoomScaleNormal="85" workbookViewId="0">
      <selection activeCell="I219" sqref="I219"/>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49</v>
      </c>
      <c r="F126" s="73">
        <v>40805</v>
      </c>
      <c r="G126" s="73">
        <v>40831</v>
      </c>
      <c r="H126" s="94" t="s">
        <v>132</v>
      </c>
      <c r="I126" s="34" t="s">
        <v>635</v>
      </c>
      <c r="J126" s="34" t="s">
        <v>827</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49</v>
      </c>
      <c r="F127" s="73">
        <v>40805</v>
      </c>
      <c r="G127" s="73">
        <v>40831</v>
      </c>
      <c r="H127" s="94" t="s">
        <v>132</v>
      </c>
      <c r="I127" s="34" t="s">
        <v>610</v>
      </c>
      <c r="J127" s="34" t="s">
        <v>828</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49</v>
      </c>
      <c r="F128" s="73">
        <v>40805</v>
      </c>
      <c r="G128" s="73">
        <v>40831</v>
      </c>
      <c r="H128" s="94" t="s">
        <v>132</v>
      </c>
      <c r="I128" s="34" t="s">
        <v>594</v>
      </c>
      <c r="J128" s="34" t="s">
        <v>829</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49</v>
      </c>
      <c r="F129" s="73">
        <v>40805</v>
      </c>
      <c r="G129" s="73">
        <v>40831</v>
      </c>
      <c r="H129" s="94" t="s">
        <v>132</v>
      </c>
      <c r="I129" s="34" t="s">
        <v>595</v>
      </c>
      <c r="J129" s="34" t="s">
        <v>830</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49</v>
      </c>
      <c r="F130" s="73">
        <v>40805</v>
      </c>
      <c r="G130" s="73">
        <v>40831</v>
      </c>
      <c r="H130" s="94" t="s">
        <v>132</v>
      </c>
      <c r="I130" s="34" t="s">
        <v>596</v>
      </c>
      <c r="J130" s="34" t="s">
        <v>831</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49</v>
      </c>
      <c r="F131" s="73">
        <v>40805</v>
      </c>
      <c r="G131" s="73">
        <v>40831</v>
      </c>
      <c r="H131" s="94" t="s">
        <v>132</v>
      </c>
      <c r="I131" s="34" t="s">
        <v>597</v>
      </c>
      <c r="J131" s="34" t="s">
        <v>832</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49</v>
      </c>
      <c r="F132" s="73">
        <v>40805</v>
      </c>
      <c r="G132" s="73">
        <v>40831</v>
      </c>
      <c r="H132" s="94" t="s">
        <v>132</v>
      </c>
      <c r="I132" s="34" t="s">
        <v>637</v>
      </c>
      <c r="J132" s="34" t="s">
        <v>833</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49</v>
      </c>
      <c r="F133" s="73">
        <v>40805</v>
      </c>
      <c r="G133" s="73">
        <v>40831</v>
      </c>
      <c r="H133" s="94" t="s">
        <v>132</v>
      </c>
      <c r="I133" s="34" t="s">
        <v>598</v>
      </c>
      <c r="J133" s="34" t="s">
        <v>834</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49</v>
      </c>
      <c r="F134" s="73">
        <v>40805</v>
      </c>
      <c r="G134" s="73">
        <v>40831</v>
      </c>
      <c r="H134" s="94" t="s">
        <v>132</v>
      </c>
      <c r="I134" s="34" t="s">
        <v>599</v>
      </c>
      <c r="J134" s="34" t="s">
        <v>835</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49</v>
      </c>
      <c r="F135" s="73">
        <v>40805</v>
      </c>
      <c r="G135" s="73">
        <v>40831</v>
      </c>
      <c r="H135" s="94" t="s">
        <v>132</v>
      </c>
      <c r="I135" s="34" t="s">
        <v>600</v>
      </c>
      <c r="J135" s="34" t="s">
        <v>836</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49</v>
      </c>
      <c r="F136" s="73">
        <v>40805</v>
      </c>
      <c r="G136" s="73">
        <v>40831</v>
      </c>
      <c r="H136" s="94" t="s">
        <v>132</v>
      </c>
      <c r="I136" s="34" t="s">
        <v>601</v>
      </c>
      <c r="J136" s="34" t="s">
        <v>837</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49</v>
      </c>
      <c r="F137" s="73">
        <v>40805</v>
      </c>
      <c r="G137" s="73">
        <v>40831</v>
      </c>
      <c r="H137" s="94" t="s">
        <v>132</v>
      </c>
      <c r="I137" s="34" t="s">
        <v>602</v>
      </c>
      <c r="J137" s="34" t="s">
        <v>838</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49</v>
      </c>
      <c r="F138" s="73">
        <v>40805</v>
      </c>
      <c r="G138" s="73">
        <v>40831</v>
      </c>
      <c r="H138" s="94" t="s">
        <v>132</v>
      </c>
      <c r="I138" s="34" t="s">
        <v>603</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517</v>
      </c>
      <c r="B139" s="34" t="s">
        <v>498</v>
      </c>
      <c r="C139" s="34" t="str">
        <f>VLOOKUP(Observaciones[Caso de Prueba],CasoPrueba[[#All],[Código CP]:[Prioridad]],7,TRUE)</f>
        <v>Alta</v>
      </c>
      <c r="D139" s="34" t="s">
        <v>29</v>
      </c>
      <c r="E139" s="34" t="s">
        <v>49</v>
      </c>
      <c r="F139" s="73">
        <v>40805</v>
      </c>
      <c r="G139" s="73">
        <v>40831</v>
      </c>
      <c r="H139" s="94" t="s">
        <v>132</v>
      </c>
      <c r="I139" s="34" t="s">
        <v>604</v>
      </c>
      <c r="J139" s="34" t="s">
        <v>839</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49</v>
      </c>
      <c r="F140" s="73">
        <v>40805</v>
      </c>
      <c r="G140" s="73">
        <v>40831</v>
      </c>
      <c r="H140" s="94" t="s">
        <v>132</v>
      </c>
      <c r="I140" s="34" t="s">
        <v>605</v>
      </c>
      <c r="J140" s="34" t="s">
        <v>840</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49</v>
      </c>
      <c r="F141" s="73">
        <v>40805</v>
      </c>
      <c r="G141" s="73">
        <v>40831</v>
      </c>
      <c r="H141" s="94" t="s">
        <v>132</v>
      </c>
      <c r="I141" s="34" t="s">
        <v>606</v>
      </c>
      <c r="J141" s="34" t="s">
        <v>834</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49</v>
      </c>
      <c r="F142" s="73">
        <v>40805</v>
      </c>
      <c r="G142" s="73">
        <v>40831</v>
      </c>
      <c r="H142" s="94" t="s">
        <v>132</v>
      </c>
      <c r="I142" s="34" t="s">
        <v>607</v>
      </c>
      <c r="J142" s="34" t="s">
        <v>837</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49</v>
      </c>
      <c r="F143" s="73">
        <v>40805</v>
      </c>
      <c r="G143" s="73">
        <v>40831</v>
      </c>
      <c r="H143" s="94" t="s">
        <v>132</v>
      </c>
      <c r="I143" s="34" t="s">
        <v>608</v>
      </c>
      <c r="J143" s="34" t="s">
        <v>841</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49</v>
      </c>
      <c r="F144" s="73">
        <v>40805</v>
      </c>
      <c r="G144" s="73">
        <v>40831</v>
      </c>
      <c r="H144" s="94" t="s">
        <v>132</v>
      </c>
      <c r="I144" s="34" t="s">
        <v>609</v>
      </c>
      <c r="J144" s="34" t="s">
        <v>842</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49</v>
      </c>
      <c r="F145" s="73">
        <v>40805</v>
      </c>
      <c r="G145" s="73">
        <v>40831</v>
      </c>
      <c r="H145" s="94" t="s">
        <v>132</v>
      </c>
      <c r="I145" s="34" t="s">
        <v>595</v>
      </c>
      <c r="J145" s="34" t="s">
        <v>843</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49</v>
      </c>
      <c r="F146" s="73">
        <v>40805</v>
      </c>
      <c r="G146" s="73">
        <v>40831</v>
      </c>
      <c r="H146" s="94" t="s">
        <v>132</v>
      </c>
      <c r="I146" s="34" t="s">
        <v>610</v>
      </c>
      <c r="J146" s="34" t="s">
        <v>828</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49</v>
      </c>
      <c r="F147" s="73">
        <v>40805</v>
      </c>
      <c r="G147" s="73">
        <v>40831</v>
      </c>
      <c r="H147" s="94" t="s">
        <v>132</v>
      </c>
      <c r="I147" s="34" t="s">
        <v>611</v>
      </c>
      <c r="J147" s="34" t="s">
        <v>844</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526</v>
      </c>
      <c r="B148" s="34" t="s">
        <v>499</v>
      </c>
      <c r="C148" s="34" t="str">
        <f>VLOOKUP(Observaciones[Caso de Prueba],CasoPrueba[[#All],[Código CP]:[Prioridad]],7,TRUE)</f>
        <v>Alta</v>
      </c>
      <c r="D148" s="34" t="s">
        <v>28</v>
      </c>
      <c r="E148" s="34" t="s">
        <v>49</v>
      </c>
      <c r="F148" s="73">
        <v>40805</v>
      </c>
      <c r="G148" s="73">
        <v>40831</v>
      </c>
      <c r="H148" s="94" t="s">
        <v>132</v>
      </c>
      <c r="I148" s="34" t="s">
        <v>612</v>
      </c>
      <c r="J148" s="34" t="s">
        <v>845</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49</v>
      </c>
      <c r="F149" s="73">
        <v>40805</v>
      </c>
      <c r="G149" s="73">
        <v>40831</v>
      </c>
      <c r="H149" s="94" t="s">
        <v>132</v>
      </c>
      <c r="I149" s="34" t="s">
        <v>613</v>
      </c>
      <c r="J149" s="34" t="s">
        <v>846</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49</v>
      </c>
      <c r="F150" s="73">
        <v>40805</v>
      </c>
      <c r="G150" s="73">
        <v>40831</v>
      </c>
      <c r="H150" s="94" t="s">
        <v>132</v>
      </c>
      <c r="I150" s="34" t="s">
        <v>614</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49</v>
      </c>
      <c r="F151" s="73">
        <v>40805</v>
      </c>
      <c r="G151" s="73">
        <v>40831</v>
      </c>
      <c r="H151" s="94" t="s">
        <v>132</v>
      </c>
      <c r="I151" s="34" t="s">
        <v>615</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49</v>
      </c>
      <c r="F152" s="73">
        <v>40805</v>
      </c>
      <c r="G152" s="73">
        <v>40831</v>
      </c>
      <c r="H152" s="94" t="s">
        <v>132</v>
      </c>
      <c r="I152" s="34" t="s">
        <v>606</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531</v>
      </c>
      <c r="B153" s="34" t="s">
        <v>500</v>
      </c>
      <c r="C153" s="34" t="str">
        <f>VLOOKUP(Observaciones[Caso de Prueba],CasoPrueba[[#All],[Código CP]:[Prioridad]],7,TRUE)</f>
        <v>Alta</v>
      </c>
      <c r="D153" s="34" t="s">
        <v>29</v>
      </c>
      <c r="E153" s="34" t="s">
        <v>49</v>
      </c>
      <c r="F153" s="73">
        <v>40807</v>
      </c>
      <c r="G153" s="73">
        <v>40831</v>
      </c>
      <c r="H153" s="94" t="s">
        <v>132</v>
      </c>
      <c r="I153" s="34" t="s">
        <v>608</v>
      </c>
      <c r="J153" s="34" t="s">
        <v>841</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49</v>
      </c>
      <c r="F154" s="73">
        <v>40807</v>
      </c>
      <c r="G154" s="73">
        <v>40831</v>
      </c>
      <c r="H154" s="94" t="s">
        <v>132</v>
      </c>
      <c r="I154" s="34" t="s">
        <v>595</v>
      </c>
      <c r="J154" s="34" t="s">
        <v>843</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49</v>
      </c>
      <c r="F155" s="73">
        <v>40807</v>
      </c>
      <c r="G155" s="73">
        <v>40831</v>
      </c>
      <c r="H155" s="94" t="s">
        <v>132</v>
      </c>
      <c r="I155" s="34" t="s">
        <v>616</v>
      </c>
      <c r="J155" s="34" t="s">
        <v>847</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49</v>
      </c>
      <c r="F156" s="73">
        <v>40807</v>
      </c>
      <c r="G156" s="73">
        <v>40831</v>
      </c>
      <c r="H156" s="94" t="s">
        <v>132</v>
      </c>
      <c r="I156" s="34" t="s">
        <v>617</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49</v>
      </c>
      <c r="F157" s="73">
        <v>40807</v>
      </c>
      <c r="G157" s="73">
        <v>40831</v>
      </c>
      <c r="H157" s="94" t="s">
        <v>132</v>
      </c>
      <c r="I157" s="34" t="s">
        <v>610</v>
      </c>
      <c r="J157" s="34" t="s">
        <v>828</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49</v>
      </c>
      <c r="F158" s="73">
        <v>40807</v>
      </c>
      <c r="G158" s="73">
        <v>40831</v>
      </c>
      <c r="H158" s="94" t="s">
        <v>132</v>
      </c>
      <c r="I158" s="34" t="s">
        <v>618</v>
      </c>
      <c r="J158" s="34" t="s">
        <v>848</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49</v>
      </c>
      <c r="F159" s="73">
        <v>40807</v>
      </c>
      <c r="G159" s="73">
        <v>40831</v>
      </c>
      <c r="H159" s="94" t="s">
        <v>132</v>
      </c>
      <c r="I159" s="34" t="s">
        <v>619</v>
      </c>
      <c r="J159" s="34" t="s">
        <v>849</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49</v>
      </c>
      <c r="F160" s="73">
        <v>40807</v>
      </c>
      <c r="G160" s="73">
        <v>40831</v>
      </c>
      <c r="H160" s="94" t="s">
        <v>132</v>
      </c>
      <c r="I160" s="34" t="s">
        <v>620</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49</v>
      </c>
      <c r="F161" s="73">
        <v>40807</v>
      </c>
      <c r="G161" s="73">
        <v>40831</v>
      </c>
      <c r="H161" s="94" t="s">
        <v>132</v>
      </c>
      <c r="I161" s="34" t="s">
        <v>621</v>
      </c>
      <c r="J161" s="34" t="s">
        <v>850</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49</v>
      </c>
      <c r="F162" s="73">
        <v>40807</v>
      </c>
      <c r="G162" s="73">
        <v>40831</v>
      </c>
      <c r="H162" s="94" t="s">
        <v>132</v>
      </c>
      <c r="I162" s="34" t="s">
        <v>622</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49</v>
      </c>
      <c r="F163" s="73">
        <v>40807</v>
      </c>
      <c r="G163" s="73">
        <v>40831</v>
      </c>
      <c r="H163" s="94" t="s">
        <v>132</v>
      </c>
      <c r="I163" s="34" t="s">
        <v>623</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49</v>
      </c>
      <c r="F164" s="73">
        <v>40807</v>
      </c>
      <c r="G164" s="73">
        <v>40831</v>
      </c>
      <c r="H164" s="94" t="s">
        <v>132</v>
      </c>
      <c r="I164" s="34" t="s">
        <v>624</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543</v>
      </c>
      <c r="B165" s="34" t="s">
        <v>625</v>
      </c>
      <c r="C165" s="34" t="str">
        <f>VLOOKUP(Observaciones[Caso de Prueba],CasoPrueba[[#All],[Código CP]:[Prioridad]],7,TRUE)</f>
        <v>Alta</v>
      </c>
      <c r="D165" s="34" t="s">
        <v>162</v>
      </c>
      <c r="E165" s="34" t="s">
        <v>49</v>
      </c>
      <c r="F165" s="73">
        <v>40807</v>
      </c>
      <c r="G165" s="73">
        <v>40831</v>
      </c>
      <c r="H165" s="94" t="s">
        <v>132</v>
      </c>
      <c r="I165" s="34" t="s">
        <v>636</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544</v>
      </c>
      <c r="B166" s="34" t="s">
        <v>625</v>
      </c>
      <c r="C166" s="34" t="str">
        <f>VLOOKUP(Observaciones[Caso de Prueba],CasoPrueba[[#All],[Código CP]:[Prioridad]],7,TRUE)</f>
        <v>Alta</v>
      </c>
      <c r="D166" s="34" t="s">
        <v>28</v>
      </c>
      <c r="E166" s="34" t="s">
        <v>49</v>
      </c>
      <c r="F166" s="73">
        <v>40807</v>
      </c>
      <c r="G166" s="73">
        <v>40831</v>
      </c>
      <c r="H166" s="94" t="s">
        <v>132</v>
      </c>
      <c r="I166" s="34" t="s">
        <v>595</v>
      </c>
      <c r="J166" s="34" t="s">
        <v>830</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545</v>
      </c>
      <c r="B167" s="34" t="s">
        <v>625</v>
      </c>
      <c r="C167" s="34" t="str">
        <f>VLOOKUP(Observaciones[Caso de Prueba],CasoPrueba[[#All],[Código CP]:[Prioridad]],7,TRUE)</f>
        <v>Alta</v>
      </c>
      <c r="D167" s="34" t="s">
        <v>29</v>
      </c>
      <c r="E167" s="34" t="s">
        <v>49</v>
      </c>
      <c r="F167" s="73">
        <v>40807</v>
      </c>
      <c r="G167" s="73">
        <v>40831</v>
      </c>
      <c r="H167" s="94" t="s">
        <v>132</v>
      </c>
      <c r="I167" s="34" t="s">
        <v>610</v>
      </c>
      <c r="J167" s="34" t="s">
        <v>851</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546</v>
      </c>
      <c r="B168" s="34" t="s">
        <v>625</v>
      </c>
      <c r="C168" s="34" t="str">
        <f>VLOOKUP(Observaciones[Caso de Prueba],CasoPrueba[[#All],[Código CP]:[Prioridad]],7,TRUE)</f>
        <v>Alta</v>
      </c>
      <c r="D168" s="34" t="s">
        <v>162</v>
      </c>
      <c r="E168" s="34" t="s">
        <v>49</v>
      </c>
      <c r="F168" s="73">
        <v>40807</v>
      </c>
      <c r="G168" s="73">
        <v>40831</v>
      </c>
      <c r="H168" s="94" t="s">
        <v>132</v>
      </c>
      <c r="I168" s="34" t="s">
        <v>645</v>
      </c>
      <c r="J168" s="34" t="s">
        <v>477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547</v>
      </c>
      <c r="B169" s="34" t="s">
        <v>625</v>
      </c>
      <c r="C169" s="34" t="str">
        <f>VLOOKUP(Observaciones[Caso de Prueba],CasoPrueba[[#All],[Código CP]:[Prioridad]],7,TRUE)</f>
        <v>Alta</v>
      </c>
      <c r="D169" s="34" t="s">
        <v>30</v>
      </c>
      <c r="E169" s="34" t="s">
        <v>49</v>
      </c>
      <c r="F169" s="73">
        <v>40807</v>
      </c>
      <c r="G169" s="73">
        <v>40831</v>
      </c>
      <c r="H169" s="94" t="s">
        <v>132</v>
      </c>
      <c r="I169" s="34" t="s">
        <v>641</v>
      </c>
      <c r="J169" s="34" t="s">
        <v>852</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548</v>
      </c>
      <c r="B170" s="34" t="s">
        <v>625</v>
      </c>
      <c r="C170" s="34" t="str">
        <f>VLOOKUP(Observaciones[Caso de Prueba],CasoPrueba[[#All],[Código CP]:[Prioridad]],7,TRUE)</f>
        <v>Alta</v>
      </c>
      <c r="D170" s="34" t="s">
        <v>162</v>
      </c>
      <c r="E170" s="34" t="s">
        <v>49</v>
      </c>
      <c r="F170" s="73">
        <v>40807</v>
      </c>
      <c r="G170" s="73">
        <v>40831</v>
      </c>
      <c r="H170" s="94" t="s">
        <v>132</v>
      </c>
      <c r="I170" s="34" t="s">
        <v>638</v>
      </c>
      <c r="J170" s="34" t="s">
        <v>853</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549</v>
      </c>
      <c r="B171" s="34" t="s">
        <v>625</v>
      </c>
      <c r="C171" s="34" t="str">
        <f>VLOOKUP(Observaciones[Caso de Prueba],CasoPrueba[[#All],[Código CP]:[Prioridad]],7,TRUE)</f>
        <v>Alta</v>
      </c>
      <c r="D171" s="34" t="s">
        <v>162</v>
      </c>
      <c r="E171" s="34" t="s">
        <v>49</v>
      </c>
      <c r="F171" s="73">
        <v>40807</v>
      </c>
      <c r="G171" s="73">
        <v>40831</v>
      </c>
      <c r="H171" s="94" t="s">
        <v>132</v>
      </c>
      <c r="I171" s="34" t="s">
        <v>639</v>
      </c>
      <c r="J171" s="34" t="s">
        <v>477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550</v>
      </c>
      <c r="B172" s="34" t="s">
        <v>625</v>
      </c>
      <c r="C172" s="34" t="str">
        <f>VLOOKUP(Observaciones[Caso de Prueba],CasoPrueba[[#All],[Código CP]:[Prioridad]],7,TRUE)</f>
        <v>Alta</v>
      </c>
      <c r="D172" s="34" t="s">
        <v>162</v>
      </c>
      <c r="E172" s="34" t="s">
        <v>49</v>
      </c>
      <c r="F172" s="73">
        <v>40807</v>
      </c>
      <c r="G172" s="73">
        <v>40831</v>
      </c>
      <c r="H172" s="94" t="s">
        <v>132</v>
      </c>
      <c r="I172" s="34" t="s">
        <v>640</v>
      </c>
      <c r="J172" s="34" t="s">
        <v>477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551</v>
      </c>
      <c r="B173" s="34" t="s">
        <v>625</v>
      </c>
      <c r="C173" s="34" t="str">
        <f>VLOOKUP(Observaciones[Caso de Prueba],CasoPrueba[[#All],[Código CP]:[Prioridad]],7,TRUE)</f>
        <v>Alta</v>
      </c>
      <c r="D173" s="34" t="s">
        <v>162</v>
      </c>
      <c r="E173" s="34" t="s">
        <v>49</v>
      </c>
      <c r="F173" s="73">
        <v>40807</v>
      </c>
      <c r="G173" s="73">
        <v>40831</v>
      </c>
      <c r="H173" s="94" t="s">
        <v>132</v>
      </c>
      <c r="I173" s="34" t="s">
        <v>642</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552</v>
      </c>
      <c r="B174" s="34" t="s">
        <v>625</v>
      </c>
      <c r="C174" s="34" t="str">
        <f>VLOOKUP(Observaciones[Caso de Prueba],CasoPrueba[[#All],[Código CP]:[Prioridad]],7,TRUE)</f>
        <v>Alta</v>
      </c>
      <c r="D174" s="34" t="s">
        <v>29</v>
      </c>
      <c r="E174" s="34" t="s">
        <v>49</v>
      </c>
      <c r="F174" s="73">
        <v>40807</v>
      </c>
      <c r="G174" s="73">
        <v>40831</v>
      </c>
      <c r="H174" s="94" t="s">
        <v>132</v>
      </c>
      <c r="I174" s="34" t="s">
        <v>643</v>
      </c>
      <c r="J174" s="34" t="s">
        <v>854</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553</v>
      </c>
      <c r="B175" s="34" t="s">
        <v>625</v>
      </c>
      <c r="C175" s="34" t="str">
        <f>VLOOKUP(Observaciones[Caso de Prueba],CasoPrueba[[#All],[Código CP]:[Prioridad]],7,TRUE)</f>
        <v>Alta</v>
      </c>
      <c r="D175" s="34" t="s">
        <v>29</v>
      </c>
      <c r="E175" s="34" t="s">
        <v>49</v>
      </c>
      <c r="F175" s="73">
        <v>40807</v>
      </c>
      <c r="G175" s="73">
        <v>40831</v>
      </c>
      <c r="H175" s="94" t="s">
        <v>132</v>
      </c>
      <c r="I175" s="34" t="s">
        <v>644</v>
      </c>
      <c r="J175" s="34" t="s">
        <v>855</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554</v>
      </c>
      <c r="B176" s="34" t="s">
        <v>627</v>
      </c>
      <c r="C176" s="34" t="str">
        <f>VLOOKUP(Observaciones[Caso de Prueba],CasoPrueba[[#All],[Código CP]:[Prioridad]],7,TRUE)</f>
        <v>Alta</v>
      </c>
      <c r="D176" s="34" t="s">
        <v>29</v>
      </c>
      <c r="E176" s="34" t="s">
        <v>49</v>
      </c>
      <c r="F176" s="73">
        <v>40826</v>
      </c>
      <c r="G176" s="73">
        <v>40831</v>
      </c>
      <c r="H176" s="94" t="s">
        <v>132</v>
      </c>
      <c r="I176" s="34" t="s">
        <v>608</v>
      </c>
      <c r="J176" s="34" t="s">
        <v>841</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555</v>
      </c>
      <c r="B177" s="34" t="s">
        <v>627</v>
      </c>
      <c r="C177" s="34" t="str">
        <f>VLOOKUP(Observaciones[Caso de Prueba],CasoPrueba[[#All],[Código CP]:[Prioridad]],7,TRUE)</f>
        <v>Alta</v>
      </c>
      <c r="D177" s="34" t="s">
        <v>28</v>
      </c>
      <c r="E177" s="34" t="s">
        <v>49</v>
      </c>
      <c r="F177" s="73">
        <v>40826</v>
      </c>
      <c r="G177" s="73">
        <v>40831</v>
      </c>
      <c r="H177" s="94" t="s">
        <v>132</v>
      </c>
      <c r="I177" s="34" t="s">
        <v>595</v>
      </c>
      <c r="J177" s="34" t="s">
        <v>843</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556</v>
      </c>
      <c r="B178" s="34" t="s">
        <v>627</v>
      </c>
      <c r="C178" s="34" t="str">
        <f>VLOOKUP(Observaciones[Caso de Prueba],CasoPrueba[[#All],[Código CP]:[Prioridad]],7,TRUE)</f>
        <v>Alta</v>
      </c>
      <c r="D178" s="34" t="s">
        <v>28</v>
      </c>
      <c r="E178" s="34" t="s">
        <v>49</v>
      </c>
      <c r="F178" s="73">
        <v>40826</v>
      </c>
      <c r="G178" s="73">
        <v>40831</v>
      </c>
      <c r="H178" s="94" t="s">
        <v>132</v>
      </c>
      <c r="I178" s="34" t="s">
        <v>646</v>
      </c>
      <c r="J178" s="34" t="s">
        <v>856</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557</v>
      </c>
      <c r="B179" s="34" t="s">
        <v>627</v>
      </c>
      <c r="C179" s="34" t="str">
        <f>VLOOKUP(Observaciones[Caso de Prueba],CasoPrueba[[#All],[Código CP]:[Prioridad]],7,TRUE)</f>
        <v>Alta</v>
      </c>
      <c r="D179" s="34" t="s">
        <v>30</v>
      </c>
      <c r="E179" s="34" t="s">
        <v>49</v>
      </c>
      <c r="F179" s="73">
        <v>40826</v>
      </c>
      <c r="G179" s="73">
        <v>40831</v>
      </c>
      <c r="H179" s="94" t="s">
        <v>132</v>
      </c>
      <c r="I179" s="34" t="s">
        <v>647</v>
      </c>
      <c r="J179" s="34" t="s">
        <v>857</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558</v>
      </c>
      <c r="B180" s="34" t="s">
        <v>627</v>
      </c>
      <c r="C180" s="34" t="str">
        <f>VLOOKUP(Observaciones[Caso de Prueba],CasoPrueba[[#All],[Código CP]:[Prioridad]],7,TRUE)</f>
        <v>Alta</v>
      </c>
      <c r="D180" s="34" t="s">
        <v>29</v>
      </c>
      <c r="E180" s="34" t="s">
        <v>49</v>
      </c>
      <c r="F180" s="73">
        <v>40826</v>
      </c>
      <c r="G180" s="73">
        <v>40831</v>
      </c>
      <c r="H180" s="94" t="s">
        <v>132</v>
      </c>
      <c r="I180" s="34" t="s">
        <v>648</v>
      </c>
      <c r="J180" s="34" t="s">
        <v>858</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559</v>
      </c>
      <c r="B181" s="34" t="s">
        <v>627</v>
      </c>
      <c r="C181" s="34" t="str">
        <f>VLOOKUP(Observaciones[Caso de Prueba],CasoPrueba[[#All],[Código CP]:[Prioridad]],7,TRUE)</f>
        <v>Alta</v>
      </c>
      <c r="D181" s="34" t="s">
        <v>30</v>
      </c>
      <c r="E181" s="34" t="s">
        <v>49</v>
      </c>
      <c r="F181" s="73">
        <v>40826</v>
      </c>
      <c r="G181" s="73">
        <v>40831</v>
      </c>
      <c r="H181" s="94" t="s">
        <v>132</v>
      </c>
      <c r="I181" s="34" t="s">
        <v>649</v>
      </c>
      <c r="J181" s="34" t="s">
        <v>859</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560</v>
      </c>
      <c r="B182" s="34" t="s">
        <v>627</v>
      </c>
      <c r="C182" s="34" t="str">
        <f>VLOOKUP(Observaciones[Caso de Prueba],CasoPrueba[[#All],[Código CP]:[Prioridad]],7,TRUE)</f>
        <v>Alta</v>
      </c>
      <c r="D182" s="34" t="s">
        <v>30</v>
      </c>
      <c r="E182" s="34" t="s">
        <v>49</v>
      </c>
      <c r="F182" s="73">
        <v>40826</v>
      </c>
      <c r="G182" s="73">
        <v>40831</v>
      </c>
      <c r="H182" s="94" t="s">
        <v>132</v>
      </c>
      <c r="I182" s="34" t="s">
        <v>650</v>
      </c>
      <c r="J182" s="34" t="s">
        <v>860</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561</v>
      </c>
      <c r="B183" s="34" t="s">
        <v>627</v>
      </c>
      <c r="C183" s="34" t="str">
        <f>VLOOKUP(Observaciones[Caso de Prueba],CasoPrueba[[#All],[Código CP]:[Prioridad]],7,TRUE)</f>
        <v>Alta</v>
      </c>
      <c r="D183" s="34" t="s">
        <v>29</v>
      </c>
      <c r="E183" s="34" t="s">
        <v>49</v>
      </c>
      <c r="F183" s="73">
        <v>40828</v>
      </c>
      <c r="G183" s="73">
        <v>40831</v>
      </c>
      <c r="H183" s="94" t="s">
        <v>132</v>
      </c>
      <c r="I183" s="34" t="s">
        <v>651</v>
      </c>
      <c r="J183" s="34" t="s">
        <v>861</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49</v>
      </c>
      <c r="F184" s="73">
        <v>40828</v>
      </c>
      <c r="G184" s="73">
        <v>40831</v>
      </c>
      <c r="H184" s="94" t="s">
        <v>132</v>
      </c>
      <c r="I184" s="34" t="s">
        <v>608</v>
      </c>
      <c r="J184" s="34" t="s">
        <v>841</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49</v>
      </c>
      <c r="F185" s="73">
        <v>40828</v>
      </c>
      <c r="G185" s="73">
        <v>40831</v>
      </c>
      <c r="H185" s="94" t="s">
        <v>132</v>
      </c>
      <c r="I185" s="34" t="s">
        <v>652</v>
      </c>
      <c r="J185" s="34" t="s">
        <v>862</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49</v>
      </c>
      <c r="F186" s="73">
        <v>40828</v>
      </c>
      <c r="G186" s="73">
        <v>40831</v>
      </c>
      <c r="H186" s="94" t="s">
        <v>132</v>
      </c>
      <c r="I186" s="34" t="s">
        <v>655</v>
      </c>
      <c r="J186" s="34" t="s">
        <v>863</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49</v>
      </c>
      <c r="F187" s="73">
        <v>40828</v>
      </c>
      <c r="G187" s="73">
        <v>40831</v>
      </c>
      <c r="H187" s="94" t="s">
        <v>132</v>
      </c>
      <c r="I187" s="34" t="s">
        <v>653</v>
      </c>
      <c r="J187" s="34" t="s">
        <v>864</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49</v>
      </c>
      <c r="F188" s="73">
        <v>40828</v>
      </c>
      <c r="G188" s="73">
        <v>40831</v>
      </c>
      <c r="H188" s="94" t="s">
        <v>132</v>
      </c>
      <c r="I188" s="34" t="s">
        <v>654</v>
      </c>
      <c r="J188" s="34" t="s">
        <v>865</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49</v>
      </c>
      <c r="F189" s="73">
        <v>40828</v>
      </c>
      <c r="G189" s="73">
        <v>40831</v>
      </c>
      <c r="H189" s="94" t="s">
        <v>132</v>
      </c>
      <c r="I189" s="34" t="s">
        <v>656</v>
      </c>
      <c r="J189" s="34" t="s">
        <v>866</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49</v>
      </c>
      <c r="F190" s="73">
        <v>40828</v>
      </c>
      <c r="G190" s="73">
        <v>40831</v>
      </c>
      <c r="H190" s="94" t="s">
        <v>132</v>
      </c>
      <c r="I190" s="34" t="s">
        <v>608</v>
      </c>
      <c r="J190" s="34" t="s">
        <v>841</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49</v>
      </c>
      <c r="F191" s="73">
        <v>40828</v>
      </c>
      <c r="G191" s="73">
        <v>40831</v>
      </c>
      <c r="H191" s="94" t="s">
        <v>132</v>
      </c>
      <c r="I191" s="34" t="s">
        <v>657</v>
      </c>
      <c r="J191" s="34" t="s">
        <v>867</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49</v>
      </c>
      <c r="F192" s="73">
        <v>40828</v>
      </c>
      <c r="G192" s="73">
        <v>40831</v>
      </c>
      <c r="H192" s="94" t="s">
        <v>132</v>
      </c>
      <c r="I192" s="34" t="s">
        <v>659</v>
      </c>
      <c r="J192" s="34" t="s">
        <v>478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49</v>
      </c>
      <c r="F193" s="73">
        <v>40828</v>
      </c>
      <c r="G193" s="73">
        <v>40831</v>
      </c>
      <c r="H193" s="94" t="s">
        <v>132</v>
      </c>
      <c r="I193" s="34" t="s">
        <v>660</v>
      </c>
      <c r="J193" s="34" t="s">
        <v>868</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49</v>
      </c>
      <c r="F194" s="73">
        <v>40828</v>
      </c>
      <c r="G194" s="73">
        <v>40831</v>
      </c>
      <c r="H194" s="94" t="s">
        <v>132</v>
      </c>
      <c r="I194" s="34" t="s">
        <v>608</v>
      </c>
      <c r="J194" s="34" t="s">
        <v>841</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49</v>
      </c>
      <c r="F195" s="73">
        <v>40828</v>
      </c>
      <c r="G195" s="73">
        <v>40831</v>
      </c>
      <c r="H195" s="94" t="s">
        <v>132</v>
      </c>
      <c r="I195" s="34" t="s">
        <v>658</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49</v>
      </c>
      <c r="F196" s="73">
        <v>40828</v>
      </c>
      <c r="G196" s="73">
        <v>40831</v>
      </c>
      <c r="H196" s="94" t="s">
        <v>132</v>
      </c>
      <c r="I196" s="34" t="s">
        <v>661</v>
      </c>
      <c r="J196" s="34" t="s">
        <v>868</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49</v>
      </c>
      <c r="F197" s="73">
        <v>40828</v>
      </c>
      <c r="G197" s="73">
        <v>40831</v>
      </c>
      <c r="H197" s="94" t="s">
        <v>132</v>
      </c>
      <c r="I197" s="34" t="s">
        <v>662</v>
      </c>
      <c r="J197" s="34" t="s">
        <v>869</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49</v>
      </c>
      <c r="F198" s="73">
        <v>40828</v>
      </c>
      <c r="G198" s="73">
        <v>40831</v>
      </c>
      <c r="H198" s="94" t="s">
        <v>132</v>
      </c>
      <c r="I198" s="34" t="s">
        <v>610</v>
      </c>
      <c r="J198" s="34" t="s">
        <v>828</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49</v>
      </c>
      <c r="F199" s="73">
        <v>40828</v>
      </c>
      <c r="G199" s="73">
        <v>40831</v>
      </c>
      <c r="H199" s="94" t="s">
        <v>132</v>
      </c>
      <c r="I199" s="34" t="s">
        <v>663</v>
      </c>
      <c r="J199" s="34" t="s">
        <v>834</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578</v>
      </c>
      <c r="B200" s="34" t="s">
        <v>664</v>
      </c>
      <c r="C200" s="34" t="str">
        <f>VLOOKUP(Observaciones[Caso de Prueba],CasoPrueba[[#All],[Código CP]:[Prioridad]],7,TRUE)</f>
        <v>Alta</v>
      </c>
      <c r="D200" s="34" t="s">
        <v>162</v>
      </c>
      <c r="E200" s="34" t="s">
        <v>49</v>
      </c>
      <c r="F200" s="73">
        <v>40829</v>
      </c>
      <c r="G200" s="73">
        <v>40831</v>
      </c>
      <c r="H200" s="94" t="s">
        <v>132</v>
      </c>
      <c r="I200" s="34" t="s">
        <v>814</v>
      </c>
      <c r="J200" s="34" t="s">
        <v>870</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579</v>
      </c>
      <c r="B201" s="34" t="s">
        <v>664</v>
      </c>
      <c r="C201" s="34" t="str">
        <f>VLOOKUP(Observaciones[Caso de Prueba],CasoPrueba[[#All],[Código CP]:[Prioridad]],7,TRUE)</f>
        <v>Alta</v>
      </c>
      <c r="D201" s="34" t="s">
        <v>28</v>
      </c>
      <c r="E201" s="34" t="s">
        <v>49</v>
      </c>
      <c r="F201" s="73">
        <v>40829</v>
      </c>
      <c r="G201" s="73">
        <v>40831</v>
      </c>
      <c r="H201" s="94" t="s">
        <v>132</v>
      </c>
      <c r="I201" s="34" t="s">
        <v>595</v>
      </c>
      <c r="J201" s="34" t="s">
        <v>871</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580</v>
      </c>
      <c r="B202" s="34" t="s">
        <v>664</v>
      </c>
      <c r="C202" s="34" t="str">
        <f>VLOOKUP(Observaciones[Caso de Prueba],CasoPrueba[[#All],[Código CP]:[Prioridad]],7,TRUE)</f>
        <v>Alta</v>
      </c>
      <c r="D202" s="34" t="s">
        <v>29</v>
      </c>
      <c r="E202" s="34" t="s">
        <v>49</v>
      </c>
      <c r="F202" s="73">
        <v>40829</v>
      </c>
      <c r="G202" s="73">
        <v>40831</v>
      </c>
      <c r="H202" s="94" t="s">
        <v>132</v>
      </c>
      <c r="I202" s="34" t="s">
        <v>815</v>
      </c>
      <c r="J202" s="34" t="s">
        <v>872</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581</v>
      </c>
      <c r="B203" s="34" t="s">
        <v>664</v>
      </c>
      <c r="C203" s="34" t="str">
        <f>VLOOKUP(Observaciones[Caso de Prueba],CasoPrueba[[#All],[Código CP]:[Prioridad]],7,TRUE)</f>
        <v>Alta</v>
      </c>
      <c r="D203" s="34" t="s">
        <v>29</v>
      </c>
      <c r="E203" s="34" t="s">
        <v>49</v>
      </c>
      <c r="F203" s="73">
        <v>40829</v>
      </c>
      <c r="G203" s="73">
        <v>40831</v>
      </c>
      <c r="H203" s="94" t="s">
        <v>132</v>
      </c>
      <c r="I203" s="34" t="s">
        <v>816</v>
      </c>
      <c r="J203" s="34" t="s">
        <v>873</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582</v>
      </c>
      <c r="B204" s="34" t="s">
        <v>664</v>
      </c>
      <c r="C204" s="34" t="str">
        <f>VLOOKUP(Observaciones[Caso de Prueba],CasoPrueba[[#All],[Código CP]:[Prioridad]],7,TRUE)</f>
        <v>Alta</v>
      </c>
      <c r="D204" s="34" t="s">
        <v>30</v>
      </c>
      <c r="E204" s="34" t="s">
        <v>49</v>
      </c>
      <c r="F204" s="73">
        <v>40829</v>
      </c>
      <c r="G204" s="73">
        <v>40831</v>
      </c>
      <c r="H204" s="94" t="s">
        <v>132</v>
      </c>
      <c r="I204" s="34" t="s">
        <v>817</v>
      </c>
      <c r="J204" s="34" t="s">
        <v>874</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583</v>
      </c>
      <c r="B205" s="34" t="s">
        <v>664</v>
      </c>
      <c r="C205" s="34" t="str">
        <f>VLOOKUP(Observaciones[Caso de Prueba],CasoPrueba[[#All],[Código CP]:[Prioridad]],7,TRUE)</f>
        <v>Alta</v>
      </c>
      <c r="D205" s="34" t="s">
        <v>162</v>
      </c>
      <c r="E205" s="34" t="s">
        <v>49</v>
      </c>
      <c r="F205" s="73">
        <v>40829</v>
      </c>
      <c r="G205" s="73">
        <v>40831</v>
      </c>
      <c r="H205" s="94" t="s">
        <v>132</v>
      </c>
      <c r="I205" s="34" t="s">
        <v>818</v>
      </c>
      <c r="J205" s="34" t="s">
        <v>477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584</v>
      </c>
      <c r="B206" s="34" t="s">
        <v>664</v>
      </c>
      <c r="C206" s="34" t="str">
        <f>VLOOKUP(Observaciones[Caso de Prueba],CasoPrueba[[#All],[Código CP]:[Prioridad]],7,TRUE)</f>
        <v>Alta</v>
      </c>
      <c r="D206" s="34" t="s">
        <v>29</v>
      </c>
      <c r="E206" s="34" t="s">
        <v>49</v>
      </c>
      <c r="F206" s="73">
        <v>40829</v>
      </c>
      <c r="G206" s="73">
        <v>40831</v>
      </c>
      <c r="H206" s="94" t="s">
        <v>132</v>
      </c>
      <c r="I206" s="34" t="s">
        <v>890</v>
      </c>
      <c r="J206" s="34" t="s">
        <v>875</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585</v>
      </c>
      <c r="B207" s="34" t="s">
        <v>664</v>
      </c>
      <c r="C207" s="34" t="str">
        <f>VLOOKUP(Observaciones[Caso de Prueba],CasoPrueba[[#All],[Código CP]:[Prioridad]],7,TRUE)</f>
        <v>Alta</v>
      </c>
      <c r="D207" s="34" t="s">
        <v>29</v>
      </c>
      <c r="E207" s="34" t="s">
        <v>49</v>
      </c>
      <c r="F207" s="73">
        <v>40829</v>
      </c>
      <c r="G207" s="73">
        <v>40831</v>
      </c>
      <c r="H207" s="94" t="s">
        <v>132</v>
      </c>
      <c r="I207" s="34" t="s">
        <v>819</v>
      </c>
      <c r="J207" s="34" t="s">
        <v>876</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586</v>
      </c>
      <c r="B208" s="34" t="s">
        <v>664</v>
      </c>
      <c r="C208" s="34" t="str">
        <f>VLOOKUP(Observaciones[Caso de Prueba],CasoPrueba[[#All],[Código CP]:[Prioridad]],7,TRUE)</f>
        <v>Alta</v>
      </c>
      <c r="D208" s="34" t="s">
        <v>162</v>
      </c>
      <c r="E208" s="34" t="s">
        <v>49</v>
      </c>
      <c r="F208" s="73">
        <v>40829</v>
      </c>
      <c r="G208" s="73">
        <v>40831</v>
      </c>
      <c r="H208" s="94" t="s">
        <v>132</v>
      </c>
      <c r="I208" s="34" t="s">
        <v>820</v>
      </c>
      <c r="J208" s="34" t="s">
        <v>477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587</v>
      </c>
      <c r="B209" s="34" t="s">
        <v>664</v>
      </c>
      <c r="C209" s="34" t="str">
        <f>VLOOKUP(Observaciones[Caso de Prueba],CasoPrueba[[#All],[Código CP]:[Prioridad]],7,TRUE)</f>
        <v>Alta</v>
      </c>
      <c r="D209" s="34" t="s">
        <v>30</v>
      </c>
      <c r="E209" s="34" t="s">
        <v>49</v>
      </c>
      <c r="F209" s="73">
        <v>40829</v>
      </c>
      <c r="G209" s="73">
        <v>40831</v>
      </c>
      <c r="H209" s="94" t="s">
        <v>132</v>
      </c>
      <c r="I209" s="34" t="s">
        <v>891</v>
      </c>
      <c r="J209" s="34" t="s">
        <v>877</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588</v>
      </c>
      <c r="B210" s="34" t="s">
        <v>664</v>
      </c>
      <c r="C210" s="34" t="str">
        <f>VLOOKUP(Observaciones[Caso de Prueba],CasoPrueba[[#All],[Código CP]:[Prioridad]],7,TRUE)</f>
        <v>Alta</v>
      </c>
      <c r="D210" s="34" t="s">
        <v>30</v>
      </c>
      <c r="E210" s="34" t="s">
        <v>49</v>
      </c>
      <c r="F210" s="73">
        <v>40829</v>
      </c>
      <c r="G210" s="73">
        <v>40831</v>
      </c>
      <c r="H210" s="94" t="s">
        <v>132</v>
      </c>
      <c r="I210" s="34" t="s">
        <v>821</v>
      </c>
      <c r="J210" s="34" t="s">
        <v>878</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589</v>
      </c>
      <c r="B211" s="34" t="s">
        <v>664</v>
      </c>
      <c r="C211" s="34" t="str">
        <f>VLOOKUP(Observaciones[Caso de Prueba],CasoPrueba[[#All],[Código CP]:[Prioridad]],7,TRUE)</f>
        <v>Alta</v>
      </c>
      <c r="D211" s="34" t="s">
        <v>162</v>
      </c>
      <c r="E211" s="34" t="s">
        <v>49</v>
      </c>
      <c r="F211" s="73">
        <v>40829</v>
      </c>
      <c r="G211" s="73">
        <v>40831</v>
      </c>
      <c r="H211" s="94" t="s">
        <v>132</v>
      </c>
      <c r="I211" s="34" t="s">
        <v>822</v>
      </c>
      <c r="J211" s="34" t="s">
        <v>477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590</v>
      </c>
      <c r="B212" s="34" t="s">
        <v>665</v>
      </c>
      <c r="C212" s="34" t="str">
        <f>VLOOKUP(Observaciones[Caso de Prueba],CasoPrueba[[#All],[Código CP]:[Prioridad]],7,TRUE)</f>
        <v>Alta</v>
      </c>
      <c r="D212" s="34" t="s">
        <v>29</v>
      </c>
      <c r="E212" s="34" t="s">
        <v>49</v>
      </c>
      <c r="F212" s="73">
        <v>40830</v>
      </c>
      <c r="G212" s="73">
        <v>40831</v>
      </c>
      <c r="H212" s="94" t="s">
        <v>132</v>
      </c>
      <c r="I212" s="34" t="s">
        <v>608</v>
      </c>
      <c r="J212" s="34" t="s">
        <v>841</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591</v>
      </c>
      <c r="B213" s="34" t="s">
        <v>665</v>
      </c>
      <c r="C213" s="34" t="str">
        <f>VLOOKUP(Observaciones[Caso de Prueba],CasoPrueba[[#All],[Código CP]:[Prioridad]],7,TRUE)</f>
        <v>Alta</v>
      </c>
      <c r="D213" s="34" t="s">
        <v>28</v>
      </c>
      <c r="E213" s="34" t="s">
        <v>49</v>
      </c>
      <c r="F213" s="73">
        <v>40830</v>
      </c>
      <c r="G213" s="73">
        <v>40831</v>
      </c>
      <c r="H213" s="94" t="s">
        <v>132</v>
      </c>
      <c r="I213" s="34" t="s">
        <v>595</v>
      </c>
      <c r="J213" s="34" t="s">
        <v>843</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592</v>
      </c>
      <c r="B214" s="34" t="s">
        <v>665</v>
      </c>
      <c r="C214" s="34" t="str">
        <f>VLOOKUP(Observaciones[Caso de Prueba],CasoPrueba[[#All],[Código CP]:[Prioridad]],7,TRUE)</f>
        <v>Alta</v>
      </c>
      <c r="D214" s="34" t="s">
        <v>29</v>
      </c>
      <c r="E214" s="34" t="s">
        <v>49</v>
      </c>
      <c r="F214" s="73">
        <v>40830</v>
      </c>
      <c r="G214" s="73">
        <v>40831</v>
      </c>
      <c r="H214" s="94" t="s">
        <v>132</v>
      </c>
      <c r="I214" s="34" t="s">
        <v>823</v>
      </c>
      <c r="J214" s="34" t="s">
        <v>879</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593</v>
      </c>
      <c r="B215" s="34" t="s">
        <v>665</v>
      </c>
      <c r="C215" s="34" t="str">
        <f>VLOOKUP(Observaciones[Caso de Prueba],CasoPrueba[[#All],[Código CP]:[Prioridad]],7,TRUE)</f>
        <v>Alta</v>
      </c>
      <c r="D215" s="34" t="s">
        <v>29</v>
      </c>
      <c r="E215" s="34" t="s">
        <v>49</v>
      </c>
      <c r="F215" s="73">
        <v>40830</v>
      </c>
      <c r="G215" s="73">
        <v>40831</v>
      </c>
      <c r="H215" s="94" t="s">
        <v>132</v>
      </c>
      <c r="I215" s="34" t="s">
        <v>824</v>
      </c>
      <c r="J215" s="34" t="s">
        <v>880</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668</v>
      </c>
      <c r="B216" s="34" t="s">
        <v>665</v>
      </c>
      <c r="C216" s="34" t="str">
        <f>VLOOKUP(Observaciones[Caso de Prueba],CasoPrueba[[#All],[Código CP]:[Prioridad]],7,TRUE)</f>
        <v>Alta</v>
      </c>
      <c r="D216" s="34" t="s">
        <v>162</v>
      </c>
      <c r="E216" s="34" t="s">
        <v>49</v>
      </c>
      <c r="F216" s="73">
        <v>40830</v>
      </c>
      <c r="G216" s="73">
        <v>40831</v>
      </c>
      <c r="H216" s="94" t="s">
        <v>132</v>
      </c>
      <c r="I216" s="34" t="s">
        <v>825</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669</v>
      </c>
      <c r="B217" s="34" t="s">
        <v>665</v>
      </c>
      <c r="C217" s="34" t="str">
        <f>VLOOKUP(Observaciones[Caso de Prueba],CasoPrueba[[#All],[Código CP]:[Prioridad]],7,TRUE)</f>
        <v>Alta</v>
      </c>
      <c r="D217" s="34" t="s">
        <v>162</v>
      </c>
      <c r="E217" s="34" t="s">
        <v>49</v>
      </c>
      <c r="F217" s="73">
        <v>40830</v>
      </c>
      <c r="G217" s="73">
        <v>40831</v>
      </c>
      <c r="H217" s="94" t="s">
        <v>132</v>
      </c>
      <c r="I217" s="34" t="s">
        <v>826</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c r="A218" s="166" t="s">
        <v>670</v>
      </c>
      <c r="B218" s="34" t="s">
        <v>498</v>
      </c>
      <c r="C218" s="34" t="str">
        <f>VLOOKUP(Observaciones[Caso de Prueba],CasoPrueba[[#All],[Código CP]:[Prioridad]],7,TRUE)</f>
        <v>Alta</v>
      </c>
      <c r="D218" s="34" t="s">
        <v>28</v>
      </c>
      <c r="E218" s="34" t="s">
        <v>47</v>
      </c>
      <c r="F218" s="73">
        <v>40835</v>
      </c>
      <c r="H218" s="94" t="s">
        <v>132</v>
      </c>
      <c r="I218" s="34" t="s">
        <v>881</v>
      </c>
      <c r="K218" s="34">
        <f>IF((Observaciones[[#This Row],[Fecha Levantamiento]]-Observaciones[[#This Row],[Fecha Detección]])&gt;=0,Observaciones[[#This Row],[Fecha Levantamiento]]-Observaciones[[#This Row],[Fecha Detección]]+1,0)</f>
        <v>0</v>
      </c>
      <c r="L218" s="34" t="str">
        <f>LOOKUP(Observaciones[[#This Row],[Caso de Prueba]],CasoPrueba[Código CP],CasoPrueba[Código de REQ])</f>
        <v>INSPECCIÓN</v>
      </c>
    </row>
    <row r="219" spans="1:12" ht="66" customHeight="1">
      <c r="A219" s="166" t="s">
        <v>671</v>
      </c>
      <c r="B219" s="34" t="s">
        <v>499</v>
      </c>
      <c r="C219" s="34" t="str">
        <f>VLOOKUP(Observaciones[Caso de Prueba],CasoPrueba[[#All],[Código CP]:[Prioridad]],7,TRUE)</f>
        <v>Alta</v>
      </c>
      <c r="D219" s="34" t="s">
        <v>28</v>
      </c>
      <c r="E219" s="34" t="s">
        <v>47</v>
      </c>
      <c r="F219" s="73">
        <v>40835</v>
      </c>
      <c r="H219" s="94" t="s">
        <v>132</v>
      </c>
      <c r="I219" s="34" t="s">
        <v>608</v>
      </c>
      <c r="K219" s="34">
        <f>IF((Observaciones[[#This Row],[Fecha Levantamiento]]-Observaciones[[#This Row],[Fecha Detección]])&gt;=0,Observaciones[[#This Row],[Fecha Levantamiento]]-Observaciones[[#This Row],[Fecha Detección]]+1,0)</f>
        <v>0</v>
      </c>
      <c r="L219" s="34" t="str">
        <f>LOOKUP(Observaciones[[#This Row],[Caso de Prueba]],CasoPrueba[Código CP],CasoPrueba[Código de REQ])</f>
        <v>INSPECCIÓN</v>
      </c>
    </row>
    <row r="220" spans="1:12" ht="45">
      <c r="A220" s="166" t="s">
        <v>672</v>
      </c>
      <c r="B220" s="34" t="s">
        <v>499</v>
      </c>
      <c r="C220" s="34" t="str">
        <f>VLOOKUP(Observaciones[Caso de Prueba],CasoPrueba[[#All],[Código CP]:[Prioridad]],7,TRUE)</f>
        <v>Alta</v>
      </c>
      <c r="D220" s="34" t="s">
        <v>28</v>
      </c>
      <c r="E220" s="34" t="s">
        <v>47</v>
      </c>
      <c r="F220" s="73">
        <v>40835</v>
      </c>
      <c r="H220" s="94" t="s">
        <v>132</v>
      </c>
      <c r="I220" s="34" t="s">
        <v>882</v>
      </c>
      <c r="K220" s="34">
        <f>IF((Observaciones[[#This Row],[Fecha Levantamiento]]-Observaciones[[#This Row],[Fecha Detección]])&gt;=0,Observaciones[[#This Row],[Fecha Levantamiento]]-Observaciones[[#This Row],[Fecha Detección]]+1,0)</f>
        <v>0</v>
      </c>
      <c r="L220" s="34" t="str">
        <f>LOOKUP(Observaciones[[#This Row],[Caso de Prueba]],CasoPrueba[Código CP],CasoPrueba[Código de REQ])</f>
        <v>INSPECCIÓN</v>
      </c>
    </row>
    <row r="221" spans="1:12" ht="45">
      <c r="A221" s="166" t="s">
        <v>673</v>
      </c>
      <c r="B221" s="34" t="s">
        <v>500</v>
      </c>
      <c r="C221" s="34" t="str">
        <f>VLOOKUP(Observaciones[Caso de Prueba],CasoPrueba[[#All],[Código CP]:[Prioridad]],7,TRUE)</f>
        <v>Alta</v>
      </c>
      <c r="D221" s="34" t="s">
        <v>28</v>
      </c>
      <c r="E221" s="34" t="s">
        <v>47</v>
      </c>
      <c r="F221" s="73">
        <v>40835</v>
      </c>
      <c r="H221" s="94" t="s">
        <v>132</v>
      </c>
      <c r="I221" s="34" t="s">
        <v>608</v>
      </c>
      <c r="K221" s="34">
        <f>IF((Observaciones[[#This Row],[Fecha Levantamiento]]-Observaciones[[#This Row],[Fecha Detección]])&gt;=0,Observaciones[[#This Row],[Fecha Levantamiento]]-Observaciones[[#This Row],[Fecha Detección]]+1,0)</f>
        <v>0</v>
      </c>
      <c r="L221" s="34" t="str">
        <f>LOOKUP(Observaciones[[#This Row],[Caso de Prueba]],CasoPrueba[Código CP],CasoPrueba[Código de REQ])</f>
        <v>INSPECCIÓN</v>
      </c>
    </row>
    <row r="222" spans="1:12" ht="45">
      <c r="A222" s="166" t="s">
        <v>674</v>
      </c>
      <c r="B222" s="34" t="s">
        <v>500</v>
      </c>
      <c r="C222" s="34" t="str">
        <f>VLOOKUP(Observaciones[Caso de Prueba],CasoPrueba[[#All],[Código CP]:[Prioridad]],7,TRUE)</f>
        <v>Alta</v>
      </c>
      <c r="D222" s="34" t="s">
        <v>28</v>
      </c>
      <c r="E222" s="34" t="s">
        <v>47</v>
      </c>
      <c r="F222" s="73">
        <v>40835</v>
      </c>
      <c r="H222" s="94" t="s">
        <v>132</v>
      </c>
      <c r="I222" s="34" t="s">
        <v>882</v>
      </c>
      <c r="K222" s="34">
        <f>IF((Observaciones[[#This Row],[Fecha Levantamiento]]-Observaciones[[#This Row],[Fecha Detección]])&gt;=0,Observaciones[[#This Row],[Fecha Levantamiento]]-Observaciones[[#This Row],[Fecha Detección]]+1,0)</f>
        <v>0</v>
      </c>
      <c r="L222" s="34" t="str">
        <f>LOOKUP(Observaciones[[#This Row],[Caso de Prueba]],CasoPrueba[Código CP],CasoPrueba[Código de REQ])</f>
        <v>INSPECCIÓN</v>
      </c>
    </row>
    <row r="223" spans="1:12" ht="45" hidden="1">
      <c r="A223" s="166" t="s">
        <v>675</v>
      </c>
      <c r="B223" s="34" t="s">
        <v>625</v>
      </c>
      <c r="C223" s="34" t="str">
        <f>VLOOKUP(Observaciones[Caso de Prueba],CasoPrueba[[#All],[Código CP]:[Prioridad]],7,TRUE)</f>
        <v>Alta</v>
      </c>
      <c r="D223" s="34" t="s">
        <v>28</v>
      </c>
      <c r="E223" s="34" t="s">
        <v>47</v>
      </c>
      <c r="F223" s="73">
        <v>40835</v>
      </c>
      <c r="H223" s="94" t="s">
        <v>132</v>
      </c>
      <c r="I223" s="34" t="s">
        <v>882</v>
      </c>
      <c r="K223" s="34">
        <f>IF((Observaciones[[#This Row],[Fecha Levantamiento]]-Observaciones[[#This Row],[Fecha Detección]])&gt;=0,Observaciones[[#This Row],[Fecha Levantamiento]]-Observaciones[[#This Row],[Fecha Detección]]+1,0)</f>
        <v>0</v>
      </c>
      <c r="L223" s="34" t="str">
        <f>LOOKUP(Observaciones[[#This Row],[Caso de Prueba]],CasoPrueba[Código CP],CasoPrueba[Código de REQ])</f>
        <v>INSPECCIÓN</v>
      </c>
    </row>
    <row r="224" spans="1:12" ht="45" hidden="1">
      <c r="A224" s="166" t="s">
        <v>676</v>
      </c>
      <c r="B224" s="34" t="s">
        <v>627</v>
      </c>
      <c r="C224" s="34" t="str">
        <f>VLOOKUP(Observaciones[Caso de Prueba],CasoPrueba[[#All],[Código CP]:[Prioridad]],7,TRUE)</f>
        <v>Alta</v>
      </c>
      <c r="D224" s="34" t="s">
        <v>28</v>
      </c>
      <c r="E224" s="34" t="s">
        <v>47</v>
      </c>
      <c r="F224" s="73">
        <v>40835</v>
      </c>
      <c r="H224" s="94" t="s">
        <v>132</v>
      </c>
      <c r="I224" s="34" t="s">
        <v>882</v>
      </c>
      <c r="K224" s="34">
        <f>IF((Observaciones[[#This Row],[Fecha Levantamiento]]-Observaciones[[#This Row],[Fecha Detección]])&gt;=0,Observaciones[[#This Row],[Fecha Levantamiento]]-Observaciones[[#This Row],[Fecha Detección]]+1,0)</f>
        <v>0</v>
      </c>
      <c r="L224" s="34" t="str">
        <f>LOOKUP(Observaciones[[#This Row],[Caso de Prueba]],CasoPrueba[Código CP],CasoPrueba[Código de REQ])</f>
        <v>INSPECCIÓN</v>
      </c>
    </row>
    <row r="225" spans="1:12" ht="88.5" hidden="1" customHeight="1">
      <c r="A225" s="166" t="s">
        <v>677</v>
      </c>
      <c r="B225" s="34" t="s">
        <v>627</v>
      </c>
      <c r="C225" s="34" t="str">
        <f>VLOOKUP(Observaciones[Caso de Prueba],CasoPrueba[[#All],[Código CP]:[Prioridad]],7,TRUE)</f>
        <v>Alta</v>
      </c>
      <c r="D225" s="34" t="s">
        <v>28</v>
      </c>
      <c r="E225" s="34" t="s">
        <v>47</v>
      </c>
      <c r="F225" s="73">
        <v>40835</v>
      </c>
      <c r="H225" s="94" t="s">
        <v>132</v>
      </c>
      <c r="I225" s="34" t="s">
        <v>883</v>
      </c>
      <c r="K225" s="34">
        <f>IF((Observaciones[[#This Row],[Fecha Levantamiento]]-Observaciones[[#This Row],[Fecha Detección]])&gt;=0,Observaciones[[#This Row],[Fecha Levantamiento]]-Observaciones[[#This Row],[Fecha Detección]]+1,0)</f>
        <v>0</v>
      </c>
      <c r="L225" s="34" t="str">
        <f>LOOKUP(Observaciones[[#This Row],[Caso de Prueba]],CasoPrueba[Código CP],CasoPrueba[Código de REQ])</f>
        <v>INSPECCIÓN</v>
      </c>
    </row>
    <row r="226" spans="1:12" ht="90" hidden="1">
      <c r="A226" s="166" t="s">
        <v>678</v>
      </c>
      <c r="B226" s="34" t="s">
        <v>627</v>
      </c>
      <c r="C226" s="34" t="str">
        <f>VLOOKUP(Observaciones[Caso de Prueba],CasoPrueba[[#All],[Código CP]:[Prioridad]],7,TRUE)</f>
        <v>Alta</v>
      </c>
      <c r="D226" s="34" t="s">
        <v>29</v>
      </c>
      <c r="E226" s="34" t="s">
        <v>47</v>
      </c>
      <c r="F226" s="73">
        <v>40835</v>
      </c>
      <c r="H226" s="94" t="s">
        <v>132</v>
      </c>
      <c r="I226" s="34" t="s">
        <v>610</v>
      </c>
      <c r="K226" s="34">
        <f>IF((Observaciones[[#This Row],[Fecha Levantamiento]]-Observaciones[[#This Row],[Fecha Detección]])&gt;=0,Observaciones[[#This Row],[Fecha Levantamiento]]-Observaciones[[#This Row],[Fecha Detección]]+1,0)</f>
        <v>0</v>
      </c>
      <c r="L226" s="34" t="str">
        <f>LOOKUP(Observaciones[[#This Row],[Caso de Prueba]],CasoPrueba[Código CP],CasoPrueba[Código de REQ])</f>
        <v>INSPECCIÓN</v>
      </c>
    </row>
    <row r="227" spans="1:12" ht="45">
      <c r="A227" s="166" t="s">
        <v>679</v>
      </c>
      <c r="B227" s="34" t="s">
        <v>628</v>
      </c>
      <c r="C227" s="34" t="str">
        <f>VLOOKUP(Observaciones[Caso de Prueba],CasoPrueba[[#All],[Código CP]:[Prioridad]],7,TRUE)</f>
        <v>Alta</v>
      </c>
      <c r="D227" s="34" t="s">
        <v>28</v>
      </c>
      <c r="E227" s="34" t="s">
        <v>47</v>
      </c>
      <c r="F227" s="73">
        <v>40835</v>
      </c>
      <c r="H227" s="94" t="s">
        <v>132</v>
      </c>
      <c r="I227" s="34" t="s">
        <v>608</v>
      </c>
      <c r="K227" s="34">
        <f>IF((Observaciones[[#This Row],[Fecha Levantamiento]]-Observaciones[[#This Row],[Fecha Detección]])&gt;=0,Observaciones[[#This Row],[Fecha Levantamiento]]-Observaciones[[#This Row],[Fecha Detección]]+1,0)</f>
        <v>0</v>
      </c>
      <c r="L227" s="34" t="str">
        <f>LOOKUP(Observaciones[[#This Row],[Caso de Prueba]],CasoPrueba[Código CP],CasoPrueba[Código de REQ])</f>
        <v>INSPECCIÓN</v>
      </c>
    </row>
    <row r="228" spans="1:12" ht="45">
      <c r="A228" s="166" t="s">
        <v>680</v>
      </c>
      <c r="B228" s="34" t="s">
        <v>629</v>
      </c>
      <c r="C228" s="34" t="str">
        <f>VLOOKUP(Observaciones[Caso de Prueba],CasoPrueba[[#All],[Código CP]:[Prioridad]],7,TRUE)</f>
        <v>Alta</v>
      </c>
      <c r="D228" s="34" t="s">
        <v>28</v>
      </c>
      <c r="E228" s="34" t="s">
        <v>47</v>
      </c>
      <c r="F228" s="73">
        <v>40835</v>
      </c>
      <c r="H228" s="94" t="s">
        <v>132</v>
      </c>
      <c r="I228" s="34" t="s">
        <v>608</v>
      </c>
      <c r="K228" s="34">
        <f>IF((Observaciones[[#This Row],[Fecha Levantamiento]]-Observaciones[[#This Row],[Fecha Detección]])&gt;=0,Observaciones[[#This Row],[Fecha Levantamiento]]-Observaciones[[#This Row],[Fecha Detección]]+1,0)</f>
        <v>0</v>
      </c>
      <c r="L228" s="34" t="str">
        <f>LOOKUP(Observaciones[[#This Row],[Caso de Prueba]],CasoPrueba[Código CP],CasoPrueba[Código de REQ])</f>
        <v>INSPECCIÓN</v>
      </c>
    </row>
    <row r="229" spans="1:12" ht="45">
      <c r="A229" s="166" t="s">
        <v>681</v>
      </c>
      <c r="B229" s="34" t="s">
        <v>630</v>
      </c>
      <c r="C229" s="34" t="str">
        <f>VLOOKUP(Observaciones[Caso de Prueba],CasoPrueba[[#All],[Código CP]:[Prioridad]],7,TRUE)</f>
        <v>Alta</v>
      </c>
      <c r="D229" s="34" t="s">
        <v>28</v>
      </c>
      <c r="E229" s="34" t="s">
        <v>47</v>
      </c>
      <c r="F229" s="73">
        <v>40835</v>
      </c>
      <c r="H229" s="94" t="s">
        <v>132</v>
      </c>
      <c r="I229" s="34" t="s">
        <v>608</v>
      </c>
      <c r="K229" s="34">
        <f>IF((Observaciones[[#This Row],[Fecha Levantamiento]]-Observaciones[[#This Row],[Fecha Detección]])&gt;=0,Observaciones[[#This Row],[Fecha Levantamiento]]-Observaciones[[#This Row],[Fecha Detección]]+1,0)</f>
        <v>0</v>
      </c>
      <c r="L229" s="34" t="str">
        <f>LOOKUP(Observaciones[[#This Row],[Caso de Prueba]],CasoPrueba[Código CP],CasoPrueba[Código de REQ])</f>
        <v>INSPECCIÓN</v>
      </c>
    </row>
    <row r="230" spans="1:12" ht="30">
      <c r="A230" s="166" t="s">
        <v>682</v>
      </c>
      <c r="B230" s="34" t="s">
        <v>630</v>
      </c>
      <c r="C230" s="34" t="str">
        <f>VLOOKUP(Observaciones[Caso de Prueba],CasoPrueba[[#All],[Código CP]:[Prioridad]],7,TRUE)</f>
        <v>Alta</v>
      </c>
      <c r="D230" s="34" t="s">
        <v>29</v>
      </c>
      <c r="E230" s="34" t="s">
        <v>47</v>
      </c>
      <c r="F230" s="73">
        <v>40835</v>
      </c>
      <c r="H230" s="94" t="s">
        <v>132</v>
      </c>
      <c r="I230" s="34" t="s">
        <v>884</v>
      </c>
      <c r="J230" s="34" t="s">
        <v>922</v>
      </c>
      <c r="K230" s="34">
        <f>IF((Observaciones[[#This Row],[Fecha Levantamiento]]-Observaciones[[#This Row],[Fecha Detección]])&gt;=0,Observaciones[[#This Row],[Fecha Levantamiento]]-Observaciones[[#This Row],[Fecha Detección]]+1,0)</f>
        <v>0</v>
      </c>
      <c r="L230" s="34" t="str">
        <f>LOOKUP(Observaciones[[#This Row],[Caso de Prueba]],CasoPrueba[Código CP],CasoPrueba[Código de REQ])</f>
        <v>INSPECCIÓN</v>
      </c>
    </row>
    <row r="231" spans="1:12" ht="60">
      <c r="A231" s="166" t="s">
        <v>683</v>
      </c>
      <c r="B231" s="34" t="s">
        <v>630</v>
      </c>
      <c r="C231" s="34" t="str">
        <f>VLOOKUP(Observaciones[Caso de Prueba],CasoPrueba[[#All],[Código CP]:[Prioridad]],7,TRUE)</f>
        <v>Alta</v>
      </c>
      <c r="D231" s="34" t="s">
        <v>29</v>
      </c>
      <c r="E231" s="34" t="s">
        <v>47</v>
      </c>
      <c r="F231" s="73">
        <v>40835</v>
      </c>
      <c r="H231" s="94" t="s">
        <v>132</v>
      </c>
      <c r="I231" s="34" t="s">
        <v>885</v>
      </c>
      <c r="J231" s="34" t="s">
        <v>923</v>
      </c>
      <c r="K231" s="34">
        <f>IF((Observaciones[[#This Row],[Fecha Levantamiento]]-Observaciones[[#This Row],[Fecha Detección]])&gt;=0,Observaciones[[#This Row],[Fecha Levantamiento]]-Observaciones[[#This Row],[Fecha Detección]]+1,0)</f>
        <v>0</v>
      </c>
      <c r="L231" s="34" t="str">
        <f>LOOKUP(Observaciones[[#This Row],[Caso de Prueba]],CasoPrueba[Código CP],CasoPrueba[Código de REQ])</f>
        <v>INSPECCIÓN</v>
      </c>
    </row>
    <row r="232" spans="1:12" ht="30">
      <c r="A232" s="166" t="s">
        <v>684</v>
      </c>
      <c r="B232" s="34" t="s">
        <v>630</v>
      </c>
      <c r="C232" s="34" t="str">
        <f>VLOOKUP(Observaciones[Caso de Prueba],CasoPrueba[[#All],[Código CP]:[Prioridad]],7,TRUE)</f>
        <v>Alta</v>
      </c>
      <c r="D232" s="34" t="s">
        <v>29</v>
      </c>
      <c r="E232" s="34" t="s">
        <v>47</v>
      </c>
      <c r="F232" s="73">
        <v>40835</v>
      </c>
      <c r="H232" s="94" t="s">
        <v>132</v>
      </c>
      <c r="I232" s="34" t="s">
        <v>886</v>
      </c>
      <c r="J232" s="34" t="s">
        <v>397</v>
      </c>
      <c r="K232" s="34">
        <f>IF((Observaciones[[#This Row],[Fecha Levantamiento]]-Observaciones[[#This Row],[Fecha Detección]])&gt;=0,Observaciones[[#This Row],[Fecha Levantamiento]]-Observaciones[[#This Row],[Fecha Detección]]+1,0)</f>
        <v>0</v>
      </c>
      <c r="L232" s="34" t="str">
        <f>LOOKUP(Observaciones[[#This Row],[Caso de Prueba]],CasoPrueba[Código CP],CasoPrueba[Código de REQ])</f>
        <v>INSPECCIÓN</v>
      </c>
    </row>
    <row r="233" spans="1:12" ht="30">
      <c r="A233" s="166" t="s">
        <v>685</v>
      </c>
      <c r="B233" s="34" t="s">
        <v>630</v>
      </c>
      <c r="C233" s="34" t="str">
        <f>VLOOKUP(Observaciones[Caso de Prueba],CasoPrueba[[#All],[Código CP]:[Prioridad]],7,TRUE)</f>
        <v>Alta</v>
      </c>
      <c r="D233" s="34" t="s">
        <v>29</v>
      </c>
      <c r="E233" s="34" t="s">
        <v>47</v>
      </c>
      <c r="F233" s="73">
        <v>40835</v>
      </c>
      <c r="H233" s="94" t="s">
        <v>132</v>
      </c>
      <c r="I233" s="34" t="s">
        <v>887</v>
      </c>
      <c r="J233" s="34" t="s">
        <v>924</v>
      </c>
      <c r="K233" s="34">
        <f>IF((Observaciones[[#This Row],[Fecha Levantamiento]]-Observaciones[[#This Row],[Fecha Detección]])&gt;=0,Observaciones[[#This Row],[Fecha Levantamiento]]-Observaciones[[#This Row],[Fecha Detección]]+1,0)</f>
        <v>0</v>
      </c>
      <c r="L233" s="34" t="str">
        <f>LOOKUP(Observaciones[[#This Row],[Caso de Prueba]],CasoPrueba[Código CP],CasoPrueba[Código de REQ])</f>
        <v>INSPECCIÓN</v>
      </c>
    </row>
    <row r="234" spans="1:12" ht="30.75" customHeight="1">
      <c r="A234" s="166" t="s">
        <v>686</v>
      </c>
      <c r="B234" s="34" t="s">
        <v>630</v>
      </c>
      <c r="C234" s="34" t="str">
        <f>VLOOKUP(Observaciones[Caso de Prueba],CasoPrueba[[#All],[Código CP]:[Prioridad]],7,TRUE)</f>
        <v>Alta</v>
      </c>
      <c r="D234" s="34" t="s">
        <v>29</v>
      </c>
      <c r="E234" s="34" t="s">
        <v>47</v>
      </c>
      <c r="F234" s="73">
        <v>40835</v>
      </c>
      <c r="H234" s="94" t="s">
        <v>132</v>
      </c>
      <c r="I234" s="34" t="s">
        <v>888</v>
      </c>
      <c r="J234" s="34" t="s">
        <v>925</v>
      </c>
      <c r="K234" s="34">
        <f>IF((Observaciones[[#This Row],[Fecha Levantamiento]]-Observaciones[[#This Row],[Fecha Detección]])&gt;=0,Observaciones[[#This Row],[Fecha Levantamiento]]-Observaciones[[#This Row],[Fecha Detección]]+1,0)</f>
        <v>0</v>
      </c>
      <c r="L234" s="34" t="str">
        <f>LOOKUP(Observaciones[[#This Row],[Caso de Prueba]],CasoPrueba[Código CP],CasoPrueba[Código de REQ])</f>
        <v>INSPECCIÓN</v>
      </c>
    </row>
    <row r="235" spans="1:12" ht="90">
      <c r="A235" s="166" t="s">
        <v>687</v>
      </c>
      <c r="B235" s="34" t="s">
        <v>630</v>
      </c>
      <c r="C235" s="34" t="str">
        <f>VLOOKUP(Observaciones[Caso de Prueba],CasoPrueba[[#All],[Código CP]:[Prioridad]],7,TRUE)</f>
        <v>Alta</v>
      </c>
      <c r="D235" s="34" t="s">
        <v>29</v>
      </c>
      <c r="E235" s="34" t="s">
        <v>47</v>
      </c>
      <c r="F235" s="73">
        <v>40835</v>
      </c>
      <c r="H235" s="94" t="s">
        <v>132</v>
      </c>
      <c r="I235" s="34" t="s">
        <v>889</v>
      </c>
      <c r="J235" s="34" t="s">
        <v>926</v>
      </c>
      <c r="K235" s="34">
        <f>IF((Observaciones[[#This Row],[Fecha Levantamiento]]-Observaciones[[#This Row],[Fecha Detección]])&gt;=0,Observaciones[[#This Row],[Fecha Levantamiento]]-Observaciones[[#This Row],[Fecha Detección]]+1,0)</f>
        <v>0</v>
      </c>
      <c r="L235" s="34" t="str">
        <f>LOOKUP(Observaciones[[#This Row],[Caso de Prueba]],CasoPrueba[Código CP],CasoPrueba[Código de REQ])</f>
        <v>INSPECCIÓN</v>
      </c>
    </row>
    <row r="236" spans="1:12" ht="45" hidden="1">
      <c r="A236" s="166" t="s">
        <v>688</v>
      </c>
      <c r="B236" s="34" t="s">
        <v>664</v>
      </c>
      <c r="C236" s="34" t="str">
        <f>VLOOKUP(Observaciones[Caso de Prueba],CasoPrueba[[#All],[Código CP]:[Prioridad]],7,TRUE)</f>
        <v>Alta</v>
      </c>
      <c r="D236" s="34" t="s">
        <v>28</v>
      </c>
      <c r="E236" s="34" t="s">
        <v>47</v>
      </c>
      <c r="F236" s="73">
        <v>40835</v>
      </c>
      <c r="H236" s="94" t="s">
        <v>132</v>
      </c>
      <c r="I236" s="34" t="s">
        <v>882</v>
      </c>
      <c r="K236" s="34">
        <f>IF((Observaciones[[#This Row],[Fecha Levantamiento]]-Observaciones[[#This Row],[Fecha Detección]])&gt;=0,Observaciones[[#This Row],[Fecha Levantamiento]]-Observaciones[[#This Row],[Fecha Detección]]+1,0)</f>
        <v>0</v>
      </c>
      <c r="L236" s="34" t="str">
        <f>LOOKUP(Observaciones[[#This Row],[Caso de Prueba]],CasoPrueba[Código CP],CasoPrueba[Código de REQ])</f>
        <v>INSPECCIÓN</v>
      </c>
    </row>
    <row r="237" spans="1:12" ht="45" hidden="1">
      <c r="A237" s="166" t="s">
        <v>689</v>
      </c>
      <c r="B237" s="34" t="s">
        <v>665</v>
      </c>
      <c r="C237" s="34" t="str">
        <f>VLOOKUP(Observaciones[Caso de Prueba],CasoPrueba[[#All],[Código CP]:[Prioridad]],7,TRUE)</f>
        <v>Alta</v>
      </c>
      <c r="D237" s="34" t="s">
        <v>28</v>
      </c>
      <c r="E237" s="34" t="s">
        <v>47</v>
      </c>
      <c r="F237" s="73">
        <v>40835</v>
      </c>
      <c r="H237" s="94" t="s">
        <v>132</v>
      </c>
      <c r="I237" s="34" t="s">
        <v>608</v>
      </c>
      <c r="K237" s="34">
        <f>IF((Observaciones[[#This Row],[Fecha Levantamiento]]-Observaciones[[#This Row],[Fecha Detección]])&gt;=0,Observaciones[[#This Row],[Fecha Levantamiento]]-Observaciones[[#This Row],[Fecha Detección]]+1,0)</f>
        <v>0</v>
      </c>
      <c r="L237" s="34" t="str">
        <f>LOOKUP(Observaciones[[#This Row],[Caso de Prueba]],CasoPrueba[Código CP],CasoPrueba[Código de REQ])</f>
        <v>INSPECCIÓN</v>
      </c>
    </row>
    <row r="238" spans="1:12" ht="45" hidden="1">
      <c r="A238" s="166" t="s">
        <v>690</v>
      </c>
      <c r="B238" s="34" t="s">
        <v>665</v>
      </c>
      <c r="C238" s="34" t="str">
        <f>VLOOKUP(Observaciones[Caso de Prueba],CasoPrueba[[#All],[Código CP]:[Prioridad]],7,TRUE)</f>
        <v>Alta</v>
      </c>
      <c r="D238" s="34" t="s">
        <v>28</v>
      </c>
      <c r="E238" s="34" t="s">
        <v>47</v>
      </c>
      <c r="F238" s="73">
        <v>40835</v>
      </c>
      <c r="H238" s="94" t="s">
        <v>132</v>
      </c>
      <c r="I238" s="34" t="s">
        <v>882</v>
      </c>
      <c r="K238" s="34">
        <f>IF((Observaciones[[#This Row],[Fecha Levantamiento]]-Observaciones[[#This Row],[Fecha Detección]])&gt;=0,Observaciones[[#This Row],[Fecha Levantamiento]]-Observaciones[[#This Row],[Fecha Detección]]+1,0)</f>
        <v>0</v>
      </c>
      <c r="L238" s="34" t="str">
        <f>LOOKUP(Observaciones[[#This Row],[Caso de Prueba]],CasoPrueba[Código CP],CasoPrueba[Código de REQ])</f>
        <v>INSPECCIÓN</v>
      </c>
    </row>
    <row r="239" spans="1:12" hidden="1">
      <c r="A239" s="166" t="s">
        <v>691</v>
      </c>
      <c r="C239" s="34" t="e">
        <f>VLOOKUP(Observaciones[Caso de Prueba],CasoPrueba[[#All],[Código CP]:[Prioridad]],7,TRUE)</f>
        <v>#N/A</v>
      </c>
      <c r="K239" s="34">
        <f>IF((Observaciones[[#This Row],[Fecha Levantamiento]]-Observaciones[[#This Row],[Fecha Detección]])&gt;=0,Observaciones[[#This Row],[Fecha Levantamiento]]-Observaciones[[#This Row],[Fecha Detección]]+1,0)</f>
        <v>1</v>
      </c>
      <c r="L239" s="34" t="e">
        <f>LOOKUP(Observaciones[[#This Row],[Caso de Prueba]],CasoPrueba[Código CP],CasoPrueba[Código de REQ])</f>
        <v>#N/A</v>
      </c>
    </row>
    <row r="240" spans="1:12" hidden="1">
      <c r="A240" s="166" t="s">
        <v>692</v>
      </c>
      <c r="C240" s="34" t="e">
        <f>VLOOKUP(Observaciones[Caso de Prueba],CasoPrueba[[#All],[Código CP]:[Prioridad]],7,TRUE)</f>
        <v>#N/A</v>
      </c>
      <c r="K240" s="34">
        <f>IF((Observaciones[[#This Row],[Fecha Levantamiento]]-Observaciones[[#This Row],[Fecha Detección]])&gt;=0,Observaciones[[#This Row],[Fecha Levantamiento]]-Observaciones[[#This Row],[Fecha Detección]]+1,0)</f>
        <v>1</v>
      </c>
      <c r="L240" s="34" t="e">
        <f>LOOKUP(Observaciones[[#This Row],[Caso de Prueba]],CasoPrueba[Código CP],CasoPrueba[Código de REQ])</f>
        <v>#N/A</v>
      </c>
    </row>
    <row r="241" spans="1:12" hidden="1">
      <c r="A241" s="166" t="s">
        <v>693</v>
      </c>
      <c r="C241" s="34" t="e">
        <f>VLOOKUP(Observaciones[Caso de Prueba],CasoPrueba[[#All],[Código CP]:[Prioridad]],7,TRUE)</f>
        <v>#N/A</v>
      </c>
      <c r="K241" s="34">
        <f>IF((Observaciones[[#This Row],[Fecha Levantamiento]]-Observaciones[[#This Row],[Fecha Detección]])&gt;=0,Observaciones[[#This Row],[Fecha Levantamiento]]-Observaciones[[#This Row],[Fecha Detección]]+1,0)</f>
        <v>1</v>
      </c>
      <c r="L241" s="34" t="e">
        <f>LOOKUP(Observaciones[[#This Row],[Caso de Prueba]],CasoPrueba[Código CP],CasoPrueba[Código de REQ])</f>
        <v>#N/A</v>
      </c>
    </row>
    <row r="242" spans="1:12" hidden="1">
      <c r="A242" s="166" t="s">
        <v>694</v>
      </c>
      <c r="C242" s="34" t="e">
        <f>VLOOKUP(Observaciones[Caso de Prueba],CasoPrueba[[#All],[Código CP]:[Prioridad]],7,TRUE)</f>
        <v>#N/A</v>
      </c>
      <c r="K242" s="34">
        <f>IF((Observaciones[[#This Row],[Fecha Levantamiento]]-Observaciones[[#This Row],[Fecha Detección]])&gt;=0,Observaciones[[#This Row],[Fecha Levantamiento]]-Observaciones[[#This Row],[Fecha Detección]]+1,0)</f>
        <v>1</v>
      </c>
      <c r="L242" s="34" t="e">
        <f>LOOKUP(Observaciones[[#This Row],[Caso de Prueba]],CasoPrueba[Código CP],CasoPrueba[Código de REQ])</f>
        <v>#N/A</v>
      </c>
    </row>
    <row r="243" spans="1:12" hidden="1">
      <c r="A243" s="166" t="s">
        <v>695</v>
      </c>
      <c r="C243" s="34" t="e">
        <f>VLOOKUP(Observaciones[Caso de Prueba],CasoPrueba[[#All],[Código CP]:[Prioridad]],7,TRUE)</f>
        <v>#N/A</v>
      </c>
      <c r="K243" s="34">
        <f>IF((Observaciones[[#This Row],[Fecha Levantamiento]]-Observaciones[[#This Row],[Fecha Detección]])&gt;=0,Observaciones[[#This Row],[Fecha Levantamiento]]-Observaciones[[#This Row],[Fecha Detección]]+1,0)</f>
        <v>1</v>
      </c>
      <c r="L243" s="34" t="e">
        <f>LOOKUP(Observaciones[[#This Row],[Caso de Prueba]],CasoPrueba[Código CP],CasoPrueba[Código de REQ])</f>
        <v>#N/A</v>
      </c>
    </row>
    <row r="244" spans="1:12" hidden="1">
      <c r="A244" s="166" t="s">
        <v>696</v>
      </c>
      <c r="C244" s="34" t="e">
        <f>VLOOKUP(Observaciones[Caso de Prueba],CasoPrueba[[#All],[Código CP]:[Prioridad]],7,TRUE)</f>
        <v>#N/A</v>
      </c>
      <c r="K244" s="34">
        <f>IF((Observaciones[[#This Row],[Fecha Levantamiento]]-Observaciones[[#This Row],[Fecha Detección]])&gt;=0,Observaciones[[#This Row],[Fecha Levantamiento]]-Observaciones[[#This Row],[Fecha Detección]]+1,0)</f>
        <v>1</v>
      </c>
      <c r="L244" s="34" t="e">
        <f>LOOKUP(Observaciones[[#This Row],[Caso de Prueba]],CasoPrueba[Código CP],CasoPrueba[Código de REQ])</f>
        <v>#N/A</v>
      </c>
    </row>
    <row r="245" spans="1:12" hidden="1">
      <c r="A245" s="166" t="s">
        <v>697</v>
      </c>
      <c r="C245" s="34" t="e">
        <f>VLOOKUP(Observaciones[Caso de Prueba],CasoPrueba[[#All],[Código CP]:[Prioridad]],7,TRUE)</f>
        <v>#N/A</v>
      </c>
      <c r="K245" s="34">
        <f>IF((Observaciones[[#This Row],[Fecha Levantamiento]]-Observaciones[[#This Row],[Fecha Detección]])&gt;=0,Observaciones[[#This Row],[Fecha Levantamiento]]-Observaciones[[#This Row],[Fecha Detección]]+1,0)</f>
        <v>1</v>
      </c>
      <c r="L245" s="34" t="e">
        <f>LOOKUP(Observaciones[[#This Row],[Caso de Prueba]],CasoPrueba[Código CP],CasoPrueba[Código de REQ])</f>
        <v>#N/A</v>
      </c>
    </row>
    <row r="246" spans="1:12" hidden="1">
      <c r="A246" s="166" t="s">
        <v>698</v>
      </c>
      <c r="C246" s="34" t="e">
        <f>VLOOKUP(Observaciones[Caso de Prueba],CasoPrueba[[#All],[Código CP]:[Prioridad]],7,TRUE)</f>
        <v>#N/A</v>
      </c>
      <c r="K246" s="34">
        <f>IF((Observaciones[[#This Row],[Fecha Levantamiento]]-Observaciones[[#This Row],[Fecha Detección]])&gt;=0,Observaciones[[#This Row],[Fecha Levantamiento]]-Observaciones[[#This Row],[Fecha Detección]]+1,0)</f>
        <v>1</v>
      </c>
      <c r="L246" s="34" t="e">
        <f>LOOKUP(Observaciones[[#This Row],[Caso de Prueba]],CasoPrueba[Código CP],CasoPrueba[Código de REQ])</f>
        <v>#N/A</v>
      </c>
    </row>
    <row r="247" spans="1:12" hidden="1">
      <c r="A247" s="166" t="s">
        <v>699</v>
      </c>
      <c r="C247" s="34" t="e">
        <f>VLOOKUP(Observaciones[Caso de Prueba],CasoPrueba[[#All],[Código CP]:[Prioridad]],7,TRUE)</f>
        <v>#N/A</v>
      </c>
      <c r="K247" s="34">
        <f>IF((Observaciones[[#This Row],[Fecha Levantamiento]]-Observaciones[[#This Row],[Fecha Detección]])&gt;=0,Observaciones[[#This Row],[Fecha Levantamiento]]-Observaciones[[#This Row],[Fecha Detección]]+1,0)</f>
        <v>1</v>
      </c>
      <c r="L247" s="34" t="e">
        <f>LOOKUP(Observaciones[[#This Row],[Caso de Prueba]],CasoPrueba[Código CP],CasoPrueba[Código de REQ])</f>
        <v>#N/A</v>
      </c>
    </row>
    <row r="248" spans="1:12" hidden="1">
      <c r="A248" s="166" t="s">
        <v>700</v>
      </c>
      <c r="C248" s="34" t="e">
        <f>VLOOKUP(Observaciones[Caso de Prueba],CasoPrueba[[#All],[Código CP]:[Prioridad]],7,TRUE)</f>
        <v>#N/A</v>
      </c>
      <c r="K248" s="34">
        <f>IF((Observaciones[[#This Row],[Fecha Levantamiento]]-Observaciones[[#This Row],[Fecha Detección]])&gt;=0,Observaciones[[#This Row],[Fecha Levantamiento]]-Observaciones[[#This Row],[Fecha Detección]]+1,0)</f>
        <v>1</v>
      </c>
      <c r="L248" s="34" t="e">
        <f>LOOKUP(Observaciones[[#This Row],[Caso de Prueba]],CasoPrueba[Código CP],CasoPrueba[Código de REQ])</f>
        <v>#N/A</v>
      </c>
    </row>
    <row r="249" spans="1:12" hidden="1">
      <c r="A249" s="166" t="s">
        <v>701</v>
      </c>
      <c r="C249" s="34" t="e">
        <f>VLOOKUP(Observaciones[Caso de Prueba],CasoPrueba[[#All],[Código CP]:[Prioridad]],7,TRUE)</f>
        <v>#N/A</v>
      </c>
      <c r="K249" s="34">
        <f>IF((Observaciones[[#This Row],[Fecha Levantamiento]]-Observaciones[[#This Row],[Fecha Detección]])&gt;=0,Observaciones[[#This Row],[Fecha Levantamiento]]-Observaciones[[#This Row],[Fecha Detección]]+1,0)</f>
        <v>1</v>
      </c>
      <c r="L249" s="34" t="e">
        <f>LOOKUP(Observaciones[[#This Row],[Caso de Prueba]],CasoPrueba[Código CP],CasoPrueba[Código de REQ])</f>
        <v>#N/A</v>
      </c>
    </row>
    <row r="250" spans="1:12" hidden="1">
      <c r="A250" s="166" t="s">
        <v>702</v>
      </c>
      <c r="C250" s="34" t="e">
        <f>VLOOKUP(Observaciones[Caso de Prueba],CasoPrueba[[#All],[Código CP]:[Prioridad]],7,TRUE)</f>
        <v>#N/A</v>
      </c>
      <c r="K250" s="34">
        <f>IF((Observaciones[[#This Row],[Fecha Levantamiento]]-Observaciones[[#This Row],[Fecha Detección]])&gt;=0,Observaciones[[#This Row],[Fecha Levantamiento]]-Observaciones[[#This Row],[Fecha Detección]]+1,0)</f>
        <v>1</v>
      </c>
      <c r="L250" s="34" t="e">
        <f>LOOKUP(Observaciones[[#This Row],[Caso de Prueba]],CasoPrueba[Código CP],CasoPrueba[Código de REQ])</f>
        <v>#N/A</v>
      </c>
    </row>
    <row r="251" spans="1:12" hidden="1">
      <c r="A251" s="166" t="s">
        <v>703</v>
      </c>
      <c r="C251" s="34" t="e">
        <f>VLOOKUP(Observaciones[Caso de Prueba],CasoPrueba[[#All],[Código CP]:[Prioridad]],7,TRUE)</f>
        <v>#N/A</v>
      </c>
      <c r="K251" s="34">
        <f>IF((Observaciones[[#This Row],[Fecha Levantamiento]]-Observaciones[[#This Row],[Fecha Detección]])&gt;=0,Observaciones[[#This Row],[Fecha Levantamiento]]-Observaciones[[#This Row],[Fecha Detección]]+1,0)</f>
        <v>1</v>
      </c>
      <c r="L251" s="34" t="e">
        <f>LOOKUP(Observaciones[[#This Row],[Caso de Prueba]],CasoPrueba[Código CP],CasoPrueba[Código de REQ])</f>
        <v>#N/A</v>
      </c>
    </row>
    <row r="252" spans="1:12" hidden="1">
      <c r="A252" s="166" t="s">
        <v>704</v>
      </c>
      <c r="C252" s="34" t="e">
        <f>VLOOKUP(Observaciones[Caso de Prueba],CasoPrueba[[#All],[Código CP]:[Prioridad]],7,TRUE)</f>
        <v>#N/A</v>
      </c>
      <c r="K252" s="34">
        <f>IF((Observaciones[[#This Row],[Fecha Levantamiento]]-Observaciones[[#This Row],[Fecha Detección]])&gt;=0,Observaciones[[#This Row],[Fecha Levantamiento]]-Observaciones[[#This Row],[Fecha Detección]]+1,0)</f>
        <v>1</v>
      </c>
      <c r="L252" s="34" t="e">
        <f>LOOKUP(Observaciones[[#This Row],[Caso de Prueba]],CasoPrueba[Código CP],CasoPrueba[Código de REQ])</f>
        <v>#N/A</v>
      </c>
    </row>
    <row r="253" spans="1:12" hidden="1">
      <c r="A253" s="166" t="s">
        <v>705</v>
      </c>
      <c r="C253" s="34" t="e">
        <f>VLOOKUP(Observaciones[Caso de Prueba],CasoPrueba[[#All],[Código CP]:[Prioridad]],7,TRUE)</f>
        <v>#N/A</v>
      </c>
      <c r="K253" s="34">
        <f>IF((Observaciones[[#This Row],[Fecha Levantamiento]]-Observaciones[[#This Row],[Fecha Detección]])&gt;=0,Observaciones[[#This Row],[Fecha Levantamiento]]-Observaciones[[#This Row],[Fecha Detección]]+1,0)</f>
        <v>1</v>
      </c>
      <c r="L253" s="34" t="e">
        <f>LOOKUP(Observaciones[[#This Row],[Caso de Prueba]],CasoPrueba[Código CP],CasoPrueba[Código de REQ])</f>
        <v>#N/A</v>
      </c>
    </row>
    <row r="254" spans="1:12" hidden="1">
      <c r="A254" s="166" t="s">
        <v>706</v>
      </c>
      <c r="C254" s="34" t="e">
        <f>VLOOKUP(Observaciones[Caso de Prueba],CasoPrueba[[#All],[Código CP]:[Prioridad]],7,TRUE)</f>
        <v>#N/A</v>
      </c>
      <c r="K254" s="34">
        <f>IF((Observaciones[[#This Row],[Fecha Levantamiento]]-Observaciones[[#This Row],[Fecha Detección]])&gt;=0,Observaciones[[#This Row],[Fecha Levantamiento]]-Observaciones[[#This Row],[Fecha Detección]]+1,0)</f>
        <v>1</v>
      </c>
      <c r="L254" s="34" t="e">
        <f>LOOKUP(Observaciones[[#This Row],[Caso de Prueba]],CasoPrueba[Código CP],CasoPrueba[Código de REQ])</f>
        <v>#N/A</v>
      </c>
    </row>
    <row r="255" spans="1:12" hidden="1">
      <c r="A255" s="166" t="s">
        <v>707</v>
      </c>
      <c r="C255" s="34" t="e">
        <f>VLOOKUP(Observaciones[Caso de Prueba],CasoPrueba[[#All],[Código CP]:[Prioridad]],7,TRUE)</f>
        <v>#N/A</v>
      </c>
      <c r="K255" s="34">
        <f>IF((Observaciones[[#This Row],[Fecha Levantamiento]]-Observaciones[[#This Row],[Fecha Detección]])&gt;=0,Observaciones[[#This Row],[Fecha Levantamiento]]-Observaciones[[#This Row],[Fecha Detección]]+1,0)</f>
        <v>1</v>
      </c>
      <c r="L255" s="34" t="e">
        <f>LOOKUP(Observaciones[[#This Row],[Caso de Prueba]],CasoPrueba[Código CP],CasoPrueba[Código de REQ])</f>
        <v>#N/A</v>
      </c>
    </row>
    <row r="256" spans="1:12" hidden="1">
      <c r="A256" s="166" t="s">
        <v>708</v>
      </c>
      <c r="C256" s="34" t="e">
        <f>VLOOKUP(Observaciones[Caso de Prueba],CasoPrueba[[#All],[Código CP]:[Prioridad]],7,TRUE)</f>
        <v>#N/A</v>
      </c>
      <c r="K256" s="34">
        <f>IF((Observaciones[[#This Row],[Fecha Levantamiento]]-Observaciones[[#This Row],[Fecha Detección]])&gt;=0,Observaciones[[#This Row],[Fecha Levantamiento]]-Observaciones[[#This Row],[Fecha Detección]]+1,0)</f>
        <v>1</v>
      </c>
      <c r="L256" s="34" t="e">
        <f>LOOKUP(Observaciones[[#This Row],[Caso de Prueba]],CasoPrueba[Código CP],CasoPrueba[Código de REQ])</f>
        <v>#N/A</v>
      </c>
    </row>
    <row r="257" spans="1:12" hidden="1">
      <c r="A257" s="166" t="s">
        <v>709</v>
      </c>
      <c r="C257" s="34" t="e">
        <f>VLOOKUP(Observaciones[Caso de Prueba],CasoPrueba[[#All],[Código CP]:[Prioridad]],7,TRUE)</f>
        <v>#N/A</v>
      </c>
      <c r="K257" s="34">
        <f>IF((Observaciones[[#This Row],[Fecha Levantamiento]]-Observaciones[[#This Row],[Fecha Detección]])&gt;=0,Observaciones[[#This Row],[Fecha Levantamiento]]-Observaciones[[#This Row],[Fecha Detección]]+1,0)</f>
        <v>1</v>
      </c>
      <c r="L257" s="34" t="e">
        <f>LOOKUP(Observaciones[[#This Row],[Caso de Prueba]],CasoPrueba[Código CP],CasoPrueba[Código de REQ])</f>
        <v>#N/A</v>
      </c>
    </row>
    <row r="258" spans="1:12" hidden="1">
      <c r="A258" s="166" t="s">
        <v>710</v>
      </c>
      <c r="C258" s="34" t="e">
        <f>VLOOKUP(Observaciones[Caso de Prueba],CasoPrueba[[#All],[Código CP]:[Prioridad]],7,TRUE)</f>
        <v>#N/A</v>
      </c>
      <c r="K258" s="34">
        <f>IF((Observaciones[[#This Row],[Fecha Levantamiento]]-Observaciones[[#This Row],[Fecha Detección]])&gt;=0,Observaciones[[#This Row],[Fecha Levantamiento]]-Observaciones[[#This Row],[Fecha Detección]]+1,0)</f>
        <v>1</v>
      </c>
      <c r="L258" s="34" t="e">
        <f>LOOKUP(Observaciones[[#This Row],[Caso de Prueba]],CasoPrueba[Código CP],CasoPrueba[Código de REQ])</f>
        <v>#N/A</v>
      </c>
    </row>
    <row r="259" spans="1:12" hidden="1">
      <c r="A259" s="166" t="s">
        <v>711</v>
      </c>
      <c r="C259" s="34" t="e">
        <f>VLOOKUP(Observaciones[Caso de Prueba],CasoPrueba[[#All],[Código CP]:[Prioridad]],7,TRUE)</f>
        <v>#N/A</v>
      </c>
      <c r="K259" s="34">
        <f>IF((Observaciones[[#This Row],[Fecha Levantamiento]]-Observaciones[[#This Row],[Fecha Detección]])&gt;=0,Observaciones[[#This Row],[Fecha Levantamiento]]-Observaciones[[#This Row],[Fecha Detección]]+1,0)</f>
        <v>1</v>
      </c>
      <c r="L259" s="34" t="e">
        <f>LOOKUP(Observaciones[[#This Row],[Caso de Prueba]],CasoPrueba[Código CP],CasoPrueba[Código de REQ])</f>
        <v>#N/A</v>
      </c>
    </row>
    <row r="260" spans="1:12" hidden="1">
      <c r="A260" s="166" t="s">
        <v>712</v>
      </c>
      <c r="C260" s="34" t="e">
        <f>VLOOKUP(Observaciones[Caso de Prueba],CasoPrueba[[#All],[Código CP]:[Prioridad]],7,TRUE)</f>
        <v>#N/A</v>
      </c>
      <c r="K260" s="34">
        <f>IF((Observaciones[[#This Row],[Fecha Levantamiento]]-Observaciones[[#This Row],[Fecha Detección]])&gt;=0,Observaciones[[#This Row],[Fecha Levantamiento]]-Observaciones[[#This Row],[Fecha Detección]]+1,0)</f>
        <v>1</v>
      </c>
      <c r="L260" s="34" t="e">
        <f>LOOKUP(Observaciones[[#This Row],[Caso de Prueba]],CasoPrueba[Código CP],CasoPrueba[Código de REQ])</f>
        <v>#N/A</v>
      </c>
    </row>
    <row r="261" spans="1:12" hidden="1">
      <c r="A261" s="166" t="s">
        <v>713</v>
      </c>
      <c r="C261" s="34" t="e">
        <f>VLOOKUP(Observaciones[Caso de Prueba],CasoPrueba[[#All],[Código CP]:[Prioridad]],7,TRUE)</f>
        <v>#N/A</v>
      </c>
      <c r="K261" s="34">
        <f>IF((Observaciones[[#This Row],[Fecha Levantamiento]]-Observaciones[[#This Row],[Fecha Detección]])&gt;=0,Observaciones[[#This Row],[Fecha Levantamiento]]-Observaciones[[#This Row],[Fecha Detección]]+1,0)</f>
        <v>1</v>
      </c>
      <c r="L261" s="34" t="e">
        <f>LOOKUP(Observaciones[[#This Row],[Caso de Prueba]],CasoPrueba[Código CP],CasoPrueba[Código de REQ])</f>
        <v>#N/A</v>
      </c>
    </row>
    <row r="262" spans="1:12" hidden="1">
      <c r="A262" s="166" t="s">
        <v>714</v>
      </c>
      <c r="C262" s="34" t="e">
        <f>VLOOKUP(Observaciones[Caso de Prueba],CasoPrueba[[#All],[Código CP]:[Prioridad]],7,TRUE)</f>
        <v>#N/A</v>
      </c>
      <c r="K262" s="34">
        <f>IF((Observaciones[[#This Row],[Fecha Levantamiento]]-Observaciones[[#This Row],[Fecha Detección]])&gt;=0,Observaciones[[#This Row],[Fecha Levantamiento]]-Observaciones[[#This Row],[Fecha Detección]]+1,0)</f>
        <v>1</v>
      </c>
      <c r="L262" s="34" t="e">
        <f>LOOKUP(Observaciones[[#This Row],[Caso de Prueba]],CasoPrueba[Código CP],CasoPrueba[Código de REQ])</f>
        <v>#N/A</v>
      </c>
    </row>
    <row r="263" spans="1:12" hidden="1">
      <c r="A263" s="166" t="s">
        <v>715</v>
      </c>
      <c r="C263" s="34" t="e">
        <f>VLOOKUP(Observaciones[Caso de Prueba],CasoPrueba[[#All],[Código CP]:[Prioridad]],7,TRUE)</f>
        <v>#N/A</v>
      </c>
      <c r="K263" s="34">
        <f>IF((Observaciones[[#This Row],[Fecha Levantamiento]]-Observaciones[[#This Row],[Fecha Detección]])&gt;=0,Observaciones[[#This Row],[Fecha Levantamiento]]-Observaciones[[#This Row],[Fecha Detección]]+1,0)</f>
        <v>1</v>
      </c>
      <c r="L263" s="34" t="e">
        <f>LOOKUP(Observaciones[[#This Row],[Caso de Prueba]],CasoPrueba[Código CP],CasoPrueba[Código de REQ])</f>
        <v>#N/A</v>
      </c>
    </row>
    <row r="264" spans="1:12" hidden="1">
      <c r="A264" s="166" t="s">
        <v>716</v>
      </c>
      <c r="C264" s="34" t="e">
        <f>VLOOKUP(Observaciones[Caso de Prueba],CasoPrueba[[#All],[Código CP]:[Prioridad]],7,TRUE)</f>
        <v>#N/A</v>
      </c>
      <c r="K264" s="34">
        <f>IF((Observaciones[[#This Row],[Fecha Levantamiento]]-Observaciones[[#This Row],[Fecha Detección]])&gt;=0,Observaciones[[#This Row],[Fecha Levantamiento]]-Observaciones[[#This Row],[Fecha Detección]]+1,0)</f>
        <v>1</v>
      </c>
      <c r="L264" s="34" t="e">
        <f>LOOKUP(Observaciones[[#This Row],[Caso de Prueba]],CasoPrueba[Código CP],CasoPrueba[Código de REQ])</f>
        <v>#N/A</v>
      </c>
    </row>
    <row r="265" spans="1:12" hidden="1">
      <c r="A265" s="166" t="s">
        <v>717</v>
      </c>
      <c r="C265" s="34" t="e">
        <f>VLOOKUP(Observaciones[Caso de Prueba],CasoPrueba[[#All],[Código CP]:[Prioridad]],7,TRUE)</f>
        <v>#N/A</v>
      </c>
      <c r="K265" s="34">
        <f>IF((Observaciones[[#This Row],[Fecha Levantamiento]]-Observaciones[[#This Row],[Fecha Detección]])&gt;=0,Observaciones[[#This Row],[Fecha Levantamiento]]-Observaciones[[#This Row],[Fecha Detección]]+1,0)</f>
        <v>1</v>
      </c>
      <c r="L265" s="34" t="e">
        <f>LOOKUP(Observaciones[[#This Row],[Caso de Prueba]],CasoPrueba[Código CP],CasoPrueba[Código de REQ])</f>
        <v>#N/A</v>
      </c>
    </row>
    <row r="266" spans="1:12" hidden="1">
      <c r="A266" s="166" t="s">
        <v>718</v>
      </c>
      <c r="C266" s="34" t="e">
        <f>VLOOKUP(Observaciones[Caso de Prueba],CasoPrueba[[#All],[Código CP]:[Prioridad]],7,TRUE)</f>
        <v>#N/A</v>
      </c>
      <c r="K266" s="34">
        <f>IF((Observaciones[[#This Row],[Fecha Levantamiento]]-Observaciones[[#This Row],[Fecha Detección]])&gt;=0,Observaciones[[#This Row],[Fecha Levantamiento]]-Observaciones[[#This Row],[Fecha Detección]]+1,0)</f>
        <v>1</v>
      </c>
      <c r="L266" s="34" t="e">
        <f>LOOKUP(Observaciones[[#This Row],[Caso de Prueba]],CasoPrueba[Código CP],CasoPrueba[Código de REQ])</f>
        <v>#N/A</v>
      </c>
    </row>
    <row r="267" spans="1:12" hidden="1">
      <c r="A267" s="166" t="s">
        <v>719</v>
      </c>
      <c r="C267" s="34" t="e">
        <f>VLOOKUP(Observaciones[Caso de Prueba],CasoPrueba[[#All],[Código CP]:[Prioridad]],7,TRUE)</f>
        <v>#N/A</v>
      </c>
      <c r="K267" s="34">
        <f>IF((Observaciones[[#This Row],[Fecha Levantamiento]]-Observaciones[[#This Row],[Fecha Detección]])&gt;=0,Observaciones[[#This Row],[Fecha Levantamiento]]-Observaciones[[#This Row],[Fecha Detección]]+1,0)</f>
        <v>1</v>
      </c>
      <c r="L267" s="34" t="e">
        <f>LOOKUP(Observaciones[[#This Row],[Caso de Prueba]],CasoPrueba[Código CP],CasoPrueba[Código de REQ])</f>
        <v>#N/A</v>
      </c>
    </row>
    <row r="268" spans="1:12" hidden="1">
      <c r="A268" s="166" t="s">
        <v>720</v>
      </c>
      <c r="C268" s="34" t="e">
        <f>VLOOKUP(Observaciones[Caso de Prueba],CasoPrueba[[#All],[Código CP]:[Prioridad]],7,TRUE)</f>
        <v>#N/A</v>
      </c>
      <c r="K268" s="34">
        <f>IF((Observaciones[[#This Row],[Fecha Levantamiento]]-Observaciones[[#This Row],[Fecha Detección]])&gt;=0,Observaciones[[#This Row],[Fecha Levantamiento]]-Observaciones[[#This Row],[Fecha Detección]]+1,0)</f>
        <v>1</v>
      </c>
      <c r="L268" s="34" t="e">
        <f>LOOKUP(Observaciones[[#This Row],[Caso de Prueba]],CasoPrueba[Código CP],CasoPrueba[Código de REQ])</f>
        <v>#N/A</v>
      </c>
    </row>
    <row r="269" spans="1:12" hidden="1">
      <c r="A269" s="166" t="s">
        <v>721</v>
      </c>
      <c r="C269" s="34" t="e">
        <f>VLOOKUP(Observaciones[Caso de Prueba],CasoPrueba[[#All],[Código CP]:[Prioridad]],7,TRUE)</f>
        <v>#N/A</v>
      </c>
      <c r="K269" s="34">
        <f>IF((Observaciones[[#This Row],[Fecha Levantamiento]]-Observaciones[[#This Row],[Fecha Detección]])&gt;=0,Observaciones[[#This Row],[Fecha Levantamiento]]-Observaciones[[#This Row],[Fecha Detección]]+1,0)</f>
        <v>1</v>
      </c>
      <c r="L269" s="34" t="e">
        <f>LOOKUP(Observaciones[[#This Row],[Caso de Prueba]],CasoPrueba[Código CP],CasoPrueba[Código de REQ])</f>
        <v>#N/A</v>
      </c>
    </row>
    <row r="270" spans="1:12" hidden="1">
      <c r="A270" s="166" t="s">
        <v>722</v>
      </c>
      <c r="C270" s="34" t="e">
        <f>VLOOKUP(Observaciones[Caso de Prueba],CasoPrueba[[#All],[Código CP]:[Prioridad]],7,TRUE)</f>
        <v>#N/A</v>
      </c>
      <c r="K270" s="34">
        <f>IF((Observaciones[[#This Row],[Fecha Levantamiento]]-Observaciones[[#This Row],[Fecha Detección]])&gt;=0,Observaciones[[#This Row],[Fecha Levantamiento]]-Observaciones[[#This Row],[Fecha Detección]]+1,0)</f>
        <v>1</v>
      </c>
      <c r="L270" s="34" t="e">
        <f>LOOKUP(Observaciones[[#This Row],[Caso de Prueba]],CasoPrueba[Código CP],CasoPrueba[Código de REQ])</f>
        <v>#N/A</v>
      </c>
    </row>
    <row r="271" spans="1:12" hidden="1">
      <c r="A271" s="166" t="s">
        <v>723</v>
      </c>
      <c r="C271" s="34" t="e">
        <f>VLOOKUP(Observaciones[Caso de Prueba],CasoPrueba[[#All],[Código CP]:[Prioridad]],7,TRUE)</f>
        <v>#N/A</v>
      </c>
      <c r="K271" s="34">
        <f>IF((Observaciones[[#This Row],[Fecha Levantamiento]]-Observaciones[[#This Row],[Fecha Detección]])&gt;=0,Observaciones[[#This Row],[Fecha Levantamiento]]-Observaciones[[#This Row],[Fecha Detección]]+1,0)</f>
        <v>1</v>
      </c>
      <c r="L271" s="34" t="e">
        <f>LOOKUP(Observaciones[[#This Row],[Caso de Prueba]],CasoPrueba[Código CP],CasoPrueba[Código de REQ])</f>
        <v>#N/A</v>
      </c>
    </row>
    <row r="272" spans="1:12" hidden="1">
      <c r="A272" s="166" t="s">
        <v>724</v>
      </c>
      <c r="C272" s="34" t="e">
        <f>VLOOKUP(Observaciones[Caso de Prueba],CasoPrueba[[#All],[Código CP]:[Prioridad]],7,TRUE)</f>
        <v>#N/A</v>
      </c>
      <c r="K272" s="34">
        <f>IF((Observaciones[[#This Row],[Fecha Levantamiento]]-Observaciones[[#This Row],[Fecha Detección]])&gt;=0,Observaciones[[#This Row],[Fecha Levantamiento]]-Observaciones[[#This Row],[Fecha Detección]]+1,0)</f>
        <v>1</v>
      </c>
      <c r="L272" s="34" t="e">
        <f>LOOKUP(Observaciones[[#This Row],[Caso de Prueba]],CasoPrueba[Código CP],CasoPrueba[Código de REQ])</f>
        <v>#N/A</v>
      </c>
    </row>
    <row r="273" spans="1:12" hidden="1">
      <c r="A273" s="166" t="s">
        <v>725</v>
      </c>
      <c r="C273" s="34" t="e">
        <f>VLOOKUP(Observaciones[Caso de Prueba],CasoPrueba[[#All],[Código CP]:[Prioridad]],7,TRUE)</f>
        <v>#N/A</v>
      </c>
      <c r="K273" s="34">
        <f>IF((Observaciones[[#This Row],[Fecha Levantamiento]]-Observaciones[[#This Row],[Fecha Detección]])&gt;=0,Observaciones[[#This Row],[Fecha Levantamiento]]-Observaciones[[#This Row],[Fecha Detección]]+1,0)</f>
        <v>1</v>
      </c>
      <c r="L273" s="34" t="e">
        <f>LOOKUP(Observaciones[[#This Row],[Caso de Prueba]],CasoPrueba[Código CP],CasoPrueba[Código de REQ])</f>
        <v>#N/A</v>
      </c>
    </row>
    <row r="274" spans="1:12" hidden="1">
      <c r="A274" s="166" t="s">
        <v>726</v>
      </c>
      <c r="C274" s="34" t="e">
        <f>VLOOKUP(Observaciones[Caso de Prueba],CasoPrueba[[#All],[Código CP]:[Prioridad]],7,TRUE)</f>
        <v>#N/A</v>
      </c>
      <c r="K274" s="34">
        <f>IF((Observaciones[[#This Row],[Fecha Levantamiento]]-Observaciones[[#This Row],[Fecha Detección]])&gt;=0,Observaciones[[#This Row],[Fecha Levantamiento]]-Observaciones[[#This Row],[Fecha Detección]]+1,0)</f>
        <v>1</v>
      </c>
      <c r="L274" s="34" t="e">
        <f>LOOKUP(Observaciones[[#This Row],[Caso de Prueba]],CasoPrueba[Código CP],CasoPrueba[Código de REQ])</f>
        <v>#N/A</v>
      </c>
    </row>
    <row r="275" spans="1:12" hidden="1">
      <c r="A275" s="166" t="s">
        <v>727</v>
      </c>
      <c r="C275" s="34" t="e">
        <f>VLOOKUP(Observaciones[Caso de Prueba],CasoPrueba[[#All],[Código CP]:[Prioridad]],7,TRUE)</f>
        <v>#N/A</v>
      </c>
      <c r="K275" s="34">
        <f>IF((Observaciones[[#This Row],[Fecha Levantamiento]]-Observaciones[[#This Row],[Fecha Detección]])&gt;=0,Observaciones[[#This Row],[Fecha Levantamiento]]-Observaciones[[#This Row],[Fecha Detección]]+1,0)</f>
        <v>1</v>
      </c>
      <c r="L275" s="34" t="e">
        <f>LOOKUP(Observaciones[[#This Row],[Caso de Prueba]],CasoPrueba[Código CP],CasoPrueba[Código de REQ])</f>
        <v>#N/A</v>
      </c>
    </row>
    <row r="276" spans="1:12" hidden="1">
      <c r="A276" s="166" t="s">
        <v>728</v>
      </c>
      <c r="C276" s="34" t="e">
        <f>VLOOKUP(Observaciones[Caso de Prueba],CasoPrueba[[#All],[Código CP]:[Prioridad]],7,TRUE)</f>
        <v>#N/A</v>
      </c>
      <c r="K276" s="34">
        <f>IF((Observaciones[[#This Row],[Fecha Levantamiento]]-Observaciones[[#This Row],[Fecha Detección]])&gt;=0,Observaciones[[#This Row],[Fecha Levantamiento]]-Observaciones[[#This Row],[Fecha Detección]]+1,0)</f>
        <v>1</v>
      </c>
      <c r="L276" s="34" t="e">
        <f>LOOKUP(Observaciones[[#This Row],[Caso de Prueba]],CasoPrueba[Código CP],CasoPrueba[Código de REQ])</f>
        <v>#N/A</v>
      </c>
    </row>
    <row r="277" spans="1:12" hidden="1">
      <c r="A277" s="166" t="s">
        <v>729</v>
      </c>
      <c r="C277" s="34" t="e">
        <f>VLOOKUP(Observaciones[Caso de Prueba],CasoPrueba[[#All],[Código CP]:[Prioridad]],7,TRUE)</f>
        <v>#N/A</v>
      </c>
      <c r="K277" s="34">
        <f>IF((Observaciones[[#This Row],[Fecha Levantamiento]]-Observaciones[[#This Row],[Fecha Detección]])&gt;=0,Observaciones[[#This Row],[Fecha Levantamiento]]-Observaciones[[#This Row],[Fecha Detección]]+1,0)</f>
        <v>1</v>
      </c>
      <c r="L277" s="34" t="e">
        <f>LOOKUP(Observaciones[[#This Row],[Caso de Prueba]],CasoPrueba[Código CP],CasoPrueba[Código de REQ])</f>
        <v>#N/A</v>
      </c>
    </row>
    <row r="278" spans="1:12" hidden="1">
      <c r="A278" s="166" t="s">
        <v>730</v>
      </c>
      <c r="C278" s="34" t="e">
        <f>VLOOKUP(Observaciones[Caso de Prueba],CasoPrueba[[#All],[Código CP]:[Prioridad]],7,TRUE)</f>
        <v>#N/A</v>
      </c>
      <c r="K278" s="34">
        <f>IF((Observaciones[[#This Row],[Fecha Levantamiento]]-Observaciones[[#This Row],[Fecha Detección]])&gt;=0,Observaciones[[#This Row],[Fecha Levantamiento]]-Observaciones[[#This Row],[Fecha Detección]]+1,0)</f>
        <v>1</v>
      </c>
      <c r="L278" s="34" t="e">
        <f>LOOKUP(Observaciones[[#This Row],[Caso de Prueba]],CasoPrueba[Código CP],CasoPrueba[Código de REQ])</f>
        <v>#N/A</v>
      </c>
    </row>
    <row r="279" spans="1:12" hidden="1">
      <c r="A279" s="166" t="s">
        <v>731</v>
      </c>
      <c r="C279" s="34" t="e">
        <f>VLOOKUP(Observaciones[Caso de Prueba],CasoPrueba[[#All],[Código CP]:[Prioridad]],7,TRUE)</f>
        <v>#N/A</v>
      </c>
      <c r="K279" s="34">
        <f>IF((Observaciones[[#This Row],[Fecha Levantamiento]]-Observaciones[[#This Row],[Fecha Detección]])&gt;=0,Observaciones[[#This Row],[Fecha Levantamiento]]-Observaciones[[#This Row],[Fecha Detección]]+1,0)</f>
        <v>1</v>
      </c>
      <c r="L279" s="34" t="e">
        <f>LOOKUP(Observaciones[[#This Row],[Caso de Prueba]],CasoPrueba[Código CP],CasoPrueba[Código de REQ])</f>
        <v>#N/A</v>
      </c>
    </row>
    <row r="280" spans="1:12" hidden="1">
      <c r="A280" s="166" t="s">
        <v>732</v>
      </c>
      <c r="C280" s="34" t="e">
        <f>VLOOKUP(Observaciones[Caso de Prueba],CasoPrueba[[#All],[Código CP]:[Prioridad]],7,TRUE)</f>
        <v>#N/A</v>
      </c>
      <c r="K280" s="34">
        <f>IF((Observaciones[[#This Row],[Fecha Levantamiento]]-Observaciones[[#This Row],[Fecha Detección]])&gt;=0,Observaciones[[#This Row],[Fecha Levantamiento]]-Observaciones[[#This Row],[Fecha Detección]]+1,0)</f>
        <v>1</v>
      </c>
      <c r="L280" s="34" t="e">
        <f>LOOKUP(Observaciones[[#This Row],[Caso de Prueba]],CasoPrueba[Código CP],CasoPrueba[Código de REQ])</f>
        <v>#N/A</v>
      </c>
    </row>
    <row r="281" spans="1:12" hidden="1">
      <c r="A281" s="166" t="s">
        <v>733</v>
      </c>
      <c r="C281" s="34" t="e">
        <f>VLOOKUP(Observaciones[Caso de Prueba],CasoPrueba[[#All],[Código CP]:[Prioridad]],7,TRUE)</f>
        <v>#N/A</v>
      </c>
      <c r="K281" s="34">
        <f>IF((Observaciones[[#This Row],[Fecha Levantamiento]]-Observaciones[[#This Row],[Fecha Detección]])&gt;=0,Observaciones[[#This Row],[Fecha Levantamiento]]-Observaciones[[#This Row],[Fecha Detección]]+1,0)</f>
        <v>1</v>
      </c>
      <c r="L281" s="34" t="e">
        <f>LOOKUP(Observaciones[[#This Row],[Caso de Prueba]],CasoPrueba[Código CP],CasoPrueba[Código de REQ])</f>
        <v>#N/A</v>
      </c>
    </row>
    <row r="282" spans="1:12" hidden="1">
      <c r="A282" s="166" t="s">
        <v>734</v>
      </c>
      <c r="C282" s="34" t="e">
        <f>VLOOKUP(Observaciones[Caso de Prueba],CasoPrueba[[#All],[Código CP]:[Prioridad]],7,TRUE)</f>
        <v>#N/A</v>
      </c>
      <c r="K282" s="34">
        <f>IF((Observaciones[[#This Row],[Fecha Levantamiento]]-Observaciones[[#This Row],[Fecha Detección]])&gt;=0,Observaciones[[#This Row],[Fecha Levantamiento]]-Observaciones[[#This Row],[Fecha Detección]]+1,0)</f>
        <v>1</v>
      </c>
      <c r="L282" s="34" t="e">
        <f>LOOKUP(Observaciones[[#This Row],[Caso de Prueba]],CasoPrueba[Código CP],CasoPrueba[Código de REQ])</f>
        <v>#N/A</v>
      </c>
    </row>
    <row r="283" spans="1:12" hidden="1">
      <c r="A283" s="166" t="s">
        <v>735</v>
      </c>
      <c r="C283" s="34" t="e">
        <f>VLOOKUP(Observaciones[Caso de Prueba],CasoPrueba[[#All],[Código CP]:[Prioridad]],7,TRUE)</f>
        <v>#N/A</v>
      </c>
      <c r="K283" s="34">
        <f>IF((Observaciones[[#This Row],[Fecha Levantamiento]]-Observaciones[[#This Row],[Fecha Detección]])&gt;=0,Observaciones[[#This Row],[Fecha Levantamiento]]-Observaciones[[#This Row],[Fecha Detección]]+1,0)</f>
        <v>1</v>
      </c>
      <c r="L283" s="34" t="e">
        <f>LOOKUP(Observaciones[[#This Row],[Caso de Prueba]],CasoPrueba[Código CP],CasoPrueba[Código de REQ])</f>
        <v>#N/A</v>
      </c>
    </row>
    <row r="284" spans="1:12" hidden="1">
      <c r="A284" s="166" t="s">
        <v>736</v>
      </c>
      <c r="C284" s="34" t="e">
        <f>VLOOKUP(Observaciones[Caso de Prueba],CasoPrueba[[#All],[Código CP]:[Prioridad]],7,TRUE)</f>
        <v>#N/A</v>
      </c>
      <c r="K284" s="34">
        <f>IF((Observaciones[[#This Row],[Fecha Levantamiento]]-Observaciones[[#This Row],[Fecha Detección]])&gt;=0,Observaciones[[#This Row],[Fecha Levantamiento]]-Observaciones[[#This Row],[Fecha Detección]]+1,0)</f>
        <v>1</v>
      </c>
      <c r="L284" s="34" t="e">
        <f>LOOKUP(Observaciones[[#This Row],[Caso de Prueba]],CasoPrueba[Código CP],CasoPrueba[Código de REQ])</f>
        <v>#N/A</v>
      </c>
    </row>
    <row r="285" spans="1:12" hidden="1">
      <c r="A285" s="166" t="s">
        <v>737</v>
      </c>
      <c r="C285" s="34" t="e">
        <f>VLOOKUP(Observaciones[Caso de Prueba],CasoPrueba[[#All],[Código CP]:[Prioridad]],7,TRUE)</f>
        <v>#N/A</v>
      </c>
      <c r="K285" s="34">
        <f>IF((Observaciones[[#This Row],[Fecha Levantamiento]]-Observaciones[[#This Row],[Fecha Detección]])&gt;=0,Observaciones[[#This Row],[Fecha Levantamiento]]-Observaciones[[#This Row],[Fecha Detección]]+1,0)</f>
        <v>1</v>
      </c>
      <c r="L285" s="34" t="e">
        <f>LOOKUP(Observaciones[[#This Row],[Caso de Prueba]],CasoPrueba[Código CP],CasoPrueba[Código de REQ])</f>
        <v>#N/A</v>
      </c>
    </row>
    <row r="286" spans="1:12" hidden="1">
      <c r="A286" s="166" t="s">
        <v>738</v>
      </c>
      <c r="C286" s="34" t="e">
        <f>VLOOKUP(Observaciones[Caso de Prueba],CasoPrueba[[#All],[Código CP]:[Prioridad]],7,TRUE)</f>
        <v>#N/A</v>
      </c>
      <c r="K286" s="34">
        <f>IF((Observaciones[[#This Row],[Fecha Levantamiento]]-Observaciones[[#This Row],[Fecha Detección]])&gt;=0,Observaciones[[#This Row],[Fecha Levantamiento]]-Observaciones[[#This Row],[Fecha Detección]]+1,0)</f>
        <v>1</v>
      </c>
      <c r="L286" s="34" t="e">
        <f>LOOKUP(Observaciones[[#This Row],[Caso de Prueba]],CasoPrueba[Código CP],CasoPrueba[Código de REQ])</f>
        <v>#N/A</v>
      </c>
    </row>
    <row r="287" spans="1:12" hidden="1">
      <c r="A287" s="166" t="s">
        <v>739</v>
      </c>
      <c r="C287" s="34" t="e">
        <f>VLOOKUP(Observaciones[Caso de Prueba],CasoPrueba[[#All],[Código CP]:[Prioridad]],7,TRUE)</f>
        <v>#N/A</v>
      </c>
      <c r="K287" s="34">
        <f>IF((Observaciones[[#This Row],[Fecha Levantamiento]]-Observaciones[[#This Row],[Fecha Detección]])&gt;=0,Observaciones[[#This Row],[Fecha Levantamiento]]-Observaciones[[#This Row],[Fecha Detección]]+1,0)</f>
        <v>1</v>
      </c>
      <c r="L287" s="34" t="e">
        <f>LOOKUP(Observaciones[[#This Row],[Caso de Prueba]],CasoPrueba[Código CP],CasoPrueba[Código de REQ])</f>
        <v>#N/A</v>
      </c>
    </row>
    <row r="288" spans="1:12" hidden="1">
      <c r="A288" s="166" t="s">
        <v>740</v>
      </c>
      <c r="C288" s="34" t="e">
        <f>VLOOKUP(Observaciones[Caso de Prueba],CasoPrueba[[#All],[Código CP]:[Prioridad]],7,TRUE)</f>
        <v>#N/A</v>
      </c>
      <c r="K288" s="34">
        <f>IF((Observaciones[[#This Row],[Fecha Levantamiento]]-Observaciones[[#This Row],[Fecha Detección]])&gt;=0,Observaciones[[#This Row],[Fecha Levantamiento]]-Observaciones[[#This Row],[Fecha Detección]]+1,0)</f>
        <v>1</v>
      </c>
      <c r="L288" s="34" t="e">
        <f>LOOKUP(Observaciones[[#This Row],[Caso de Prueba]],CasoPrueba[Código CP],CasoPrueba[Código de REQ])</f>
        <v>#N/A</v>
      </c>
    </row>
    <row r="289" spans="1:12" hidden="1">
      <c r="A289" s="166" t="s">
        <v>741</v>
      </c>
      <c r="C289" s="34" t="e">
        <f>VLOOKUP(Observaciones[Caso de Prueba],CasoPrueba[[#All],[Código CP]:[Prioridad]],7,TRUE)</f>
        <v>#N/A</v>
      </c>
      <c r="K289" s="34">
        <f>IF((Observaciones[[#This Row],[Fecha Levantamiento]]-Observaciones[[#This Row],[Fecha Detección]])&gt;=0,Observaciones[[#This Row],[Fecha Levantamiento]]-Observaciones[[#This Row],[Fecha Detección]]+1,0)</f>
        <v>1</v>
      </c>
      <c r="L289" s="34" t="e">
        <f>LOOKUP(Observaciones[[#This Row],[Caso de Prueba]],CasoPrueba[Código CP],CasoPrueba[Código de REQ])</f>
        <v>#N/A</v>
      </c>
    </row>
    <row r="290" spans="1:12" hidden="1">
      <c r="A290" s="166" t="s">
        <v>742</v>
      </c>
      <c r="C290" s="34" t="e">
        <f>VLOOKUP(Observaciones[Caso de Prueba],CasoPrueba[[#All],[Código CP]:[Prioridad]],7,TRUE)</f>
        <v>#N/A</v>
      </c>
      <c r="K290" s="34">
        <f>IF((Observaciones[[#This Row],[Fecha Levantamiento]]-Observaciones[[#This Row],[Fecha Detección]])&gt;=0,Observaciones[[#This Row],[Fecha Levantamiento]]-Observaciones[[#This Row],[Fecha Detección]]+1,0)</f>
        <v>1</v>
      </c>
      <c r="L290" s="34" t="e">
        <f>LOOKUP(Observaciones[[#This Row],[Caso de Prueba]],CasoPrueba[Código CP],CasoPrueba[Código de REQ])</f>
        <v>#N/A</v>
      </c>
    </row>
    <row r="291" spans="1:12" hidden="1">
      <c r="A291" s="166" t="s">
        <v>743</v>
      </c>
      <c r="C291" s="34" t="e">
        <f>VLOOKUP(Observaciones[Caso de Prueba],CasoPrueba[[#All],[Código CP]:[Prioridad]],7,TRUE)</f>
        <v>#N/A</v>
      </c>
      <c r="K291" s="34">
        <f>IF((Observaciones[[#This Row],[Fecha Levantamiento]]-Observaciones[[#This Row],[Fecha Detección]])&gt;=0,Observaciones[[#This Row],[Fecha Levantamiento]]-Observaciones[[#This Row],[Fecha Detección]]+1,0)</f>
        <v>1</v>
      </c>
      <c r="L291" s="34" t="e">
        <f>LOOKUP(Observaciones[[#This Row],[Caso de Prueba]],CasoPrueba[Código CP],CasoPrueba[Código de REQ])</f>
        <v>#N/A</v>
      </c>
    </row>
    <row r="292" spans="1:12" hidden="1">
      <c r="A292" s="166" t="s">
        <v>744</v>
      </c>
      <c r="C292" s="34" t="e">
        <f>VLOOKUP(Observaciones[Caso de Prueba],CasoPrueba[[#All],[Código CP]:[Prioridad]],7,TRUE)</f>
        <v>#N/A</v>
      </c>
      <c r="K292" s="34">
        <f>IF((Observaciones[[#This Row],[Fecha Levantamiento]]-Observaciones[[#This Row],[Fecha Detección]])&gt;=0,Observaciones[[#This Row],[Fecha Levantamiento]]-Observaciones[[#This Row],[Fecha Detección]]+1,0)</f>
        <v>1</v>
      </c>
      <c r="L292" s="34" t="e">
        <f>LOOKUP(Observaciones[[#This Row],[Caso de Prueba]],CasoPrueba[Código CP],CasoPrueba[Código de REQ])</f>
        <v>#N/A</v>
      </c>
    </row>
    <row r="293" spans="1:12" hidden="1">
      <c r="A293" s="166" t="s">
        <v>745</v>
      </c>
      <c r="C293" s="34" t="e">
        <f>VLOOKUP(Observaciones[Caso de Prueba],CasoPrueba[[#All],[Código CP]:[Prioridad]],7,TRUE)</f>
        <v>#N/A</v>
      </c>
      <c r="K293" s="34">
        <f>IF((Observaciones[[#This Row],[Fecha Levantamiento]]-Observaciones[[#This Row],[Fecha Detección]])&gt;=0,Observaciones[[#This Row],[Fecha Levantamiento]]-Observaciones[[#This Row],[Fecha Detección]]+1,0)</f>
        <v>1</v>
      </c>
      <c r="L293" s="34" t="e">
        <f>LOOKUP(Observaciones[[#This Row],[Caso de Prueba]],CasoPrueba[Código CP],CasoPrueba[Código de REQ])</f>
        <v>#N/A</v>
      </c>
    </row>
    <row r="294" spans="1:12" hidden="1">
      <c r="A294" s="166" t="s">
        <v>746</v>
      </c>
      <c r="C294" s="34" t="e">
        <f>VLOOKUP(Observaciones[Caso de Prueba],CasoPrueba[[#All],[Código CP]:[Prioridad]],7,TRUE)</f>
        <v>#N/A</v>
      </c>
      <c r="K294" s="34">
        <f>IF((Observaciones[[#This Row],[Fecha Levantamiento]]-Observaciones[[#This Row],[Fecha Detección]])&gt;=0,Observaciones[[#This Row],[Fecha Levantamiento]]-Observaciones[[#This Row],[Fecha Detección]]+1,0)</f>
        <v>1</v>
      </c>
      <c r="L294" s="34" t="e">
        <f>LOOKUP(Observaciones[[#This Row],[Caso de Prueba]],CasoPrueba[Código CP],CasoPrueba[Código de REQ])</f>
        <v>#N/A</v>
      </c>
    </row>
    <row r="295" spans="1:12" hidden="1">
      <c r="A295" s="166" t="s">
        <v>747</v>
      </c>
      <c r="C295" s="34" t="e">
        <f>VLOOKUP(Observaciones[Caso de Prueba],CasoPrueba[[#All],[Código CP]:[Prioridad]],7,TRUE)</f>
        <v>#N/A</v>
      </c>
      <c r="K295" s="34">
        <f>IF((Observaciones[[#This Row],[Fecha Levantamiento]]-Observaciones[[#This Row],[Fecha Detección]])&gt;=0,Observaciones[[#This Row],[Fecha Levantamiento]]-Observaciones[[#This Row],[Fecha Detección]]+1,0)</f>
        <v>1</v>
      </c>
      <c r="L295" s="34" t="e">
        <f>LOOKUP(Observaciones[[#This Row],[Caso de Prueba]],CasoPrueba[Código CP],CasoPrueba[Código de REQ])</f>
        <v>#N/A</v>
      </c>
    </row>
    <row r="296" spans="1:12" hidden="1">
      <c r="A296" s="166" t="s">
        <v>748</v>
      </c>
      <c r="C296" s="34" t="e">
        <f>VLOOKUP(Observaciones[Caso de Prueba],CasoPrueba[[#All],[Código CP]:[Prioridad]],7,TRUE)</f>
        <v>#N/A</v>
      </c>
      <c r="K296" s="34">
        <f>IF((Observaciones[[#This Row],[Fecha Levantamiento]]-Observaciones[[#This Row],[Fecha Detección]])&gt;=0,Observaciones[[#This Row],[Fecha Levantamiento]]-Observaciones[[#This Row],[Fecha Detección]]+1,0)</f>
        <v>1</v>
      </c>
      <c r="L296" s="34" t="e">
        <f>LOOKUP(Observaciones[[#This Row],[Caso de Prueba]],CasoPrueba[Código CP],CasoPrueba[Código de REQ])</f>
        <v>#N/A</v>
      </c>
    </row>
    <row r="297" spans="1:12" hidden="1">
      <c r="A297" s="166" t="s">
        <v>749</v>
      </c>
      <c r="C297" s="34" t="e">
        <f>VLOOKUP(Observaciones[Caso de Prueba],CasoPrueba[[#All],[Código CP]:[Prioridad]],7,TRUE)</f>
        <v>#N/A</v>
      </c>
      <c r="K297" s="34">
        <f>IF((Observaciones[[#This Row],[Fecha Levantamiento]]-Observaciones[[#This Row],[Fecha Detección]])&gt;=0,Observaciones[[#This Row],[Fecha Levantamiento]]-Observaciones[[#This Row],[Fecha Detección]]+1,0)</f>
        <v>1</v>
      </c>
      <c r="L297" s="34" t="e">
        <f>LOOKUP(Observaciones[[#This Row],[Caso de Prueba]],CasoPrueba[Código CP],CasoPrueba[Código de REQ])</f>
        <v>#N/A</v>
      </c>
    </row>
    <row r="298" spans="1:12" hidden="1">
      <c r="A298" s="166" t="s">
        <v>750</v>
      </c>
      <c r="C298" s="34" t="e">
        <f>VLOOKUP(Observaciones[Caso de Prueba],CasoPrueba[[#All],[Código CP]:[Prioridad]],7,TRUE)</f>
        <v>#N/A</v>
      </c>
      <c r="K298" s="34">
        <f>IF((Observaciones[[#This Row],[Fecha Levantamiento]]-Observaciones[[#This Row],[Fecha Detección]])&gt;=0,Observaciones[[#This Row],[Fecha Levantamiento]]-Observaciones[[#This Row],[Fecha Detección]]+1,0)</f>
        <v>1</v>
      </c>
      <c r="L298" s="34" t="e">
        <f>LOOKUP(Observaciones[[#This Row],[Caso de Prueba]],CasoPrueba[Código CP],CasoPrueba[Código de REQ])</f>
        <v>#N/A</v>
      </c>
    </row>
    <row r="299" spans="1:12" hidden="1">
      <c r="A299" s="166" t="s">
        <v>751</v>
      </c>
      <c r="C299" s="34" t="e">
        <f>VLOOKUP(Observaciones[Caso de Prueba],CasoPrueba[[#All],[Código CP]:[Prioridad]],7,TRUE)</f>
        <v>#N/A</v>
      </c>
      <c r="K299" s="34">
        <f>IF((Observaciones[[#This Row],[Fecha Levantamiento]]-Observaciones[[#This Row],[Fecha Detección]])&gt;=0,Observaciones[[#This Row],[Fecha Levantamiento]]-Observaciones[[#This Row],[Fecha Detección]]+1,0)</f>
        <v>1</v>
      </c>
      <c r="L299" s="34" t="e">
        <f>LOOKUP(Observaciones[[#This Row],[Caso de Prueba]],CasoPrueba[Código CP],CasoPrueba[Código de REQ])</f>
        <v>#N/A</v>
      </c>
    </row>
    <row r="300" spans="1:12" hidden="1">
      <c r="A300" s="166" t="s">
        <v>752</v>
      </c>
      <c r="C300" s="34" t="e">
        <f>VLOOKUP(Observaciones[Caso de Prueba],CasoPrueba[[#All],[Código CP]:[Prioridad]],7,TRUE)</f>
        <v>#N/A</v>
      </c>
      <c r="K300" s="34">
        <f>IF((Observaciones[[#This Row],[Fecha Levantamiento]]-Observaciones[[#This Row],[Fecha Detección]])&gt;=0,Observaciones[[#This Row],[Fecha Levantamiento]]-Observaciones[[#This Row],[Fecha Detección]]+1,0)</f>
        <v>1</v>
      </c>
      <c r="L300" s="34" t="e">
        <f>LOOKUP(Observaciones[[#This Row],[Caso de Prueba]],CasoPrueba[Código CP],CasoPrueba[Código de REQ])</f>
        <v>#N/A</v>
      </c>
    </row>
    <row r="301" spans="1:12" hidden="1">
      <c r="A301" s="166" t="s">
        <v>753</v>
      </c>
      <c r="C301" s="34" t="e">
        <f>VLOOKUP(Observaciones[Caso de Prueba],CasoPrueba[[#All],[Código CP]:[Prioridad]],7,TRUE)</f>
        <v>#N/A</v>
      </c>
      <c r="K301" s="34">
        <f>IF((Observaciones[[#This Row],[Fecha Levantamiento]]-Observaciones[[#This Row],[Fecha Detección]])&gt;=0,Observaciones[[#This Row],[Fecha Levantamiento]]-Observaciones[[#This Row],[Fecha Detección]]+1,0)</f>
        <v>1</v>
      </c>
      <c r="L301" s="34" t="e">
        <f>LOOKUP(Observaciones[[#This Row],[Caso de Prueba]],CasoPrueba[Código CP],CasoPrueba[Código de REQ])</f>
        <v>#N/A</v>
      </c>
    </row>
    <row r="302" spans="1:12" hidden="1">
      <c r="A302" s="166" t="s">
        <v>754</v>
      </c>
      <c r="C302" s="34" t="e">
        <f>VLOOKUP(Observaciones[Caso de Prueba],CasoPrueba[[#All],[Código CP]:[Prioridad]],7,TRUE)</f>
        <v>#N/A</v>
      </c>
      <c r="K302" s="34">
        <f>IF((Observaciones[[#This Row],[Fecha Levantamiento]]-Observaciones[[#This Row],[Fecha Detección]])&gt;=0,Observaciones[[#This Row],[Fecha Levantamiento]]-Observaciones[[#This Row],[Fecha Detección]]+1,0)</f>
        <v>1</v>
      </c>
      <c r="L302" s="34" t="e">
        <f>LOOKUP(Observaciones[[#This Row],[Caso de Prueba]],CasoPrueba[Código CP],CasoPrueba[Código de REQ])</f>
        <v>#N/A</v>
      </c>
    </row>
    <row r="303" spans="1:12" hidden="1">
      <c r="A303" s="166" t="s">
        <v>755</v>
      </c>
      <c r="C303" s="34" t="e">
        <f>VLOOKUP(Observaciones[Caso de Prueba],CasoPrueba[[#All],[Código CP]:[Prioridad]],7,TRUE)</f>
        <v>#N/A</v>
      </c>
      <c r="K303" s="34">
        <f>IF((Observaciones[[#This Row],[Fecha Levantamiento]]-Observaciones[[#This Row],[Fecha Detección]])&gt;=0,Observaciones[[#This Row],[Fecha Levantamiento]]-Observaciones[[#This Row],[Fecha Detección]]+1,0)</f>
        <v>1</v>
      </c>
      <c r="L303" s="34" t="e">
        <f>LOOKUP(Observaciones[[#This Row],[Caso de Prueba]],CasoPrueba[Código CP],CasoPrueba[Código de REQ])</f>
        <v>#N/A</v>
      </c>
    </row>
    <row r="304" spans="1:12" hidden="1">
      <c r="A304" s="166" t="s">
        <v>756</v>
      </c>
      <c r="C304" s="34" t="e">
        <f>VLOOKUP(Observaciones[Caso de Prueba],CasoPrueba[[#All],[Código CP]:[Prioridad]],7,TRUE)</f>
        <v>#N/A</v>
      </c>
      <c r="K304" s="34">
        <f>IF((Observaciones[[#This Row],[Fecha Levantamiento]]-Observaciones[[#This Row],[Fecha Detección]])&gt;=0,Observaciones[[#This Row],[Fecha Levantamiento]]-Observaciones[[#This Row],[Fecha Detección]]+1,0)</f>
        <v>1</v>
      </c>
      <c r="L304" s="34" t="e">
        <f>LOOKUP(Observaciones[[#This Row],[Caso de Prueba]],CasoPrueba[Código CP],CasoPrueba[Código de REQ])</f>
        <v>#N/A</v>
      </c>
    </row>
    <row r="305" spans="1:12" hidden="1">
      <c r="A305" s="166" t="s">
        <v>757</v>
      </c>
      <c r="C305" s="34" t="e">
        <f>VLOOKUP(Observaciones[Caso de Prueba],CasoPrueba[[#All],[Código CP]:[Prioridad]],7,TRUE)</f>
        <v>#N/A</v>
      </c>
      <c r="K305" s="34">
        <f>IF((Observaciones[[#This Row],[Fecha Levantamiento]]-Observaciones[[#This Row],[Fecha Detección]])&gt;=0,Observaciones[[#This Row],[Fecha Levantamiento]]-Observaciones[[#This Row],[Fecha Detección]]+1,0)</f>
        <v>1</v>
      </c>
      <c r="L305" s="34" t="e">
        <f>LOOKUP(Observaciones[[#This Row],[Caso de Prueba]],CasoPrueba[Código CP],CasoPrueba[Código de REQ])</f>
        <v>#N/A</v>
      </c>
    </row>
    <row r="306" spans="1:12" hidden="1">
      <c r="A306" s="166" t="s">
        <v>758</v>
      </c>
      <c r="C306" s="34" t="e">
        <f>VLOOKUP(Observaciones[Caso de Prueba],CasoPrueba[[#All],[Código CP]:[Prioridad]],7,TRUE)</f>
        <v>#N/A</v>
      </c>
      <c r="K306" s="34">
        <f>IF((Observaciones[[#This Row],[Fecha Levantamiento]]-Observaciones[[#This Row],[Fecha Detección]])&gt;=0,Observaciones[[#This Row],[Fecha Levantamiento]]-Observaciones[[#This Row],[Fecha Detección]]+1,0)</f>
        <v>1</v>
      </c>
      <c r="L306" s="34" t="e">
        <f>LOOKUP(Observaciones[[#This Row],[Caso de Prueba]],CasoPrueba[Código CP],CasoPrueba[Código de REQ])</f>
        <v>#N/A</v>
      </c>
    </row>
    <row r="307" spans="1:12" hidden="1">
      <c r="A307" s="166" t="s">
        <v>759</v>
      </c>
      <c r="C307" s="34" t="e">
        <f>VLOOKUP(Observaciones[Caso de Prueba],CasoPrueba[[#All],[Código CP]:[Prioridad]],7,TRUE)</f>
        <v>#N/A</v>
      </c>
      <c r="K307" s="34">
        <f>IF((Observaciones[[#This Row],[Fecha Levantamiento]]-Observaciones[[#This Row],[Fecha Detección]])&gt;=0,Observaciones[[#This Row],[Fecha Levantamiento]]-Observaciones[[#This Row],[Fecha Detección]]+1,0)</f>
        <v>1</v>
      </c>
      <c r="L307" s="34" t="e">
        <f>LOOKUP(Observaciones[[#This Row],[Caso de Prueba]],CasoPrueba[Código CP],CasoPrueba[Código de REQ])</f>
        <v>#N/A</v>
      </c>
    </row>
    <row r="308" spans="1:12" hidden="1">
      <c r="A308" s="166" t="s">
        <v>760</v>
      </c>
      <c r="C308" s="34" t="e">
        <f>VLOOKUP(Observaciones[Caso de Prueba],CasoPrueba[[#All],[Código CP]:[Prioridad]],7,TRUE)</f>
        <v>#N/A</v>
      </c>
      <c r="K308" s="34">
        <f>IF((Observaciones[[#This Row],[Fecha Levantamiento]]-Observaciones[[#This Row],[Fecha Detección]])&gt;=0,Observaciones[[#This Row],[Fecha Levantamiento]]-Observaciones[[#This Row],[Fecha Detección]]+1,0)</f>
        <v>1</v>
      </c>
      <c r="L308" s="34" t="e">
        <f>LOOKUP(Observaciones[[#This Row],[Caso de Prueba]],CasoPrueba[Código CP],CasoPrueba[Código de REQ])</f>
        <v>#N/A</v>
      </c>
    </row>
    <row r="309" spans="1:12" hidden="1">
      <c r="A309" s="166" t="s">
        <v>761</v>
      </c>
      <c r="C309" s="34" t="e">
        <f>VLOOKUP(Observaciones[Caso de Prueba],CasoPrueba[[#All],[Código CP]:[Prioridad]],7,TRUE)</f>
        <v>#N/A</v>
      </c>
      <c r="K309" s="34">
        <f>IF((Observaciones[[#This Row],[Fecha Levantamiento]]-Observaciones[[#This Row],[Fecha Detección]])&gt;=0,Observaciones[[#This Row],[Fecha Levantamiento]]-Observaciones[[#This Row],[Fecha Detección]]+1,0)</f>
        <v>1</v>
      </c>
      <c r="L309" s="34" t="e">
        <f>LOOKUP(Observaciones[[#This Row],[Caso de Prueba]],CasoPrueba[Código CP],CasoPrueba[Código de REQ])</f>
        <v>#N/A</v>
      </c>
    </row>
    <row r="310" spans="1:12" hidden="1">
      <c r="A310" s="166" t="s">
        <v>762</v>
      </c>
      <c r="C310" s="34" t="e">
        <f>VLOOKUP(Observaciones[Caso de Prueba],CasoPrueba[[#All],[Código CP]:[Prioridad]],7,TRUE)</f>
        <v>#N/A</v>
      </c>
      <c r="K310" s="34">
        <f>IF((Observaciones[[#This Row],[Fecha Levantamiento]]-Observaciones[[#This Row],[Fecha Detección]])&gt;=0,Observaciones[[#This Row],[Fecha Levantamiento]]-Observaciones[[#This Row],[Fecha Detección]]+1,0)</f>
        <v>1</v>
      </c>
      <c r="L310" s="34" t="e">
        <f>LOOKUP(Observaciones[[#This Row],[Caso de Prueba]],CasoPrueba[Código CP],CasoPrueba[Código de REQ])</f>
        <v>#N/A</v>
      </c>
    </row>
    <row r="311" spans="1:12" hidden="1">
      <c r="A311" s="166" t="s">
        <v>763</v>
      </c>
      <c r="C311" s="34" t="e">
        <f>VLOOKUP(Observaciones[Caso de Prueba],CasoPrueba[[#All],[Código CP]:[Prioridad]],7,TRUE)</f>
        <v>#N/A</v>
      </c>
      <c r="K311" s="34">
        <f>IF((Observaciones[[#This Row],[Fecha Levantamiento]]-Observaciones[[#This Row],[Fecha Detección]])&gt;=0,Observaciones[[#This Row],[Fecha Levantamiento]]-Observaciones[[#This Row],[Fecha Detección]]+1,0)</f>
        <v>1</v>
      </c>
      <c r="L311" s="34" t="e">
        <f>LOOKUP(Observaciones[[#This Row],[Caso de Prueba]],CasoPrueba[Código CP],CasoPrueba[Código de REQ])</f>
        <v>#N/A</v>
      </c>
    </row>
    <row r="312" spans="1:12" hidden="1">
      <c r="A312" s="166" t="s">
        <v>764</v>
      </c>
      <c r="C312" s="34" t="e">
        <f>VLOOKUP(Observaciones[Caso de Prueba],CasoPrueba[[#All],[Código CP]:[Prioridad]],7,TRUE)</f>
        <v>#N/A</v>
      </c>
      <c r="K312" s="34">
        <f>IF((Observaciones[[#This Row],[Fecha Levantamiento]]-Observaciones[[#This Row],[Fecha Detección]])&gt;=0,Observaciones[[#This Row],[Fecha Levantamiento]]-Observaciones[[#This Row],[Fecha Detección]]+1,0)</f>
        <v>1</v>
      </c>
      <c r="L312" s="34" t="e">
        <f>LOOKUP(Observaciones[[#This Row],[Caso de Prueba]],CasoPrueba[Código CP],CasoPrueba[Código de REQ])</f>
        <v>#N/A</v>
      </c>
    </row>
    <row r="313" spans="1:12" hidden="1">
      <c r="A313" s="166" t="s">
        <v>765</v>
      </c>
      <c r="C313" s="34" t="e">
        <f>VLOOKUP(Observaciones[Caso de Prueba],CasoPrueba[[#All],[Código CP]:[Prioridad]],7,TRUE)</f>
        <v>#N/A</v>
      </c>
      <c r="K313" s="34">
        <f>IF((Observaciones[[#This Row],[Fecha Levantamiento]]-Observaciones[[#This Row],[Fecha Detección]])&gt;=0,Observaciones[[#This Row],[Fecha Levantamiento]]-Observaciones[[#This Row],[Fecha Detección]]+1,0)</f>
        <v>1</v>
      </c>
      <c r="L313" s="34" t="e">
        <f>LOOKUP(Observaciones[[#This Row],[Caso de Prueba]],CasoPrueba[Código CP],CasoPrueba[Código de REQ])</f>
        <v>#N/A</v>
      </c>
    </row>
    <row r="314" spans="1:12" hidden="1">
      <c r="A314" s="166" t="s">
        <v>766</v>
      </c>
      <c r="C314" s="34" t="e">
        <f>VLOOKUP(Observaciones[Caso de Prueba],CasoPrueba[[#All],[Código CP]:[Prioridad]],7,TRUE)</f>
        <v>#N/A</v>
      </c>
      <c r="K314" s="34">
        <f>IF((Observaciones[[#This Row],[Fecha Levantamiento]]-Observaciones[[#This Row],[Fecha Detección]])&gt;=0,Observaciones[[#This Row],[Fecha Levantamiento]]-Observaciones[[#This Row],[Fecha Detección]]+1,0)</f>
        <v>1</v>
      </c>
      <c r="L314" s="34" t="e">
        <f>LOOKUP(Observaciones[[#This Row],[Caso de Prueba]],CasoPrueba[Código CP],CasoPrueba[Código de REQ])</f>
        <v>#N/A</v>
      </c>
    </row>
    <row r="315" spans="1:12" hidden="1">
      <c r="A315" s="166" t="s">
        <v>767</v>
      </c>
      <c r="C315" s="34" t="e">
        <f>VLOOKUP(Observaciones[Caso de Prueba],CasoPrueba[[#All],[Código CP]:[Prioridad]],7,TRUE)</f>
        <v>#N/A</v>
      </c>
      <c r="K315" s="34">
        <f>IF((Observaciones[[#This Row],[Fecha Levantamiento]]-Observaciones[[#This Row],[Fecha Detección]])&gt;=0,Observaciones[[#This Row],[Fecha Levantamiento]]-Observaciones[[#This Row],[Fecha Detección]]+1,0)</f>
        <v>1</v>
      </c>
      <c r="L315" s="34" t="e">
        <f>LOOKUP(Observaciones[[#This Row],[Caso de Prueba]],CasoPrueba[Código CP],CasoPrueba[Código de REQ])</f>
        <v>#N/A</v>
      </c>
    </row>
    <row r="316" spans="1:12" hidden="1">
      <c r="A316" s="166" t="s">
        <v>768</v>
      </c>
      <c r="C316" s="34" t="e">
        <f>VLOOKUP(Observaciones[Caso de Prueba],CasoPrueba[[#All],[Código CP]:[Prioridad]],7,TRUE)</f>
        <v>#N/A</v>
      </c>
      <c r="K316" s="34">
        <f>IF((Observaciones[[#This Row],[Fecha Levantamiento]]-Observaciones[[#This Row],[Fecha Detección]])&gt;=0,Observaciones[[#This Row],[Fecha Levantamiento]]-Observaciones[[#This Row],[Fecha Detección]]+1,0)</f>
        <v>1</v>
      </c>
      <c r="L316" s="34" t="e">
        <f>LOOKUP(Observaciones[[#This Row],[Caso de Prueba]],CasoPrueba[Código CP],CasoPrueba[Código de REQ])</f>
        <v>#N/A</v>
      </c>
    </row>
    <row r="317" spans="1:12" hidden="1">
      <c r="A317" s="166" t="s">
        <v>769</v>
      </c>
      <c r="C317" s="34" t="e">
        <f>VLOOKUP(Observaciones[Caso de Prueba],CasoPrueba[[#All],[Código CP]:[Prioridad]],7,TRUE)</f>
        <v>#N/A</v>
      </c>
      <c r="K317" s="34">
        <f>IF((Observaciones[[#This Row],[Fecha Levantamiento]]-Observaciones[[#This Row],[Fecha Detección]])&gt;=0,Observaciones[[#This Row],[Fecha Levantamiento]]-Observaciones[[#This Row],[Fecha Detección]]+1,0)</f>
        <v>1</v>
      </c>
      <c r="L317" s="34" t="e">
        <f>LOOKUP(Observaciones[[#This Row],[Caso de Prueba]],CasoPrueba[Código CP],CasoPrueba[Código de REQ])</f>
        <v>#N/A</v>
      </c>
    </row>
    <row r="318" spans="1:12" hidden="1">
      <c r="A318" s="166" t="s">
        <v>770</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771</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772</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773</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774</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775</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776</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777</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778</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779</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780</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781</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782</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783</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784</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785</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786</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787</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788</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789</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790</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791</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792</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793</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794</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795</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796</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797</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798</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799</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800</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801</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802</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803</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804</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805</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806</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807</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808</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809</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810</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811</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812</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813</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D150:D185 D3:D148 D190:D191 D193:D215 D218:D238</xm:sqref>
        </x14:dataValidation>
        <x14:dataValidation type="list" allowBlank="1" showInputMessage="1" showErrorMessage="1">
          <x14:formula1>
            <xm:f>Resumen!$P$22:$P$24</xm:f>
          </x14:formula1>
          <xm:sqref>E3:E238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9"/>
  <sheetViews>
    <sheetView zoomScale="85" zoomScaleNormal="85" workbookViewId="0">
      <selection activeCell="L15" sqref="L15"/>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2011-10-22T06:16:09Z</dcterms:modified>
</cp:coreProperties>
</file>