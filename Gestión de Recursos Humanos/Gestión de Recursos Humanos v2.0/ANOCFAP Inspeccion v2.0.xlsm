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3560" windowHeight="846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calcPr calcId="144525"/>
  <pivotCaches>
    <pivotCache cacheId="18" r:id="rId8"/>
    <pivotCache cacheId="19" r:id="rId9"/>
    <pivotCache cacheId="20" r:id="rId10"/>
    <pivotCache cacheId="21" r:id="rId11"/>
    <pivotCache cacheId="22" r:id="rId12"/>
    <pivotCache cacheId="23" r:id="rId13"/>
  </pivotCaches>
</workbook>
</file>

<file path=xl/calcChain.xml><?xml version="1.0" encoding="utf-8"?>
<calcChain xmlns="http://schemas.openxmlformats.org/spreadsheetml/2006/main">
  <c r="C73" i="4" l="1"/>
  <c r="K73" i="4"/>
  <c r="L73" i="4"/>
  <c r="K47" i="4"/>
  <c r="L47" i="4"/>
  <c r="C47" i="4"/>
  <c r="C30" i="4"/>
  <c r="K30" i="4"/>
  <c r="L30" i="4"/>
  <c r="C71" i="4"/>
  <c r="K71" i="4"/>
  <c r="L71" i="4"/>
  <c r="C65" i="4"/>
  <c r="K65" i="4"/>
  <c r="L65" i="4"/>
  <c r="C63" i="4"/>
  <c r="K63" i="4"/>
  <c r="L63" i="4"/>
  <c r="C59" i="4"/>
  <c r="K59" i="4"/>
  <c r="L59" i="4"/>
  <c r="C52" i="4"/>
  <c r="K52" i="4"/>
  <c r="L52" i="4"/>
  <c r="C49" i="4"/>
  <c r="L49" i="4"/>
  <c r="C44" i="4"/>
  <c r="K44" i="4"/>
  <c r="L44" i="4"/>
  <c r="C33" i="4"/>
  <c r="K33" i="4"/>
  <c r="L33" i="4"/>
  <c r="C26" i="4"/>
  <c r="K26" i="4"/>
  <c r="L26" i="4"/>
  <c r="C19" i="4"/>
  <c r="K19" i="4"/>
  <c r="L19" i="4"/>
  <c r="C8" i="4"/>
  <c r="K8" i="4"/>
  <c r="L8" i="4"/>
  <c r="F14" i="3"/>
  <c r="F15" i="3"/>
  <c r="F16" i="3"/>
  <c r="F17" i="3"/>
  <c r="F18" i="3"/>
  <c r="F19" i="3"/>
  <c r="F5" i="3"/>
  <c r="F6" i="3"/>
  <c r="F7" i="3"/>
  <c r="F8" i="3"/>
  <c r="F9" i="3"/>
  <c r="F10" i="3"/>
  <c r="F11" i="3"/>
  <c r="F12" i="3"/>
  <c r="F13" i="3"/>
  <c r="Q6" i="3" l="1"/>
  <c r="Q7" i="3"/>
  <c r="Q8" i="3"/>
  <c r="Q9" i="3"/>
  <c r="Q10" i="3"/>
  <c r="Q11" i="3"/>
  <c r="Q12" i="3"/>
  <c r="Q13" i="3"/>
  <c r="Q14" i="3"/>
  <c r="Q15" i="3"/>
  <c r="Q16" i="3"/>
  <c r="Q17" i="3"/>
  <c r="Q18" i="3"/>
  <c r="Q19" i="3"/>
  <c r="C60" i="4" l="1"/>
  <c r="C72" i="4"/>
  <c r="K70" i="4"/>
  <c r="K72" i="4"/>
  <c r="L70" i="4"/>
  <c r="L72" i="4"/>
  <c r="C66" i="4"/>
  <c r="C57" i="4"/>
  <c r="C45" i="4"/>
  <c r="L4" i="4"/>
  <c r="L5" i="4"/>
  <c r="L6" i="4"/>
  <c r="L7" i="4"/>
  <c r="L9" i="4"/>
  <c r="L10" i="4"/>
  <c r="L11" i="4"/>
  <c r="L12" i="4"/>
  <c r="L13" i="4"/>
  <c r="L14" i="4"/>
  <c r="L15" i="4"/>
  <c r="L16" i="4"/>
  <c r="L17" i="4"/>
  <c r="L18" i="4"/>
  <c r="L20" i="4"/>
  <c r="L21" i="4"/>
  <c r="K21" i="4"/>
  <c r="K4" i="4"/>
  <c r="K5" i="4"/>
  <c r="K6" i="4"/>
  <c r="K7" i="4"/>
  <c r="K9" i="4"/>
  <c r="K10" i="4"/>
  <c r="K11" i="4"/>
  <c r="K12" i="4"/>
  <c r="K13" i="4"/>
  <c r="K14" i="4"/>
  <c r="K15" i="4"/>
  <c r="K16" i="4"/>
  <c r="K17" i="4"/>
  <c r="K18" i="4"/>
  <c r="K20" i="4"/>
  <c r="K39" i="4"/>
  <c r="C3" i="4"/>
  <c r="C4" i="4"/>
  <c r="C5" i="4"/>
  <c r="C6" i="4"/>
  <c r="C7" i="4"/>
  <c r="C9" i="4"/>
  <c r="C10" i="4"/>
  <c r="C11" i="4"/>
  <c r="C12" i="4"/>
  <c r="C13" i="4"/>
  <c r="C14" i="4"/>
  <c r="C15" i="4"/>
  <c r="C16" i="4"/>
  <c r="C17" i="4"/>
  <c r="C18" i="4"/>
  <c r="C20" i="4"/>
  <c r="C21" i="4"/>
  <c r="C23" i="4"/>
  <c r="C22" i="4"/>
  <c r="C24" i="4"/>
  <c r="C25" i="4"/>
  <c r="C27" i="4"/>
  <c r="C28" i="4"/>
  <c r="C29" i="4"/>
  <c r="C31" i="4"/>
  <c r="C32" i="4"/>
  <c r="C34" i="4"/>
  <c r="C35" i="4"/>
  <c r="C36" i="4"/>
  <c r="C37" i="4"/>
  <c r="C38" i="4"/>
  <c r="C39" i="4"/>
  <c r="C40" i="4"/>
  <c r="C41" i="4"/>
  <c r="C42" i="4"/>
  <c r="C43" i="4"/>
  <c r="C46" i="4"/>
  <c r="C48" i="4"/>
  <c r="C50" i="4"/>
  <c r="C51" i="4"/>
  <c r="C53" i="4"/>
  <c r="C54" i="4"/>
  <c r="C55" i="4"/>
  <c r="C56" i="4"/>
  <c r="C58" i="4"/>
  <c r="C61" i="4"/>
  <c r="C62" i="4"/>
  <c r="C64" i="4"/>
  <c r="C67" i="4"/>
  <c r="C68" i="4"/>
  <c r="C69" i="4"/>
  <c r="C70" i="4"/>
  <c r="K22" i="4"/>
  <c r="K23" i="4"/>
  <c r="K24" i="4"/>
  <c r="K25" i="4"/>
  <c r="K27" i="4"/>
  <c r="K28" i="4"/>
  <c r="K29" i="4"/>
  <c r="K31" i="4"/>
  <c r="K32" i="4"/>
  <c r="K34" i="4"/>
  <c r="K35" i="4"/>
  <c r="K36" i="4"/>
  <c r="K37" i="4"/>
  <c r="K38" i="4"/>
  <c r="K40" i="4"/>
  <c r="K41" i="4"/>
  <c r="K42" i="4"/>
  <c r="K43" i="4"/>
  <c r="K45" i="4"/>
  <c r="K46" i="4"/>
  <c r="K51" i="4"/>
  <c r="K53" i="4"/>
  <c r="K54" i="4"/>
  <c r="K55" i="4"/>
  <c r="K56" i="4"/>
  <c r="K57" i="4"/>
  <c r="K58" i="4"/>
  <c r="K60" i="4"/>
  <c r="K61" i="4"/>
  <c r="K62" i="4"/>
  <c r="K64" i="4"/>
  <c r="K66" i="4"/>
  <c r="K67" i="4"/>
  <c r="K68" i="4"/>
  <c r="K69" i="4"/>
  <c r="L22" i="4"/>
  <c r="L23" i="4"/>
  <c r="L24" i="4"/>
  <c r="L25" i="4"/>
  <c r="L27" i="4"/>
  <c r="L28" i="4"/>
  <c r="L29" i="4"/>
  <c r="L31" i="4"/>
  <c r="L32" i="4"/>
  <c r="L34" i="4"/>
  <c r="L35" i="4"/>
  <c r="L36" i="4"/>
  <c r="L37" i="4"/>
  <c r="L38" i="4"/>
  <c r="L39" i="4"/>
  <c r="L40" i="4"/>
  <c r="L41" i="4"/>
  <c r="L42" i="4"/>
  <c r="L43" i="4"/>
  <c r="L45" i="4"/>
  <c r="L46" i="4"/>
  <c r="L48" i="4"/>
  <c r="L50" i="4"/>
  <c r="L51" i="4"/>
  <c r="L53" i="4"/>
  <c r="L54" i="4"/>
  <c r="L55" i="4"/>
  <c r="L56" i="4"/>
  <c r="L57" i="4"/>
  <c r="L58" i="4"/>
  <c r="L60" i="4"/>
  <c r="L61" i="4"/>
  <c r="L62" i="4"/>
  <c r="L64" i="4"/>
  <c r="L66" i="4"/>
  <c r="L67" i="4"/>
  <c r="L68" i="4"/>
  <c r="L69" i="4"/>
  <c r="K3" i="4"/>
  <c r="L3" i="4"/>
  <c r="L14" i="3"/>
  <c r="L15" i="3"/>
  <c r="L16" i="3"/>
  <c r="L17" i="3"/>
  <c r="L18" i="3"/>
  <c r="L19" i="3"/>
  <c r="M14" i="3"/>
  <c r="M15" i="3"/>
  <c r="M16" i="3"/>
  <c r="M17" i="3"/>
  <c r="M18" i="3"/>
  <c r="M19" i="3"/>
  <c r="C10" i="2" l="1"/>
  <c r="J6" i="6"/>
  <c r="C3" i="5"/>
  <c r="J3" i="5"/>
  <c r="O5" i="6" l="1"/>
  <c r="O6" i="6"/>
  <c r="J5" i="6"/>
  <c r="Q5" i="3"/>
  <c r="L5" i="3"/>
  <c r="M5" i="3"/>
  <c r="K33" i="2"/>
  <c r="C30" i="2"/>
  <c r="E30" i="2"/>
  <c r="C31" i="2"/>
  <c r="E31" i="2"/>
  <c r="C32" i="2"/>
  <c r="E32" i="2"/>
  <c r="C33" i="2"/>
  <c r="E33" i="2"/>
  <c r="I33" i="2"/>
  <c r="K30" i="2" l="1"/>
  <c r="J30" i="2"/>
  <c r="I30" i="2"/>
  <c r="J33" i="2"/>
  <c r="E34" i="2"/>
  <c r="C34" i="2"/>
  <c r="J32" i="2" l="1"/>
  <c r="I32" i="2"/>
  <c r="K32" i="2"/>
  <c r="I13" i="2" l="1"/>
  <c r="J4" i="6"/>
  <c r="O4" i="6"/>
  <c r="K13" i="2"/>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F13" i="2"/>
  <c r="E13" i="2"/>
  <c r="C14" i="2"/>
  <c r="C13" i="2"/>
  <c r="C12" i="2"/>
  <c r="C11" i="2" s="1"/>
  <c r="G2" i="3"/>
  <c r="G89" i="7"/>
  <c r="E2" i="3"/>
  <c r="G2" i="2"/>
  <c r="D2" i="2"/>
  <c r="D30" i="2" l="1"/>
  <c r="D31" i="2"/>
  <c r="F33" i="2"/>
  <c r="F32" i="2"/>
  <c r="D32" i="2"/>
  <c r="F30" i="2"/>
  <c r="D33" i="2"/>
  <c r="F31" i="2"/>
  <c r="D6" i="2"/>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F34" i="2" l="1"/>
  <c r="D34" i="2"/>
  <c r="D4" i="2"/>
  <c r="L21" i="2"/>
  <c r="G4" i="2"/>
  <c r="J21" i="2"/>
  <c r="F21" i="2"/>
  <c r="N21" i="2"/>
  <c r="H21" i="2"/>
  <c r="D21" i="2"/>
</calcChain>
</file>

<file path=xl/sharedStrings.xml><?xml version="1.0" encoding="utf-8"?>
<sst xmlns="http://schemas.openxmlformats.org/spreadsheetml/2006/main" count="869" uniqueCount="361">
  <si>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</si>
  <si>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</si>
  <si>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</si>
  <si>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</si>
  <si>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</si>
  <si>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</si>
  <si>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</si>
  <si>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</si>
  <si>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</si>
  <si>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</si>
  <si>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</si>
  <si>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</si>
  <si>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</si>
  <si>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</si>
  <si>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</si>
  <si>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</si>
  <si>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</si>
  <si>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</si>
  <si>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</si>
  <si>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</si>
  <si>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</si>
  <si>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</si>
  <si>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</si>
  <si>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</si>
  <si>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</si>
  <si>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</si>
  <si>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</si>
  <si>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</si>
  <si>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</si>
  <si>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</si>
  <si>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</si>
  <si>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</si>
  <si>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</si>
  <si>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</si>
  <si>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</si>
  <si>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</si>
  <si>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</si>
  <si>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</si>
  <si>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</si>
  <si>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</si>
  <si>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</si>
  <si>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</si>
  <si>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</si>
  <si>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</si>
  <si>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</si>
  <si>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</si>
  <si>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</si>
  <si>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</si>
  <si>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</si>
  <si>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</si>
  <si>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</si>
  <si>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</si>
  <si>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</si>
  <si>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</si>
  <si>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</si>
  <si>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</si>
  <si>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</si>
  <si>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</si>
  <si>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</si>
  <si>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</si>
  <si>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</si>
  <si>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</si>
  <si>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</si>
  <si>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</si>
  <si>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</si>
  <si>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</si>
  <si>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</si>
  <si>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</si>
  <si>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</si>
  <si>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</si>
  <si>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</si>
  <si>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</si>
  <si>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</si>
  <si>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</si>
  <si>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</si>
  <si>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</si>
  <si>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</si>
  <si>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</si>
  <si>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</si>
  <si>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</si>
  <si>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</si>
  <si>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</si>
  <si>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</si>
  <si>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</si>
  <si>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</si>
  <si>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</si>
  <si>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</si>
  <si>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</si>
  <si>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</si>
  <si>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</si>
  <si>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</si>
  <si>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</si>
  <si>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</si>
  <si>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</si>
  <si>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</si>
  <si>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</si>
  <si>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</si>
  <si>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</si>
  <si>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</si>
  <si>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</si>
  <si>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</si>
  <si>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</si>
  <si>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</si>
  <si>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</si>
  <si>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</si>
  <si>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</si>
  <si>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</si>
  <si>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</si>
  <si>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</si>
  <si>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</si>
  <si>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</si>
  <si>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</si>
  <si>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</si>
  <si>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</si>
  <si>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</si>
  <si>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</si>
  <si>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</si>
  <si>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</si>
  <si>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</si>
  <si>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</si>
  <si>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</si>
  <si>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</si>
  <si>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</si>
  <si>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</si>
  <si>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</si>
  <si>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</si>
  <si>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</si>
  <si>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</si>
  <si>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</si>
  <si>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</si>
  <si>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</si>
  <si>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</si>
  <si>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</si>
  <si>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</si>
  <si>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</si>
  <si>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</si>
  <si>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</si>
  <si>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</si>
  <si>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</si>
  <si>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</si>
  <si>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</si>
  <si>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</si>
  <si>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</si>
  <si>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</si>
  <si>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</si>
  <si>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</si>
  <si>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</si>
  <si>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</si>
  <si>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</si>
  <si>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INSPECCIÓN</t>
  </si>
  <si>
    <t>VALIDACIÓN OK</t>
  </si>
  <si>
    <t>OBS002</t>
  </si>
  <si>
    <t>OBS003</t>
  </si>
  <si>
    <t>OBS004</t>
  </si>
  <si>
    <t>OBS005</t>
  </si>
  <si>
    <t>OBS006</t>
  </si>
  <si>
    <t>OBS007</t>
  </si>
  <si>
    <t>OBS008</t>
  </si>
  <si>
    <t>OBS009</t>
  </si>
  <si>
    <t>-</t>
  </si>
  <si>
    <t>Responsable V&amp;V</t>
  </si>
  <si>
    <t>INSPECCIÓN DE DOCUMENTO</t>
  </si>
  <si>
    <t>MacroProceso - Gestión de Recursos Humanos</t>
  </si>
  <si>
    <t>Nicolay García</t>
  </si>
  <si>
    <t xml:space="preserve">PRY-SSIAEDUCT-03 </t>
  </si>
  <si>
    <t>Arquitectura de Negocios de la Oficina Central de Fe y Alegría Perú – ANOCFAP</t>
  </si>
  <si>
    <t>José Ramos Ramírez</t>
  </si>
  <si>
    <t>OBS001</t>
  </si>
  <si>
    <t>En actores del proceso se menciona un departamento pero no se indica cuál.</t>
  </si>
  <si>
    <t>En el procedimiento en el punto 5 hay un "es" innecesario.</t>
  </si>
  <si>
    <t>En el procedimiento en el punto 10 hay un error ortográfico: "institución".</t>
  </si>
  <si>
    <t>Página 5 innecesaria</t>
  </si>
  <si>
    <t xml:space="preserve">En el punto 2 de la caracterización el Anuncio Publicado ni el Aviso difundido deberían ser datos de entrada.
</t>
  </si>
  <si>
    <t>En el punto 5 de la caracterización la descripción no corresponde.</t>
  </si>
  <si>
    <t>Los Gateways no tienen nombre ni estan caracterizados.</t>
  </si>
  <si>
    <t>En el diagrama no se detalla el nombre del "Jefe de Departamento"  ni "Empleado del Departamento" del punto 9, 10 y 13</t>
  </si>
  <si>
    <t>El conector hacia la actividad 14 no es el correcto, se debe usar un flujo de secuencia ya que no es una actividad externa. Esta actividad debe tener un conector hacia el fin.</t>
  </si>
  <si>
    <t>CP002</t>
  </si>
  <si>
    <t>CP003</t>
  </si>
  <si>
    <t>CP004</t>
  </si>
  <si>
    <t>CP005</t>
  </si>
  <si>
    <t>CP006</t>
  </si>
  <si>
    <t>CP007</t>
  </si>
  <si>
    <t>CP008</t>
  </si>
  <si>
    <t>CP009</t>
  </si>
  <si>
    <t>CP010</t>
  </si>
  <si>
    <t>CP011</t>
  </si>
  <si>
    <t>CP012</t>
  </si>
  <si>
    <t>CP013</t>
  </si>
  <si>
    <t>CP014</t>
  </si>
  <si>
    <t>CP015</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</si>
  <si>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</si>
  <si>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</si>
  <si>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</si>
  <si>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</si>
  <si>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</si>
  <si>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</si>
  <si>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</si>
  <si>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</si>
  <si>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</si>
  <si>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</si>
  <si>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</si>
  <si>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</si>
  <si>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</si>
  <si>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</si>
  <si>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BAJA</t>
  </si>
  <si>
    <t>DESESTIMADA</t>
  </si>
  <si>
    <t>MEDIA</t>
  </si>
  <si>
    <t>OBS010</t>
  </si>
  <si>
    <t>OBS011</t>
  </si>
  <si>
    <t>OBS012</t>
  </si>
  <si>
    <t>OBS013</t>
  </si>
  <si>
    <t>OBS014</t>
  </si>
  <si>
    <t>En el propósito se mencionan los objetivos OSE pero no se menciona donde se encuentra la totalidad de los OSE</t>
  </si>
  <si>
    <t>OBS015</t>
  </si>
  <si>
    <t>OBS016</t>
  </si>
  <si>
    <t>OBS017</t>
  </si>
  <si>
    <t>OBS018</t>
  </si>
  <si>
    <t>OBS019</t>
  </si>
  <si>
    <t>OBS020</t>
  </si>
  <si>
    <t>OBS021</t>
  </si>
  <si>
    <t>OBS022</t>
  </si>
  <si>
    <t>OBS023</t>
  </si>
  <si>
    <t>OBS024</t>
  </si>
  <si>
    <t>OBS025</t>
  </si>
  <si>
    <t>OBS026</t>
  </si>
  <si>
    <t>OBS027</t>
  </si>
  <si>
    <t>OBS028</t>
  </si>
  <si>
    <t>OBS029</t>
  </si>
  <si>
    <t>OBS030</t>
  </si>
  <si>
    <t>OBS031</t>
  </si>
  <si>
    <t>OBS032</t>
  </si>
  <si>
    <t>OBS033</t>
  </si>
  <si>
    <t>OBS034</t>
  </si>
  <si>
    <t>OBS035</t>
  </si>
  <si>
    <t>OBS036</t>
  </si>
  <si>
    <t>OBS037</t>
  </si>
  <si>
    <t>OBS038</t>
  </si>
  <si>
    <t>OBS039</t>
  </si>
  <si>
    <t>OBS040</t>
  </si>
  <si>
    <t>OBS041</t>
  </si>
  <si>
    <t>OBS042</t>
  </si>
  <si>
    <t>OBS043</t>
  </si>
  <si>
    <t>OBS044</t>
  </si>
  <si>
    <t>OBS045</t>
  </si>
  <si>
    <t>OBS046</t>
  </si>
  <si>
    <t>OBS047</t>
  </si>
  <si>
    <t>OBS048</t>
  </si>
  <si>
    <t>OBS049</t>
  </si>
  <si>
    <t>OBS050</t>
  </si>
  <si>
    <t>OBS051</t>
  </si>
  <si>
    <t>OBS052</t>
  </si>
  <si>
    <t>OBS053</t>
  </si>
  <si>
    <t>OBS054</t>
  </si>
  <si>
    <t>OBS055</t>
  </si>
  <si>
    <t>En el procedimiento, el punto 5 falta indicar la acción tomada por el jefe de área.</t>
  </si>
  <si>
    <t>En el procedimiento, el punto 6 hay un error ortográfico al final: "Administrador".</t>
  </si>
  <si>
    <t>En el punto 4 de la caracterización se debe tener 2 salidas.</t>
  </si>
  <si>
    <t>En el punto 9 de la caracterización hay un error gramatical en la descripción.</t>
  </si>
  <si>
    <t>ALTA</t>
  </si>
  <si>
    <t>El diagrama es ANSI y no BPMN</t>
  </si>
  <si>
    <t>En el propósito se mencionan los objetivos OSE pero no se menciona donde se encuentra la totalidad de los OSE.</t>
  </si>
  <si>
    <t>En el punto 4 de la caracterización hay un error gramatical antes de "Administrador".</t>
  </si>
  <si>
    <t>El título que aparece en la cabecera del cuadro no es el del proceso.</t>
  </si>
  <si>
    <t>El Empleado no puede decidir si es un despido. El inicio no debe empezar en el empleado</t>
  </si>
  <si>
    <t>La actividad 3 tiene un nombre que no concuerda con el proceso.</t>
  </si>
  <si>
    <t>Luego de la actividad 12 no queda claro que sucedería con el empleado en caso de que se desapruebe la renuncia del mismo.</t>
  </si>
  <si>
    <t>Error de tipeo en la salida del punto 15 de la caracterización en "certificados".</t>
  </si>
  <si>
    <t>La actividad 9 tiene un nombre que no concuerda con el proceso.</t>
  </si>
  <si>
    <t>El nombre de la actividad 19 no puede ser una pregunta.</t>
  </si>
  <si>
    <t>En caso de despido, nunca se le comunica al empleado.</t>
  </si>
  <si>
    <t>Normalmente solo debe existir un inicio y un fin.</t>
  </si>
  <si>
    <t>Para que se efectúe la actividad 3 tiene que existir una condición de tener gastos sin justificantes. Debería haber un gateway previo.</t>
  </si>
  <si>
    <t>En la caracterización no se ha caracterizado el fin.</t>
  </si>
  <si>
    <t>En la caracterización no se ha caracterizado el inicio ni el fin.</t>
  </si>
  <si>
    <t>En la caracterización no se ha caracterizado el inicio, el fin, los gateway ni los eventos.</t>
  </si>
  <si>
    <t>En la caracterización no se ha caracterizado el inicio ni los fines.</t>
  </si>
  <si>
    <t>En la caracterización no se ha caracterizado el inicio, uno de los fines ni los eventos.</t>
  </si>
  <si>
    <t>En la caracterización no se ha caracterizado los gateways ni el fin.</t>
  </si>
  <si>
    <t>En la descripción del punto 6 de la caracterización se debe corregir el termino "de vuelta", no es correcto.</t>
  </si>
  <si>
    <t>OBS056</t>
  </si>
  <si>
    <t>OBS057</t>
  </si>
  <si>
    <t>OBS058</t>
  </si>
  <si>
    <t>OBS059</t>
  </si>
  <si>
    <t>OBS060</t>
  </si>
  <si>
    <t>OBS061</t>
  </si>
  <si>
    <t>OBS062</t>
  </si>
  <si>
    <t>OBS063</t>
  </si>
  <si>
    <t>OBS064</t>
  </si>
  <si>
    <t>OBS065</t>
  </si>
  <si>
    <t>OBS066</t>
  </si>
  <si>
    <t>OBS067</t>
  </si>
  <si>
    <t>OBS068</t>
  </si>
  <si>
    <t>OBS069</t>
  </si>
  <si>
    <t>OBS070</t>
  </si>
  <si>
    <t>OBS071</t>
  </si>
  <si>
    <t>En el diagrama hay un error de tipeo en el Lane del "Director General".</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</si>
  <si>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</si>
  <si>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En el punto 6, 7, 8, 9, 10, 12, 13 y 14 de la caracterización la entrada y la salida no puede ser un actor o acción, siempre es un dato.</t>
  </si>
  <si>
    <t>En el punto 1, 2, 6, 7, 11, 12 y 13 de la caracterización la entrada y la salida no puede ser un actor, siempre es un dato.</t>
  </si>
  <si>
    <t>En el punto 1, 2, 5, 6, 7, 8, 9 y 15 de la caracterización la entrada y la salida no puede ser un actor o una acción, siempre es un dato.</t>
  </si>
  <si>
    <t>En el punto 2, 3, 5, 7, 8, 10, 13, 14, 16, 17 y 19 de la caracterización la entrada y la salida no puede ser un actor o una acción, siempre es un dato.</t>
  </si>
  <si>
    <t>En el punto 2, 3, 4, 5, 8, 9 y 10 de la caracterización la entrada y la salida no puede ser un actor o una acción, siempre es un dato.</t>
  </si>
  <si>
    <t>En el punto 1, 4 y 5 de la caracterización la entrada y la salida no puede ser una acción, siempre es un dato.</t>
  </si>
  <si>
    <t>En el punto 1, 2, 3 y 4 de la caracterización la entrada y la salida no puede ser un actor siempre es un dato.</t>
  </si>
  <si>
    <t>En el punto 1 y 9 de la caracterización la entrada y la salida no puede ser un actor o acción, siempre es un dato.</t>
  </si>
  <si>
    <t>El nombre del macroproceso debe estar en la cabecera del pool.</t>
  </si>
  <si>
    <t>El nombre del proceso debe estar en la cabecera del pool.</t>
  </si>
  <si>
    <t>Las anotaciones van en el documento del EBM bajo las reglas de Negocio, o en la Definición de Proceso bajo el mismo nombre.</t>
  </si>
  <si>
    <t xml:space="preserve">[OBS001]En el propósito se mencionan los objetivos OSE pero no se menciona donde se encuentra la totalidad de los OSE_x000D_
[OBS002]En actores del proceso se menciona un departamento pero no se indica cuál._x000D_
[OBS003]En el procedimiento en el punto 5 hay un "es" innecesario._x000D_
[OBS004]En el procedimiento en el punto 10 hay un error ortográfico: "institución"._x000D_
[OBS005]Página 5 innecesaria_x000D_
[OBS006]El nombre del macroproceso debe estar en la cabecera del pool._x000D_
[OBS007]En la caracterización no se ha caracterizado el inicio, el fin, los gateway ni los eventos._x000D_
[OBS008]En el punto 2 de la caracterización el Anuncio Publicado ni el Aviso difundido deberían ser datos de entrada.
_x000D_
[OBS009]En el punto 5 de la caracterización la descripción no corresponde._x000D_
[OBS010]En el punto 6, 7, 8, 9, 10, 12, 13 y 14 de la caracterización la entrada y la salida no puede ser un actor o acción, siempre es un dato._x000D_
[OBS011]En el diagrama no se detalla el nombre del "Jefe de Departamento"  ni "Empleado del Departamento" del punto 9, 10 y 13_x000D_
[OBS012]Los Gateways no tienen nombre ni estan caracterizados._x000D_
[OBS013]El conector hacia la actividad 14 no es el correcto, se debe usar un flujo de secuencia ya que no es una actividad externa. Esta actividad debe tener un conector hacia el fin._x000D_
</t>
  </si>
  <si>
    <t xml:space="preserve">[OBS014]En el propósito se mencionan los objetivos OSE pero no se menciona donde se encuentra la totalidad de los OSE_x000D_
[OBS015]En el procedimiento, el punto 5 falta indicar la acción tomada por el jefe de área._x000D_
[OBS016]En el procedimiento, el punto 6 hay un error ortográfico al final: "Administrador"._x000D_
[OBS017]El nombre del proceso debe estar en la cabecera del pool._x000D_
[OBS018]En la caracterización no se ha caracterizado el inicio ni los fines._x000D_
[OBS019]En el punto 1, 2, 6, 7, 11, 12 y 13 de la caracterización la entrada y la salida no puede ser un actor, siempre es un dato._x000D_
[OBS020]En el punto 4 de la caracterización se debe tener 2 salidas._x000D_
[OBS021]En el punto 9 de la caracterización hay un error gramatical en la descripción._x000D_
[OBS022]El diagrama es ANSI y no BPMN_x000D_
</t>
  </si>
  <si>
    <t xml:space="preserve">[OBS023]En el propósito se mencionan los objetivos OSE pero no se menciona donde se encuentra la totalidad de los OSE._x000D_
[OBS024]El nombre del proceso debe estar en la cabecera del pool._x000D_
[OBS025]En la caracterización no se ha caracterizado el inicio, uno de los fines ni los eventos._x000D_
[OBS026]En el punto 1, 2, 5, 6, 7, 8, 9 y 15 de la caracterización la entrada y la salida no puede ser un actor o una acción, siempre es un dato._x000D_
[OBS027]En el punto 4 de la caracterización hay un error gramatical antes de "Administrador"._x000D_
[OBS028]El diagrama es ANSI y no BPMN_x000D_
</t>
  </si>
  <si>
    <t xml:space="preserve">[OBS029]El título que aparece en la cabecera del cuadro no es el del proceso._x000D_
[OBS030]En el propósito se mencionan los objetivos OSE pero no se menciona donde se encuentra la totalidad de los OSE._x000D_
[OBS031]El nombre del proceso debe estar en la cabecera del pool._x000D_
[OBS032]En la caracterización no se ha caracterizado el inicio, el fin, los gateway ni los eventos._x000D_
[OBS033]El Empleado no puede decidir si es un despido. El inicio no debe empezar en el empleado_x000D_
[OBS034]En el punto 2, 3, 5, 7, 8, 10, 13, 14, 16, 17 y 19 de la caracterización la entrada y la salida no puede ser un actor o una acción, siempre es un dato._x000D_
[OBS035]La actividad 3 tiene un nombre que no concuerda con el proceso._x000D_
[OBS036]La actividad 9 tiene un nombre que no concuerda con el proceso._x000D_
[OBS037]Luego de la actividad 12 no queda claro que sucedería con el empleado en caso de que se desapruebe la renuncia del mismo._x000D_
[OBS038]Error de tipeo en la salida del punto 15 de la caracterización en "certificados"._x000D_
[OBS039]El nombre de la actividad 19 no puede ser una pregunta._x000D_
[OBS040]En caso de despido, nunca se le comunica al empleado._x000D_
</t>
  </si>
  <si>
    <t xml:space="preserve">[OBS041]En el propósito se mencionan los objetivos OSE pero no se menciona donde se encuentra la totalidad de los OSE._x000D_
[OBS042]El nombre del proceso debe estar en la cabecera del pool._x000D_
[OBS043]En la caracterización no se ha caracterizado el inicio ni el fin._x000D_
[OBS044]En el punto 2, 3, 4, 5, 8, 9 y 10 de la caracterización la entrada y la salida no puede ser un actor o una acción, siempre es un dato._x000D_
[OBS045]El diagrama es ANSI y no BPMN_x000D_
</t>
  </si>
  <si>
    <t xml:space="preserve">[OBS046]En el propósito se mencionan los objetivos OSE pero no se menciona donde se encuentra la totalidad de los OSE._x000D_
[OBS047]El nombre del proceso debe estar en la cabecera del pool._x000D_
[OBS048]En la caracterización no se ha caracterizado el inicio ni el fin._x000D_
</t>
  </si>
  <si>
    <t xml:space="preserve">[OBS049]En el propósito se mencionan los objetivos OSE pero no se menciona donde se encuentra la totalidad de los OSE._x000D_
[OBS050]El nombre del proceso debe estar en la cabecera del pool._x000D_
[OBS051]Normalmente solo debe existir un inicio y un fin._x000D_
[OBS052]En el punto 1, 4 y 5 de la caracterización la entrada y la salida no puede ser una acción, siempre es un dato._x000D_
[OBS053]Las anotaciones van en el documento del EBM bajo las reglas de Negocio, o en la Definición de Proceso bajo el mismo nombre._x000D_
[OBS054]Para que se efectúe la actividad 3 tiene que existir una condición de tener gastos sin justificantes. Debería haber un gateway previo._x000D_
[OBS055]En la caracterización no se ha caracterizado el fin._x000D_
</t>
  </si>
  <si>
    <t xml:space="preserve">[OBS056]En el propósito se mencionan los objetivos OSE pero no se menciona donde se encuentra la totalidad de los OSE._x000D_
[OBS057]El nombre del proceso debe estar en la cabecera del pool._x000D_
[OBS058]En el diagrama hay un error de tipeo en el Lane del "Director General"._x000D_
[OBS059]En la caracterización no se ha caracterizado los gateways ni el fin._x000D_
[OBS060]En el punto 1, 2, 3 y 4 de la caracterización la entrada y la salida no puede ser un actor siempre es un dato._x000D_
[OBS061]El diagrama es ANSI y no BPMN_x000D_
</t>
  </si>
  <si>
    <t xml:space="preserve">[OBS062]En el propósito se mencionan los objetivos OSE pero no se menciona donde se encuentra la totalidad de los OSE._x000D_
[OBS063]El nombre del proceso debe estar en la cabecera del pool._x000D_
[OBS064]Las anotaciones van en el documento del EBM bajo las reglas de Negocio, o en la Definición de Proceso bajo el mismo nombre._x000D_
[OBS065]En el punto 1 y 9 de la caracterización la entrada y la salida no puede ser un actor o acción, siempre es un dato._x000D_
[OBS066]En la descripción del punto 6 de la caracterización se debe corregir el termino "de vuelta", no es correcto._x000D_
[OBS067]En la caracterización no se ha caracterizado el fin._x000D_
</t>
  </si>
  <si>
    <t xml:space="preserve">[OBS068]En el propósito se mencionan los objetivos OSE pero no se menciona donde se encuentra la totalidad de los OSE._x000D_
[OBS069]El nombre del proceso debe estar en la cabecera del pool._x000D_
[OBS070]En la caracterización no se ha caracterizado el fin._x000D_
[OBS071]El diagrama es ANSI y no BPMN_x000D_
</t>
  </si>
  <si>
    <t>Se entregaron los objetivos, tanto general como específicos, como referencia para la inspección.</t>
  </si>
  <si>
    <t>Se caracterizaron tanto el inicio como el fin del proceso.</t>
  </si>
  <si>
    <t>Se modificó la redacción de la descripción de la actividad.</t>
  </si>
  <si>
    <t>Se modificó el proceso de tal manera que sólo tuviera un fin.</t>
  </si>
  <si>
    <t>Se hace referencia a las Reglas de Negocio.</t>
  </si>
  <si>
    <t>Se incluyó un gateway de decisión.</t>
  </si>
  <si>
    <t>Se caracterizó el fin del proceso.</t>
  </si>
  <si>
    <t>Se modificó el detalle en la cabecera del pool.</t>
  </si>
  <si>
    <t>Se modificó el proceso</t>
  </si>
  <si>
    <t>Se modificaron las entradas y salidas de las actividades mencionadas.</t>
  </si>
  <si>
    <t>Se modificó el proceso.</t>
  </si>
  <si>
    <t>El departamento representa a cualquiera de los departamentos de la institución.</t>
  </si>
  <si>
    <t>Se corrigió el error gramatical.</t>
  </si>
  <si>
    <t>Se corrigió el error de tipeo.</t>
  </si>
  <si>
    <t>La página en blano número 3 fue eliminada.</t>
  </si>
  <si>
    <t>Se colocó el nombre del macroproceso en el pool.</t>
  </si>
  <si>
    <t>Se caracterizaron los incios y fin.</t>
  </si>
  <si>
    <t>Se corrigieron las entradas del punto señalado.</t>
  </si>
  <si>
    <t>Se corrigió la descripción del punto señalado.</t>
  </si>
  <si>
    <t>Las entradas y salidas fueron corregidas.</t>
  </si>
  <si>
    <t>Se cambio el nombre de los responsables en la caracterización.</t>
  </si>
  <si>
    <t>Se caracterizaron todos los gateways.</t>
  </si>
  <si>
    <t>Se cambió de conector.</t>
  </si>
  <si>
    <t>Se incluyó la decisión del Jefe del Departamento.</t>
  </si>
  <si>
    <t>Se corrigió el error ortográfico.</t>
  </si>
  <si>
    <t>Se agregó un pool para colocar el nombre del proceso.</t>
  </si>
  <si>
    <t>Se caracterizaron los inicios y fines.</t>
  </si>
  <si>
    <t>Ya no existen actores como entradas o salidas de las actividades señaladas.</t>
  </si>
  <si>
    <t>Se colocó las dos posibles salidas.</t>
  </si>
  <si>
    <t>Se agregó un timer y un Documento: Certificado del Personal.</t>
  </si>
  <si>
    <t>Se corrigió el nombre de la cabecera.</t>
  </si>
  <si>
    <t>Se colocó el nombre del proceso en el pool.</t>
  </si>
  <si>
    <t>Se caracterizaron los inicios, fines y gateways.</t>
  </si>
  <si>
    <t>El inicio empieza en el Jefe del Departamento.</t>
  </si>
  <si>
    <t>Se corrigieron las entradas y salidas de los puntos señalados.</t>
  </si>
  <si>
    <t>Se cambió el nombre de la actividad.</t>
  </si>
  <si>
    <t>Se corrigió del nombre de la actividad.</t>
  </si>
  <si>
    <t>Se agregó en la descripción que el empleado es informado sobre la desaprobación del despido o renuncia.</t>
  </si>
  <si>
    <t>Se cambió el nombre del Gateway a: Ameritar Despido.</t>
  </si>
  <si>
    <t>Se agregó una actividad: Informar al empleado  el despido/renuncia  definitivo.</t>
  </si>
  <si>
    <t>Se caracterizaron todos los gateways y el fin</t>
  </si>
  <si>
    <t>Se agregaron dos documentos.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</si>
</sst>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4">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9">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style="thin">
        <color indexed="22"/>
      </top>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3">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0" fontId="0" fillId="0" borderId="31" xfId="0" applyBorder="1" applyProtection="1">
      <protection locked="0"/>
    </xf>
    <xf numFmtId="0" fontId="0" fillId="0" borderId="32" xfId="0" applyBorder="1" applyProtection="1">
      <protection locked="0"/>
    </xf>
    <xf numFmtId="1" fontId="0" fillId="0" borderId="31" xfId="0" applyNumberFormat="1" applyBorder="1" applyProtection="1">
      <protection locked="0"/>
    </xf>
    <xf numFmtId="2" fontId="2" fillId="24" borderId="33" xfId="0" applyNumberFormat="1" applyFont="1" applyFill="1" applyBorder="1"/>
    <xf numFmtId="0" fontId="2" fillId="24" borderId="35"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6" xfId="0" applyNumberFormat="1" applyBorder="1" applyProtection="1">
      <protection locked="0"/>
    </xf>
    <xf numFmtId="14" fontId="0" fillId="0" borderId="37" xfId="0" applyNumberFormat="1" applyBorder="1" applyProtection="1">
      <protection locked="0"/>
    </xf>
    <xf numFmtId="0" fontId="0" fillId="0" borderId="31" xfId="0" applyBorder="1"/>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1" fontId="0" fillId="0" borderId="28" xfId="0" applyNumberFormat="1" applyBorder="1" applyProtection="1">
      <protection locked="0"/>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8"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3" xfId="0" applyFont="1" applyFill="1" applyBorder="1" applyAlignment="1">
      <alignment horizontal="left"/>
    </xf>
    <xf numFmtId="0" fontId="2" fillId="24" borderId="34" xfId="0" applyFont="1" applyFill="1" applyBorder="1" applyAlignment="1">
      <alignment horizontal="left"/>
    </xf>
    <xf numFmtId="0" fontId="2" fillId="24" borderId="35"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outline="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outline="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style="thin">
          <color indexed="22"/>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vertical="center" textRotation="0"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573"/>
          <c:y val="0.20151813899974841"/>
          <c:w val="0.50142494135134696"/>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c:v>
                </c:pt>
                <c:pt idx="1">
                  <c:v>0.66666666666666663</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0844" l="0.70000000000000062" r="0.70000000000000062" t="0.750000000000008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0844" l="0.70000000000000062" r="0.70000000000000062" t="0.750000000000008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HistoricoAvance!$B$4:$B$6</c:f>
              <c:numCache>
                <c:formatCode>m/d/yyyy</c:formatCode>
                <c:ptCount val="3"/>
                <c:pt idx="0">
                  <c:v>40791</c:v>
                </c:pt>
              </c:numCache>
            </c:numRef>
          </c:cat>
          <c:val>
            <c:numRef>
              <c:f>HistoricoAvance!$C$4:$C$6</c:f>
              <c:numCache>
                <c:formatCode>0</c:formatCode>
                <c:ptCount val="3"/>
                <c:pt idx="0">
                  <c:v>0</c:v>
                </c:pt>
              </c:numCache>
            </c:numRef>
          </c:val>
          <c:smooth val="0"/>
        </c:ser>
        <c:ser>
          <c:idx val="1"/>
          <c:order val="1"/>
          <c:tx>
            <c:strRef>
              <c:f>HistoricoAvance!$D$3</c:f>
              <c:strCache>
                <c:ptCount val="1"/>
                <c:pt idx="0">
                  <c:v>Fallos</c:v>
                </c:pt>
              </c:strCache>
            </c:strRef>
          </c:tx>
          <c:spPr>
            <a:ln w="50800"/>
          </c:spPr>
          <c:cat>
            <c:numRef>
              <c:f>HistoricoAvance!$B$4:$B$6</c:f>
              <c:numCache>
                <c:formatCode>m/d/yyyy</c:formatCode>
                <c:ptCount val="3"/>
                <c:pt idx="0">
                  <c:v>40791</c:v>
                </c:pt>
              </c:numCache>
            </c:numRef>
          </c:cat>
          <c:val>
            <c:numRef>
              <c:f>HistoricoAvance!$D$4:$D$6</c:f>
              <c:numCache>
                <c:formatCode>0</c:formatCode>
                <c:ptCount val="3"/>
                <c:pt idx="0">
                  <c:v>10</c:v>
                </c:pt>
              </c:numCache>
            </c:numRef>
          </c:val>
          <c:smooth val="0"/>
        </c:ser>
        <c:ser>
          <c:idx val="2"/>
          <c:order val="2"/>
          <c:tx>
            <c:strRef>
              <c:f>HistoricoAvance!$E$3</c:f>
              <c:strCache>
                <c:ptCount val="1"/>
                <c:pt idx="0">
                  <c:v>Bloqueado</c:v>
                </c:pt>
              </c:strCache>
            </c:strRef>
          </c:tx>
          <c:cat>
            <c:numRef>
              <c:f>HistoricoAvance!$B$4:$B$6</c:f>
              <c:numCache>
                <c:formatCode>m/d/yyyy</c:formatCode>
                <c:ptCount val="3"/>
                <c:pt idx="0">
                  <c:v>40791</c:v>
                </c:pt>
              </c:numCache>
            </c:numRef>
          </c:cat>
          <c:val>
            <c:numRef>
              <c:f>HistoricoAvance!$E$4:$E$6</c:f>
              <c:numCache>
                <c:formatCode>0</c:formatCode>
                <c:ptCount val="3"/>
                <c:pt idx="0">
                  <c:v>0</c:v>
                </c:pt>
              </c:numCache>
            </c:numRef>
          </c:val>
          <c:smooth val="0"/>
        </c:ser>
        <c:ser>
          <c:idx val="3"/>
          <c:order val="3"/>
          <c:tx>
            <c:strRef>
              <c:f>HistoricoAvance!$F$3</c:f>
              <c:strCache>
                <c:ptCount val="1"/>
                <c:pt idx="0">
                  <c:v>Pendiente</c:v>
                </c:pt>
              </c:strCache>
            </c:strRef>
          </c:tx>
          <c:cat>
            <c:numRef>
              <c:f>HistoricoAvance!$B$4:$B$6</c:f>
              <c:numCache>
                <c:formatCode>m/d/yyyy</c:formatCode>
                <c:ptCount val="3"/>
                <c:pt idx="0">
                  <c:v>40791</c:v>
                </c:pt>
              </c:numCache>
            </c:numRef>
          </c:cat>
          <c:val>
            <c:numRef>
              <c:f>HistoricoAvance!$F$4:$F$6</c:f>
              <c:numCache>
                <c:formatCode>0</c:formatCode>
                <c:ptCount val="3"/>
                <c:pt idx="0">
                  <c:v>0</c:v>
                </c:pt>
              </c:numCache>
            </c:numRef>
          </c:val>
          <c:smooth val="0"/>
        </c:ser>
        <c:ser>
          <c:idx val="4"/>
          <c:order val="4"/>
          <c:tx>
            <c:strRef>
              <c:f>HistoricoAvance!$G$3</c:f>
              <c:strCache>
                <c:ptCount val="1"/>
                <c:pt idx="0">
                  <c:v>No Aplica</c:v>
                </c:pt>
              </c:strCache>
            </c:strRef>
          </c:tx>
          <c:cat>
            <c:numRef>
              <c:f>HistoricoAvance!$B$4:$B$6</c:f>
              <c:numCache>
                <c:formatCode>m/d/yyyy</c:formatCode>
                <c:ptCount val="3"/>
                <c:pt idx="0">
                  <c:v>40791</c:v>
                </c:pt>
              </c:numCache>
            </c:numRef>
          </c:cat>
          <c:val>
            <c:numRef>
              <c:f>HistoricoAvance!$G$4:$G$6</c:f>
              <c:numCache>
                <c:formatCode>0</c:formatCode>
                <c:ptCount val="3"/>
                <c:pt idx="0">
                  <c:v>0</c:v>
                </c:pt>
              </c:numCache>
            </c:numRef>
          </c:val>
          <c:smooth val="0"/>
        </c:ser>
        <c:ser>
          <c:idx val="5"/>
          <c:order val="5"/>
          <c:tx>
            <c:strRef>
              <c:f>HistoricoAvance!$H$3</c:f>
              <c:strCache>
                <c:ptCount val="1"/>
                <c:pt idx="0">
                  <c:v>En Proceso</c:v>
                </c:pt>
              </c:strCache>
            </c:strRef>
          </c:tx>
          <c:cat>
            <c:numRef>
              <c:f>HistoricoAvance!$B$4:$B$6</c:f>
              <c:numCache>
                <c:formatCode>m/d/yyyy</c:formatCode>
                <c:ptCount val="3"/>
                <c:pt idx="0">
                  <c:v>40791</c:v>
                </c:pt>
              </c:numCache>
            </c:numRef>
          </c:cat>
          <c:val>
            <c:numRef>
              <c:f>HistoricoAvance!$H$4:$H$6</c:f>
              <c:numCache>
                <c:formatCode>0</c:formatCode>
                <c:ptCount val="3"/>
                <c:pt idx="0">
                  <c:v>0</c:v>
                </c:pt>
              </c:numCache>
            </c:numRef>
          </c:val>
          <c:smooth val="0"/>
        </c:ser>
        <c:ser>
          <c:idx val="6"/>
          <c:order val="6"/>
          <c:tx>
            <c:strRef>
              <c:f>HistoricoAvance!$I$3</c:f>
              <c:strCache>
                <c:ptCount val="1"/>
                <c:pt idx="0">
                  <c:v>Reejecuciones</c:v>
                </c:pt>
              </c:strCache>
            </c:strRef>
          </c:tx>
          <c:cat>
            <c:numRef>
              <c:f>HistoricoAvance!$B$4:$B$6</c:f>
              <c:numCache>
                <c:formatCode>m/d/yyyy</c:formatCode>
                <c:ptCount val="3"/>
                <c:pt idx="0">
                  <c:v>40791</c:v>
                </c:pt>
              </c:numCache>
            </c:numRef>
          </c:cat>
          <c:val>
            <c:numRef>
              <c:f>HistoricoAvance!$I$4:$I$6</c:f>
              <c:numCache>
                <c:formatCode>0</c:formatCode>
                <c:ptCount val="3"/>
                <c:pt idx="0">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HistoricoAvance!$B$4:$B$6</c:f>
              <c:numCache>
                <c:formatCode>m/d/yyyy</c:formatCode>
                <c:ptCount val="3"/>
                <c:pt idx="0">
                  <c:v>40791</c:v>
                </c:pt>
              </c:numCache>
            </c:numRef>
          </c:cat>
          <c:val>
            <c:numRef>
              <c:f>HistoricoAvance!$J$4:$J$6</c:f>
              <c:numCache>
                <c:formatCode>General</c:formatCode>
                <c:ptCount val="3"/>
                <c:pt idx="0">
                  <c:v>10</c:v>
                </c:pt>
                <c:pt idx="1">
                  <c:v>0</c:v>
                </c:pt>
                <c:pt idx="2">
                  <c:v>0</c:v>
                </c:pt>
              </c:numCache>
            </c:numRef>
          </c:val>
          <c:smooth val="0"/>
        </c:ser>
        <c:dLbls>
          <c:showLegendKey val="0"/>
          <c:showVal val="0"/>
          <c:showCatName val="0"/>
          <c:showSerName val="0"/>
          <c:showPercent val="0"/>
          <c:showBubbleSize val="0"/>
        </c:dLbls>
        <c:marker val="1"/>
        <c:smooth val="0"/>
        <c:axId val="163557376"/>
        <c:axId val="163645312"/>
      </c:lineChart>
      <c:dateAx>
        <c:axId val="163557376"/>
        <c:scaling>
          <c:orientation val="minMax"/>
        </c:scaling>
        <c:delete val="0"/>
        <c:axPos val="b"/>
        <c:numFmt formatCode="m/d/yyyy" sourceLinked="1"/>
        <c:majorTickMark val="out"/>
        <c:minorTickMark val="none"/>
        <c:tickLblPos val="nextTo"/>
        <c:txPr>
          <a:bodyPr/>
          <a:lstStyle/>
          <a:p>
            <a:pPr>
              <a:defRPr lang="es-ES"/>
            </a:pPr>
            <a:endParaRPr lang="es-PE"/>
          </a:p>
        </c:txPr>
        <c:crossAx val="163645312"/>
        <c:crosses val="autoZero"/>
        <c:auto val="1"/>
        <c:lblOffset val="100"/>
        <c:baseTimeUnit val="days"/>
      </c:dateAx>
      <c:valAx>
        <c:axId val="163645312"/>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63557376"/>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844" l="0.70000000000000062" r="0.70000000000000062" t="0.750000000000008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HistoricoAvance!$L$4:$L$6</c:f>
              <c:numCache>
                <c:formatCode>m/d/yyyy</c:formatCode>
                <c:ptCount val="3"/>
                <c:pt idx="0">
                  <c:v>40791</c:v>
                </c:pt>
              </c:numCache>
            </c:numRef>
          </c:cat>
          <c:val>
            <c:numRef>
              <c:f>HistoricoAvance!$M$4:$M$6</c:f>
              <c:numCache>
                <c:formatCode>0</c:formatCode>
                <c:ptCount val="3"/>
                <c:pt idx="0">
                  <c:v>0</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HistoricoAvance!$L$4:$L$6</c:f>
              <c:numCache>
                <c:formatCode>m/d/yyyy</c:formatCode>
                <c:ptCount val="3"/>
                <c:pt idx="0">
                  <c:v>40791</c:v>
                </c:pt>
              </c:numCache>
            </c:numRef>
          </c:cat>
          <c:val>
            <c:numRef>
              <c:f>HistoricoAvance!$N$4:$N$6</c:f>
              <c:numCache>
                <c:formatCode>0</c:formatCode>
                <c:ptCount val="3"/>
                <c:pt idx="0">
                  <c:v>0</c:v>
                </c:pt>
              </c:numCache>
            </c:numRef>
          </c:val>
          <c:smooth val="0"/>
        </c:ser>
        <c:ser>
          <c:idx val="2"/>
          <c:order val="2"/>
          <c:tx>
            <c:strRef>
              <c:f>HistoricoAvance!$O$3</c:f>
              <c:strCache>
                <c:ptCount val="1"/>
                <c:pt idx="0">
                  <c:v>Totales</c:v>
                </c:pt>
              </c:strCache>
            </c:strRef>
          </c:tx>
          <c:cat>
            <c:numRef>
              <c:f>HistoricoAvance!$L$4:$L$6</c:f>
              <c:numCache>
                <c:formatCode>m/d/yyyy</c:formatCode>
                <c:ptCount val="3"/>
                <c:pt idx="0">
                  <c:v>40791</c:v>
                </c:pt>
              </c:numCache>
            </c:numRef>
          </c:cat>
          <c:val>
            <c:numRef>
              <c:f>HistoricoAvance!$O$4:$O$6</c:f>
              <c:numCache>
                <c:formatCode>General</c:formatCode>
                <c:ptCount val="3"/>
                <c:pt idx="0">
                  <c:v>0</c:v>
                </c:pt>
                <c:pt idx="1">
                  <c:v>0</c:v>
                </c:pt>
                <c:pt idx="2">
                  <c:v>0</c:v>
                </c:pt>
              </c:numCache>
            </c:numRef>
          </c:val>
          <c:smooth val="0"/>
        </c:ser>
        <c:dLbls>
          <c:showLegendKey val="0"/>
          <c:showVal val="0"/>
          <c:showCatName val="0"/>
          <c:showSerName val="0"/>
          <c:showPercent val="0"/>
          <c:showBubbleSize val="0"/>
        </c:dLbls>
        <c:marker val="1"/>
        <c:smooth val="0"/>
        <c:axId val="64786432"/>
        <c:axId val="64787968"/>
      </c:lineChart>
      <c:dateAx>
        <c:axId val="64786432"/>
        <c:scaling>
          <c:orientation val="minMax"/>
        </c:scaling>
        <c:delete val="0"/>
        <c:axPos val="b"/>
        <c:numFmt formatCode="m/d/yyyy" sourceLinked="1"/>
        <c:majorTickMark val="out"/>
        <c:minorTickMark val="none"/>
        <c:tickLblPos val="nextTo"/>
        <c:txPr>
          <a:bodyPr/>
          <a:lstStyle/>
          <a:p>
            <a:pPr>
              <a:defRPr lang="es-ES"/>
            </a:pPr>
            <a:endParaRPr lang="es-PE"/>
          </a:p>
        </c:txPr>
        <c:crossAx val="64787968"/>
        <c:crosses val="autoZero"/>
        <c:auto val="1"/>
        <c:lblOffset val="100"/>
        <c:baseTimeUnit val="days"/>
      </c:dateAx>
      <c:valAx>
        <c:axId val="64787968"/>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64786432"/>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866" l="0.70000000000000062" r="0.70000000000000062" t="0.750000000000008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v2.0.xlsm]CuadrosResumen!Tabla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64800640"/>
        <c:axId val="64802176"/>
      </c:barChart>
      <c:catAx>
        <c:axId val="64800640"/>
        <c:scaling>
          <c:orientation val="minMax"/>
        </c:scaling>
        <c:delete val="0"/>
        <c:axPos val="b"/>
        <c:majorTickMark val="out"/>
        <c:minorTickMark val="none"/>
        <c:tickLblPos val="nextTo"/>
        <c:txPr>
          <a:bodyPr/>
          <a:lstStyle/>
          <a:p>
            <a:pPr>
              <a:defRPr lang="es-ES"/>
            </a:pPr>
            <a:endParaRPr lang="es-PE"/>
          </a:p>
        </c:txPr>
        <c:crossAx val="64802176"/>
        <c:crosses val="autoZero"/>
        <c:auto val="1"/>
        <c:lblAlgn val="ctr"/>
        <c:lblOffset val="100"/>
        <c:noMultiLvlLbl val="0"/>
      </c:catAx>
      <c:valAx>
        <c:axId val="6480217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64800640"/>
        <c:crosses val="autoZero"/>
        <c:crossBetween val="between"/>
      </c:valAx>
    </c:plotArea>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v2.0.xlsm]CuadrosResumen!Tabla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64811008"/>
        <c:axId val="64812544"/>
      </c:barChart>
      <c:catAx>
        <c:axId val="64811008"/>
        <c:scaling>
          <c:orientation val="minMax"/>
        </c:scaling>
        <c:delete val="0"/>
        <c:axPos val="b"/>
        <c:majorTickMark val="out"/>
        <c:minorTickMark val="none"/>
        <c:tickLblPos val="nextTo"/>
        <c:txPr>
          <a:bodyPr/>
          <a:lstStyle/>
          <a:p>
            <a:pPr>
              <a:defRPr lang="es-ES"/>
            </a:pPr>
            <a:endParaRPr lang="es-PE"/>
          </a:p>
        </c:txPr>
        <c:crossAx val="64812544"/>
        <c:crosses val="autoZero"/>
        <c:auto val="1"/>
        <c:lblAlgn val="ctr"/>
        <c:lblOffset val="100"/>
        <c:noMultiLvlLbl val="0"/>
      </c:catAx>
      <c:valAx>
        <c:axId val="6481254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64811008"/>
        <c:crosses val="autoZero"/>
        <c:crossBetween val="between"/>
      </c:valAx>
    </c:plotArea>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v2.0.xlsm]CuadrosResumen!Tabla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64833408"/>
        <c:axId val="64834944"/>
      </c:barChart>
      <c:catAx>
        <c:axId val="64833408"/>
        <c:scaling>
          <c:orientation val="minMax"/>
        </c:scaling>
        <c:delete val="0"/>
        <c:axPos val="b"/>
        <c:majorTickMark val="out"/>
        <c:minorTickMark val="none"/>
        <c:tickLblPos val="nextTo"/>
        <c:txPr>
          <a:bodyPr/>
          <a:lstStyle/>
          <a:p>
            <a:pPr>
              <a:defRPr lang="es-ES"/>
            </a:pPr>
            <a:endParaRPr lang="es-PE"/>
          </a:p>
        </c:txPr>
        <c:crossAx val="64834944"/>
        <c:crosses val="autoZero"/>
        <c:auto val="1"/>
        <c:lblAlgn val="ctr"/>
        <c:lblOffset val="100"/>
        <c:noMultiLvlLbl val="0"/>
      </c:catAx>
      <c:valAx>
        <c:axId val="6483494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64833408"/>
        <c:crosses val="autoZero"/>
        <c:crossBetween val="between"/>
      </c:valAx>
    </c:plotArea>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v2.0.xlsm]CuadrosResumen!Tabla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64864256"/>
        <c:axId val="64865792"/>
      </c:barChart>
      <c:catAx>
        <c:axId val="64864256"/>
        <c:scaling>
          <c:orientation val="minMax"/>
        </c:scaling>
        <c:delete val="0"/>
        <c:axPos val="b"/>
        <c:majorTickMark val="out"/>
        <c:minorTickMark val="none"/>
        <c:tickLblPos val="nextTo"/>
        <c:txPr>
          <a:bodyPr/>
          <a:lstStyle/>
          <a:p>
            <a:pPr>
              <a:defRPr lang="es-ES"/>
            </a:pPr>
            <a:endParaRPr lang="es-PE"/>
          </a:p>
        </c:txPr>
        <c:crossAx val="64865792"/>
        <c:crosses val="autoZero"/>
        <c:auto val="1"/>
        <c:lblAlgn val="ctr"/>
        <c:lblOffset val="100"/>
        <c:noMultiLvlLbl val="0"/>
      </c:catAx>
      <c:valAx>
        <c:axId val="6486579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64864256"/>
        <c:crosses val="autoZero"/>
        <c:crossBetween val="between"/>
      </c:valAx>
    </c:plotArea>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v2.0.xlsm]CuadrosResumen!Tabla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84436864"/>
        <c:axId val="84438400"/>
      </c:barChart>
      <c:catAx>
        <c:axId val="84436864"/>
        <c:scaling>
          <c:orientation val="minMax"/>
        </c:scaling>
        <c:delete val="0"/>
        <c:axPos val="b"/>
        <c:majorTickMark val="out"/>
        <c:minorTickMark val="none"/>
        <c:tickLblPos val="nextTo"/>
        <c:txPr>
          <a:bodyPr/>
          <a:lstStyle/>
          <a:p>
            <a:pPr>
              <a:defRPr lang="es-ES"/>
            </a:pPr>
            <a:endParaRPr lang="es-PE"/>
          </a:p>
        </c:txPr>
        <c:crossAx val="84438400"/>
        <c:crosses val="autoZero"/>
        <c:auto val="1"/>
        <c:lblAlgn val="ctr"/>
        <c:lblOffset val="100"/>
        <c:noMultiLvlLbl val="0"/>
      </c:catAx>
      <c:valAx>
        <c:axId val="8443840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4436864"/>
        <c:crosses val="autoZero"/>
        <c:crossBetween val="between"/>
      </c:valAx>
    </c:plotArea>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 v2.0.xlsm]CuadrosResumen!Tabla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86790528"/>
        <c:axId val="86792064"/>
      </c:barChart>
      <c:catAx>
        <c:axId val="86790528"/>
        <c:scaling>
          <c:orientation val="minMax"/>
        </c:scaling>
        <c:delete val="0"/>
        <c:axPos val="b"/>
        <c:majorTickMark val="out"/>
        <c:minorTickMark val="none"/>
        <c:tickLblPos val="nextTo"/>
        <c:txPr>
          <a:bodyPr/>
          <a:lstStyle/>
          <a:p>
            <a:pPr>
              <a:defRPr lang="es-ES"/>
            </a:pPr>
            <a:endParaRPr lang="es-PE"/>
          </a:p>
        </c:txPr>
        <c:crossAx val="86792064"/>
        <c:crosses val="autoZero"/>
        <c:auto val="1"/>
        <c:lblAlgn val="ctr"/>
        <c:lblOffset val="100"/>
        <c:noMultiLvlLbl val="0"/>
      </c:catAx>
      <c:valAx>
        <c:axId val="8679206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86790528"/>
        <c:crosses val="autoZero"/>
        <c:crossBetween val="between"/>
      </c:valAx>
    </c:plotArea>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8</xdr:col>
          <xdr:colOff>2566235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3" cacheId="2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5" cacheId="2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2" cacheId="2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1" cacheId="2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7" cacheId="18"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6" cacheId="1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19" totalsRowShown="0" headerRowDxfId="68" dataDxfId="66" headerRowBorderDxfId="67" tableBorderDxfId="65">
  <autoFilter ref="A4:Q19"/>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calculatedColumnFormula>General!$A$10</calculatedColumnFormula>
    </tableColumn>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73" totalsRowShown="0" headerRowDxfId="47" dataDxfId="45" headerRowBorderDxfId="46" tableBorderDxfId="44">
  <autoFilter ref="A2:L73">
    <filterColumn colId="1">
      <filters>
        <filter val="CP008"/>
      </filters>
    </filterColumn>
  </autoFilter>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6" totalsRowShown="0" headerRowDxfId="19" dataDxfId="17" headerRowBorderDxfId="18" tableBorderDxfId="16">
  <sortState ref="B11:G12">
    <sortCondition ref="C6:C8"/>
  </sortState>
  <tableColumns count="9">
    <tableColumn id="1" name="Fecha" dataDxfId="15"/>
    <tableColumn id="2" name="Aciertos" dataDxfId="14"/>
    <tableColumn id="3" name="Fallos" dataDxfId="13"/>
    <tableColumn id="4" name="Bloqueado" dataDxfId="12"/>
    <tableColumn id="7" name="Pendiente" dataDxfId="11"/>
    <tableColumn id="5" name="No Aplica" dataDxfId="10"/>
    <tableColumn id="8" name="En Proceso" dataDxfId="9"/>
    <tableColumn id="9" name="Reejecuciones" dataDxfId="8"/>
    <tableColumn id="6" name="Totales" dataDxfId="7">
      <calculatedColumnFormula>SUM(HistóricoEjecuciones[[#This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6" totalsRowShown="0" headerRowDxfId="6" headerRowBorderDxfId="5" tableBorderDxfId="4">
  <tableColumns count="4">
    <tableColumn id="1" name="Fecha" dataDxfId="3"/>
    <tableColumn id="2" name="Abiertas" dataDxfId="2"/>
    <tableColumn id="4" name="Cerradas" dataDxfId="1"/>
    <tableColumn id="5" name="Totales" dataDxfId="0">
      <calculatedColumnFormula>SUM(HistoricoIncidencias[[#This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7" sqref="B7"/>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2" t="s">
        <v>0</v>
      </c>
      <c r="B1" s="173"/>
      <c r="C1" s="173"/>
      <c r="D1" s="173"/>
      <c r="XFB1" s="4" t="s">
        <v>135</v>
      </c>
    </row>
    <row r="2" spans="1:4 16382:16382" ht="19.5" customHeight="1">
      <c r="A2" s="174" t="s">
        <v>1</v>
      </c>
      <c r="B2" s="174"/>
      <c r="C2" s="174"/>
      <c r="D2" s="174"/>
      <c r="XFB2" s="4" t="s">
        <v>136</v>
      </c>
    </row>
    <row r="3" spans="1:4 16382:16382" ht="19.5" customHeight="1">
      <c r="A3" s="114" t="s">
        <v>139</v>
      </c>
      <c r="B3" s="117" t="s">
        <v>164</v>
      </c>
      <c r="C3" s="114" t="s">
        <v>2</v>
      </c>
      <c r="D3" s="118" t="s">
        <v>138</v>
      </c>
      <c r="XFB3" s="4" t="s">
        <v>137</v>
      </c>
    </row>
    <row r="4" spans="1:4 16382:16382" ht="19.5" customHeight="1">
      <c r="A4" s="115" t="s">
        <v>140</v>
      </c>
      <c r="B4" s="175" t="s">
        <v>165</v>
      </c>
      <c r="C4" s="175"/>
      <c r="D4" s="175"/>
      <c r="XFB4" s="4" t="s">
        <v>138</v>
      </c>
    </row>
    <row r="5" spans="1:4 16382:16382" ht="120" customHeight="1">
      <c r="A5" s="114" t="s">
        <v>3</v>
      </c>
      <c r="B5" s="176" t="s">
        <v>297</v>
      </c>
      <c r="C5" s="177"/>
      <c r="D5" s="178"/>
    </row>
    <row r="6" spans="1:4 16382:16382" ht="19.5" customHeight="1">
      <c r="A6" s="114" t="s">
        <v>148</v>
      </c>
      <c r="B6" s="119" t="s">
        <v>166</v>
      </c>
      <c r="C6" s="114" t="s">
        <v>4</v>
      </c>
      <c r="D6" s="1" t="s">
        <v>166</v>
      </c>
    </row>
    <row r="7" spans="1:4 16382:16382" ht="19.5" customHeight="1">
      <c r="A7" s="114" t="s">
        <v>160</v>
      </c>
      <c r="B7" s="117" t="s">
        <v>163</v>
      </c>
      <c r="C7" s="114" t="s">
        <v>141</v>
      </c>
      <c r="D7" s="2" t="s">
        <v>166</v>
      </c>
    </row>
    <row r="8" spans="1:4 16382:16382" ht="19.5" customHeight="1">
      <c r="A8" s="179" t="s">
        <v>5</v>
      </c>
      <c r="B8" s="179"/>
      <c r="C8" s="179" t="s">
        <v>6</v>
      </c>
      <c r="D8" s="179"/>
    </row>
    <row r="9" spans="1:4 16382:16382" ht="19.5" customHeight="1">
      <c r="A9" s="116" t="s">
        <v>7</v>
      </c>
      <c r="B9" s="116" t="s">
        <v>8</v>
      </c>
      <c r="C9" s="116" t="s">
        <v>7</v>
      </c>
      <c r="D9" s="116" t="s">
        <v>8</v>
      </c>
    </row>
    <row r="10" spans="1:4 16382:16382" ht="19.5" customHeight="1">
      <c r="A10" s="120" t="s">
        <v>159</v>
      </c>
      <c r="B10" s="3" t="s">
        <v>159</v>
      </c>
      <c r="C10" s="3" t="s">
        <v>159</v>
      </c>
      <c r="D10" s="3" t="s">
        <v>159</v>
      </c>
    </row>
    <row r="11" spans="1:4 16382:16382" hidden="1"/>
  </sheetData>
  <mergeCells count="6">
    <mergeCell ref="A1:D1"/>
    <mergeCell ref="A2:D2"/>
    <mergeCell ref="B4:D4"/>
    <mergeCell ref="B5:D5"/>
    <mergeCell ref="A8:B8"/>
    <mergeCell ref="C8:D8"/>
  </mergeCells>
  <dataValidations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124" zoomScaleNormal="124" workbookViewId="0">
      <pane ySplit="7" topLeftCell="A11" activePane="bottomLeft" state="frozen"/>
      <selection pane="bottomLeft" activeCell="D6" sqref="D6"/>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9"/>
      <c r="B1" s="79"/>
      <c r="C1" s="79"/>
      <c r="F1" s="79"/>
      <c r="P1" s="79"/>
      <c r="Q1" s="79"/>
      <c r="R1" s="79"/>
    </row>
    <row r="2" spans="1:18">
      <c r="A2" s="79"/>
      <c r="B2" s="79"/>
      <c r="C2" s="138" t="s">
        <v>9</v>
      </c>
      <c r="D2" s="137" t="str">
        <f>General!$B$3</f>
        <v xml:space="preserve">PRY-SSIAEDUCT-03 </v>
      </c>
      <c r="E2" s="79"/>
      <c r="F2" s="138" t="s">
        <v>10</v>
      </c>
      <c r="G2" s="181" t="str">
        <f>General!$B$4</f>
        <v>Arquitectura de Negocios de la Oficina Central de Fe y Alegría Perú – ANOCFAP</v>
      </c>
      <c r="H2" s="181"/>
      <c r="I2" s="181"/>
      <c r="J2" s="181"/>
      <c r="K2" s="181"/>
      <c r="L2" s="181"/>
      <c r="M2" s="181"/>
      <c r="N2" s="181"/>
      <c r="O2" s="181"/>
      <c r="P2" s="79"/>
      <c r="Q2" s="79"/>
      <c r="R2" s="79"/>
    </row>
    <row r="3" spans="1:18" ht="6" customHeight="1">
      <c r="A3" s="79"/>
      <c r="B3" s="79"/>
      <c r="C3" s="139"/>
      <c r="E3" s="79"/>
      <c r="F3" s="139"/>
      <c r="G3" s="79"/>
      <c r="H3" s="79"/>
      <c r="I3" s="79"/>
      <c r="J3" s="79"/>
      <c r="K3" s="79"/>
      <c r="L3" s="79"/>
      <c r="M3" s="79"/>
      <c r="N3" s="79"/>
      <c r="O3" s="79"/>
      <c r="P3" s="79"/>
      <c r="Q3" s="79"/>
      <c r="R3" s="79"/>
    </row>
    <row r="4" spans="1:18" ht="18.75">
      <c r="A4" s="79"/>
      <c r="B4" s="79"/>
      <c r="C4" s="138" t="s">
        <v>11</v>
      </c>
      <c r="D4" s="140">
        <f>$E$14+$I$14</f>
        <v>0</v>
      </c>
      <c r="E4" s="139"/>
      <c r="F4" s="138" t="s">
        <v>12</v>
      </c>
      <c r="G4" s="182" t="str">
        <f>IF(SUM($C$30:$C$31)&gt;0,P37,IF((SUM($C$30:$C$31)=0)*(SUM($C$32:$C$33)),$P$36,IF($C$34=0,$P$35,$P$35)))</f>
        <v>SATISFACTORIO</v>
      </c>
      <c r="H4" s="182"/>
      <c r="I4" s="182"/>
      <c r="J4" s="182"/>
      <c r="K4" s="182"/>
      <c r="L4" s="182"/>
      <c r="M4" s="182"/>
      <c r="N4" s="182"/>
      <c r="O4" s="182"/>
      <c r="P4" s="79"/>
      <c r="Q4" s="79"/>
      <c r="R4" s="79"/>
    </row>
    <row r="5" spans="1:18" ht="6" customHeight="1">
      <c r="A5" s="79"/>
      <c r="B5" s="79"/>
      <c r="C5" s="138"/>
      <c r="D5" s="141"/>
      <c r="E5" s="138"/>
      <c r="F5" s="142"/>
      <c r="G5" s="84"/>
      <c r="H5" s="84"/>
      <c r="I5" s="84"/>
      <c r="J5" s="84"/>
      <c r="K5" s="84"/>
      <c r="L5" s="84"/>
      <c r="M5" s="84"/>
      <c r="N5" s="84"/>
      <c r="O5" s="84"/>
      <c r="P5" s="79"/>
      <c r="Q5" s="79"/>
      <c r="R5" s="79"/>
    </row>
    <row r="6" spans="1:18" ht="18.75">
      <c r="A6" s="79"/>
      <c r="B6" s="79"/>
      <c r="C6" s="138" t="s">
        <v>13</v>
      </c>
      <c r="D6" s="140">
        <f>$C$11/$C$10</f>
        <v>1</v>
      </c>
      <c r="E6" s="139"/>
      <c r="F6" s="139"/>
      <c r="G6" s="79"/>
      <c r="H6" s="79"/>
      <c r="I6" s="79"/>
      <c r="J6" s="79"/>
      <c r="K6" s="79"/>
      <c r="L6" s="79"/>
      <c r="M6" s="79"/>
      <c r="N6" s="79"/>
      <c r="O6" s="79"/>
      <c r="P6" s="79"/>
      <c r="Q6" s="79"/>
      <c r="R6" s="79"/>
    </row>
    <row r="7" spans="1:18" ht="4.5" customHeight="1">
      <c r="A7" s="79"/>
      <c r="B7" s="79"/>
      <c r="C7" s="79"/>
      <c r="E7" s="79"/>
      <c r="F7" s="79"/>
      <c r="G7" s="79"/>
      <c r="H7" s="79"/>
      <c r="I7" s="79"/>
      <c r="J7" s="79"/>
      <c r="K7" s="79"/>
      <c r="L7" s="79"/>
      <c r="M7" s="79"/>
      <c r="N7" s="79"/>
      <c r="O7" s="79"/>
      <c r="P7" s="79"/>
      <c r="Q7" s="79"/>
      <c r="R7" s="79"/>
    </row>
    <row r="8" spans="1:18" ht="23.25">
      <c r="A8" s="80" t="s">
        <v>14</v>
      </c>
      <c r="B8" s="79"/>
      <c r="C8" s="79"/>
      <c r="D8" s="79"/>
      <c r="E8" s="79"/>
      <c r="F8" s="79"/>
      <c r="G8" s="79"/>
      <c r="H8" s="79"/>
      <c r="I8" s="79"/>
      <c r="J8" s="79"/>
      <c r="K8" s="79"/>
      <c r="L8" s="79"/>
      <c r="M8" s="79"/>
      <c r="N8" s="79"/>
      <c r="O8" s="79"/>
      <c r="P8" s="79"/>
      <c r="Q8" s="79"/>
      <c r="R8" s="79"/>
    </row>
    <row r="9" spans="1:18" ht="4.5" customHeight="1" thickBot="1">
      <c r="A9" s="79"/>
      <c r="B9" s="79"/>
      <c r="C9" s="79"/>
      <c r="D9" s="79"/>
      <c r="E9" s="79"/>
      <c r="F9" s="79"/>
      <c r="G9" s="79"/>
      <c r="H9" s="79"/>
      <c r="I9" s="79"/>
      <c r="J9" s="79"/>
      <c r="K9" s="79"/>
      <c r="L9" s="79"/>
      <c r="M9" s="79"/>
      <c r="N9" s="79"/>
      <c r="O9" s="79"/>
      <c r="P9" s="79"/>
      <c r="Q9" s="79"/>
      <c r="R9" s="79"/>
    </row>
    <row r="10" spans="1:18" ht="15.75" thickBot="1">
      <c r="A10" s="79"/>
      <c r="B10" s="136" t="s">
        <v>15</v>
      </c>
      <c r="C10" s="9">
        <f>ROWS(CasoPrueba[])</f>
        <v>15</v>
      </c>
      <c r="D10" s="79"/>
      <c r="E10" s="79"/>
      <c r="F10" s="79"/>
      <c r="G10" s="79"/>
      <c r="H10" s="79"/>
      <c r="I10" s="79"/>
      <c r="J10" s="79"/>
      <c r="K10" s="79"/>
      <c r="L10" s="79"/>
      <c r="M10" s="79"/>
      <c r="N10" s="79"/>
      <c r="O10" s="79"/>
      <c r="P10" s="87" t="s">
        <v>32</v>
      </c>
      <c r="Q10" s="11" t="s">
        <v>3</v>
      </c>
      <c r="R10" s="79"/>
    </row>
    <row r="11" spans="1:18" ht="15.75" thickBot="1">
      <c r="A11" s="79"/>
      <c r="B11" s="136" t="s">
        <v>16</v>
      </c>
      <c r="C11" s="9">
        <f>$C$10-$C$12</f>
        <v>15</v>
      </c>
      <c r="D11" s="79"/>
      <c r="E11" s="79"/>
      <c r="F11" s="79"/>
      <c r="G11" s="79"/>
      <c r="H11" s="79"/>
      <c r="I11" s="79"/>
      <c r="J11" s="79"/>
      <c r="K11" s="79"/>
      <c r="L11" s="79"/>
      <c r="M11" s="79"/>
      <c r="N11" s="79"/>
      <c r="O11" s="79"/>
      <c r="P11" s="88" t="s">
        <v>33</v>
      </c>
      <c r="Q11" s="12" t="s">
        <v>34</v>
      </c>
      <c r="R11" s="79"/>
    </row>
    <row r="12" spans="1:18" ht="30.75" thickBot="1">
      <c r="A12" s="79"/>
      <c r="B12" s="136" t="s">
        <v>18</v>
      </c>
      <c r="C12" s="9">
        <f>COUNTIF(CasoPrueba[[#All],[Estado Testing]],$P$27)</f>
        <v>0</v>
      </c>
      <c r="D12" s="79"/>
      <c r="E12" s="92" t="s">
        <v>19</v>
      </c>
      <c r="F12" s="93" t="s">
        <v>20</v>
      </c>
      <c r="G12" s="146" t="s">
        <v>21</v>
      </c>
      <c r="H12" s="147" t="s">
        <v>22</v>
      </c>
      <c r="I12" s="143" t="s">
        <v>23</v>
      </c>
      <c r="J12" s="144" t="s">
        <v>24</v>
      </c>
      <c r="K12" s="145" t="s">
        <v>130</v>
      </c>
      <c r="L12" s="81"/>
      <c r="M12" s="79"/>
      <c r="N12" s="79"/>
      <c r="O12" s="79"/>
      <c r="P12" s="89" t="s">
        <v>35</v>
      </c>
      <c r="Q12" s="13" t="s">
        <v>36</v>
      </c>
      <c r="R12" s="79"/>
    </row>
    <row r="13" spans="1:18" ht="30.75" thickBot="1">
      <c r="A13" s="79"/>
      <c r="B13" s="136" t="s">
        <v>113</v>
      </c>
      <c r="C13" s="9">
        <f>COUNTIF(CasoPrueba[[#All],[Estado Testing]],$P$29)</f>
        <v>10</v>
      </c>
      <c r="D13" s="79"/>
      <c r="E13" s="5">
        <f>COUNTIF(CasoPrueba[[#All],[Estado Testing]],$P$28)</f>
        <v>0</v>
      </c>
      <c r="F13" s="5">
        <f>COUNTIF(CasoPrueba[[#All],[Estado Testing]],$P$29)</f>
        <v>10</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82"/>
      <c r="M13" s="79"/>
      <c r="N13" s="79"/>
      <c r="O13" s="79"/>
      <c r="P13" s="90" t="s">
        <v>37</v>
      </c>
      <c r="Q13" s="14" t="s">
        <v>38</v>
      </c>
      <c r="R13" s="79"/>
    </row>
    <row r="14" spans="1:18" ht="15.75" thickBot="1">
      <c r="A14" s="79"/>
      <c r="B14" s="136" t="s">
        <v>17</v>
      </c>
      <c r="C14" s="9">
        <f>COUNTIF(CasoPrueba[[#All],[Estado Testing]],$P$30)</f>
        <v>0</v>
      </c>
      <c r="D14" s="79"/>
      <c r="E14" s="15">
        <f t="shared" ref="E14:J14" si="0">E13/$C$10</f>
        <v>0</v>
      </c>
      <c r="F14" s="15">
        <f t="shared" si="0"/>
        <v>0.66666666666666663</v>
      </c>
      <c r="G14" s="15">
        <f t="shared" si="0"/>
        <v>0</v>
      </c>
      <c r="H14" s="15">
        <f t="shared" si="0"/>
        <v>0</v>
      </c>
      <c r="I14" s="15">
        <f t="shared" si="0"/>
        <v>0</v>
      </c>
      <c r="J14" s="15">
        <f t="shared" si="0"/>
        <v>0</v>
      </c>
      <c r="K14" s="15">
        <f>K13/C10</f>
        <v>0</v>
      </c>
      <c r="L14" s="83"/>
      <c r="M14" s="79"/>
      <c r="N14" s="79"/>
      <c r="O14" s="79"/>
      <c r="P14" s="91" t="s">
        <v>39</v>
      </c>
      <c r="Q14" s="16" t="s">
        <v>40</v>
      </c>
      <c r="R14" s="79"/>
    </row>
    <row r="15" spans="1:18" ht="9" customHeight="1">
      <c r="A15" s="79"/>
      <c r="B15" s="79"/>
      <c r="C15" s="79"/>
      <c r="D15" s="79"/>
      <c r="E15" s="79"/>
      <c r="F15" s="79"/>
      <c r="G15" s="79"/>
      <c r="H15" s="79"/>
      <c r="I15" s="79"/>
      <c r="J15" s="79"/>
      <c r="K15" s="79"/>
      <c r="L15" s="79"/>
      <c r="M15" s="79"/>
      <c r="N15" s="79"/>
      <c r="O15" s="79"/>
      <c r="P15" s="79"/>
      <c r="Q15" s="79"/>
      <c r="R15" s="79"/>
    </row>
    <row r="16" spans="1:18" ht="15.75" hidden="1" thickBot="1">
      <c r="A16" s="79"/>
      <c r="B16" s="183" t="s">
        <v>25</v>
      </c>
      <c r="C16" s="184" t="s">
        <v>19</v>
      </c>
      <c r="D16" s="184"/>
      <c r="E16" s="185" t="s">
        <v>20</v>
      </c>
      <c r="F16" s="185"/>
      <c r="G16" s="186" t="s">
        <v>21</v>
      </c>
      <c r="H16" s="186"/>
      <c r="I16" s="187" t="s">
        <v>22</v>
      </c>
      <c r="J16" s="188"/>
      <c r="K16" s="191" t="s">
        <v>23</v>
      </c>
      <c r="L16" s="192"/>
      <c r="M16" s="189" t="s">
        <v>24</v>
      </c>
      <c r="N16" s="190"/>
      <c r="O16" s="79"/>
      <c r="P16" s="10" t="s">
        <v>41</v>
      </c>
      <c r="Q16" s="11" t="s">
        <v>42</v>
      </c>
      <c r="R16" s="79"/>
    </row>
    <row r="17" spans="1:18" ht="15.75" hidden="1" thickBot="1">
      <c r="A17" s="79"/>
      <c r="B17" s="183"/>
      <c r="C17" s="56" t="s">
        <v>26</v>
      </c>
      <c r="D17" s="56" t="s">
        <v>27</v>
      </c>
      <c r="E17" s="57" t="s">
        <v>26</v>
      </c>
      <c r="F17" s="57" t="s">
        <v>27</v>
      </c>
      <c r="G17" s="58" t="s">
        <v>26</v>
      </c>
      <c r="H17" s="58" t="s">
        <v>27</v>
      </c>
      <c r="I17" s="59" t="s">
        <v>26</v>
      </c>
      <c r="J17" s="59" t="s">
        <v>27</v>
      </c>
      <c r="K17" s="60" t="s">
        <v>26</v>
      </c>
      <c r="L17" s="60" t="s">
        <v>27</v>
      </c>
      <c r="M17" s="61" t="s">
        <v>26</v>
      </c>
      <c r="N17" s="61" t="s">
        <v>27</v>
      </c>
      <c r="O17" s="79"/>
      <c r="P17" s="17" t="s">
        <v>28</v>
      </c>
      <c r="Q17" s="18" t="s">
        <v>43</v>
      </c>
      <c r="R17" s="79"/>
    </row>
    <row r="18" spans="1:18" ht="15.75" hidden="1" thickBot="1">
      <c r="A18" s="79"/>
      <c r="B18" s="43" t="s">
        <v>28</v>
      </c>
      <c r="C18" s="44">
        <f>COUNTIFS(CasoPrueba[[#All],[Estado Testing]],$P$28,CasoPrueba[[#All],[Prioridad]],$P$17)</f>
        <v>0</v>
      </c>
      <c r="D18" s="45">
        <f>C18/$C$10</f>
        <v>0</v>
      </c>
      <c r="E18" s="46">
        <f>COUNTIFS(CasoPrueba[[#All],[Estado Testing]],$P$29,CasoPrueba[[#All],[Prioridad]],$P$17)</f>
        <v>10</v>
      </c>
      <c r="F18" s="47">
        <f>E18/$C$10</f>
        <v>0.66666666666666663</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10</v>
      </c>
      <c r="N18" s="53">
        <f>M18/$C$10</f>
        <v>0.66666666666666663</v>
      </c>
      <c r="O18" s="79"/>
      <c r="P18" s="19" t="s">
        <v>29</v>
      </c>
      <c r="Q18" s="20" t="s">
        <v>44</v>
      </c>
      <c r="R18" s="79"/>
    </row>
    <row r="19" spans="1:18" ht="15.75" hidden="1" thickBot="1">
      <c r="A19" s="79"/>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9"/>
      <c r="P19" s="21" t="s">
        <v>30</v>
      </c>
      <c r="Q19" s="20" t="s">
        <v>45</v>
      </c>
      <c r="R19" s="79"/>
    </row>
    <row r="20" spans="1:18" ht="15.75" hidden="1" thickBot="1">
      <c r="A20" s="79"/>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9"/>
      <c r="P20" s="79"/>
      <c r="Q20" s="79"/>
      <c r="R20" s="79"/>
    </row>
    <row r="21" spans="1:18" ht="15.75" hidden="1" thickBot="1">
      <c r="A21" s="79"/>
      <c r="B21" s="62" t="s">
        <v>31</v>
      </c>
      <c r="C21" s="62">
        <f>SUM(C18:C20)</f>
        <v>0</v>
      </c>
      <c r="D21" s="63">
        <f t="shared" ref="D21:N21" si="2">SUM(D18:D20)</f>
        <v>0</v>
      </c>
      <c r="E21" s="62">
        <f t="shared" si="2"/>
        <v>10</v>
      </c>
      <c r="F21" s="63">
        <f t="shared" si="2"/>
        <v>0.66666666666666663</v>
      </c>
      <c r="G21" s="62">
        <f t="shared" si="2"/>
        <v>0</v>
      </c>
      <c r="H21" s="63">
        <f t="shared" si="2"/>
        <v>0</v>
      </c>
      <c r="I21" s="62">
        <f t="shared" si="2"/>
        <v>0</v>
      </c>
      <c r="J21" s="63">
        <f t="shared" si="2"/>
        <v>0</v>
      </c>
      <c r="K21" s="62">
        <f>SUM(K18:K20)</f>
        <v>0</v>
      </c>
      <c r="L21" s="63">
        <f>SUM(L18:L20)</f>
        <v>0</v>
      </c>
      <c r="M21" s="62">
        <f t="shared" si="2"/>
        <v>10</v>
      </c>
      <c r="N21" s="63">
        <f t="shared" si="2"/>
        <v>0.66666666666666663</v>
      </c>
      <c r="O21" s="79"/>
      <c r="P21" s="10" t="s">
        <v>46</v>
      </c>
      <c r="Q21" s="11" t="s">
        <v>3</v>
      </c>
      <c r="R21" s="79"/>
    </row>
    <row r="22" spans="1:18" ht="15.75" hidden="1" thickBot="1">
      <c r="A22" s="79"/>
      <c r="B22" s="79"/>
      <c r="C22" s="79"/>
      <c r="D22" s="79"/>
      <c r="E22" s="79"/>
      <c r="F22" s="79"/>
      <c r="G22" s="79"/>
      <c r="H22" s="79"/>
      <c r="I22" s="79"/>
      <c r="J22" s="79"/>
      <c r="K22" s="79"/>
      <c r="L22" s="79"/>
      <c r="M22" s="79"/>
      <c r="N22" s="79"/>
      <c r="O22" s="79"/>
      <c r="P22" s="17" t="s">
        <v>47</v>
      </c>
      <c r="Q22" s="24" t="s">
        <v>51</v>
      </c>
      <c r="R22" s="79"/>
    </row>
    <row r="23" spans="1:18" ht="30.75" hidden="1" thickBot="1">
      <c r="A23" s="79"/>
      <c r="B23" s="79"/>
      <c r="C23" s="79"/>
      <c r="D23" s="79"/>
      <c r="E23" s="79"/>
      <c r="F23" s="79"/>
      <c r="G23" s="79"/>
      <c r="H23" s="79"/>
      <c r="I23" s="79"/>
      <c r="J23" s="79"/>
      <c r="K23" s="79"/>
      <c r="L23" s="79"/>
      <c r="M23" s="79"/>
      <c r="N23" s="79"/>
      <c r="O23" s="79"/>
      <c r="P23" s="22" t="s">
        <v>48</v>
      </c>
      <c r="Q23" s="25" t="s">
        <v>50</v>
      </c>
      <c r="R23" s="79"/>
    </row>
    <row r="24" spans="1:18" ht="15.75" hidden="1" thickBot="1">
      <c r="A24" s="79"/>
      <c r="B24" s="79"/>
      <c r="C24" s="79"/>
      <c r="D24" s="79"/>
      <c r="E24" s="79"/>
      <c r="F24" s="79"/>
      <c r="G24" s="79"/>
      <c r="H24" s="79"/>
      <c r="I24" s="79"/>
      <c r="J24" s="79"/>
      <c r="K24" s="79"/>
      <c r="L24" s="79"/>
      <c r="M24" s="79"/>
      <c r="N24" s="79"/>
      <c r="O24" s="79"/>
      <c r="P24" s="23" t="s">
        <v>49</v>
      </c>
      <c r="Q24" s="25" t="s">
        <v>52</v>
      </c>
      <c r="R24" s="79"/>
    </row>
    <row r="25" spans="1:18" ht="9" hidden="1" customHeight="1" thickBot="1">
      <c r="A25" s="79"/>
      <c r="B25" s="79"/>
      <c r="C25" s="79"/>
      <c r="D25" s="79"/>
      <c r="E25" s="79"/>
      <c r="F25" s="79"/>
      <c r="G25" s="79"/>
      <c r="H25" s="79"/>
      <c r="I25" s="79"/>
      <c r="J25" s="79"/>
      <c r="K25" s="79"/>
      <c r="L25" s="79"/>
      <c r="M25" s="79"/>
      <c r="N25" s="79"/>
      <c r="O25" s="79"/>
      <c r="P25" s="79"/>
      <c r="Q25" s="79"/>
      <c r="R25" s="79"/>
    </row>
    <row r="26" spans="1:18" ht="24" hidden="1" thickBot="1">
      <c r="A26" s="123" t="s">
        <v>68</v>
      </c>
      <c r="B26" s="124"/>
      <c r="C26" s="124"/>
      <c r="D26" s="124"/>
      <c r="E26" s="124"/>
      <c r="F26" s="124"/>
      <c r="G26" s="124"/>
      <c r="H26" s="124"/>
      <c r="I26" s="124"/>
      <c r="J26" s="124"/>
      <c r="K26" s="124"/>
      <c r="L26" s="124"/>
      <c r="M26" s="79"/>
      <c r="N26" s="79"/>
      <c r="O26" s="79"/>
      <c r="P26" s="6" t="s">
        <v>53</v>
      </c>
      <c r="Q26" s="7" t="s">
        <v>54</v>
      </c>
      <c r="R26" s="79"/>
    </row>
    <row r="27" spans="1:18" ht="18" hidden="1" customHeight="1" thickBot="1">
      <c r="A27" s="124"/>
      <c r="B27" s="124"/>
      <c r="C27" s="124"/>
      <c r="D27" s="124"/>
      <c r="E27" s="124"/>
      <c r="F27" s="124"/>
      <c r="G27" s="124"/>
      <c r="H27" s="124"/>
      <c r="I27" s="124"/>
      <c r="J27" s="124"/>
      <c r="K27" s="124"/>
      <c r="L27" s="124"/>
      <c r="M27" s="79"/>
      <c r="N27" s="79"/>
      <c r="O27" s="79"/>
      <c r="P27" s="113" t="s">
        <v>22</v>
      </c>
      <c r="Q27" s="8" t="s">
        <v>66</v>
      </c>
      <c r="R27" s="79"/>
    </row>
    <row r="28" spans="1:18" ht="30.75" hidden="1" customHeight="1" thickBot="1">
      <c r="A28" s="124"/>
      <c r="B28" s="180" t="s">
        <v>69</v>
      </c>
      <c r="C28" s="180" t="s">
        <v>70</v>
      </c>
      <c r="D28" s="180"/>
      <c r="E28" s="180" t="s">
        <v>71</v>
      </c>
      <c r="F28" s="180"/>
      <c r="G28" s="124"/>
      <c r="H28" s="124"/>
      <c r="I28" s="124"/>
      <c r="J28" s="124"/>
      <c r="K28" s="124"/>
      <c r="L28" s="124"/>
      <c r="M28" s="79"/>
      <c r="N28" s="79"/>
      <c r="O28" s="79"/>
      <c r="P28" s="108" t="s">
        <v>19</v>
      </c>
      <c r="Q28" s="14" t="s">
        <v>55</v>
      </c>
      <c r="R28" s="79"/>
    </row>
    <row r="29" spans="1:18" ht="15.75" hidden="1" thickBot="1">
      <c r="A29" s="124"/>
      <c r="B29" s="180"/>
      <c r="C29" s="125" t="s">
        <v>26</v>
      </c>
      <c r="D29" s="125" t="s">
        <v>27</v>
      </c>
      <c r="E29" s="125" t="s">
        <v>26</v>
      </c>
      <c r="F29" s="125" t="s">
        <v>27</v>
      </c>
      <c r="G29" s="124"/>
      <c r="H29" s="126" t="s">
        <v>41</v>
      </c>
      <c r="I29" s="126" t="s">
        <v>28</v>
      </c>
      <c r="J29" s="126" t="s">
        <v>29</v>
      </c>
      <c r="K29" s="126" t="s">
        <v>30</v>
      </c>
      <c r="L29" s="121"/>
      <c r="M29" s="85"/>
      <c r="N29" s="79"/>
      <c r="O29" s="79"/>
      <c r="P29" s="109" t="s">
        <v>20</v>
      </c>
      <c r="Q29" s="14" t="s">
        <v>56</v>
      </c>
      <c r="R29" s="79"/>
    </row>
    <row r="30" spans="1:18" ht="33" hidden="1" customHeight="1" thickBot="1">
      <c r="A30" s="124"/>
      <c r="B30" s="127" t="s">
        <v>33</v>
      </c>
      <c r="C30" s="128">
        <f>COUNTIFS(Observaciones[[#All],[Estado]],Resumen!$P$22,Observaciones[[#All],[Severidad]],Resumen!$P$11)+COUNTIFS(Observaciones[[#All],[Estado]],$P$23,Observaciones[[#All],[Severidad]],Resumen!$P$11)</f>
        <v>0</v>
      </c>
      <c r="D30" s="129">
        <f>C30/$C$10</f>
        <v>0</v>
      </c>
      <c r="E30" s="130">
        <f>COUNTIFS(Observaciones[[#All],[Estado]],Resumen!$P$24,Observaciones[[#All],[Severidad]],Resumen!$P$11)</f>
        <v>0</v>
      </c>
      <c r="F30" s="129">
        <f>E30/$C$10</f>
        <v>0</v>
      </c>
      <c r="G30" s="124"/>
      <c r="H30" s="127" t="s">
        <v>33</v>
      </c>
      <c r="I30" s="131">
        <f>COUNTIFS(Observaciones[[#All],[Severidad]],Resumen!$P$11,Observaciones[[#All],[Prioridad]],Resumen!$P$17)</f>
        <v>0</v>
      </c>
      <c r="J30" s="131">
        <f>COUNTIFS(Observaciones[[#All],[Severidad]],Resumen!$P$11,Observaciones[[#All],[Prioridad]],Resumen!$P$18)</f>
        <v>0</v>
      </c>
      <c r="K30" s="131">
        <f>COUNTIFS(Observaciones[[#All],[Severidad]],Resumen!$P$11,Observaciones[[#All],[Prioridad]],Resumen!$P$19)</f>
        <v>0</v>
      </c>
      <c r="L30" s="122"/>
      <c r="M30" s="86"/>
      <c r="N30" s="79"/>
      <c r="O30" s="79"/>
      <c r="P30" s="110" t="s">
        <v>21</v>
      </c>
      <c r="Q30" s="14" t="s">
        <v>57</v>
      </c>
      <c r="R30" s="79"/>
    </row>
    <row r="31" spans="1:18" ht="33" hidden="1" customHeight="1" thickBot="1">
      <c r="A31" s="124"/>
      <c r="B31" s="127" t="s">
        <v>35</v>
      </c>
      <c r="C31" s="128">
        <f>COUNTIFS(Observaciones[[#All],[Estado]],Resumen!$P$22,Observaciones[[#All],[Severidad]],Resumen!$P$12)+COUNTIFS(Observaciones[[#All],[Estado]],$P$23,Observaciones[[#All],[Severidad]],Resumen!$P$12)</f>
        <v>0</v>
      </c>
      <c r="D31" s="129">
        <f>C31/$C$10</f>
        <v>0</v>
      </c>
      <c r="E31" s="130">
        <f>COUNTIFS(Observaciones[[#All],[Estado]],Resumen!$P$24,Observaciones[[#All],[Severidad]],Resumen!$P$12)</f>
        <v>0</v>
      </c>
      <c r="F31" s="129">
        <f>E31/$C$10</f>
        <v>0</v>
      </c>
      <c r="G31" s="124"/>
      <c r="H31" s="127" t="s">
        <v>35</v>
      </c>
      <c r="I31" s="131">
        <f>COUNTIFS(Observaciones[[#All],[Severidad]],Resumen!$P$12,Observaciones[[#All],[Prioridad]],Resumen!$P$17)</f>
        <v>0</v>
      </c>
      <c r="J31" s="131">
        <f>COUNTIFS(Observaciones[[#All],[Severidad]],Resumen!$P$12,Observaciones[[#All],[Prioridad]],Resumen!$P$18)</f>
        <v>0</v>
      </c>
      <c r="K31" s="131">
        <f>COUNTIFS(Observaciones[[#All],[Severidad]],Resumen!$P$12,Observaciones[[#All],[Prioridad]],Resumen!$P$19)</f>
        <v>0</v>
      </c>
      <c r="L31" s="122"/>
      <c r="M31" s="86"/>
      <c r="N31" s="79"/>
      <c r="O31" s="79"/>
      <c r="P31" s="111" t="s">
        <v>23</v>
      </c>
      <c r="Q31" s="14" t="s">
        <v>58</v>
      </c>
      <c r="R31" s="79"/>
    </row>
    <row r="32" spans="1:18" ht="33" hidden="1" customHeight="1" thickBot="1">
      <c r="A32" s="124"/>
      <c r="B32" s="127" t="s">
        <v>37</v>
      </c>
      <c r="C32" s="132">
        <f>COUNTIFS(Observaciones[[#All],[Estado]],Resumen!$P$22,Observaciones[[#All],[Severidad]],Resumen!$P$13)+COUNTIFS(Observaciones[[#All],[Estado]],$P$23,Observaciones[[#All],[Severidad]],Resumen!$P$13)</f>
        <v>0</v>
      </c>
      <c r="D32" s="129">
        <f>C32/$C$10</f>
        <v>0</v>
      </c>
      <c r="E32" s="130">
        <f>COUNTIFS(Observaciones[[#All],[Estado]],Resumen!$P$24,Observaciones[[#All],[Severidad]],Resumen!$P$13)</f>
        <v>0</v>
      </c>
      <c r="F32" s="129">
        <f>E32/$C$10</f>
        <v>0</v>
      </c>
      <c r="G32" s="124"/>
      <c r="H32" s="127" t="s">
        <v>37</v>
      </c>
      <c r="I32" s="131">
        <f>COUNTIFS(Observaciones[[#All],[Severidad]],Resumen!$P$13,Observaciones[[#All],[Prioridad]],Resumen!$P$17)</f>
        <v>0</v>
      </c>
      <c r="J32" s="131">
        <f>COUNTIFS(Observaciones[[#All],[Severidad]],Resumen!$P$13,Observaciones[[#All],[Prioridad]],Resumen!$P$18)</f>
        <v>0</v>
      </c>
      <c r="K32" s="131">
        <f>COUNTIFS(Observaciones[[#All],[Severidad]],Resumen!$P$13,Observaciones[[#All],[Prioridad]],Resumen!$P$19)</f>
        <v>0</v>
      </c>
      <c r="L32" s="122"/>
      <c r="M32" s="86"/>
      <c r="N32" s="79"/>
      <c r="O32" s="79"/>
      <c r="P32" s="112" t="s">
        <v>24</v>
      </c>
      <c r="Q32" s="14" t="s">
        <v>67</v>
      </c>
    </row>
    <row r="33" spans="1:18" ht="15.75" hidden="1" thickBot="1">
      <c r="A33" s="124"/>
      <c r="B33" s="127" t="s">
        <v>39</v>
      </c>
      <c r="C33" s="132">
        <f>COUNTIFS(Observaciones[[#All],[Estado]],Resumen!$P$22,Observaciones[[#All],[Severidad]],Resumen!$P$14)+COUNTIFS(Observaciones[[#All],[Estado]],$P$23,Observaciones[[#All],[Severidad]],Resumen!$P$14)</f>
        <v>0</v>
      </c>
      <c r="D33" s="129">
        <f>C33/$C$10</f>
        <v>0</v>
      </c>
      <c r="E33" s="130">
        <f>COUNTIFS(Observaciones[[#All],[Estado]],Resumen!$P$24,Observaciones[[#All],[Severidad]],Resumen!$P$14)</f>
        <v>0</v>
      </c>
      <c r="F33" s="129">
        <f>E33/$C$10</f>
        <v>0</v>
      </c>
      <c r="G33" s="124"/>
      <c r="H33" s="127" t="s">
        <v>39</v>
      </c>
      <c r="I33" s="131">
        <f>COUNTIFS(Observaciones[[#All],[Severidad]],Resumen!$P$14,Observaciones[[#All],[Prioridad]],Resumen!$P$17)</f>
        <v>0</v>
      </c>
      <c r="J33" s="131">
        <f>COUNTIFS(Observaciones[[#All],[Severidad]],Resumen!$P$14,Observaciones[[#All],[Prioridad]],Resumen!$P$18)</f>
        <v>0</v>
      </c>
      <c r="K33" s="131">
        <f>COUNTIFS(Observaciones[[#All],[Severidad]],Resumen!$P$14,Observaciones[[#All],[Prioridad]],Resumen!$P$19)</f>
        <v>0</v>
      </c>
      <c r="L33" s="122"/>
      <c r="M33" s="86"/>
      <c r="N33" s="79"/>
      <c r="O33" s="79"/>
      <c r="P33" s="79"/>
      <c r="Q33" s="79"/>
      <c r="R33" s="79"/>
    </row>
    <row r="34" spans="1:18" ht="15.75" hidden="1" thickBot="1">
      <c r="A34" s="124"/>
      <c r="B34" s="127" t="s">
        <v>72</v>
      </c>
      <c r="C34" s="133">
        <f>SUM(C30:C33)</f>
        <v>0</v>
      </c>
      <c r="D34" s="134">
        <f>SUM(D30:D33)</f>
        <v>0</v>
      </c>
      <c r="E34" s="133">
        <f>SUM(E30:E33)</f>
        <v>0</v>
      </c>
      <c r="F34" s="134">
        <f>SUM(F30:F33)</f>
        <v>0</v>
      </c>
      <c r="G34" s="124"/>
      <c r="H34" s="127" t="s">
        <v>72</v>
      </c>
      <c r="I34" s="135">
        <f>SUM(I30:I33)</f>
        <v>0</v>
      </c>
      <c r="J34" s="135">
        <f>SUM(J30:J33)</f>
        <v>0</v>
      </c>
      <c r="K34" s="135">
        <f>SUM(K30:K33)</f>
        <v>0</v>
      </c>
      <c r="L34" s="122"/>
      <c r="M34" s="86"/>
      <c r="N34" s="79"/>
      <c r="O34" s="79"/>
      <c r="P34" s="10" t="s">
        <v>59</v>
      </c>
      <c r="Q34" s="11" t="s">
        <v>3</v>
      </c>
      <c r="R34" s="79"/>
    </row>
    <row r="35" spans="1:18" ht="33" hidden="1" customHeight="1" thickBot="1">
      <c r="A35" s="124"/>
      <c r="B35" s="124"/>
      <c r="C35" s="124"/>
      <c r="D35" s="124"/>
      <c r="E35" s="124"/>
      <c r="F35" s="124"/>
      <c r="G35" s="124"/>
      <c r="H35" s="124"/>
      <c r="I35" s="124"/>
      <c r="J35" s="124"/>
      <c r="K35" s="124"/>
      <c r="L35" s="124"/>
      <c r="M35" s="79"/>
      <c r="N35" s="79"/>
      <c r="O35" s="79"/>
      <c r="P35" s="26" t="s">
        <v>60</v>
      </c>
      <c r="Q35" s="27" t="s">
        <v>61</v>
      </c>
      <c r="R35" s="79"/>
    </row>
    <row r="36" spans="1:18" ht="33" hidden="1" customHeight="1" thickBot="1">
      <c r="A36" s="79"/>
      <c r="B36" s="79"/>
      <c r="C36" s="79"/>
      <c r="D36" s="79"/>
      <c r="E36" s="79"/>
      <c r="F36" s="79"/>
      <c r="G36" s="79"/>
      <c r="H36" s="79"/>
      <c r="I36" s="79"/>
      <c r="J36" s="79"/>
      <c r="K36" s="79"/>
      <c r="L36" s="79"/>
      <c r="M36" s="79"/>
      <c r="N36" s="79"/>
      <c r="O36" s="79"/>
      <c r="P36" s="28" t="s">
        <v>62</v>
      </c>
      <c r="Q36" s="29" t="s">
        <v>63</v>
      </c>
      <c r="R36" s="79"/>
    </row>
    <row r="37" spans="1:18" ht="33" hidden="1" customHeight="1" thickBot="1">
      <c r="A37" s="79"/>
      <c r="B37" s="79"/>
      <c r="C37" s="79"/>
      <c r="D37" s="79"/>
      <c r="E37" s="79"/>
      <c r="F37" s="79"/>
      <c r="G37" s="79"/>
      <c r="H37" s="79"/>
      <c r="I37" s="79"/>
      <c r="J37" s="79"/>
      <c r="K37" s="79"/>
      <c r="L37" s="79"/>
      <c r="M37" s="79"/>
      <c r="N37" s="79"/>
      <c r="O37" s="79"/>
      <c r="P37" s="30" t="s">
        <v>64</v>
      </c>
      <c r="Q37" s="29" t="s">
        <v>65</v>
      </c>
      <c r="R37" s="79"/>
    </row>
    <row r="38" spans="1:18" hidden="1">
      <c r="A38" s="79"/>
      <c r="B38" s="79"/>
      <c r="C38" s="79"/>
      <c r="D38" s="79"/>
      <c r="E38" s="79"/>
      <c r="F38" s="79"/>
      <c r="G38" s="79"/>
      <c r="H38" s="79"/>
      <c r="I38" s="79"/>
      <c r="J38" s="79"/>
      <c r="K38" s="79"/>
      <c r="L38" s="79"/>
      <c r="M38" s="79"/>
      <c r="N38" s="79"/>
      <c r="O38" s="79"/>
      <c r="P38" s="79"/>
      <c r="Q38" s="79"/>
      <c r="R38" s="79"/>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zoomScale="55" zoomScaleNormal="55" workbookViewId="0">
      <selection sqref="A1:R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3" t="s">
        <v>114</v>
      </c>
      <c r="B1" s="193"/>
      <c r="C1" s="193"/>
      <c r="D1" s="193"/>
      <c r="E1" s="193"/>
      <c r="F1" s="193"/>
      <c r="G1" s="193"/>
      <c r="H1" s="193"/>
      <c r="I1" s="193"/>
      <c r="J1" s="193"/>
      <c r="K1" s="193"/>
      <c r="L1" s="193"/>
      <c r="M1" s="193"/>
      <c r="N1" s="193"/>
      <c r="O1" s="193"/>
      <c r="P1" s="193"/>
      <c r="Q1" s="193"/>
      <c r="R1" s="193"/>
    </row>
    <row r="22" spans="1:18" ht="21">
      <c r="A22" s="193" t="s">
        <v>115</v>
      </c>
      <c r="B22" s="193"/>
      <c r="C22" s="193"/>
      <c r="D22" s="193"/>
      <c r="E22" s="193"/>
      <c r="F22" s="193"/>
      <c r="G22" s="193"/>
      <c r="H22" s="193"/>
      <c r="I22" s="193"/>
      <c r="J22" s="193"/>
      <c r="K22" s="193"/>
      <c r="L22" s="193"/>
      <c r="M22" s="193"/>
      <c r="N22" s="193"/>
      <c r="O22" s="193"/>
      <c r="P22" s="193"/>
      <c r="Q22" s="193"/>
      <c r="R22" s="193"/>
    </row>
    <row r="44" spans="1:18" ht="21">
      <c r="A44" s="193" t="s">
        <v>116</v>
      </c>
      <c r="B44" s="193"/>
      <c r="C44" s="193"/>
      <c r="D44" s="193"/>
      <c r="E44" s="193"/>
      <c r="F44" s="193"/>
      <c r="G44" s="193"/>
      <c r="H44" s="193"/>
      <c r="I44" s="193"/>
      <c r="J44" s="193"/>
      <c r="K44" s="193"/>
      <c r="L44" s="193"/>
      <c r="M44" s="193"/>
      <c r="N44" s="193"/>
      <c r="O44" s="193"/>
      <c r="P44" s="193"/>
      <c r="Q44" s="193"/>
      <c r="R44" s="193"/>
    </row>
    <row r="66" spans="1:18" ht="21">
      <c r="A66" s="193" t="s">
        <v>117</v>
      </c>
      <c r="B66" s="193"/>
      <c r="C66" s="193"/>
      <c r="D66" s="193"/>
      <c r="E66" s="193"/>
      <c r="F66" s="193"/>
      <c r="G66" s="193"/>
      <c r="H66" s="193"/>
      <c r="I66" s="193"/>
      <c r="J66" s="193"/>
      <c r="K66" s="193"/>
      <c r="L66" s="193"/>
      <c r="M66" s="193"/>
      <c r="N66" s="193"/>
      <c r="O66" s="193"/>
      <c r="P66" s="193"/>
      <c r="Q66" s="193"/>
      <c r="R66" s="193"/>
    </row>
    <row r="67" spans="1:18" ht="15.75" thickBot="1"/>
    <row r="68" spans="1:18" ht="15.75" thickBot="1">
      <c r="B68" s="194" t="s">
        <v>118</v>
      </c>
      <c r="C68" s="195"/>
      <c r="D68" s="195"/>
      <c r="E68" s="195"/>
      <c r="F68" s="196"/>
      <c r="G68" s="67">
        <f>AVERAGE(Observaciones[[#All],[Tiempo de Solución (Dias)]])</f>
        <v>8.4507042253521125E-2</v>
      </c>
      <c r="H68" s="68" t="s">
        <v>119</v>
      </c>
    </row>
    <row r="70" spans="1:18">
      <c r="B70" s="69" t="s">
        <v>120</v>
      </c>
      <c r="C70" t="s">
        <v>122</v>
      </c>
      <c r="G70" s="69" t="s">
        <v>120</v>
      </c>
      <c r="H70" t="s">
        <v>123</v>
      </c>
      <c r="L70" s="69" t="s">
        <v>120</v>
      </c>
      <c r="M70" t="s">
        <v>124</v>
      </c>
    </row>
    <row r="71" spans="1:18">
      <c r="B71" s="70" t="s">
        <v>37</v>
      </c>
      <c r="C71" s="35">
        <v>1</v>
      </c>
      <c r="G71" s="70" t="s">
        <v>28</v>
      </c>
      <c r="H71" s="35">
        <v>2</v>
      </c>
      <c r="L71" s="70" t="s">
        <v>49</v>
      </c>
      <c r="M71" s="35">
        <v>2</v>
      </c>
    </row>
    <row r="72" spans="1:18">
      <c r="B72" s="70" t="s">
        <v>39</v>
      </c>
      <c r="C72" s="35">
        <v>1</v>
      </c>
      <c r="G72" s="70" t="s">
        <v>121</v>
      </c>
      <c r="H72" s="35">
        <v>2</v>
      </c>
      <c r="L72" s="70" t="s">
        <v>121</v>
      </c>
      <c r="M72" s="35">
        <v>2</v>
      </c>
    </row>
    <row r="73" spans="1:18">
      <c r="B73" s="70" t="s">
        <v>121</v>
      </c>
      <c r="C73" s="35">
        <v>2</v>
      </c>
    </row>
    <row r="87" spans="1:18" ht="21">
      <c r="A87" s="193" t="s">
        <v>126</v>
      </c>
      <c r="B87" s="193"/>
      <c r="C87" s="193"/>
      <c r="D87" s="193"/>
      <c r="E87" s="193"/>
      <c r="F87" s="193"/>
      <c r="G87" s="193"/>
      <c r="H87" s="193"/>
      <c r="I87" s="193"/>
      <c r="J87" s="193"/>
      <c r="K87" s="193"/>
      <c r="L87" s="193"/>
      <c r="M87" s="193"/>
      <c r="N87" s="193"/>
      <c r="O87" s="193"/>
      <c r="P87" s="193"/>
      <c r="Q87" s="193"/>
      <c r="R87" s="193"/>
    </row>
    <row r="88" spans="1:18" ht="15.75" thickBot="1"/>
    <row r="89" spans="1:18" ht="15.75" thickBot="1">
      <c r="B89" s="194" t="s">
        <v>127</v>
      </c>
      <c r="C89" s="195"/>
      <c r="D89" s="195"/>
      <c r="E89" s="195"/>
      <c r="F89" s="196"/>
      <c r="G89" s="67">
        <f>AVERAGE(Consultas[[#All],[Tiempo de Solución]])</f>
        <v>1</v>
      </c>
      <c r="H89" s="68" t="s">
        <v>119</v>
      </c>
    </row>
    <row r="91" spans="1:18">
      <c r="B91" s="69" t="s">
        <v>120</v>
      </c>
      <c r="C91" t="s">
        <v>129</v>
      </c>
      <c r="G91" s="69" t="s">
        <v>120</v>
      </c>
      <c r="H91" t="s">
        <v>123</v>
      </c>
      <c r="L91" s="69" t="s">
        <v>120</v>
      </c>
      <c r="M91" t="s">
        <v>124</v>
      </c>
    </row>
    <row r="92" spans="1:18">
      <c r="B92" s="70" t="s">
        <v>143</v>
      </c>
      <c r="C92" s="35"/>
      <c r="G92" s="70" t="s">
        <v>144</v>
      </c>
      <c r="H92" s="35">
        <v>1</v>
      </c>
      <c r="L92" s="70" t="s">
        <v>49</v>
      </c>
      <c r="M92" s="35">
        <v>1</v>
      </c>
    </row>
    <row r="93" spans="1:18">
      <c r="B93" s="70" t="s">
        <v>121</v>
      </c>
      <c r="C93" s="35"/>
      <c r="G93" s="70" t="s">
        <v>121</v>
      </c>
      <c r="H93" s="35">
        <v>1</v>
      </c>
      <c r="L93" s="70" t="s">
        <v>121</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19"/>
  <sheetViews>
    <sheetView zoomScale="85" zoomScaleNormal="85" workbookViewId="0">
      <selection activeCell="D9" sqref="D9"/>
    </sheetView>
  </sheetViews>
  <sheetFormatPr baseColWidth="10" defaultColWidth="0" defaultRowHeight="15"/>
  <cols>
    <col min="1" max="1" width="16.140625" style="31" bestFit="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100"/>
      <c r="B1" s="100"/>
      <c r="C1" s="100"/>
      <c r="D1" s="100"/>
      <c r="E1" s="100"/>
      <c r="F1" s="104"/>
      <c r="G1" s="100"/>
      <c r="H1" s="100"/>
      <c r="I1" s="100"/>
      <c r="J1" s="100"/>
      <c r="K1" s="100"/>
      <c r="L1" s="105"/>
      <c r="M1" s="100"/>
      <c r="N1" s="100"/>
      <c r="O1" s="100"/>
      <c r="P1" s="100"/>
      <c r="Q1" s="100"/>
      <c r="R1" s="100"/>
    </row>
    <row r="2" spans="1:18" ht="15" customHeight="1">
      <c r="A2" s="100"/>
      <c r="B2" s="100"/>
      <c r="C2" s="100"/>
      <c r="D2" s="155" t="s">
        <v>9</v>
      </c>
      <c r="E2" s="156" t="str">
        <f>General!$B$3</f>
        <v xml:space="preserve">PRY-SSIAEDUCT-03 </v>
      </c>
      <c r="F2" s="157" t="s">
        <v>10</v>
      </c>
      <c r="G2" s="197" t="str">
        <f>General!$B$4</f>
        <v>Arquitectura de Negocios de la Oficina Central de Fe y Alegría Perú – ANOCFAP</v>
      </c>
      <c r="H2" s="198"/>
      <c r="I2" s="198"/>
      <c r="J2" s="198"/>
      <c r="K2" s="198"/>
      <c r="L2" s="198"/>
      <c r="M2" s="198"/>
      <c r="N2" s="199"/>
      <c r="O2" s="100"/>
      <c r="P2" s="100"/>
      <c r="Q2" s="100"/>
      <c r="R2" s="100"/>
    </row>
    <row r="3" spans="1:18" s="71" customFormat="1" ht="58.5" customHeight="1">
      <c r="A3" s="100"/>
      <c r="B3" s="100"/>
      <c r="C3" s="100"/>
      <c r="D3" s="101"/>
      <c r="E3" s="102"/>
      <c r="F3" s="103"/>
      <c r="G3" s="102"/>
      <c r="H3" s="102"/>
      <c r="I3" s="102"/>
      <c r="J3" s="102"/>
      <c r="K3" s="102"/>
      <c r="L3" s="102"/>
      <c r="M3" s="102"/>
      <c r="N3" s="102"/>
      <c r="O3" s="100"/>
      <c r="P3" s="100"/>
      <c r="Q3" s="100"/>
      <c r="R3" s="100"/>
    </row>
    <row r="4" spans="1:18" s="94" customFormat="1" ht="40.5" customHeight="1">
      <c r="A4" s="148" t="s">
        <v>134</v>
      </c>
      <c r="B4" s="149" t="s">
        <v>133</v>
      </c>
      <c r="C4" s="149" t="s">
        <v>73</v>
      </c>
      <c r="D4" s="149" t="s">
        <v>74</v>
      </c>
      <c r="E4" s="149" t="s">
        <v>75</v>
      </c>
      <c r="F4" s="150" t="s">
        <v>76</v>
      </c>
      <c r="G4" s="149" t="s">
        <v>77</v>
      </c>
      <c r="H4" s="149" t="s">
        <v>78</v>
      </c>
      <c r="I4" s="151" t="s">
        <v>79</v>
      </c>
      <c r="J4" s="151" t="s">
        <v>80</v>
      </c>
      <c r="K4" s="152" t="s">
        <v>81</v>
      </c>
      <c r="L4" s="153" t="s">
        <v>82</v>
      </c>
      <c r="M4" s="154" t="s">
        <v>83</v>
      </c>
      <c r="N4" s="149" t="s">
        <v>84</v>
      </c>
      <c r="O4" s="149" t="s">
        <v>85</v>
      </c>
      <c r="P4" s="149" t="s">
        <v>86</v>
      </c>
      <c r="Q4" s="149" t="s">
        <v>87</v>
      </c>
      <c r="R4" s="106"/>
    </row>
    <row r="5" spans="1:18" s="95" customFormat="1" ht="270">
      <c r="A5" s="95" t="s">
        <v>149</v>
      </c>
      <c r="B5" s="95" t="s">
        <v>88</v>
      </c>
      <c r="C5" s="95" t="s">
        <v>161</v>
      </c>
      <c r="D5" s="168" t="s">
        <v>162</v>
      </c>
      <c r="E5" s="95" t="s">
        <v>150</v>
      </c>
      <c r="F5" s="96" t="str">
        <f>IF(CasoPrueba[[#This Row],[Estado Testing]]=Resumen!$P$28,"OK",IF(CasoPrueba[[#This Row],[Estado Testing]]=Resumen!$P$29,"NO OK",IF((CasoPrueba[[#This Row],[Estado Testing]]=Resumen!$P$30)+(CasoPrueba[[#This Row],[Estado Testing]]=Resumen!$P$31),"OBSERVADO","")))</f>
        <v>NO OK</v>
      </c>
      <c r="G5" s="95" t="s">
        <v>20</v>
      </c>
      <c r="H5" s="95" t="s">
        <v>28</v>
      </c>
      <c r="I5" s="97" t="s">
        <v>205</v>
      </c>
      <c r="J5" s="95" t="s">
        <v>47</v>
      </c>
      <c r="L5" s="98" t="str">
        <f>General!$A$10</f>
        <v>-</v>
      </c>
      <c r="M5" s="98" t="str">
        <f>General!$A$10</f>
        <v>-</v>
      </c>
      <c r="P5" s="97" t="s">
        <v>309</v>
      </c>
      <c r="Q5" s="97" t="str">
        <f>CONCATENATE(General!$B$7," ",General!$B$6)</f>
        <v>Nicolay García José Ramos Ramírez</v>
      </c>
      <c r="R5" s="107"/>
    </row>
    <row r="6" spans="1:18" ht="168.75">
      <c r="A6" s="95" t="s">
        <v>149</v>
      </c>
      <c r="B6" s="95" t="s">
        <v>177</v>
      </c>
      <c r="C6" s="95" t="s">
        <v>161</v>
      </c>
      <c r="D6" s="4" t="s">
        <v>191</v>
      </c>
      <c r="E6" s="95" t="s">
        <v>150</v>
      </c>
      <c r="F6" s="96" t="str">
        <f>IF(CasoPrueba[[#This Row],[Estado Testing]]=Resumen!$P$28,"OK",IF(CasoPrueba[[#This Row],[Estado Testing]]=Resumen!$P$29,"NO OK",IF((CasoPrueba[[#This Row],[Estado Testing]]=Resumen!$P$30)+(CasoPrueba[[#This Row],[Estado Testing]]=Resumen!$P$31),"OBSERVADO","")))</f>
        <v>NO OK</v>
      </c>
      <c r="G6" s="95" t="s">
        <v>20</v>
      </c>
      <c r="H6" s="95" t="s">
        <v>28</v>
      </c>
      <c r="I6" s="97" t="s">
        <v>259</v>
      </c>
      <c r="J6" s="95" t="s">
        <v>47</v>
      </c>
      <c r="K6" s="95"/>
      <c r="L6" s="98"/>
      <c r="M6" s="98"/>
      <c r="N6" s="95"/>
      <c r="O6" s="95"/>
      <c r="P6" s="97" t="s">
        <v>310</v>
      </c>
      <c r="Q6" s="97" t="str">
        <f>CONCATENATE(General!$B$7," ",General!$B$6)</f>
        <v>Nicolay García José Ramos Ramírez</v>
      </c>
    </row>
    <row r="7" spans="1:18" ht="123.75">
      <c r="A7" s="95" t="s">
        <v>149</v>
      </c>
      <c r="B7" s="95" t="s">
        <v>178</v>
      </c>
      <c r="C7" s="95" t="s">
        <v>161</v>
      </c>
      <c r="D7" s="4" t="s">
        <v>192</v>
      </c>
      <c r="E7" s="95" t="s">
        <v>150</v>
      </c>
      <c r="F7" s="96" t="str">
        <f>IF(CasoPrueba[[#This Row],[Estado Testing]]=Resumen!$P$28,"OK",IF(CasoPrueba[[#This Row],[Estado Testing]]=Resumen!$P$29,"NO OK",IF((CasoPrueba[[#This Row],[Estado Testing]]=Resumen!$P$30)+(CasoPrueba[[#This Row],[Estado Testing]]=Resumen!$P$31),"OBSERVADO","")))</f>
        <v>NO OK</v>
      </c>
      <c r="G7" s="95" t="s">
        <v>20</v>
      </c>
      <c r="H7" s="95" t="s">
        <v>28</v>
      </c>
      <c r="I7" s="97" t="s">
        <v>259</v>
      </c>
      <c r="J7" s="95" t="s">
        <v>47</v>
      </c>
      <c r="K7" s="95"/>
      <c r="L7" s="98"/>
      <c r="M7" s="98"/>
      <c r="N7" s="95"/>
      <c r="O7" s="95"/>
      <c r="P7" s="97" t="s">
        <v>311</v>
      </c>
      <c r="Q7" s="97" t="str">
        <f>CONCATENATE(General!$B$7," ",General!$B$6)</f>
        <v>Nicolay García José Ramos Ramírez</v>
      </c>
    </row>
    <row r="8" spans="1:18" ht="236.25">
      <c r="A8" s="95" t="s">
        <v>149</v>
      </c>
      <c r="B8" s="95" t="s">
        <v>179</v>
      </c>
      <c r="C8" s="95" t="s">
        <v>161</v>
      </c>
      <c r="D8" s="4" t="s">
        <v>193</v>
      </c>
      <c r="E8" s="95" t="s">
        <v>150</v>
      </c>
      <c r="F8" s="96" t="str">
        <f>IF(CasoPrueba[[#This Row],[Estado Testing]]=Resumen!$P$28,"OK",IF(CasoPrueba[[#This Row],[Estado Testing]]=Resumen!$P$29,"NO OK",IF((CasoPrueba[[#This Row],[Estado Testing]]=Resumen!$P$30)+(CasoPrueba[[#This Row],[Estado Testing]]=Resumen!$P$31),"OBSERVADO","")))</f>
        <v>NO OK</v>
      </c>
      <c r="G8" s="95" t="s">
        <v>20</v>
      </c>
      <c r="H8" s="95" t="s">
        <v>28</v>
      </c>
      <c r="I8" s="97" t="s">
        <v>205</v>
      </c>
      <c r="J8" s="95" t="s">
        <v>47</v>
      </c>
      <c r="K8" s="95"/>
      <c r="L8" s="98"/>
      <c r="M8" s="98"/>
      <c r="N8" s="95"/>
      <c r="O8" s="95"/>
      <c r="P8" s="97" t="s">
        <v>312</v>
      </c>
      <c r="Q8" s="97" t="str">
        <f>CONCATENATE(General!$B$7," ",General!$B$6)</f>
        <v>Nicolay García José Ramos Ramírez</v>
      </c>
    </row>
    <row r="9" spans="1:18" ht="90">
      <c r="A9" s="95" t="s">
        <v>149</v>
      </c>
      <c r="B9" s="95" t="s">
        <v>180</v>
      </c>
      <c r="C9" s="95" t="s">
        <v>161</v>
      </c>
      <c r="D9" s="4" t="s">
        <v>194</v>
      </c>
      <c r="E9" s="95" t="s">
        <v>150</v>
      </c>
      <c r="F9" s="96" t="str">
        <f>IF(CasoPrueba[[#This Row],[Estado Testing]]=Resumen!$P$28,"OK",IF(CasoPrueba[[#This Row],[Estado Testing]]=Resumen!$P$29,"NO OK",IF((CasoPrueba[[#This Row],[Estado Testing]]=Resumen!$P$30)+(CasoPrueba[[#This Row],[Estado Testing]]=Resumen!$P$31),"OBSERVADO","")))</f>
        <v>NO OK</v>
      </c>
      <c r="G9" s="95" t="s">
        <v>20</v>
      </c>
      <c r="H9" s="95" t="s">
        <v>28</v>
      </c>
      <c r="I9" s="97" t="s">
        <v>259</v>
      </c>
      <c r="J9" s="95" t="s">
        <v>47</v>
      </c>
      <c r="K9" s="95"/>
      <c r="L9" s="98"/>
      <c r="M9" s="98"/>
      <c r="N9" s="95"/>
      <c r="O9" s="95"/>
      <c r="P9" s="97" t="s">
        <v>313</v>
      </c>
      <c r="Q9" s="97" t="str">
        <f>CONCATENATE(General!$B$7," ",General!$B$6)</f>
        <v>Nicolay García José Ramos Ramírez</v>
      </c>
    </row>
    <row r="10" spans="1:18" ht="56.25">
      <c r="A10" s="95" t="s">
        <v>149</v>
      </c>
      <c r="B10" s="95" t="s">
        <v>181</v>
      </c>
      <c r="C10" s="95" t="s">
        <v>161</v>
      </c>
      <c r="D10" s="4" t="s">
        <v>195</v>
      </c>
      <c r="E10" s="95" t="s">
        <v>150</v>
      </c>
      <c r="F10" s="96" t="str">
        <f>IF(CasoPrueba[[#This Row],[Estado Testing]]=Resumen!$P$28,"OK",IF(CasoPrueba[[#This Row],[Estado Testing]]=Resumen!$P$29,"NO OK",IF((CasoPrueba[[#This Row],[Estado Testing]]=Resumen!$P$30)+(CasoPrueba[[#This Row],[Estado Testing]]=Resumen!$P$31),"OBSERVADO","")))</f>
        <v>NO OK</v>
      </c>
      <c r="G10" s="95" t="s">
        <v>20</v>
      </c>
      <c r="H10" s="95" t="s">
        <v>28</v>
      </c>
      <c r="I10" s="97" t="s">
        <v>205</v>
      </c>
      <c r="J10" s="95" t="s">
        <v>47</v>
      </c>
      <c r="K10" s="95"/>
      <c r="L10" s="98"/>
      <c r="M10" s="98"/>
      <c r="N10" s="95"/>
      <c r="O10" s="95"/>
      <c r="P10" s="97" t="s">
        <v>314</v>
      </c>
      <c r="Q10" s="97" t="str">
        <f>CONCATENATE(General!$B$7," ",General!$B$6)</f>
        <v>Nicolay García José Ramos Ramírez</v>
      </c>
    </row>
    <row r="11" spans="1:18" ht="135">
      <c r="A11" s="95" t="s">
        <v>149</v>
      </c>
      <c r="B11" s="95" t="s">
        <v>182</v>
      </c>
      <c r="C11" s="95" t="s">
        <v>161</v>
      </c>
      <c r="D11" s="4" t="s">
        <v>196</v>
      </c>
      <c r="E11" s="95" t="s">
        <v>150</v>
      </c>
      <c r="F11" s="96" t="str">
        <f>IF(CasoPrueba[[#This Row],[Estado Testing]]=Resumen!$P$28,"OK",IF(CasoPrueba[[#This Row],[Estado Testing]]=Resumen!$P$29,"NO OK",IF((CasoPrueba[[#This Row],[Estado Testing]]=Resumen!$P$30)+(CasoPrueba[[#This Row],[Estado Testing]]=Resumen!$P$31),"OBSERVADO","")))</f>
        <v>NO OK</v>
      </c>
      <c r="G11" s="95" t="s">
        <v>20</v>
      </c>
      <c r="H11" s="95" t="s">
        <v>28</v>
      </c>
      <c r="I11" s="97" t="s">
        <v>205</v>
      </c>
      <c r="J11" s="95" t="s">
        <v>47</v>
      </c>
      <c r="K11" s="95"/>
      <c r="L11" s="98"/>
      <c r="M11" s="98"/>
      <c r="N11" s="95"/>
      <c r="O11" s="95"/>
      <c r="P11" s="97" t="s">
        <v>315</v>
      </c>
      <c r="Q11" s="97" t="str">
        <f>CONCATENATE(General!$B$7," ",General!$B$6)</f>
        <v>Nicolay García José Ramos Ramírez</v>
      </c>
    </row>
    <row r="12" spans="1:18" ht="112.5">
      <c r="A12" s="95" t="s">
        <v>149</v>
      </c>
      <c r="B12" s="95" t="s">
        <v>183</v>
      </c>
      <c r="C12" s="95" t="s">
        <v>161</v>
      </c>
      <c r="D12" s="4" t="s">
        <v>197</v>
      </c>
      <c r="E12" s="95" t="s">
        <v>150</v>
      </c>
      <c r="F12" s="96" t="str">
        <f>IF(CasoPrueba[[#This Row],[Estado Testing]]=Resumen!$P$28,"OK",IF(CasoPrueba[[#This Row],[Estado Testing]]=Resumen!$P$29,"NO OK",IF((CasoPrueba[[#This Row],[Estado Testing]]=Resumen!$P$30)+(CasoPrueba[[#This Row],[Estado Testing]]=Resumen!$P$31),"OBSERVADO","")))</f>
        <v>NO OK</v>
      </c>
      <c r="G12" s="95" t="s">
        <v>20</v>
      </c>
      <c r="H12" s="95" t="s">
        <v>28</v>
      </c>
      <c r="I12" s="97" t="s">
        <v>259</v>
      </c>
      <c r="J12" s="95" t="s">
        <v>47</v>
      </c>
      <c r="K12" s="95"/>
      <c r="L12" s="98"/>
      <c r="M12" s="98"/>
      <c r="N12" s="95"/>
      <c r="O12" s="95"/>
      <c r="P12" s="97" t="s">
        <v>316</v>
      </c>
      <c r="Q12" s="97" t="str">
        <f>CONCATENATE(General!$B$7," ",General!$B$6)</f>
        <v>Nicolay García José Ramos Ramírez</v>
      </c>
    </row>
    <row r="13" spans="1:18" ht="123.75">
      <c r="A13" s="95" t="s">
        <v>149</v>
      </c>
      <c r="B13" s="95" t="s">
        <v>184</v>
      </c>
      <c r="C13" s="95" t="s">
        <v>161</v>
      </c>
      <c r="D13" s="4" t="s">
        <v>198</v>
      </c>
      <c r="E13" s="95" t="s">
        <v>150</v>
      </c>
      <c r="F13" s="96" t="str">
        <f>IF(CasoPrueba[[#This Row],[Estado Testing]]=Resumen!$P$28,"OK",IF(CasoPrueba[[#This Row],[Estado Testing]]=Resumen!$P$29,"NO OK",IF((CasoPrueba[[#This Row],[Estado Testing]]=Resumen!$P$30)+(CasoPrueba[[#This Row],[Estado Testing]]=Resumen!$P$31),"OBSERVADO","")))</f>
        <v>NO OK</v>
      </c>
      <c r="G13" s="95" t="s">
        <v>20</v>
      </c>
      <c r="H13" s="95" t="s">
        <v>28</v>
      </c>
      <c r="I13" s="97" t="s">
        <v>205</v>
      </c>
      <c r="J13" s="95" t="s">
        <v>47</v>
      </c>
      <c r="K13" s="95"/>
      <c r="L13" s="98"/>
      <c r="M13" s="98"/>
      <c r="N13" s="95"/>
      <c r="O13" s="95"/>
      <c r="P13" s="97" t="s">
        <v>317</v>
      </c>
      <c r="Q13" s="97" t="str">
        <f>CONCATENATE(General!$B$7," ",General!$B$6)</f>
        <v>Nicolay García José Ramos Ramírez</v>
      </c>
    </row>
    <row r="14" spans="1:18" ht="67.5">
      <c r="A14" s="95" t="s">
        <v>149</v>
      </c>
      <c r="B14" s="95" t="s">
        <v>185</v>
      </c>
      <c r="C14" s="95" t="s">
        <v>161</v>
      </c>
      <c r="D14" s="31" t="s">
        <v>199</v>
      </c>
      <c r="E14" s="95" t="s">
        <v>150</v>
      </c>
      <c r="F14" s="96" t="str">
        <f>IF(CasoPrueba[[#This Row],[Estado Testing]]=Resumen!$P$28,"OK",IF(CasoPrueba[[#This Row],[Estado Testing]]=Resumen!$P$29,"NO OK",IF((CasoPrueba[[#This Row],[Estado Testing]]=Resumen!$P$30)+(CasoPrueba[[#This Row],[Estado Testing]]=Resumen!$P$31),"OBSERVADO","")))</f>
        <v>NO OK</v>
      </c>
      <c r="G14" s="97" t="s">
        <v>20</v>
      </c>
      <c r="H14" s="95" t="s">
        <v>28</v>
      </c>
      <c r="I14" s="97" t="s">
        <v>259</v>
      </c>
      <c r="J14" s="95" t="s">
        <v>47</v>
      </c>
      <c r="K14" s="95"/>
      <c r="L14" s="98" t="str">
        <f>General!$A$10</f>
        <v>-</v>
      </c>
      <c r="M14" s="98" t="str">
        <f>General!$A$10</f>
        <v>-</v>
      </c>
      <c r="N14" s="95"/>
      <c r="O14" s="95"/>
      <c r="P14" s="97" t="s">
        <v>318</v>
      </c>
      <c r="Q14" s="97" t="str">
        <f>CONCATENATE(General!$B$7," ",General!$B$6)</f>
        <v>Nicolay García José Ramos Ramírez</v>
      </c>
    </row>
    <row r="15" spans="1:18" ht="22.5">
      <c r="A15" s="95" t="s">
        <v>149</v>
      </c>
      <c r="B15" s="95" t="s">
        <v>186</v>
      </c>
      <c r="C15" s="95" t="s">
        <v>161</v>
      </c>
      <c r="D15" s="31" t="s">
        <v>200</v>
      </c>
      <c r="E15" s="95" t="s">
        <v>150</v>
      </c>
      <c r="F15" s="96" t="str">
        <f>IF(CasoPrueba[[#This Row],[Estado Testing]]=Resumen!$P$28,"OK",IF(CasoPrueba[[#This Row],[Estado Testing]]=Resumen!$P$29,"NO OK",IF((CasoPrueba[[#This Row],[Estado Testing]]=Resumen!$P$30)+(CasoPrueba[[#This Row],[Estado Testing]]=Resumen!$P$31),"OBSERVADO","")))</f>
        <v/>
      </c>
      <c r="G15" s="97"/>
      <c r="H15" s="95" t="s">
        <v>28</v>
      </c>
      <c r="I15" s="97"/>
      <c r="J15" s="95"/>
      <c r="K15" s="95"/>
      <c r="L15" s="98" t="str">
        <f>General!$A$10</f>
        <v>-</v>
      </c>
      <c r="M15" s="98" t="str">
        <f>General!$A$10</f>
        <v>-</v>
      </c>
      <c r="N15" s="95"/>
      <c r="O15" s="95"/>
      <c r="P15" s="97"/>
      <c r="Q15" s="97" t="str">
        <f>CONCATENATE(General!$B$7," ",General!$B$6)</f>
        <v>Nicolay García José Ramos Ramírez</v>
      </c>
    </row>
    <row r="16" spans="1:18" ht="30">
      <c r="A16" s="95" t="s">
        <v>149</v>
      </c>
      <c r="B16" s="95" t="s">
        <v>187</v>
      </c>
      <c r="C16" s="95" t="s">
        <v>161</v>
      </c>
      <c r="D16" s="31" t="s">
        <v>201</v>
      </c>
      <c r="E16" s="95" t="s">
        <v>150</v>
      </c>
      <c r="F16" s="96" t="str">
        <f>IF(CasoPrueba[[#This Row],[Estado Testing]]=Resumen!$P$28,"OK",IF(CasoPrueba[[#This Row],[Estado Testing]]=Resumen!$P$29,"NO OK",IF((CasoPrueba[[#This Row],[Estado Testing]]=Resumen!$P$30)+(CasoPrueba[[#This Row],[Estado Testing]]=Resumen!$P$31),"OBSERVADO","")))</f>
        <v/>
      </c>
      <c r="G16" s="97"/>
      <c r="H16" s="95" t="s">
        <v>28</v>
      </c>
      <c r="I16" s="97"/>
      <c r="J16" s="95"/>
      <c r="K16" s="95"/>
      <c r="L16" s="98" t="str">
        <f>General!$A$10</f>
        <v>-</v>
      </c>
      <c r="M16" s="98" t="str">
        <f>General!$A$10</f>
        <v>-</v>
      </c>
      <c r="N16" s="95"/>
      <c r="O16" s="95"/>
      <c r="P16" s="97"/>
      <c r="Q16" s="97" t="str">
        <f>CONCATENATE(General!$B$7," ",General!$B$6)</f>
        <v>Nicolay García José Ramos Ramírez</v>
      </c>
    </row>
    <row r="17" spans="1:17" ht="22.5">
      <c r="A17" s="95" t="s">
        <v>149</v>
      </c>
      <c r="B17" s="95" t="s">
        <v>188</v>
      </c>
      <c r="C17" s="95" t="s">
        <v>161</v>
      </c>
      <c r="D17" s="31" t="s">
        <v>202</v>
      </c>
      <c r="E17" s="95" t="s">
        <v>150</v>
      </c>
      <c r="F17" s="96" t="str">
        <f>IF(CasoPrueba[[#This Row],[Estado Testing]]=Resumen!$P$28,"OK",IF(CasoPrueba[[#This Row],[Estado Testing]]=Resumen!$P$29,"NO OK",IF((CasoPrueba[[#This Row],[Estado Testing]]=Resumen!$P$30)+(CasoPrueba[[#This Row],[Estado Testing]]=Resumen!$P$31),"OBSERVADO","")))</f>
        <v/>
      </c>
      <c r="G17" s="97"/>
      <c r="H17" s="95" t="s">
        <v>28</v>
      </c>
      <c r="I17" s="97"/>
      <c r="J17" s="95"/>
      <c r="K17" s="95"/>
      <c r="L17" s="98" t="str">
        <f>General!$A$10</f>
        <v>-</v>
      </c>
      <c r="M17" s="98" t="str">
        <f>General!$A$10</f>
        <v>-</v>
      </c>
      <c r="N17" s="95"/>
      <c r="O17" s="95"/>
      <c r="P17" s="97"/>
      <c r="Q17" s="97" t="str">
        <f>CONCATENATE(General!$B$7," ",General!$B$6)</f>
        <v>Nicolay García José Ramos Ramírez</v>
      </c>
    </row>
    <row r="18" spans="1:17" ht="30">
      <c r="A18" s="95" t="s">
        <v>149</v>
      </c>
      <c r="B18" s="95" t="s">
        <v>189</v>
      </c>
      <c r="C18" s="95" t="s">
        <v>161</v>
      </c>
      <c r="D18" s="31" t="s">
        <v>203</v>
      </c>
      <c r="E18" s="95" t="s">
        <v>150</v>
      </c>
      <c r="F18" s="96" t="str">
        <f>IF(CasoPrueba[[#This Row],[Estado Testing]]=Resumen!$P$28,"OK",IF(CasoPrueba[[#This Row],[Estado Testing]]=Resumen!$P$29,"NO OK",IF((CasoPrueba[[#This Row],[Estado Testing]]=Resumen!$P$30)+(CasoPrueba[[#This Row],[Estado Testing]]=Resumen!$P$31),"OBSERVADO","")))</f>
        <v/>
      </c>
      <c r="G18" s="97"/>
      <c r="H18" s="95" t="s">
        <v>28</v>
      </c>
      <c r="I18" s="97"/>
      <c r="J18" s="95"/>
      <c r="K18" s="95"/>
      <c r="L18" s="98" t="str">
        <f>General!$A$10</f>
        <v>-</v>
      </c>
      <c r="M18" s="98" t="str">
        <f>General!$A$10</f>
        <v>-</v>
      </c>
      <c r="N18" s="95"/>
      <c r="O18" s="95"/>
      <c r="P18" s="97"/>
      <c r="Q18" s="97" t="str">
        <f>CONCATENATE(General!$B$7," ",General!$B$6)</f>
        <v>Nicolay García José Ramos Ramírez</v>
      </c>
    </row>
    <row r="19" spans="1:17" ht="30">
      <c r="A19" s="95" t="s">
        <v>149</v>
      </c>
      <c r="B19" s="95" t="s">
        <v>190</v>
      </c>
      <c r="C19" s="95" t="s">
        <v>161</v>
      </c>
      <c r="D19" s="31" t="s">
        <v>204</v>
      </c>
      <c r="E19" s="95" t="s">
        <v>150</v>
      </c>
      <c r="F19" s="96" t="str">
        <f>IF(CasoPrueba[[#This Row],[Estado Testing]]=Resumen!$P$28,"OK",IF(CasoPrueba[[#This Row],[Estado Testing]]=Resumen!$P$29,"NO OK",IF((CasoPrueba[[#This Row],[Estado Testing]]=Resumen!$P$30)+(CasoPrueba[[#This Row],[Estado Testing]]=Resumen!$P$31),"OBSERVADO","")))</f>
        <v/>
      </c>
      <c r="G19" s="97"/>
      <c r="H19" s="95" t="s">
        <v>28</v>
      </c>
      <c r="I19" s="97"/>
      <c r="J19" s="95"/>
      <c r="K19" s="95"/>
      <c r="L19" s="98" t="str">
        <f>General!$A$10</f>
        <v>-</v>
      </c>
      <c r="M19" s="98" t="str">
        <f>General!$A$10</f>
        <v>-</v>
      </c>
      <c r="N19" s="95"/>
      <c r="O19" s="95"/>
      <c r="P19" s="97"/>
      <c r="Q19" s="97"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G5:G13</xm:sqref>
        </x14:dataValidation>
        <x14:dataValidation type="list" allowBlank="1" showInputMessage="1" showErrorMessage="1">
          <x14:formula1>
            <xm:f>Resumen!$P$17:$P$19</xm:f>
          </x14:formula1>
          <xm:sqref>H5:H13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XFC73"/>
  <sheetViews>
    <sheetView tabSelected="1" topLeftCell="A2" zoomScale="89" zoomScaleNormal="89" workbookViewId="0">
      <selection activeCell="J58" sqref="J58:J63"/>
    </sheetView>
  </sheetViews>
  <sheetFormatPr baseColWidth="10" defaultColWidth="0" defaultRowHeight="15"/>
  <cols>
    <col min="1" max="1" width="12.7109375" style="77" customWidth="1"/>
    <col min="2" max="2" width="12.7109375" style="34" customWidth="1"/>
    <col min="3" max="5" width="12.7109375" style="34" hidden="1" customWidth="1"/>
    <col min="6" max="7" width="12.7109375" style="78" hidden="1" customWidth="1"/>
    <col min="8" max="8" width="13.28515625" style="99" hidden="1" customWidth="1"/>
    <col min="9" max="9" width="41.5703125" style="34" customWidth="1"/>
    <col min="10" max="10" width="40.42578125" style="34" customWidth="1"/>
    <col min="11" max="11" width="12.7109375" style="31" customWidth="1"/>
    <col min="12" max="12" width="13.85546875" style="31" customWidth="1"/>
    <col min="13" max="16383" width="11.42578125" style="31" hidden="1"/>
    <col min="16384" max="16384" width="3.7109375" style="31" hidden="1" customWidth="1"/>
  </cols>
  <sheetData>
    <row r="1" spans="1:14" customFormat="1" ht="31.5">
      <c r="A1" s="200" t="s">
        <v>96</v>
      </c>
      <c r="B1" s="200"/>
      <c r="C1" s="200"/>
      <c r="D1" s="200"/>
      <c r="E1" s="200"/>
      <c r="F1" s="200"/>
      <c r="G1" s="200"/>
      <c r="H1" s="200"/>
      <c r="I1" s="200"/>
      <c r="J1" s="200"/>
      <c r="K1" s="200"/>
      <c r="N1" s="31" t="s">
        <v>131</v>
      </c>
    </row>
    <row r="2" spans="1:14" s="76" customFormat="1" ht="38.25">
      <c r="A2" s="158" t="s">
        <v>89</v>
      </c>
      <c r="B2" s="159" t="s">
        <v>90</v>
      </c>
      <c r="C2" s="159" t="s">
        <v>78</v>
      </c>
      <c r="D2" s="159" t="s">
        <v>79</v>
      </c>
      <c r="E2" s="159" t="s">
        <v>91</v>
      </c>
      <c r="F2" s="160" t="s">
        <v>92</v>
      </c>
      <c r="G2" s="160" t="s">
        <v>93</v>
      </c>
      <c r="H2" s="160" t="s">
        <v>128</v>
      </c>
      <c r="I2" s="159" t="s">
        <v>3</v>
      </c>
      <c r="J2" s="159" t="s">
        <v>94</v>
      </c>
      <c r="K2" s="161" t="s">
        <v>103</v>
      </c>
      <c r="L2" s="161" t="s">
        <v>142</v>
      </c>
      <c r="N2" s="31" t="s">
        <v>132</v>
      </c>
    </row>
    <row r="3" spans="1:14" ht="45" hidden="1">
      <c r="A3" s="34" t="s">
        <v>167</v>
      </c>
      <c r="B3" s="34" t="s">
        <v>88</v>
      </c>
      <c r="C3" s="34" t="str">
        <f>VLOOKUP(Observaciones[Caso de Prueba],CasoPrueba[[#All],[Código CP]:[Prioridad]],7,TRUE)</f>
        <v>Alta</v>
      </c>
      <c r="D3" s="34" t="s">
        <v>205</v>
      </c>
      <c r="E3" s="34" t="s">
        <v>47</v>
      </c>
      <c r="F3" s="78">
        <v>40784</v>
      </c>
      <c r="H3" s="99" t="s">
        <v>131</v>
      </c>
      <c r="I3" s="34" t="s">
        <v>213</v>
      </c>
      <c r="J3" s="34" t="s">
        <v>319</v>
      </c>
      <c r="K3" s="34">
        <f>IF((Observaciones[[#This Row],[Fecha Levantamiento]]-Observaciones[[#This Row],[Fecha Detección]])&gt;=0,Observaciones[[#This Row],[Fecha Levantamiento]]-Observaciones[[#This Row],[Fecha Detección]]+1,0)</f>
        <v>0</v>
      </c>
      <c r="L3" s="34" t="str">
        <f>LOOKUP(Observaciones[[#This Row],[Caso de Prueba]],CasoPrueba[Código CP],CasoPrueba[Código de REQ])</f>
        <v>INSPECCIÓN</v>
      </c>
    </row>
    <row r="4" spans="1:14" ht="30" hidden="1">
      <c r="A4" s="34" t="s">
        <v>151</v>
      </c>
      <c r="B4" s="34" t="s">
        <v>88</v>
      </c>
      <c r="C4" s="34" t="str">
        <f>VLOOKUP(Observaciones[Caso de Prueba],CasoPrueba[[#All],[Código CP]:[Prioridad]],7,TRUE)</f>
        <v>Alta</v>
      </c>
      <c r="D4" s="34" t="s">
        <v>205</v>
      </c>
      <c r="E4" s="34" t="s">
        <v>47</v>
      </c>
      <c r="F4" s="78">
        <v>40784</v>
      </c>
      <c r="H4" s="99" t="s">
        <v>131</v>
      </c>
      <c r="I4" s="34" t="s">
        <v>168</v>
      </c>
      <c r="J4" s="34" t="s">
        <v>330</v>
      </c>
      <c r="K4" s="34">
        <f>IF((Observaciones[[#This Row],[Fecha Levantamiento]]-Observaciones[[#This Row],[Fecha Detección]])&gt;=0,Observaciones[[#This Row],[Fecha Levantamiento]]-Observaciones[[#This Row],[Fecha Detección]]+1,0)</f>
        <v>0</v>
      </c>
      <c r="L4" s="34" t="str">
        <f>LOOKUP(Observaciones[[#This Row],[Caso de Prueba]],CasoPrueba[Código CP],CasoPrueba[Código de REQ])</f>
        <v>INSPECCIÓN</v>
      </c>
    </row>
    <row r="5" spans="1:14" ht="30" hidden="1">
      <c r="A5" s="34" t="s">
        <v>152</v>
      </c>
      <c r="B5" s="34" t="s">
        <v>88</v>
      </c>
      <c r="C5" s="34" t="str">
        <f>VLOOKUP(Observaciones[Caso de Prueba],CasoPrueba[[#All],[Código CP]:[Prioridad]],7,TRUE)</f>
        <v>Alta</v>
      </c>
      <c r="D5" s="34" t="s">
        <v>206</v>
      </c>
      <c r="E5" s="34" t="s">
        <v>47</v>
      </c>
      <c r="F5" s="78">
        <v>40784</v>
      </c>
      <c r="H5" s="99" t="s">
        <v>131</v>
      </c>
      <c r="I5" s="34" t="s">
        <v>169</v>
      </c>
      <c r="J5" s="34" t="s">
        <v>331</v>
      </c>
      <c r="K5" s="34">
        <f>IF((Observaciones[[#This Row],[Fecha Levantamiento]]-Observaciones[[#This Row],[Fecha Detección]])&gt;=0,Observaciones[[#This Row],[Fecha Levantamiento]]-Observaciones[[#This Row],[Fecha Detección]]+1,0)</f>
        <v>0</v>
      </c>
      <c r="L5" s="34" t="str">
        <f>LOOKUP(Observaciones[[#This Row],[Caso de Prueba]],CasoPrueba[Código CP],CasoPrueba[Código de REQ])</f>
        <v>INSPECCIÓN</v>
      </c>
    </row>
    <row r="6" spans="1:14" ht="30" hidden="1">
      <c r="A6" s="34" t="s">
        <v>153</v>
      </c>
      <c r="B6" s="34" t="s">
        <v>88</v>
      </c>
      <c r="C6" s="34" t="str">
        <f>VLOOKUP(Observaciones[Caso de Prueba],CasoPrueba[[#All],[Código CP]:[Prioridad]],7,TRUE)</f>
        <v>Alta</v>
      </c>
      <c r="D6" s="34" t="s">
        <v>206</v>
      </c>
      <c r="E6" s="34" t="s">
        <v>47</v>
      </c>
      <c r="F6" s="78">
        <v>40784</v>
      </c>
      <c r="H6" s="99" t="s">
        <v>131</v>
      </c>
      <c r="I6" s="34" t="s">
        <v>170</v>
      </c>
      <c r="J6" s="34" t="s">
        <v>332</v>
      </c>
      <c r="K6" s="34">
        <f>IF((Observaciones[[#This Row],[Fecha Levantamiento]]-Observaciones[[#This Row],[Fecha Detección]])&gt;=0,Observaciones[[#This Row],[Fecha Levantamiento]]-Observaciones[[#This Row],[Fecha Detección]]+1,0)</f>
        <v>0</v>
      </c>
      <c r="L6" s="34" t="str">
        <f>LOOKUP(Observaciones[[#This Row],[Caso de Prueba]],CasoPrueba[Código CP],CasoPrueba[Código de REQ])</f>
        <v>INSPECCIÓN</v>
      </c>
    </row>
    <row r="7" spans="1:14" ht="30" hidden="1">
      <c r="A7" s="34" t="s">
        <v>154</v>
      </c>
      <c r="B7" s="34" t="s">
        <v>88</v>
      </c>
      <c r="C7" s="34" t="str">
        <f>VLOOKUP(Observaciones[Caso de Prueba],CasoPrueba[[#All],[Código CP]:[Prioridad]],7,TRUE)</f>
        <v>Alta</v>
      </c>
      <c r="D7" s="34" t="s">
        <v>206</v>
      </c>
      <c r="E7" s="34" t="s">
        <v>47</v>
      </c>
      <c r="F7" s="78">
        <v>40784</v>
      </c>
      <c r="H7" s="99" t="s">
        <v>131</v>
      </c>
      <c r="I7" s="34" t="s">
        <v>171</v>
      </c>
      <c r="J7" s="34" t="s">
        <v>333</v>
      </c>
      <c r="K7" s="34">
        <f>IF((Observaciones[[#This Row],[Fecha Levantamiento]]-Observaciones[[#This Row],[Fecha Detección]])&gt;=0,Observaciones[[#This Row],[Fecha Levantamiento]]-Observaciones[[#This Row],[Fecha Detección]]+1,0)</f>
        <v>0</v>
      </c>
      <c r="L7" s="34" t="str">
        <f>LOOKUP(Observaciones[[#This Row],[Caso de Prueba]],CasoPrueba[Código CP],CasoPrueba[Código de REQ])</f>
        <v>INSPECCIÓN</v>
      </c>
    </row>
    <row r="8" spans="1:14" ht="30" hidden="1">
      <c r="A8" s="34" t="s">
        <v>155</v>
      </c>
      <c r="B8" s="34" t="s">
        <v>88</v>
      </c>
      <c r="C8" s="34" t="str">
        <f>VLOOKUP(Observaciones[Caso de Prueba],CasoPrueba[[#All],[Código CP]:[Prioridad]],7,TRUE)</f>
        <v>Alta</v>
      </c>
      <c r="D8" s="34" t="s">
        <v>205</v>
      </c>
      <c r="E8" s="34" t="s">
        <v>47</v>
      </c>
      <c r="F8" s="78">
        <v>40793</v>
      </c>
      <c r="H8" s="99" t="s">
        <v>131</v>
      </c>
      <c r="I8" s="34" t="s">
        <v>306</v>
      </c>
      <c r="J8" s="34" t="s">
        <v>334</v>
      </c>
      <c r="K8" s="34">
        <f>IF((Observaciones[[#This Row],[Fecha Levantamiento]]-Observaciones[[#This Row],[Fecha Detección]])&gt;=0,Observaciones[[#This Row],[Fecha Levantamiento]]-Observaciones[[#This Row],[Fecha Detección]]+1,0)</f>
        <v>0</v>
      </c>
      <c r="L8" s="34" t="str">
        <f>LOOKUP(Observaciones[[#This Row],[Caso de Prueba]],CasoPrueba[Código CP],CasoPrueba[Código de REQ])</f>
        <v>INSPECCIÓN</v>
      </c>
    </row>
    <row r="9" spans="1:14" ht="45" hidden="1" customHeight="1">
      <c r="A9" s="34" t="s">
        <v>156</v>
      </c>
      <c r="B9" s="34" t="s">
        <v>88</v>
      </c>
      <c r="C9" s="34" t="str">
        <f>VLOOKUP(Observaciones[Caso de Prueba],CasoPrueba[[#All],[Código CP]:[Prioridad]],7,TRUE)</f>
        <v>Alta</v>
      </c>
      <c r="D9" s="34" t="s">
        <v>207</v>
      </c>
      <c r="E9" s="34" t="s">
        <v>47</v>
      </c>
      <c r="F9" s="78">
        <v>40784</v>
      </c>
      <c r="H9" s="99" t="s">
        <v>131</v>
      </c>
      <c r="I9" s="34" t="s">
        <v>275</v>
      </c>
      <c r="J9" s="34" t="s">
        <v>335</v>
      </c>
      <c r="K9" s="34">
        <f>IF((Observaciones[[#This Row],[Fecha Levantamiento]]-Observaciones[[#This Row],[Fecha Detección]])&gt;=0,Observaciones[[#This Row],[Fecha Levantamiento]]-Observaciones[[#This Row],[Fecha Detección]]+1,0)</f>
        <v>0</v>
      </c>
      <c r="L9" s="34" t="str">
        <f>LOOKUP(Observaciones[[#This Row],[Caso de Prueba]],CasoPrueba[Código CP],CasoPrueba[Código de REQ])</f>
        <v>INSPECCIÓN</v>
      </c>
    </row>
    <row r="10" spans="1:14" ht="60" hidden="1">
      <c r="A10" s="34" t="s">
        <v>157</v>
      </c>
      <c r="B10" s="34" t="s">
        <v>88</v>
      </c>
      <c r="C10" s="34" t="str">
        <f>VLOOKUP(Observaciones[Caso de Prueba],CasoPrueba[[#All],[Código CP]:[Prioridad]],7,TRUE)</f>
        <v>Alta</v>
      </c>
      <c r="D10" s="34" t="s">
        <v>207</v>
      </c>
      <c r="E10" s="34" t="s">
        <v>47</v>
      </c>
      <c r="F10" s="78">
        <v>40784</v>
      </c>
      <c r="H10" s="99" t="s">
        <v>131</v>
      </c>
      <c r="I10" s="34" t="s">
        <v>172</v>
      </c>
      <c r="J10" s="34" t="s">
        <v>336</v>
      </c>
      <c r="K10" s="34">
        <f>IF((Observaciones[[#This Row],[Fecha Levantamiento]]-Observaciones[[#This Row],[Fecha Detección]])&gt;=0,Observaciones[[#This Row],[Fecha Levantamiento]]-Observaciones[[#This Row],[Fecha Detección]]+1,0)</f>
        <v>0</v>
      </c>
      <c r="L10" s="34" t="str">
        <f>LOOKUP(Observaciones[[#This Row],[Caso de Prueba]],CasoPrueba[Código CP],CasoPrueba[Código de REQ])</f>
        <v>INSPECCIÓN</v>
      </c>
    </row>
    <row r="11" spans="1:14" ht="30" hidden="1">
      <c r="A11" s="34" t="s">
        <v>158</v>
      </c>
      <c r="B11" s="34" t="s">
        <v>88</v>
      </c>
      <c r="C11" s="34" t="str">
        <f>VLOOKUP(Observaciones[Caso de Prueba],CasoPrueba[[#All],[Código CP]:[Prioridad]],7,TRUE)</f>
        <v>Alta</v>
      </c>
      <c r="D11" s="34" t="s">
        <v>207</v>
      </c>
      <c r="E11" s="34" t="s">
        <v>47</v>
      </c>
      <c r="F11" s="78">
        <v>40784</v>
      </c>
      <c r="H11" s="99" t="s">
        <v>131</v>
      </c>
      <c r="I11" s="34" t="s">
        <v>173</v>
      </c>
      <c r="J11" s="34" t="s">
        <v>337</v>
      </c>
      <c r="K11" s="34">
        <f>IF((Observaciones[[#This Row],[Fecha Levantamiento]]-Observaciones[[#This Row],[Fecha Detección]])&gt;=0,Observaciones[[#This Row],[Fecha Levantamiento]]-Observaciones[[#This Row],[Fecha Detección]]+1,0)</f>
        <v>0</v>
      </c>
      <c r="L11" s="34" t="str">
        <f>LOOKUP(Observaciones[[#This Row],[Caso de Prueba]],CasoPrueba[Código CP],CasoPrueba[Código de REQ])</f>
        <v>INSPECCIÓN</v>
      </c>
    </row>
    <row r="12" spans="1:14" ht="68.25" hidden="1" customHeight="1">
      <c r="A12" s="34" t="s">
        <v>208</v>
      </c>
      <c r="B12" s="34" t="s">
        <v>88</v>
      </c>
      <c r="C12" s="34" t="str">
        <f>VLOOKUP(Observaciones[Caso de Prueba],CasoPrueba[[#All],[Código CP]:[Prioridad]],7,TRUE)</f>
        <v>Alta</v>
      </c>
      <c r="D12" s="34" t="s">
        <v>207</v>
      </c>
      <c r="E12" s="34" t="s">
        <v>47</v>
      </c>
      <c r="F12" s="78">
        <v>40784</v>
      </c>
      <c r="H12" s="99" t="s">
        <v>131</v>
      </c>
      <c r="I12" s="34" t="s">
        <v>298</v>
      </c>
      <c r="J12" s="34" t="s">
        <v>338</v>
      </c>
      <c r="K12" s="34">
        <f>IF((Observaciones[[#This Row],[Fecha Levantamiento]]-Observaciones[[#This Row],[Fecha Detección]])&gt;=0,Observaciones[[#This Row],[Fecha Levantamiento]]-Observaciones[[#This Row],[Fecha Detección]]+1,0)</f>
        <v>0</v>
      </c>
      <c r="L12" s="34" t="str">
        <f>LOOKUP(Observaciones[[#This Row],[Caso de Prueba]],CasoPrueba[Código CP],CasoPrueba[Código de REQ])</f>
        <v>INSPECCIÓN</v>
      </c>
    </row>
    <row r="13" spans="1:14" ht="45" hidden="1">
      <c r="A13" s="34" t="s">
        <v>209</v>
      </c>
      <c r="B13" s="34" t="s">
        <v>88</v>
      </c>
      <c r="C13" s="34" t="str">
        <f>VLOOKUP(Observaciones[Caso de Prueba],CasoPrueba[[#All],[Código CP]:[Prioridad]],7,TRUE)</f>
        <v>Alta</v>
      </c>
      <c r="D13" s="34" t="s">
        <v>207</v>
      </c>
      <c r="E13" s="34" t="s">
        <v>47</v>
      </c>
      <c r="F13" s="78">
        <v>40784</v>
      </c>
      <c r="H13" s="99" t="s">
        <v>131</v>
      </c>
      <c r="I13" s="34" t="s">
        <v>175</v>
      </c>
      <c r="J13" s="170" t="s">
        <v>339</v>
      </c>
      <c r="K13" s="34">
        <f>IF((Observaciones[[#This Row],[Fecha Levantamiento]]-Observaciones[[#This Row],[Fecha Detección]])&gt;=0,Observaciones[[#This Row],[Fecha Levantamiento]]-Observaciones[[#This Row],[Fecha Detección]]+1,0)</f>
        <v>0</v>
      </c>
      <c r="L13" s="34" t="str">
        <f>LOOKUP(Observaciones[[#This Row],[Caso de Prueba]],CasoPrueba[Código CP],CasoPrueba[Código de REQ])</f>
        <v>INSPECCIÓN</v>
      </c>
    </row>
    <row r="14" spans="1:14" ht="33" hidden="1" customHeight="1">
      <c r="A14" s="34" t="s">
        <v>210</v>
      </c>
      <c r="B14" s="34" t="s">
        <v>88</v>
      </c>
      <c r="C14" s="34" t="str">
        <f>VLOOKUP(Observaciones[Caso de Prueba],CasoPrueba[[#All],[Código CP]:[Prioridad]],7,TRUE)</f>
        <v>Alta</v>
      </c>
      <c r="D14" s="34" t="s">
        <v>205</v>
      </c>
      <c r="E14" s="34" t="s">
        <v>47</v>
      </c>
      <c r="F14" s="78">
        <v>40784</v>
      </c>
      <c r="G14" s="171"/>
      <c r="H14" s="99" t="s">
        <v>131</v>
      </c>
      <c r="I14" s="170" t="s">
        <v>174</v>
      </c>
      <c r="J14" s="170" t="s">
        <v>340</v>
      </c>
      <c r="K14" s="34">
        <f>IF((Observaciones[[#This Row],[Fecha Levantamiento]]-Observaciones[[#This Row],[Fecha Detección]])&gt;=0,Observaciones[[#This Row],[Fecha Levantamiento]]-Observaciones[[#This Row],[Fecha Detección]]+1,0)</f>
        <v>0</v>
      </c>
      <c r="L14" s="34" t="str">
        <f>LOOKUP(Observaciones[[#This Row],[Caso de Prueba]],CasoPrueba[Código CP],CasoPrueba[Código de REQ])</f>
        <v>INSPECCIÓN</v>
      </c>
    </row>
    <row r="15" spans="1:14" ht="74.25" hidden="1" customHeight="1">
      <c r="A15" s="34" t="s">
        <v>211</v>
      </c>
      <c r="B15" s="34" t="s">
        <v>88</v>
      </c>
      <c r="C15" s="34" t="str">
        <f>VLOOKUP(Observaciones[Caso de Prueba],CasoPrueba[[#All],[Código CP]:[Prioridad]],7,TRUE)</f>
        <v>Alta</v>
      </c>
      <c r="D15" s="34" t="s">
        <v>205</v>
      </c>
      <c r="E15" s="34" t="s">
        <v>47</v>
      </c>
      <c r="F15" s="78">
        <v>40784</v>
      </c>
      <c r="G15" s="171"/>
      <c r="H15" s="99" t="s">
        <v>131</v>
      </c>
      <c r="I15" s="170" t="s">
        <v>176</v>
      </c>
      <c r="J15" s="170" t="s">
        <v>341</v>
      </c>
      <c r="K15" s="34">
        <f>IF((Observaciones[[#This Row],[Fecha Levantamiento]]-Observaciones[[#This Row],[Fecha Detección]])&gt;=0,Observaciones[[#This Row],[Fecha Levantamiento]]-Observaciones[[#This Row],[Fecha Detección]]+1,0)</f>
        <v>0</v>
      </c>
      <c r="L15" s="34" t="str">
        <f>LOOKUP(Observaciones[[#This Row],[Caso de Prueba]],CasoPrueba[Código CP],CasoPrueba[Código de REQ])</f>
        <v>INSPECCIÓN</v>
      </c>
    </row>
    <row r="16" spans="1:14" ht="45" hidden="1">
      <c r="A16" s="34" t="s">
        <v>212</v>
      </c>
      <c r="B16" s="34" t="s">
        <v>177</v>
      </c>
      <c r="C16" s="34" t="str">
        <f>VLOOKUP(Observaciones[Caso de Prueba],CasoPrueba[[#All],[Código CP]:[Prioridad]],7,TRUE)</f>
        <v>Alta</v>
      </c>
      <c r="D16" s="34" t="s">
        <v>205</v>
      </c>
      <c r="E16" s="34" t="s">
        <v>47</v>
      </c>
      <c r="F16" s="78">
        <v>40786</v>
      </c>
      <c r="G16" s="171"/>
      <c r="H16" s="99" t="s">
        <v>131</v>
      </c>
      <c r="I16" s="34" t="s">
        <v>213</v>
      </c>
      <c r="J16" s="34" t="s">
        <v>319</v>
      </c>
      <c r="K16" s="34">
        <f>IF((Observaciones[[#This Row],[Fecha Levantamiento]]-Observaciones[[#This Row],[Fecha Detección]])&gt;=0,Observaciones[[#This Row],[Fecha Levantamiento]]-Observaciones[[#This Row],[Fecha Detección]]+1,0)</f>
        <v>0</v>
      </c>
      <c r="L16" s="34" t="str">
        <f>LOOKUP(Observaciones[[#This Row],[Caso de Prueba]],CasoPrueba[Código CP],CasoPrueba[Código de REQ])</f>
        <v>INSPECCIÓN</v>
      </c>
    </row>
    <row r="17" spans="1:12" ht="30" hidden="1">
      <c r="A17" s="34" t="s">
        <v>214</v>
      </c>
      <c r="B17" s="34" t="s">
        <v>177</v>
      </c>
      <c r="C17" s="34" t="str">
        <f>VLOOKUP(Observaciones[Caso de Prueba],CasoPrueba[[#All],[Código CP]:[Prioridad]],7,TRUE)</f>
        <v>Alta</v>
      </c>
      <c r="D17" s="170" t="s">
        <v>206</v>
      </c>
      <c r="E17" s="34" t="s">
        <v>47</v>
      </c>
      <c r="F17" s="78">
        <v>40786</v>
      </c>
      <c r="G17" s="171"/>
      <c r="H17" s="99" t="s">
        <v>131</v>
      </c>
      <c r="I17" s="170" t="s">
        <v>255</v>
      </c>
      <c r="J17" s="170" t="s">
        <v>342</v>
      </c>
      <c r="K17" s="34">
        <f>IF((Observaciones[[#This Row],[Fecha Levantamiento]]-Observaciones[[#This Row],[Fecha Detección]])&gt;=0,Observaciones[[#This Row],[Fecha Levantamiento]]-Observaciones[[#This Row],[Fecha Detección]]+1,0)</f>
        <v>0</v>
      </c>
      <c r="L17" s="34" t="str">
        <f>LOOKUP(Observaciones[[#This Row],[Caso de Prueba]],CasoPrueba[Código CP],CasoPrueba[Código de REQ])</f>
        <v>INSPECCIÓN</v>
      </c>
    </row>
    <row r="18" spans="1:12" ht="30" hidden="1">
      <c r="A18" s="34" t="s">
        <v>215</v>
      </c>
      <c r="B18" s="34" t="s">
        <v>177</v>
      </c>
      <c r="C18" s="34" t="str">
        <f>VLOOKUP(Observaciones[Caso de Prueba],CasoPrueba[[#All],[Código CP]:[Prioridad]],7,TRUE)</f>
        <v>Alta</v>
      </c>
      <c r="D18" s="170" t="s">
        <v>206</v>
      </c>
      <c r="E18" s="34" t="s">
        <v>47</v>
      </c>
      <c r="F18" s="78">
        <v>40786</v>
      </c>
      <c r="G18" s="171"/>
      <c r="H18" s="99" t="s">
        <v>131</v>
      </c>
      <c r="I18" s="170" t="s">
        <v>256</v>
      </c>
      <c r="J18" s="170" t="s">
        <v>343</v>
      </c>
      <c r="K18" s="34">
        <f>IF((Observaciones[[#This Row],[Fecha Levantamiento]]-Observaciones[[#This Row],[Fecha Detección]])&gt;=0,Observaciones[[#This Row],[Fecha Levantamiento]]-Observaciones[[#This Row],[Fecha Detección]]+1,0)</f>
        <v>0</v>
      </c>
      <c r="L18" s="34" t="str">
        <f>LOOKUP(Observaciones[[#This Row],[Caso de Prueba]],CasoPrueba[Código CP],CasoPrueba[Código de REQ])</f>
        <v>INSPECCIÓN</v>
      </c>
    </row>
    <row r="19" spans="1:12" ht="30" hidden="1">
      <c r="A19" s="34" t="s">
        <v>216</v>
      </c>
      <c r="B19" s="34" t="s">
        <v>177</v>
      </c>
      <c r="C19" s="34" t="str">
        <f>VLOOKUP(Observaciones[Caso de Prueba],CasoPrueba[[#All],[Código CP]:[Prioridad]],7,TRUE)</f>
        <v>Alta</v>
      </c>
      <c r="D19" s="170" t="s">
        <v>205</v>
      </c>
      <c r="E19" s="34" t="s">
        <v>47</v>
      </c>
      <c r="F19" s="78">
        <v>40793</v>
      </c>
      <c r="H19" s="99" t="s">
        <v>131</v>
      </c>
      <c r="I19" s="34" t="s">
        <v>307</v>
      </c>
      <c r="J19" s="170" t="s">
        <v>344</v>
      </c>
      <c r="K19" s="34">
        <f>IF((Observaciones[[#This Row],[Fecha Levantamiento]]-Observaciones[[#This Row],[Fecha Detección]])&gt;=0,Observaciones[[#This Row],[Fecha Levantamiento]]-Observaciones[[#This Row],[Fecha Detección]]+1,0)</f>
        <v>0</v>
      </c>
      <c r="L19" s="34" t="str">
        <f>LOOKUP(Observaciones[[#This Row],[Caso de Prueba]],CasoPrueba[Código CP],CasoPrueba[Código de REQ])</f>
        <v>INSPECCIÓN</v>
      </c>
    </row>
    <row r="20" spans="1:12" ht="45.75" hidden="1" customHeight="1">
      <c r="A20" s="34" t="s">
        <v>217</v>
      </c>
      <c r="B20" s="34" t="s">
        <v>177</v>
      </c>
      <c r="C20" s="34" t="str">
        <f>VLOOKUP(Observaciones[Caso de Prueba],CasoPrueba[[#All],[Código CP]:[Prioridad]],7,TRUE)</f>
        <v>Alta</v>
      </c>
      <c r="D20" s="34" t="s">
        <v>207</v>
      </c>
      <c r="E20" s="34" t="s">
        <v>47</v>
      </c>
      <c r="F20" s="78">
        <v>40786</v>
      </c>
      <c r="H20" s="99" t="s">
        <v>131</v>
      </c>
      <c r="I20" s="34" t="s">
        <v>276</v>
      </c>
      <c r="J20" s="170" t="s">
        <v>345</v>
      </c>
      <c r="K20" s="34">
        <f>IF((Observaciones[[#This Row],[Fecha Levantamiento]]-Observaciones[[#This Row],[Fecha Detección]])&gt;=0,Observaciones[[#This Row],[Fecha Levantamiento]]-Observaciones[[#This Row],[Fecha Detección]]+1,0)</f>
        <v>0</v>
      </c>
      <c r="L20" s="34" t="str">
        <f>LOOKUP(Observaciones[[#This Row],[Caso de Prueba]],CasoPrueba[Código CP],CasoPrueba[Código de REQ])</f>
        <v>INSPECCIÓN</v>
      </c>
    </row>
    <row r="21" spans="1:12" ht="45" hidden="1">
      <c r="A21" s="34" t="s">
        <v>218</v>
      </c>
      <c r="B21" s="34" t="s">
        <v>177</v>
      </c>
      <c r="C21" s="34" t="str">
        <f>VLOOKUP(Observaciones[Caso de Prueba],CasoPrueba[[#All],[Código CP]:[Prioridad]],7,TRUE)</f>
        <v>Alta</v>
      </c>
      <c r="D21" s="34" t="s">
        <v>207</v>
      </c>
      <c r="E21" s="34" t="s">
        <v>47</v>
      </c>
      <c r="F21" s="78">
        <v>40786</v>
      </c>
      <c r="G21" s="171"/>
      <c r="H21" s="99" t="s">
        <v>131</v>
      </c>
      <c r="I21" s="34" t="s">
        <v>299</v>
      </c>
      <c r="J21" s="170" t="s">
        <v>346</v>
      </c>
      <c r="K21" s="34">
        <f>IF((Observaciones[[#This Row],[Fecha Levantamiento]]-Observaciones[[#This Row],[Fecha Detección]])&gt;=0,Observaciones[[#This Row],[Fecha Levantamiento]]-Observaciones[[#This Row],[Fecha Detección]]+1,0)</f>
        <v>0</v>
      </c>
      <c r="L21" s="34" t="str">
        <f>LOOKUP(Observaciones[[#This Row],[Caso de Prueba]],CasoPrueba[Código CP],CasoPrueba[Código de REQ])</f>
        <v>INSPECCIÓN</v>
      </c>
    </row>
    <row r="22" spans="1:12" ht="30" hidden="1">
      <c r="A22" s="34" t="s">
        <v>219</v>
      </c>
      <c r="B22" s="34" t="s">
        <v>177</v>
      </c>
      <c r="C22" s="34" t="str">
        <f>VLOOKUP(Observaciones[Caso de Prueba],CasoPrueba[[#All],[Código CP]:[Prioridad]],7,TRUE)</f>
        <v>Alta</v>
      </c>
      <c r="D22" s="34" t="s">
        <v>207</v>
      </c>
      <c r="E22" s="34" t="s">
        <v>47</v>
      </c>
      <c r="F22" s="78">
        <v>40786</v>
      </c>
      <c r="H22" s="99" t="s">
        <v>131</v>
      </c>
      <c r="I22" s="34" t="s">
        <v>257</v>
      </c>
      <c r="J22" s="34" t="s">
        <v>347</v>
      </c>
      <c r="K22" s="34">
        <f>IF((Observaciones[[#This Row],[Fecha Levantamiento]]-Observaciones[[#This Row],[Fecha Detección]])&gt;=0,Observaciones[[#This Row],[Fecha Levantamiento]]-Observaciones[[#This Row],[Fecha Detección]]+1,0)</f>
        <v>0</v>
      </c>
      <c r="L22" s="34" t="str">
        <f>LOOKUP(Observaciones[[#This Row],[Caso de Prueba]],CasoPrueba[Código CP],CasoPrueba[Código de REQ])</f>
        <v>INSPECCIÓN</v>
      </c>
    </row>
    <row r="23" spans="1:12" ht="30" hidden="1">
      <c r="A23" s="34" t="s">
        <v>220</v>
      </c>
      <c r="B23" s="34" t="s">
        <v>177</v>
      </c>
      <c r="C23" s="34" t="str">
        <f>VLOOKUP(Observaciones[Caso de Prueba],CasoPrueba[[#All],[Código CP]:[Prioridad]],7,TRUE)</f>
        <v>Alta</v>
      </c>
      <c r="D23" s="34" t="s">
        <v>206</v>
      </c>
      <c r="E23" s="34" t="s">
        <v>47</v>
      </c>
      <c r="F23" s="78">
        <v>40786</v>
      </c>
      <c r="H23" s="99" t="s">
        <v>131</v>
      </c>
      <c r="I23" s="34" t="s">
        <v>258</v>
      </c>
      <c r="J23" s="34" t="s">
        <v>331</v>
      </c>
      <c r="K23" s="34">
        <f>IF((Observaciones[[#This Row],[Fecha Levantamiento]]-Observaciones[[#This Row],[Fecha Detección]])&gt;=0,Observaciones[[#This Row],[Fecha Levantamiento]]-Observaciones[[#This Row],[Fecha Detección]]+1,0)</f>
        <v>0</v>
      </c>
      <c r="L23" s="34" t="str">
        <f>LOOKUP(Observaciones[[#This Row],[Caso de Prueba]],CasoPrueba[Código CP],CasoPrueba[Código de REQ])</f>
        <v>INSPECCIÓN</v>
      </c>
    </row>
    <row r="24" spans="1:12" ht="30" hidden="1">
      <c r="A24" s="34" t="s">
        <v>221</v>
      </c>
      <c r="B24" s="34" t="s">
        <v>177</v>
      </c>
      <c r="C24" s="34" t="str">
        <f>VLOOKUP(Observaciones[Caso de Prueba],CasoPrueba[[#All],[Código CP]:[Prioridad]],7,TRUE)</f>
        <v>Alta</v>
      </c>
      <c r="D24" s="34" t="s">
        <v>259</v>
      </c>
      <c r="E24" s="34" t="s">
        <v>47</v>
      </c>
      <c r="F24" s="78">
        <v>40786</v>
      </c>
      <c r="H24" s="99" t="s">
        <v>131</v>
      </c>
      <c r="I24" s="34" t="s">
        <v>260</v>
      </c>
      <c r="J24" s="34" t="s">
        <v>348</v>
      </c>
      <c r="K24" s="34">
        <f>IF((Observaciones[[#This Row],[Fecha Levantamiento]]-Observaciones[[#This Row],[Fecha Detección]])&gt;=0,Observaciones[[#This Row],[Fecha Levantamiento]]-Observaciones[[#This Row],[Fecha Detección]]+1,0)</f>
        <v>0</v>
      </c>
      <c r="L24" s="34" t="str">
        <f>LOOKUP(Observaciones[[#This Row],[Caso de Prueba]],CasoPrueba[Código CP],CasoPrueba[Código de REQ])</f>
        <v>INSPECCIÓN</v>
      </c>
    </row>
    <row r="25" spans="1:12" ht="45" hidden="1">
      <c r="A25" s="34" t="s">
        <v>222</v>
      </c>
      <c r="B25" s="34" t="s">
        <v>178</v>
      </c>
      <c r="C25" s="34" t="str">
        <f>VLOOKUP(Observaciones[Caso de Prueba],CasoPrueba[[#All],[Código CP]:[Prioridad]],7,TRUE)</f>
        <v>Alta</v>
      </c>
      <c r="D25" s="34" t="s">
        <v>205</v>
      </c>
      <c r="E25" s="34" t="s">
        <v>47</v>
      </c>
      <c r="F25" s="78">
        <v>40786</v>
      </c>
      <c r="G25" s="171"/>
      <c r="H25" s="99" t="s">
        <v>131</v>
      </c>
      <c r="I25" s="34" t="s">
        <v>261</v>
      </c>
      <c r="J25" s="34" t="s">
        <v>319</v>
      </c>
      <c r="K25" s="34">
        <f>IF((Observaciones[[#This Row],[Fecha Levantamiento]]-Observaciones[[#This Row],[Fecha Detección]])&gt;=0,Observaciones[[#This Row],[Fecha Levantamiento]]-Observaciones[[#This Row],[Fecha Detección]]+1,0)</f>
        <v>0</v>
      </c>
      <c r="L25" s="34" t="str">
        <f>LOOKUP(Observaciones[[#This Row],[Caso de Prueba]],CasoPrueba[Código CP],CasoPrueba[Código de REQ])</f>
        <v>INSPECCIÓN</v>
      </c>
    </row>
    <row r="26" spans="1:12" ht="30" hidden="1">
      <c r="A26" s="34" t="s">
        <v>223</v>
      </c>
      <c r="B26" s="34" t="s">
        <v>178</v>
      </c>
      <c r="C26" s="34" t="str">
        <f>VLOOKUP(Observaciones[Caso de Prueba],CasoPrueba[[#All],[Código CP]:[Prioridad]],7,TRUE)</f>
        <v>Alta</v>
      </c>
      <c r="D26" s="170" t="s">
        <v>205</v>
      </c>
      <c r="E26" s="34" t="s">
        <v>47</v>
      </c>
      <c r="F26" s="78">
        <v>40793</v>
      </c>
      <c r="H26" s="99" t="s">
        <v>131</v>
      </c>
      <c r="I26" s="34" t="s">
        <v>307</v>
      </c>
      <c r="J26" s="34" t="s">
        <v>326</v>
      </c>
      <c r="K26" s="34">
        <f>IF((Observaciones[[#This Row],[Fecha Levantamiento]]-Observaciones[[#This Row],[Fecha Detección]])&gt;=0,Observaciones[[#This Row],[Fecha Levantamiento]]-Observaciones[[#This Row],[Fecha Detección]]+1,0)</f>
        <v>0</v>
      </c>
      <c r="L26" s="34" t="str">
        <f>LOOKUP(Observaciones[[#This Row],[Caso de Prueba]],CasoPrueba[Código CP],CasoPrueba[Código de REQ])</f>
        <v>INSPECCIÓN</v>
      </c>
    </row>
    <row r="27" spans="1:12" ht="30" hidden="1">
      <c r="A27" s="34" t="s">
        <v>224</v>
      </c>
      <c r="B27" s="34" t="s">
        <v>178</v>
      </c>
      <c r="C27" s="34" t="str">
        <f>VLOOKUP(Observaciones[Caso de Prueba],CasoPrueba[[#All],[Código CP]:[Prioridad]],7,TRUE)</f>
        <v>Alta</v>
      </c>
      <c r="D27" s="34" t="s">
        <v>207</v>
      </c>
      <c r="E27" s="34" t="s">
        <v>47</v>
      </c>
      <c r="F27" s="78">
        <v>40786</v>
      </c>
      <c r="H27" s="99" t="s">
        <v>131</v>
      </c>
      <c r="I27" s="34" t="s">
        <v>277</v>
      </c>
      <c r="J27" s="34" t="s">
        <v>320</v>
      </c>
      <c r="K27" s="34">
        <f>IF((Observaciones[[#This Row],[Fecha Levantamiento]]-Observaciones[[#This Row],[Fecha Detección]])&gt;=0,Observaciones[[#This Row],[Fecha Levantamiento]]-Observaciones[[#This Row],[Fecha Detección]]+1,0)</f>
        <v>0</v>
      </c>
      <c r="L27" s="34" t="str">
        <f>LOOKUP(Observaciones[[#This Row],[Caso de Prueba]],CasoPrueba[Código CP],CasoPrueba[Código de REQ])</f>
        <v>INSPECCIÓN</v>
      </c>
    </row>
    <row r="28" spans="1:12" ht="60" hidden="1">
      <c r="A28" s="34" t="s">
        <v>225</v>
      </c>
      <c r="B28" s="34" t="s">
        <v>178</v>
      </c>
      <c r="C28" s="34" t="str">
        <f>VLOOKUP(Observaciones[Caso de Prueba],CasoPrueba[[#All],[Código CP]:[Prioridad]],7,TRUE)</f>
        <v>Alta</v>
      </c>
      <c r="D28" s="34" t="s">
        <v>207</v>
      </c>
      <c r="E28" s="34" t="s">
        <v>47</v>
      </c>
      <c r="F28" s="78">
        <v>40786</v>
      </c>
      <c r="H28" s="99" t="s">
        <v>131</v>
      </c>
      <c r="I28" s="34" t="s">
        <v>300</v>
      </c>
      <c r="J28" s="34" t="s">
        <v>328</v>
      </c>
      <c r="K28" s="34">
        <f>IF((Observaciones[[#This Row],[Fecha Levantamiento]]-Observaciones[[#This Row],[Fecha Detección]])&gt;=0,Observaciones[[#This Row],[Fecha Levantamiento]]-Observaciones[[#This Row],[Fecha Detección]]+1,0)</f>
        <v>0</v>
      </c>
      <c r="L28" s="34" t="str">
        <f>LOOKUP(Observaciones[[#This Row],[Caso de Prueba]],CasoPrueba[Código CP],CasoPrueba[Código de REQ])</f>
        <v>INSPECCIÓN</v>
      </c>
    </row>
    <row r="29" spans="1:12" ht="30" hidden="1">
      <c r="A29" s="34" t="s">
        <v>226</v>
      </c>
      <c r="B29" s="34" t="s">
        <v>178</v>
      </c>
      <c r="C29" s="34" t="str">
        <f>VLOOKUP(Observaciones[Caso de Prueba],CasoPrueba[[#All],[Código CP]:[Prioridad]],7,TRUE)</f>
        <v>Alta</v>
      </c>
      <c r="D29" s="34" t="s">
        <v>206</v>
      </c>
      <c r="E29" s="34" t="s">
        <v>47</v>
      </c>
      <c r="F29" s="78">
        <v>40786</v>
      </c>
      <c r="H29" s="99" t="s">
        <v>131</v>
      </c>
      <c r="I29" s="34" t="s">
        <v>262</v>
      </c>
      <c r="J29" s="34" t="s">
        <v>321</v>
      </c>
      <c r="K29" s="34">
        <f>IF((Observaciones[[#This Row],[Fecha Levantamiento]]-Observaciones[[#This Row],[Fecha Detección]])&gt;=0,Observaciones[[#This Row],[Fecha Levantamiento]]-Observaciones[[#This Row],[Fecha Detección]]+1,0)</f>
        <v>0</v>
      </c>
      <c r="L29" s="34" t="str">
        <f>LOOKUP(Observaciones[[#This Row],[Caso de Prueba]],CasoPrueba[Código CP],CasoPrueba[Código de REQ])</f>
        <v>INSPECCIÓN</v>
      </c>
    </row>
    <row r="30" spans="1:12" hidden="1">
      <c r="A30" s="34" t="s">
        <v>227</v>
      </c>
      <c r="B30" s="34" t="s">
        <v>178</v>
      </c>
      <c r="C30" s="34" t="str">
        <f>VLOOKUP(Observaciones[Caso de Prueba],CasoPrueba[[#All],[Código CP]:[Prioridad]],7,TRUE)</f>
        <v>Alta</v>
      </c>
      <c r="D30" s="34" t="s">
        <v>259</v>
      </c>
      <c r="E30" s="34" t="s">
        <v>47</v>
      </c>
      <c r="F30" s="78">
        <v>40793</v>
      </c>
      <c r="H30" s="99" t="s">
        <v>131</v>
      </c>
      <c r="I30" s="34" t="s">
        <v>260</v>
      </c>
      <c r="J30" s="34" t="s">
        <v>329</v>
      </c>
      <c r="K30" s="34">
        <f>IF((Observaciones[[#This Row],[Fecha Levantamiento]]-Observaciones[[#This Row],[Fecha Detección]])&gt;=0,Observaciones[[#This Row],[Fecha Levantamiento]]-Observaciones[[#This Row],[Fecha Detección]]+1,0)</f>
        <v>0</v>
      </c>
      <c r="L30" s="34" t="str">
        <f>LOOKUP(Observaciones[[#This Row],[Caso de Prueba]],CasoPrueba[Código CP],CasoPrueba[Código de REQ])</f>
        <v>INSPECCIÓN</v>
      </c>
    </row>
    <row r="31" spans="1:12" ht="30" hidden="1">
      <c r="A31" s="34" t="s">
        <v>228</v>
      </c>
      <c r="B31" s="34" t="s">
        <v>179</v>
      </c>
      <c r="C31" s="34" t="str">
        <f>VLOOKUP(Observaciones[Caso de Prueba],CasoPrueba[[#All],[Código CP]:[Prioridad]],7,TRUE)</f>
        <v>Alta</v>
      </c>
      <c r="D31" s="34" t="s">
        <v>205</v>
      </c>
      <c r="E31" s="34" t="s">
        <v>47</v>
      </c>
      <c r="F31" s="78">
        <v>40788</v>
      </c>
      <c r="H31" s="99" t="s">
        <v>131</v>
      </c>
      <c r="I31" s="34" t="s">
        <v>263</v>
      </c>
      <c r="J31" s="34" t="s">
        <v>349</v>
      </c>
      <c r="K31" s="34">
        <f>IF((Observaciones[[#This Row],[Fecha Levantamiento]]-Observaciones[[#This Row],[Fecha Detección]])&gt;=0,Observaciones[[#This Row],[Fecha Levantamiento]]-Observaciones[[#This Row],[Fecha Detección]]+1,0)</f>
        <v>0</v>
      </c>
      <c r="L31" s="34" t="str">
        <f>LOOKUP(Observaciones[[#This Row],[Caso de Prueba]],CasoPrueba[Código CP],CasoPrueba[Código de REQ])</f>
        <v>INSPECCIÓN</v>
      </c>
    </row>
    <row r="32" spans="1:12" ht="45" hidden="1">
      <c r="A32" s="34" t="s">
        <v>229</v>
      </c>
      <c r="B32" s="34" t="s">
        <v>179</v>
      </c>
      <c r="C32" s="34" t="str">
        <f>VLOOKUP(Observaciones[Caso de Prueba],CasoPrueba[[#All],[Código CP]:[Prioridad]],7,TRUE)</f>
        <v>Alta</v>
      </c>
      <c r="D32" s="34" t="s">
        <v>205</v>
      </c>
      <c r="E32" s="34" t="s">
        <v>47</v>
      </c>
      <c r="F32" s="78">
        <v>40788</v>
      </c>
      <c r="G32" s="171"/>
      <c r="H32" s="99" t="s">
        <v>131</v>
      </c>
      <c r="I32" s="34" t="s">
        <v>261</v>
      </c>
      <c r="J32" s="34" t="s">
        <v>319</v>
      </c>
      <c r="K32" s="34">
        <f>IF((Observaciones[[#This Row],[Fecha Levantamiento]]-Observaciones[[#This Row],[Fecha Detección]])&gt;=0,Observaciones[[#This Row],[Fecha Levantamiento]]-Observaciones[[#This Row],[Fecha Detección]]+1,0)</f>
        <v>0</v>
      </c>
      <c r="L32" s="34" t="str">
        <f>LOOKUP(Observaciones[[#This Row],[Caso de Prueba]],CasoPrueba[Código CP],CasoPrueba[Código de REQ])</f>
        <v>INSPECCIÓN</v>
      </c>
    </row>
    <row r="33" spans="1:12" ht="30" hidden="1">
      <c r="A33" s="34" t="s">
        <v>230</v>
      </c>
      <c r="B33" s="34" t="s">
        <v>179</v>
      </c>
      <c r="C33" s="34" t="str">
        <f>VLOOKUP(Observaciones[Caso de Prueba],CasoPrueba[[#All],[Código CP]:[Prioridad]],7,TRUE)</f>
        <v>Alta</v>
      </c>
      <c r="D33" s="170" t="s">
        <v>205</v>
      </c>
      <c r="E33" s="34" t="s">
        <v>47</v>
      </c>
      <c r="F33" s="78">
        <v>40793</v>
      </c>
      <c r="H33" s="99" t="s">
        <v>131</v>
      </c>
      <c r="I33" s="34" t="s">
        <v>307</v>
      </c>
      <c r="J33" s="34" t="s">
        <v>350</v>
      </c>
      <c r="K33" s="34">
        <f>IF((Observaciones[[#This Row],[Fecha Levantamiento]]-Observaciones[[#This Row],[Fecha Detección]])&gt;=0,Observaciones[[#This Row],[Fecha Levantamiento]]-Observaciones[[#This Row],[Fecha Detección]]+1,0)</f>
        <v>0</v>
      </c>
      <c r="L33" s="34" t="str">
        <f>LOOKUP(Observaciones[[#This Row],[Caso de Prueba]],CasoPrueba[Código CP],CasoPrueba[Código de REQ])</f>
        <v>INSPECCIÓN</v>
      </c>
    </row>
    <row r="34" spans="1:12" ht="30" hidden="1">
      <c r="A34" s="34" t="s">
        <v>231</v>
      </c>
      <c r="B34" s="34" t="s">
        <v>179</v>
      </c>
      <c r="C34" s="34" t="str">
        <f>VLOOKUP(Observaciones[Caso de Prueba],CasoPrueba[[#All],[Código CP]:[Prioridad]],7,TRUE)</f>
        <v>Alta</v>
      </c>
      <c r="D34" s="34" t="s">
        <v>207</v>
      </c>
      <c r="E34" s="34" t="s">
        <v>47</v>
      </c>
      <c r="F34" s="78">
        <v>40788</v>
      </c>
      <c r="H34" s="99" t="s">
        <v>131</v>
      </c>
      <c r="I34" s="34" t="s">
        <v>275</v>
      </c>
      <c r="J34" s="34" t="s">
        <v>351</v>
      </c>
      <c r="K34" s="34">
        <f>IF((Observaciones[[#This Row],[Fecha Levantamiento]]-Observaciones[[#This Row],[Fecha Detección]])&gt;=0,Observaciones[[#This Row],[Fecha Levantamiento]]-Observaciones[[#This Row],[Fecha Detección]]+1,0)</f>
        <v>0</v>
      </c>
      <c r="L34" s="34" t="str">
        <f>LOOKUP(Observaciones[[#This Row],[Caso de Prueba]],CasoPrueba[Código CP],CasoPrueba[Código de REQ])</f>
        <v>INSPECCIÓN</v>
      </c>
    </row>
    <row r="35" spans="1:12" ht="45" hidden="1">
      <c r="A35" s="34" t="s">
        <v>232</v>
      </c>
      <c r="B35" s="34" t="s">
        <v>179</v>
      </c>
      <c r="C35" s="34" t="str">
        <f>VLOOKUP(Observaciones[Caso de Prueba],CasoPrueba[[#All],[Código CP]:[Prioridad]],7,TRUE)</f>
        <v>Alta</v>
      </c>
      <c r="D35" s="34" t="s">
        <v>205</v>
      </c>
      <c r="E35" s="34" t="s">
        <v>47</v>
      </c>
      <c r="F35" s="78">
        <v>40788</v>
      </c>
      <c r="H35" s="99" t="s">
        <v>131</v>
      </c>
      <c r="I35" s="34" t="s">
        <v>264</v>
      </c>
      <c r="J35" s="34" t="s">
        <v>352</v>
      </c>
      <c r="K35" s="34">
        <f>IF((Observaciones[[#This Row],[Fecha Levantamiento]]-Observaciones[[#This Row],[Fecha Detección]])&gt;=0,Observaciones[[#This Row],[Fecha Levantamiento]]-Observaciones[[#This Row],[Fecha Detección]]+1,0)</f>
        <v>0</v>
      </c>
      <c r="L35" s="34" t="str">
        <f>LOOKUP(Observaciones[[#This Row],[Caso de Prueba]],CasoPrueba[Código CP],CasoPrueba[Código de REQ])</f>
        <v>INSPECCIÓN</v>
      </c>
    </row>
    <row r="36" spans="1:12" ht="60" hidden="1">
      <c r="A36" s="34" t="s">
        <v>233</v>
      </c>
      <c r="B36" s="34" t="s">
        <v>179</v>
      </c>
      <c r="C36" s="34" t="str">
        <f>VLOOKUP(Observaciones[Caso de Prueba],CasoPrueba[[#All],[Código CP]:[Prioridad]],7,TRUE)</f>
        <v>Alta</v>
      </c>
      <c r="D36" s="34" t="s">
        <v>207</v>
      </c>
      <c r="E36" s="34" t="s">
        <v>47</v>
      </c>
      <c r="F36" s="78">
        <v>40788</v>
      </c>
      <c r="H36" s="99" t="s">
        <v>131</v>
      </c>
      <c r="I36" s="34" t="s">
        <v>301</v>
      </c>
      <c r="J36" s="34" t="s">
        <v>353</v>
      </c>
      <c r="K36" s="34">
        <f>IF((Observaciones[[#This Row],[Fecha Levantamiento]]-Observaciones[[#This Row],[Fecha Detección]])&gt;=0,Observaciones[[#This Row],[Fecha Levantamiento]]-Observaciones[[#This Row],[Fecha Detección]]+1,0)</f>
        <v>0</v>
      </c>
      <c r="L36" s="34" t="str">
        <f>LOOKUP(Observaciones[[#This Row],[Caso de Prueba]],CasoPrueba[Código CP],CasoPrueba[Código de REQ])</f>
        <v>INSPECCIÓN</v>
      </c>
    </row>
    <row r="37" spans="1:12" ht="30" hidden="1">
      <c r="A37" s="34" t="s">
        <v>234</v>
      </c>
      <c r="B37" s="34" t="s">
        <v>179</v>
      </c>
      <c r="C37" s="34" t="str">
        <f>VLOOKUP(Observaciones[Caso de Prueba],CasoPrueba[[#All],[Código CP]:[Prioridad]],7,TRUE)</f>
        <v>Alta</v>
      </c>
      <c r="D37" s="34" t="s">
        <v>207</v>
      </c>
      <c r="E37" s="34" t="s">
        <v>47</v>
      </c>
      <c r="F37" s="78">
        <v>40788</v>
      </c>
      <c r="H37" s="99" t="s">
        <v>131</v>
      </c>
      <c r="I37" s="34" t="s">
        <v>265</v>
      </c>
      <c r="J37" s="34" t="s">
        <v>354</v>
      </c>
      <c r="K37" s="34">
        <f>IF((Observaciones[[#This Row],[Fecha Levantamiento]]-Observaciones[[#This Row],[Fecha Detección]])&gt;=0,Observaciones[[#This Row],[Fecha Levantamiento]]-Observaciones[[#This Row],[Fecha Detección]]+1,0)</f>
        <v>0</v>
      </c>
      <c r="L37" s="34" t="str">
        <f>LOOKUP(Observaciones[[#This Row],[Caso de Prueba]],CasoPrueba[Código CP],CasoPrueba[Código de REQ])</f>
        <v>INSPECCIÓN</v>
      </c>
    </row>
    <row r="38" spans="1:12" ht="30" hidden="1">
      <c r="A38" s="34" t="s">
        <v>235</v>
      </c>
      <c r="B38" s="34" t="s">
        <v>179</v>
      </c>
      <c r="C38" s="34" t="str">
        <f>VLOOKUP(Observaciones[Caso de Prueba],CasoPrueba[[#All],[Código CP]:[Prioridad]],7,TRUE)</f>
        <v>Alta</v>
      </c>
      <c r="D38" s="34" t="s">
        <v>207</v>
      </c>
      <c r="E38" s="34" t="s">
        <v>47</v>
      </c>
      <c r="F38" s="78">
        <v>40788</v>
      </c>
      <c r="H38" s="99" t="s">
        <v>131</v>
      </c>
      <c r="I38" s="34" t="s">
        <v>268</v>
      </c>
      <c r="J38" s="34" t="s">
        <v>355</v>
      </c>
      <c r="K38" s="34">
        <f>IF((Observaciones[[#This Row],[Fecha Levantamiento]]-Observaciones[[#This Row],[Fecha Detección]])&gt;=0,Observaciones[[#This Row],[Fecha Levantamiento]]-Observaciones[[#This Row],[Fecha Detección]]+1,0)</f>
        <v>0</v>
      </c>
      <c r="L38" s="34" t="str">
        <f>LOOKUP(Observaciones[[#This Row],[Caso de Prueba]],CasoPrueba[Código CP],CasoPrueba[Código de REQ])</f>
        <v>INSPECCIÓN</v>
      </c>
    </row>
    <row r="39" spans="1:12" ht="45" hidden="1">
      <c r="A39" s="34" t="s">
        <v>236</v>
      </c>
      <c r="B39" s="34" t="s">
        <v>179</v>
      </c>
      <c r="C39" s="34" t="str">
        <f>VLOOKUP(Observaciones[Caso de Prueba],CasoPrueba[[#All],[Código CP]:[Prioridad]],7,TRUE)</f>
        <v>Alta</v>
      </c>
      <c r="D39" s="34" t="s">
        <v>207</v>
      </c>
      <c r="E39" s="34" t="s">
        <v>47</v>
      </c>
      <c r="F39" s="78">
        <v>40788</v>
      </c>
      <c r="H39" s="99" t="s">
        <v>131</v>
      </c>
      <c r="I39" s="34" t="s">
        <v>266</v>
      </c>
      <c r="J39" s="34" t="s">
        <v>356</v>
      </c>
      <c r="K39" s="34">
        <f>IF((Observaciones[[#This Row],[Fecha Levantamiento]]-Observaciones[[#This Row],[Fecha Detección]])&gt;=0,Observaciones[[#This Row],[Fecha Levantamiento]]-Observaciones[[#This Row],[Fecha Detección]]+1,0)</f>
        <v>0</v>
      </c>
      <c r="L39" s="34" t="str">
        <f>LOOKUP(Observaciones[[#This Row],[Caso de Prueba]],CasoPrueba[Código CP],CasoPrueba[Código de REQ])</f>
        <v>INSPECCIÓN</v>
      </c>
    </row>
    <row r="40" spans="1:12" ht="30" hidden="1">
      <c r="A40" s="34" t="s">
        <v>237</v>
      </c>
      <c r="B40" s="34" t="s">
        <v>179</v>
      </c>
      <c r="C40" s="34" t="str">
        <f>VLOOKUP(Observaciones[Caso de Prueba],CasoPrueba[[#All],[Código CP]:[Prioridad]],7,TRUE)</f>
        <v>Alta</v>
      </c>
      <c r="D40" s="34" t="s">
        <v>206</v>
      </c>
      <c r="E40" s="34" t="s">
        <v>47</v>
      </c>
      <c r="F40" s="78">
        <v>40788</v>
      </c>
      <c r="H40" s="99" t="s">
        <v>131</v>
      </c>
      <c r="I40" s="34" t="s">
        <v>267</v>
      </c>
      <c r="J40" s="34" t="s">
        <v>332</v>
      </c>
      <c r="K40" s="34">
        <f>IF((Observaciones[[#This Row],[Fecha Levantamiento]]-Observaciones[[#This Row],[Fecha Detección]])&gt;=0,Observaciones[[#This Row],[Fecha Levantamiento]]-Observaciones[[#This Row],[Fecha Detección]]+1,0)</f>
        <v>0</v>
      </c>
      <c r="L40" s="34" t="str">
        <f>LOOKUP(Observaciones[[#This Row],[Caso de Prueba]],CasoPrueba[Código CP],CasoPrueba[Código de REQ])</f>
        <v>INSPECCIÓN</v>
      </c>
    </row>
    <row r="41" spans="1:12" ht="30" hidden="1">
      <c r="A41" s="34" t="s">
        <v>238</v>
      </c>
      <c r="B41" s="34" t="s">
        <v>179</v>
      </c>
      <c r="C41" s="34" t="str">
        <f>VLOOKUP(Observaciones[Caso de Prueba],CasoPrueba[[#All],[Código CP]:[Prioridad]],7,TRUE)</f>
        <v>Alta</v>
      </c>
      <c r="D41" s="34" t="s">
        <v>205</v>
      </c>
      <c r="E41" s="34" t="s">
        <v>47</v>
      </c>
      <c r="F41" s="78">
        <v>40788</v>
      </c>
      <c r="H41" s="99" t="s">
        <v>131</v>
      </c>
      <c r="I41" s="34" t="s">
        <v>269</v>
      </c>
      <c r="J41" s="34" t="s">
        <v>357</v>
      </c>
      <c r="K41" s="34">
        <f>IF((Observaciones[[#This Row],[Fecha Levantamiento]]-Observaciones[[#This Row],[Fecha Detección]])&gt;=0,Observaciones[[#This Row],[Fecha Levantamiento]]-Observaciones[[#This Row],[Fecha Detección]]+1,0)</f>
        <v>0</v>
      </c>
      <c r="L41" s="34" t="str">
        <f>LOOKUP(Observaciones[[#This Row],[Caso de Prueba]],CasoPrueba[Código CP],CasoPrueba[Código de REQ])</f>
        <v>INSPECCIÓN</v>
      </c>
    </row>
    <row r="42" spans="1:12" ht="30" hidden="1">
      <c r="A42" s="34" t="s">
        <v>239</v>
      </c>
      <c r="B42" s="34" t="s">
        <v>179</v>
      </c>
      <c r="C42" s="34" t="str">
        <f>VLOOKUP(Observaciones[Caso de Prueba],CasoPrueba[[#All],[Código CP]:[Prioridad]],7,TRUE)</f>
        <v>Alta</v>
      </c>
      <c r="D42" s="34" t="s">
        <v>207</v>
      </c>
      <c r="E42" s="34" t="s">
        <v>47</v>
      </c>
      <c r="F42" s="78">
        <v>40788</v>
      </c>
      <c r="H42" s="99" t="s">
        <v>131</v>
      </c>
      <c r="I42" s="34" t="s">
        <v>270</v>
      </c>
      <c r="J42" s="34" t="s">
        <v>358</v>
      </c>
      <c r="K42" s="34">
        <f>IF((Observaciones[[#This Row],[Fecha Levantamiento]]-Observaciones[[#This Row],[Fecha Detección]])&gt;=0,Observaciones[[#This Row],[Fecha Levantamiento]]-Observaciones[[#This Row],[Fecha Detección]]+1,0)</f>
        <v>0</v>
      </c>
      <c r="L42" s="34" t="str">
        <f>LOOKUP(Observaciones[[#This Row],[Caso de Prueba]],CasoPrueba[Código CP],CasoPrueba[Código de REQ])</f>
        <v>INSPECCIÓN</v>
      </c>
    </row>
    <row r="43" spans="1:12" ht="45" hidden="1">
      <c r="A43" s="34" t="s">
        <v>240</v>
      </c>
      <c r="B43" s="34" t="s">
        <v>180</v>
      </c>
      <c r="C43" s="34" t="str">
        <f>VLOOKUP(Observaciones[Caso de Prueba],CasoPrueba[[#All],[Código CP]:[Prioridad]],7,TRUE)</f>
        <v>Alta</v>
      </c>
      <c r="D43" s="34" t="s">
        <v>205</v>
      </c>
      <c r="E43" s="34" t="s">
        <v>47</v>
      </c>
      <c r="F43" s="78">
        <v>40788</v>
      </c>
      <c r="G43" s="171"/>
      <c r="H43" s="99" t="s">
        <v>131</v>
      </c>
      <c r="I43" s="34" t="s">
        <v>261</v>
      </c>
      <c r="J43" s="34" t="s">
        <v>319</v>
      </c>
      <c r="K43" s="34">
        <f>IF((Observaciones[[#This Row],[Fecha Levantamiento]]-Observaciones[[#This Row],[Fecha Detección]])&gt;=0,Observaciones[[#This Row],[Fecha Levantamiento]]-Observaciones[[#This Row],[Fecha Detección]]+1,0)</f>
        <v>0</v>
      </c>
      <c r="L43" s="34" t="str">
        <f>LOOKUP(Observaciones[[#This Row],[Caso de Prueba]],CasoPrueba[Código CP],CasoPrueba[Código de REQ])</f>
        <v>INSPECCIÓN</v>
      </c>
    </row>
    <row r="44" spans="1:12" ht="30" hidden="1">
      <c r="A44" s="34" t="s">
        <v>241</v>
      </c>
      <c r="B44" s="34" t="s">
        <v>180</v>
      </c>
      <c r="C44" s="34" t="str">
        <f>VLOOKUP(Observaciones[Caso de Prueba],CasoPrueba[[#All],[Código CP]:[Prioridad]],7,TRUE)</f>
        <v>Alta</v>
      </c>
      <c r="D44" s="170" t="s">
        <v>205</v>
      </c>
      <c r="E44" s="34" t="s">
        <v>47</v>
      </c>
      <c r="F44" s="78">
        <v>40793</v>
      </c>
      <c r="H44" s="99" t="s">
        <v>131</v>
      </c>
      <c r="I44" s="34" t="s">
        <v>307</v>
      </c>
      <c r="J44" s="34" t="s">
        <v>326</v>
      </c>
      <c r="K44" s="34">
        <f>IF((Observaciones[[#This Row],[Fecha Levantamiento]]-Observaciones[[#This Row],[Fecha Detección]])&gt;=0,Observaciones[[#This Row],[Fecha Levantamiento]]-Observaciones[[#This Row],[Fecha Detección]]+1,0)</f>
        <v>0</v>
      </c>
      <c r="L44" s="34" t="str">
        <f>LOOKUP(Observaciones[[#This Row],[Caso de Prueba]],CasoPrueba[Código CP],CasoPrueba[Código de REQ])</f>
        <v>INSPECCIÓN</v>
      </c>
    </row>
    <row r="45" spans="1:12" ht="30" hidden="1">
      <c r="A45" s="34" t="s">
        <v>242</v>
      </c>
      <c r="B45" s="34" t="s">
        <v>180</v>
      </c>
      <c r="C45" s="34" t="str">
        <f>VLOOKUP(Observaciones[Caso de Prueba],CasoPrueba[[#All],[Código CP]:[Prioridad]],7,TRUE)</f>
        <v>Alta</v>
      </c>
      <c r="D45" s="34" t="s">
        <v>207</v>
      </c>
      <c r="E45" s="34" t="s">
        <v>47</v>
      </c>
      <c r="F45" s="78">
        <v>40788</v>
      </c>
      <c r="H45" s="99" t="s">
        <v>131</v>
      </c>
      <c r="I45" s="34" t="s">
        <v>274</v>
      </c>
      <c r="J45" s="34" t="s">
        <v>320</v>
      </c>
      <c r="K45" s="34">
        <f>IF((Observaciones[[#This Row],[Fecha Levantamiento]]-Observaciones[[#This Row],[Fecha Detección]])&gt;=0,Observaciones[[#This Row],[Fecha Levantamiento]]-Observaciones[[#This Row],[Fecha Detección]]+1,0)</f>
        <v>0</v>
      </c>
      <c r="L45" s="34" t="str">
        <f>LOOKUP(Observaciones[[#This Row],[Caso de Prueba]],CasoPrueba[Código CP],CasoPrueba[Código de REQ])</f>
        <v>INSPECCIÓN</v>
      </c>
    </row>
    <row r="46" spans="1:12" ht="60" hidden="1">
      <c r="A46" s="34" t="s">
        <v>243</v>
      </c>
      <c r="B46" s="34" t="s">
        <v>180</v>
      </c>
      <c r="C46" s="34" t="str">
        <f>VLOOKUP(Observaciones[Caso de Prueba],CasoPrueba[[#All],[Código CP]:[Prioridad]],7,TRUE)</f>
        <v>Alta</v>
      </c>
      <c r="D46" s="34" t="s">
        <v>207</v>
      </c>
      <c r="E46" s="34" t="s">
        <v>47</v>
      </c>
      <c r="F46" s="78">
        <v>40788</v>
      </c>
      <c r="H46" s="99" t="s">
        <v>131</v>
      </c>
      <c r="I46" s="34" t="s">
        <v>302</v>
      </c>
      <c r="J46" s="34" t="s">
        <v>328</v>
      </c>
      <c r="K46" s="34">
        <f>IF((Observaciones[[#This Row],[Fecha Levantamiento]]-Observaciones[[#This Row],[Fecha Detección]])&gt;=0,Observaciones[[#This Row],[Fecha Levantamiento]]-Observaciones[[#This Row],[Fecha Detección]]+1,0)</f>
        <v>0</v>
      </c>
      <c r="L46" s="34" t="str">
        <f>LOOKUP(Observaciones[[#This Row],[Caso de Prueba]],CasoPrueba[Código CP],CasoPrueba[Código de REQ])</f>
        <v>INSPECCIÓN</v>
      </c>
    </row>
    <row r="47" spans="1:12" hidden="1">
      <c r="A47" s="34" t="s">
        <v>244</v>
      </c>
      <c r="B47" s="34" t="s">
        <v>180</v>
      </c>
      <c r="C47" s="34" t="str">
        <f>VLOOKUP(Observaciones[Caso de Prueba],CasoPrueba[[#All],[Código CP]:[Prioridad]],7,TRUE)</f>
        <v>Alta</v>
      </c>
      <c r="D47" s="34" t="s">
        <v>259</v>
      </c>
      <c r="E47" s="34" t="s">
        <v>47</v>
      </c>
      <c r="F47" s="78">
        <v>40793</v>
      </c>
      <c r="H47" s="99" t="s">
        <v>131</v>
      </c>
      <c r="I47" s="34" t="s">
        <v>260</v>
      </c>
      <c r="J47" s="34" t="s">
        <v>327</v>
      </c>
      <c r="K47" s="34">
        <f>IF((Observaciones[[#This Row],[Fecha Levantamiento]]-Observaciones[[#This Row],[Fecha Detección]])&gt;=0,Observaciones[[#This Row],[Fecha Levantamiento]]-Observaciones[[#This Row],[Fecha Detección]]+1,0)</f>
        <v>0</v>
      </c>
      <c r="L47" s="34" t="str">
        <f>LOOKUP(Observaciones[[#This Row],[Caso de Prueba]],CasoPrueba[Código CP],CasoPrueba[Código de REQ])</f>
        <v>INSPECCIÓN</v>
      </c>
    </row>
    <row r="48" spans="1:12" ht="45" hidden="1">
      <c r="A48" s="34" t="s">
        <v>245</v>
      </c>
      <c r="B48" s="34" t="s">
        <v>181</v>
      </c>
      <c r="C48" s="34" t="str">
        <f>VLOOKUP(Observaciones[Caso de Prueba],CasoPrueba[[#All],[Código CP]:[Prioridad]],7,TRUE)</f>
        <v>Alta</v>
      </c>
      <c r="D48" s="34" t="s">
        <v>205</v>
      </c>
      <c r="E48" s="34" t="s">
        <v>47</v>
      </c>
      <c r="F48" s="78">
        <v>40788</v>
      </c>
      <c r="G48" s="171"/>
      <c r="H48" s="99" t="s">
        <v>131</v>
      </c>
      <c r="I48" s="34" t="s">
        <v>261</v>
      </c>
      <c r="J48" s="34" t="s">
        <v>319</v>
      </c>
      <c r="K48" s="34">
        <v>2</v>
      </c>
      <c r="L48" s="34" t="str">
        <f>LOOKUP(Observaciones[[#This Row],[Caso de Prueba]],CasoPrueba[Código CP],CasoPrueba[Código de REQ])</f>
        <v>INSPECCIÓN</v>
      </c>
    </row>
    <row r="49" spans="1:12" ht="30" hidden="1">
      <c r="A49" s="34" t="s">
        <v>246</v>
      </c>
      <c r="B49" s="34" t="s">
        <v>181</v>
      </c>
      <c r="C49" s="34" t="str">
        <f>VLOOKUP(Observaciones[Caso de Prueba],CasoPrueba[[#All],[Código CP]:[Prioridad]],7,TRUE)</f>
        <v>Alta</v>
      </c>
      <c r="D49" s="170" t="s">
        <v>205</v>
      </c>
      <c r="E49" s="34" t="s">
        <v>47</v>
      </c>
      <c r="F49" s="78">
        <v>40793</v>
      </c>
      <c r="H49" s="99" t="s">
        <v>131</v>
      </c>
      <c r="I49" s="34" t="s">
        <v>307</v>
      </c>
      <c r="J49" s="34" t="s">
        <v>326</v>
      </c>
      <c r="K49" s="34">
        <v>2</v>
      </c>
      <c r="L49" s="34" t="str">
        <f>LOOKUP(Observaciones[[#This Row],[Caso de Prueba]],CasoPrueba[Código CP],CasoPrueba[Código de REQ])</f>
        <v>INSPECCIÓN</v>
      </c>
    </row>
    <row r="50" spans="1:12" ht="30" hidden="1">
      <c r="A50" s="34" t="s">
        <v>247</v>
      </c>
      <c r="B50" s="34" t="s">
        <v>181</v>
      </c>
      <c r="C50" s="34" t="str">
        <f>VLOOKUP(Observaciones[Caso de Prueba],CasoPrueba[[#All],[Código CP]:[Prioridad]],7,TRUE)</f>
        <v>Alta</v>
      </c>
      <c r="D50" s="34" t="s">
        <v>207</v>
      </c>
      <c r="E50" s="34" t="s">
        <v>47</v>
      </c>
      <c r="F50" s="78">
        <v>40788</v>
      </c>
      <c r="H50" s="99" t="s">
        <v>131</v>
      </c>
      <c r="I50" s="34" t="s">
        <v>274</v>
      </c>
      <c r="J50" s="34" t="s">
        <v>320</v>
      </c>
      <c r="K50" s="34">
        <v>2</v>
      </c>
      <c r="L50" s="34" t="str">
        <f>LOOKUP(Observaciones[[#This Row],[Caso de Prueba]],CasoPrueba[Código CP],CasoPrueba[Código de REQ])</f>
        <v>INSPECCIÓN</v>
      </c>
    </row>
    <row r="51" spans="1:12" ht="45" hidden="1">
      <c r="A51" s="34" t="s">
        <v>248</v>
      </c>
      <c r="B51" s="34" t="s">
        <v>182</v>
      </c>
      <c r="C51" s="34" t="str">
        <f>VLOOKUP(Observaciones[Caso de Prueba],CasoPrueba[[#All],[Código CP]:[Prioridad]],7,TRUE)</f>
        <v>Alta</v>
      </c>
      <c r="D51" s="34" t="s">
        <v>205</v>
      </c>
      <c r="E51" s="34" t="s">
        <v>47</v>
      </c>
      <c r="F51" s="78">
        <v>40789</v>
      </c>
      <c r="G51" s="171"/>
      <c r="H51" s="99" t="s">
        <v>131</v>
      </c>
      <c r="I51" s="34" t="s">
        <v>261</v>
      </c>
      <c r="J51" s="34" t="s">
        <v>319</v>
      </c>
      <c r="K51" s="34">
        <f>IF((Observaciones[[#This Row],[Fecha Levantamiento]]-Observaciones[[#This Row],[Fecha Detección]])&gt;=0,Observaciones[[#This Row],[Fecha Levantamiento]]-Observaciones[[#This Row],[Fecha Detección]]+1,0)</f>
        <v>0</v>
      </c>
      <c r="L51" s="34" t="str">
        <f>LOOKUP(Observaciones[[#This Row],[Caso de Prueba]],CasoPrueba[Código CP],CasoPrueba[Código de REQ])</f>
        <v>INSPECCIÓN</v>
      </c>
    </row>
    <row r="52" spans="1:12" ht="30" hidden="1">
      <c r="A52" s="34" t="s">
        <v>249</v>
      </c>
      <c r="B52" s="34" t="s">
        <v>182</v>
      </c>
      <c r="C52" s="34" t="str">
        <f>VLOOKUP(Observaciones[Caso de Prueba],CasoPrueba[[#All],[Código CP]:[Prioridad]],7,TRUE)</f>
        <v>Alta</v>
      </c>
      <c r="D52" s="170" t="s">
        <v>205</v>
      </c>
      <c r="E52" s="34" t="s">
        <v>47</v>
      </c>
      <c r="F52" s="78">
        <v>40793</v>
      </c>
      <c r="H52" s="99" t="s">
        <v>131</v>
      </c>
      <c r="I52" s="34" t="s">
        <v>307</v>
      </c>
      <c r="J52" s="34" t="s">
        <v>326</v>
      </c>
      <c r="K52" s="34">
        <f>IF((Observaciones[[#This Row],[Fecha Levantamiento]]-Observaciones[[#This Row],[Fecha Detección]])&gt;=0,Observaciones[[#This Row],[Fecha Levantamiento]]-Observaciones[[#This Row],[Fecha Detección]]+1,0)</f>
        <v>0</v>
      </c>
      <c r="L52" s="34" t="str">
        <f>LOOKUP(Observaciones[[#This Row],[Caso de Prueba]],CasoPrueba[Código CP],CasoPrueba[Código de REQ])</f>
        <v>INSPECCIÓN</v>
      </c>
    </row>
    <row r="53" spans="1:12" ht="30" hidden="1">
      <c r="A53" s="34" t="s">
        <v>250</v>
      </c>
      <c r="B53" s="34" t="s">
        <v>182</v>
      </c>
      <c r="C53" s="34" t="str">
        <f>VLOOKUP(Observaciones[Caso de Prueba],CasoPrueba[[#All],[Código CP]:[Prioridad]],7,TRUE)</f>
        <v>Alta</v>
      </c>
      <c r="D53" s="34" t="s">
        <v>205</v>
      </c>
      <c r="E53" s="34" t="s">
        <v>47</v>
      </c>
      <c r="F53" s="78">
        <v>40789</v>
      </c>
      <c r="H53" s="99" t="s">
        <v>131</v>
      </c>
      <c r="I53" s="34" t="s">
        <v>271</v>
      </c>
      <c r="J53" s="34" t="s">
        <v>322</v>
      </c>
      <c r="K53" s="34">
        <f>IF((Observaciones[[#This Row],[Fecha Levantamiento]]-Observaciones[[#This Row],[Fecha Detección]])&gt;=0,Observaciones[[#This Row],[Fecha Levantamiento]]-Observaciones[[#This Row],[Fecha Detección]]+1,0)</f>
        <v>0</v>
      </c>
      <c r="L53" s="34" t="str">
        <f>LOOKUP(Observaciones[[#This Row],[Caso de Prueba]],CasoPrueba[Código CP],CasoPrueba[Código de REQ])</f>
        <v>INSPECCIÓN</v>
      </c>
    </row>
    <row r="54" spans="1:12" ht="45" hidden="1">
      <c r="A54" s="34" t="s">
        <v>251</v>
      </c>
      <c r="B54" s="34" t="s">
        <v>182</v>
      </c>
      <c r="C54" s="34" t="str">
        <f>VLOOKUP(Observaciones[Caso de Prueba],CasoPrueba[[#All],[Código CP]:[Prioridad]],7,TRUE)</f>
        <v>Alta</v>
      </c>
      <c r="D54" s="34" t="s">
        <v>207</v>
      </c>
      <c r="E54" s="34" t="s">
        <v>47</v>
      </c>
      <c r="F54" s="78">
        <v>40789</v>
      </c>
      <c r="H54" s="99" t="s">
        <v>131</v>
      </c>
      <c r="I54" s="34" t="s">
        <v>303</v>
      </c>
      <c r="J54" s="34" t="s">
        <v>328</v>
      </c>
      <c r="K54" s="34">
        <f>IF((Observaciones[[#This Row],[Fecha Levantamiento]]-Observaciones[[#This Row],[Fecha Detección]])&gt;=0,Observaciones[[#This Row],[Fecha Levantamiento]]-Observaciones[[#This Row],[Fecha Detección]]+1,0)</f>
        <v>0</v>
      </c>
      <c r="L54" s="34" t="str">
        <f>LOOKUP(Observaciones[[#This Row],[Caso de Prueba]],CasoPrueba[Código CP],CasoPrueba[Código de REQ])</f>
        <v>INSPECCIÓN</v>
      </c>
    </row>
    <row r="55" spans="1:12" ht="60" hidden="1">
      <c r="A55" s="34" t="s">
        <v>252</v>
      </c>
      <c r="B55" s="34" t="s">
        <v>182</v>
      </c>
      <c r="C55" s="34" t="str">
        <f>VLOOKUP(Observaciones[Caso de Prueba],CasoPrueba[[#All],[Código CP]:[Prioridad]],7,TRUE)</f>
        <v>Alta</v>
      </c>
      <c r="D55" s="34" t="s">
        <v>205</v>
      </c>
      <c r="E55" s="34" t="s">
        <v>47</v>
      </c>
      <c r="F55" s="78">
        <v>40793</v>
      </c>
      <c r="H55" s="99" t="s">
        <v>131</v>
      </c>
      <c r="I55" s="34" t="s">
        <v>308</v>
      </c>
      <c r="J55" s="34" t="s">
        <v>323</v>
      </c>
      <c r="K55" s="34">
        <f>IF((Observaciones[[#This Row],[Fecha Levantamiento]]-Observaciones[[#This Row],[Fecha Detección]])&gt;=0,Observaciones[[#This Row],[Fecha Levantamiento]]-Observaciones[[#This Row],[Fecha Detección]]+1,0)</f>
        <v>0</v>
      </c>
      <c r="L55" s="34" t="str">
        <f>LOOKUP(Observaciones[[#This Row],[Caso de Prueba]],CasoPrueba[Código CP],CasoPrueba[Código de REQ])</f>
        <v>INSPECCIÓN</v>
      </c>
    </row>
    <row r="56" spans="1:12" ht="60" hidden="1">
      <c r="A56" s="34" t="s">
        <v>253</v>
      </c>
      <c r="B56" s="34" t="s">
        <v>182</v>
      </c>
      <c r="C56" s="34" t="str">
        <f>VLOOKUP(Observaciones[Caso de Prueba],CasoPrueba[[#All],[Código CP]:[Prioridad]],7,TRUE)</f>
        <v>Alta</v>
      </c>
      <c r="D56" s="34" t="s">
        <v>205</v>
      </c>
      <c r="E56" s="34" t="s">
        <v>47</v>
      </c>
      <c r="F56" s="78">
        <v>40789</v>
      </c>
      <c r="H56" s="99" t="s">
        <v>131</v>
      </c>
      <c r="I56" s="34" t="s">
        <v>272</v>
      </c>
      <c r="J56" s="34" t="s">
        <v>324</v>
      </c>
      <c r="K56" s="34">
        <f>IF((Observaciones[[#This Row],[Fecha Levantamiento]]-Observaciones[[#This Row],[Fecha Detección]])&gt;=0,Observaciones[[#This Row],[Fecha Levantamiento]]-Observaciones[[#This Row],[Fecha Detección]]+1,0)</f>
        <v>0</v>
      </c>
      <c r="L56" s="34" t="str">
        <f>LOOKUP(Observaciones[[#This Row],[Caso de Prueba]],CasoPrueba[Código CP],CasoPrueba[Código de REQ])</f>
        <v>INSPECCIÓN</v>
      </c>
    </row>
    <row r="57" spans="1:12" ht="30" hidden="1">
      <c r="A57" s="34" t="s">
        <v>254</v>
      </c>
      <c r="B57" s="34" t="s">
        <v>182</v>
      </c>
      <c r="C57" s="34" t="str">
        <f>VLOOKUP(Observaciones[Caso de Prueba],CasoPrueba[[#All],[Código CP]:[Prioridad]],7,TRUE)</f>
        <v>Alta</v>
      </c>
      <c r="D57" s="34" t="s">
        <v>207</v>
      </c>
      <c r="E57" s="34" t="s">
        <v>47</v>
      </c>
      <c r="F57" s="78">
        <v>40789</v>
      </c>
      <c r="H57" s="99" t="s">
        <v>131</v>
      </c>
      <c r="I57" s="34" t="s">
        <v>273</v>
      </c>
      <c r="J57" s="34" t="s">
        <v>325</v>
      </c>
      <c r="K57" s="34">
        <f>IF((Observaciones[[#This Row],[Fecha Levantamiento]]-Observaciones[[#This Row],[Fecha Detección]])&gt;=0,Observaciones[[#This Row],[Fecha Levantamiento]]-Observaciones[[#This Row],[Fecha Detección]]+1,0)</f>
        <v>0</v>
      </c>
      <c r="L57" s="34" t="str">
        <f>LOOKUP(Observaciones[[#This Row],[Caso de Prueba]],CasoPrueba[Código CP],CasoPrueba[Código de REQ])</f>
        <v>INSPECCIÓN</v>
      </c>
    </row>
    <row r="58" spans="1:12" ht="45">
      <c r="A58" s="34" t="s">
        <v>280</v>
      </c>
      <c r="B58" s="34" t="s">
        <v>183</v>
      </c>
      <c r="C58" s="34" t="str">
        <f>VLOOKUP(Observaciones[Caso de Prueba],CasoPrueba[[#All],[Código CP]:[Prioridad]],7,TRUE)</f>
        <v>Alta</v>
      </c>
      <c r="D58" s="34" t="s">
        <v>205</v>
      </c>
      <c r="E58" s="34" t="s">
        <v>47</v>
      </c>
      <c r="F58" s="78">
        <v>40789</v>
      </c>
      <c r="H58" s="99" t="s">
        <v>131</v>
      </c>
      <c r="I58" s="34" t="s">
        <v>261</v>
      </c>
      <c r="J58" s="34" t="s">
        <v>319</v>
      </c>
      <c r="K58" s="34">
        <f>IF((Observaciones[[#This Row],[Fecha Levantamiento]]-Observaciones[[#This Row],[Fecha Detección]])&gt;=0,Observaciones[[#This Row],[Fecha Levantamiento]]-Observaciones[[#This Row],[Fecha Detección]]+1,0)</f>
        <v>0</v>
      </c>
      <c r="L58" s="34" t="str">
        <f>LOOKUP(Observaciones[[#This Row],[Caso de Prueba]],CasoPrueba[Código CP],CasoPrueba[Código de REQ])</f>
        <v>INSPECCIÓN</v>
      </c>
    </row>
    <row r="59" spans="1:12" ht="30">
      <c r="A59" s="34" t="s">
        <v>281</v>
      </c>
      <c r="B59" s="34" t="s">
        <v>183</v>
      </c>
      <c r="C59" s="34" t="str">
        <f>VLOOKUP(Observaciones[Caso de Prueba],CasoPrueba[[#All],[Código CP]:[Prioridad]],7,TRUE)</f>
        <v>Alta</v>
      </c>
      <c r="D59" s="170" t="s">
        <v>205</v>
      </c>
      <c r="E59" s="34" t="s">
        <v>47</v>
      </c>
      <c r="F59" s="78">
        <v>40793</v>
      </c>
      <c r="H59" s="99" t="s">
        <v>131</v>
      </c>
      <c r="I59" s="34" t="s">
        <v>307</v>
      </c>
      <c r="J59" s="34" t="s">
        <v>350</v>
      </c>
      <c r="K59" s="34">
        <f>IF((Observaciones[[#This Row],[Fecha Levantamiento]]-Observaciones[[#This Row],[Fecha Detección]])&gt;=0,Observaciones[[#This Row],[Fecha Levantamiento]]-Observaciones[[#This Row],[Fecha Detección]]+1,0)</f>
        <v>0</v>
      </c>
      <c r="L59" s="34" t="str">
        <f>LOOKUP(Observaciones[[#This Row],[Caso de Prueba]],CasoPrueba[Código CP],CasoPrueba[Código de REQ])</f>
        <v>INSPECCIÓN</v>
      </c>
    </row>
    <row r="60" spans="1:12" ht="30">
      <c r="A60" s="34" t="s">
        <v>282</v>
      </c>
      <c r="B60" s="34" t="s">
        <v>183</v>
      </c>
      <c r="C60" s="34" t="str">
        <f>VLOOKUP(Observaciones[Caso de Prueba],CasoPrueba[[#All],[Código CP]:[Prioridad]],7,TRUE)</f>
        <v>Alta</v>
      </c>
      <c r="D60" s="34" t="s">
        <v>206</v>
      </c>
      <c r="E60" s="34" t="s">
        <v>47</v>
      </c>
      <c r="F60" s="78">
        <v>40789</v>
      </c>
      <c r="H60" s="99" t="s">
        <v>131</v>
      </c>
      <c r="I60" s="34" t="s">
        <v>296</v>
      </c>
      <c r="J60" s="34" t="s">
        <v>332</v>
      </c>
      <c r="K60" s="34">
        <f>IF((Observaciones[[#This Row],[Fecha Levantamiento]]-Observaciones[[#This Row],[Fecha Detección]])&gt;=0,Observaciones[[#This Row],[Fecha Levantamiento]]-Observaciones[[#This Row],[Fecha Detección]]+1,0)</f>
        <v>0</v>
      </c>
      <c r="L60" s="34" t="str">
        <f>LOOKUP(Observaciones[[#This Row],[Caso de Prueba]],CasoPrueba[Código CP],CasoPrueba[Código de REQ])</f>
        <v>INSPECCIÓN</v>
      </c>
    </row>
    <row r="61" spans="1:12" ht="30">
      <c r="A61" s="34" t="s">
        <v>283</v>
      </c>
      <c r="B61" s="34" t="s">
        <v>183</v>
      </c>
      <c r="C61" s="34" t="str">
        <f>VLOOKUP(Observaciones[Caso de Prueba],CasoPrueba[[#All],[Código CP]:[Prioridad]],7,TRUE)</f>
        <v>Alta</v>
      </c>
      <c r="D61" s="34" t="s">
        <v>207</v>
      </c>
      <c r="E61" s="34" t="s">
        <v>47</v>
      </c>
      <c r="F61" s="78">
        <v>40789</v>
      </c>
      <c r="H61" s="99" t="s">
        <v>131</v>
      </c>
      <c r="I61" s="34" t="s">
        <v>278</v>
      </c>
      <c r="J61" s="34" t="s">
        <v>359</v>
      </c>
      <c r="K61" s="34">
        <f>IF((Observaciones[[#This Row],[Fecha Levantamiento]]-Observaciones[[#This Row],[Fecha Detección]])&gt;=0,Observaciones[[#This Row],[Fecha Levantamiento]]-Observaciones[[#This Row],[Fecha Detección]]+1,0)</f>
        <v>0</v>
      </c>
      <c r="L61" s="34" t="str">
        <f>LOOKUP(Observaciones[[#This Row],[Caso de Prueba]],CasoPrueba[Código CP],CasoPrueba[Código de REQ])</f>
        <v>INSPECCIÓN</v>
      </c>
    </row>
    <row r="62" spans="1:12" ht="45">
      <c r="A62" s="34" t="s">
        <v>284</v>
      </c>
      <c r="B62" s="34" t="s">
        <v>183</v>
      </c>
      <c r="C62" s="34" t="str">
        <f>VLOOKUP(Observaciones[Caso de Prueba],CasoPrueba[[#All],[Código CP]:[Prioridad]],7,TRUE)</f>
        <v>Alta</v>
      </c>
      <c r="D62" s="34" t="s">
        <v>207</v>
      </c>
      <c r="E62" s="34" t="s">
        <v>47</v>
      </c>
      <c r="F62" s="78">
        <v>40789</v>
      </c>
      <c r="H62" s="99" t="s">
        <v>131</v>
      </c>
      <c r="I62" s="34" t="s">
        <v>304</v>
      </c>
      <c r="J62" s="34" t="s">
        <v>353</v>
      </c>
      <c r="K62" s="34">
        <f>IF((Observaciones[[#This Row],[Fecha Levantamiento]]-Observaciones[[#This Row],[Fecha Detección]])&gt;=0,Observaciones[[#This Row],[Fecha Levantamiento]]-Observaciones[[#This Row],[Fecha Detección]]+1,0)</f>
        <v>0</v>
      </c>
      <c r="L62" s="34" t="str">
        <f>LOOKUP(Observaciones[[#This Row],[Caso de Prueba]],CasoPrueba[Código CP],CasoPrueba[Código de REQ])</f>
        <v>INSPECCIÓN</v>
      </c>
    </row>
    <row r="63" spans="1:12">
      <c r="A63" s="34" t="s">
        <v>285</v>
      </c>
      <c r="B63" s="34" t="s">
        <v>183</v>
      </c>
      <c r="C63" s="34" t="str">
        <f>VLOOKUP(Observaciones[Caso de Prueba],CasoPrueba[[#All],[Código CP]:[Prioridad]],7,TRUE)</f>
        <v>Alta</v>
      </c>
      <c r="D63" s="34" t="s">
        <v>259</v>
      </c>
      <c r="E63" s="34" t="s">
        <v>47</v>
      </c>
      <c r="F63" s="78">
        <v>40793</v>
      </c>
      <c r="H63" s="99" t="s">
        <v>131</v>
      </c>
      <c r="I63" s="34" t="s">
        <v>260</v>
      </c>
      <c r="J63" s="34" t="s">
        <v>360</v>
      </c>
      <c r="K63" s="34">
        <f>IF((Observaciones[[#This Row],[Fecha Levantamiento]]-Observaciones[[#This Row],[Fecha Detección]])&gt;=0,Observaciones[[#This Row],[Fecha Levantamiento]]-Observaciones[[#This Row],[Fecha Detección]]+1,0)</f>
        <v>0</v>
      </c>
      <c r="L63" s="34" t="str">
        <f>LOOKUP(Observaciones[[#This Row],[Caso de Prueba]],CasoPrueba[Código CP],CasoPrueba[Código de REQ])</f>
        <v>INSPECCIÓN</v>
      </c>
    </row>
    <row r="64" spans="1:12" ht="45" hidden="1">
      <c r="A64" s="34" t="s">
        <v>286</v>
      </c>
      <c r="B64" s="34" t="s">
        <v>184</v>
      </c>
      <c r="C64" s="34" t="str">
        <f>VLOOKUP(Observaciones[Caso de Prueba],CasoPrueba[[#All],[Código CP]:[Prioridad]],7,TRUE)</f>
        <v>Alta</v>
      </c>
      <c r="D64" s="34" t="s">
        <v>205</v>
      </c>
      <c r="E64" s="34" t="s">
        <v>47</v>
      </c>
      <c r="F64" s="78">
        <v>40791</v>
      </c>
      <c r="H64" s="99" t="s">
        <v>131</v>
      </c>
      <c r="I64" s="34" t="s">
        <v>261</v>
      </c>
      <c r="J64" s="34" t="s">
        <v>319</v>
      </c>
      <c r="K64" s="34">
        <f>IF((Observaciones[[#This Row],[Fecha Levantamiento]]-Observaciones[[#This Row],[Fecha Detección]])&gt;=0,Observaciones[[#This Row],[Fecha Levantamiento]]-Observaciones[[#This Row],[Fecha Detección]]+1,0)</f>
        <v>0</v>
      </c>
      <c r="L64" s="34" t="str">
        <f>LOOKUP(Observaciones[[#This Row],[Caso de Prueba]],CasoPrueba[Código CP],CasoPrueba[Código de REQ])</f>
        <v>INSPECCIÓN</v>
      </c>
    </row>
    <row r="65" spans="1:12" ht="30" hidden="1">
      <c r="A65" s="34" t="s">
        <v>287</v>
      </c>
      <c r="B65" s="34" t="s">
        <v>184</v>
      </c>
      <c r="C65" s="34" t="str">
        <f>VLOOKUP(Observaciones[Caso de Prueba],CasoPrueba[[#All],[Código CP]:[Prioridad]],7,TRUE)</f>
        <v>Alta</v>
      </c>
      <c r="D65" s="170" t="s">
        <v>205</v>
      </c>
      <c r="E65" s="34" t="s">
        <v>47</v>
      </c>
      <c r="F65" s="78">
        <v>40793</v>
      </c>
      <c r="H65" s="99" t="s">
        <v>131</v>
      </c>
      <c r="I65" s="34" t="s">
        <v>307</v>
      </c>
      <c r="J65" s="34" t="s">
        <v>326</v>
      </c>
      <c r="K65" s="34">
        <f>IF((Observaciones[[#This Row],[Fecha Levantamiento]]-Observaciones[[#This Row],[Fecha Detección]])&gt;=0,Observaciones[[#This Row],[Fecha Levantamiento]]-Observaciones[[#This Row],[Fecha Detección]]+1,0)</f>
        <v>0</v>
      </c>
      <c r="L65" s="34" t="str">
        <f>LOOKUP(Observaciones[[#This Row],[Caso de Prueba]],CasoPrueba[Código CP],CasoPrueba[Código de REQ])</f>
        <v>INSPECCIÓN</v>
      </c>
    </row>
    <row r="66" spans="1:12" ht="60" hidden="1">
      <c r="A66" s="34" t="s">
        <v>288</v>
      </c>
      <c r="B66" s="34" t="s">
        <v>184</v>
      </c>
      <c r="C66" s="34" t="str">
        <f>VLOOKUP(Observaciones[Caso de Prueba],CasoPrueba[[#All],[Código CP]:[Prioridad]],7,TRUE)</f>
        <v>Alta</v>
      </c>
      <c r="D66" s="34" t="s">
        <v>205</v>
      </c>
      <c r="E66" s="34" t="s">
        <v>47</v>
      </c>
      <c r="F66" s="78">
        <v>40793</v>
      </c>
      <c r="H66" s="99" t="s">
        <v>131</v>
      </c>
      <c r="I66" s="34" t="s">
        <v>308</v>
      </c>
      <c r="J66" s="34" t="s">
        <v>323</v>
      </c>
      <c r="K66" s="34">
        <f>IF((Observaciones[[#This Row],[Fecha Levantamiento]]-Observaciones[[#This Row],[Fecha Detección]])&gt;=0,Observaciones[[#This Row],[Fecha Levantamiento]]-Observaciones[[#This Row],[Fecha Detección]]+1,0)</f>
        <v>0</v>
      </c>
      <c r="L66" s="34" t="str">
        <f>LOOKUP(Observaciones[[#This Row],[Caso de Prueba]],CasoPrueba[Código CP],CasoPrueba[Código de REQ])</f>
        <v>INSPECCIÓN</v>
      </c>
    </row>
    <row r="67" spans="1:12" ht="45" hidden="1">
      <c r="A67" s="34" t="s">
        <v>289</v>
      </c>
      <c r="B67" s="34" t="s">
        <v>184</v>
      </c>
      <c r="C67" s="34" t="str">
        <f>VLOOKUP(Observaciones[Caso de Prueba],CasoPrueba[[#All],[Código CP]:[Prioridad]],7,TRUE)</f>
        <v>Alta</v>
      </c>
      <c r="D67" s="34" t="s">
        <v>207</v>
      </c>
      <c r="E67" s="34" t="s">
        <v>47</v>
      </c>
      <c r="F67" s="78">
        <v>40791</v>
      </c>
      <c r="H67" s="99" t="s">
        <v>131</v>
      </c>
      <c r="I67" s="34" t="s">
        <v>305</v>
      </c>
      <c r="J67" s="34" t="s">
        <v>328</v>
      </c>
      <c r="K67" s="34">
        <f>IF((Observaciones[[#This Row],[Fecha Levantamiento]]-Observaciones[[#This Row],[Fecha Detección]])&gt;=0,Observaciones[[#This Row],[Fecha Levantamiento]]-Observaciones[[#This Row],[Fecha Detección]]+1,0)</f>
        <v>0</v>
      </c>
      <c r="L67" s="34" t="str">
        <f>LOOKUP(Observaciones[[#This Row],[Caso de Prueba]],CasoPrueba[Código CP],CasoPrueba[Código de REQ])</f>
        <v>INSPECCIÓN</v>
      </c>
    </row>
    <row r="68" spans="1:12" ht="45" hidden="1">
      <c r="A68" s="34" t="s">
        <v>290</v>
      </c>
      <c r="B68" s="34" t="s">
        <v>184</v>
      </c>
      <c r="C68" s="34" t="str">
        <f>VLOOKUP(Observaciones[Caso de Prueba],CasoPrueba[[#All],[Código CP]:[Prioridad]],7,TRUE)</f>
        <v>Alta</v>
      </c>
      <c r="D68" s="34" t="s">
        <v>206</v>
      </c>
      <c r="E68" s="34" t="s">
        <v>47</v>
      </c>
      <c r="F68" s="78">
        <v>40791</v>
      </c>
      <c r="H68" s="99" t="s">
        <v>131</v>
      </c>
      <c r="I68" s="34" t="s">
        <v>279</v>
      </c>
      <c r="J68" s="34" t="s">
        <v>321</v>
      </c>
      <c r="K68" s="34">
        <f>IF((Observaciones[[#This Row],[Fecha Levantamiento]]-Observaciones[[#This Row],[Fecha Detección]])&gt;=0,Observaciones[[#This Row],[Fecha Levantamiento]]-Observaciones[[#This Row],[Fecha Detección]]+1,0)</f>
        <v>0</v>
      </c>
      <c r="L68" s="34" t="str">
        <f>LOOKUP(Observaciones[[#This Row],[Caso de Prueba]],CasoPrueba[Código CP],CasoPrueba[Código de REQ])</f>
        <v>INSPECCIÓN</v>
      </c>
    </row>
    <row r="69" spans="1:12" ht="30" hidden="1">
      <c r="A69" s="34" t="s">
        <v>291</v>
      </c>
      <c r="B69" s="34" t="s">
        <v>184</v>
      </c>
      <c r="C69" s="34" t="str">
        <f>VLOOKUP(Observaciones[Caso de Prueba],CasoPrueba[[#All],[Código CP]:[Prioridad]],7,TRUE)</f>
        <v>Alta</v>
      </c>
      <c r="D69" s="34" t="s">
        <v>207</v>
      </c>
      <c r="E69" s="34" t="s">
        <v>47</v>
      </c>
      <c r="F69" s="78">
        <v>40791</v>
      </c>
      <c r="H69" s="99" t="s">
        <v>131</v>
      </c>
      <c r="I69" s="34" t="s">
        <v>273</v>
      </c>
      <c r="J69" s="34" t="s">
        <v>325</v>
      </c>
      <c r="K69" s="34">
        <f>IF((Observaciones[[#This Row],[Fecha Levantamiento]]-Observaciones[[#This Row],[Fecha Detección]])&gt;=0,Observaciones[[#This Row],[Fecha Levantamiento]]-Observaciones[[#This Row],[Fecha Detección]]+1,0)</f>
        <v>0</v>
      </c>
      <c r="L69" s="34" t="str">
        <f>LOOKUP(Observaciones[[#This Row],[Caso de Prueba]],CasoPrueba[Código CP],CasoPrueba[Código de REQ])</f>
        <v>INSPECCIÓN</v>
      </c>
    </row>
    <row r="70" spans="1:12" ht="45" hidden="1">
      <c r="A70" s="34" t="s">
        <v>292</v>
      </c>
      <c r="B70" s="34" t="s">
        <v>185</v>
      </c>
      <c r="C70" s="34" t="str">
        <f>VLOOKUP(Observaciones[Caso de Prueba],CasoPrueba[[#All],[Código CP]:[Prioridad]],7,TRUE)</f>
        <v>Alta</v>
      </c>
      <c r="D70" s="34" t="s">
        <v>205</v>
      </c>
      <c r="E70" s="34" t="s">
        <v>47</v>
      </c>
      <c r="F70" s="78">
        <v>40791</v>
      </c>
      <c r="H70" s="99" t="s">
        <v>131</v>
      </c>
      <c r="I70" s="34" t="s">
        <v>261</v>
      </c>
      <c r="J70" s="34" t="s">
        <v>319</v>
      </c>
      <c r="K70" s="34">
        <f>IF((Observaciones[[#This Row],[Fecha Levantamiento]]-Observaciones[[#This Row],[Fecha Detección]])&gt;=0,Observaciones[[#This Row],[Fecha Levantamiento]]-Observaciones[[#This Row],[Fecha Detección]]+1,0)</f>
        <v>0</v>
      </c>
      <c r="L70" s="34" t="str">
        <f>LOOKUP(Observaciones[[#This Row],[Caso de Prueba]],CasoPrueba[Código CP],CasoPrueba[Código de REQ])</f>
        <v>INSPECCIÓN</v>
      </c>
    </row>
    <row r="71" spans="1:12" ht="30" hidden="1">
      <c r="A71" s="34" t="s">
        <v>293</v>
      </c>
      <c r="B71" s="34" t="s">
        <v>185</v>
      </c>
      <c r="C71" s="34" t="str">
        <f>VLOOKUP(Observaciones[Caso de Prueba],CasoPrueba[[#All],[Código CP]:[Prioridad]],7,TRUE)</f>
        <v>Alta</v>
      </c>
      <c r="D71" s="170" t="s">
        <v>205</v>
      </c>
      <c r="E71" s="34" t="s">
        <v>47</v>
      </c>
      <c r="F71" s="78">
        <v>40793</v>
      </c>
      <c r="H71" s="99" t="s">
        <v>131</v>
      </c>
      <c r="I71" s="34" t="s">
        <v>307</v>
      </c>
      <c r="J71" s="34" t="s">
        <v>326</v>
      </c>
      <c r="K71" s="34">
        <f>IF((Observaciones[[#This Row],[Fecha Levantamiento]]-Observaciones[[#This Row],[Fecha Detección]])&gt;=0,Observaciones[[#This Row],[Fecha Levantamiento]]-Observaciones[[#This Row],[Fecha Detección]]+1,0)</f>
        <v>0</v>
      </c>
      <c r="L71" s="34" t="str">
        <f>LOOKUP(Observaciones[[#This Row],[Caso de Prueba]],CasoPrueba[Código CP],CasoPrueba[Código de REQ])</f>
        <v>INSPECCIÓN</v>
      </c>
    </row>
    <row r="72" spans="1:12" ht="30" hidden="1">
      <c r="A72" s="34" t="s">
        <v>294</v>
      </c>
      <c r="B72" s="34" t="s">
        <v>185</v>
      </c>
      <c r="C72" s="34" t="str">
        <f>VLOOKUP(Observaciones[Caso de Prueba],CasoPrueba[[#All],[Código CP]:[Prioridad]],7,TRUE)</f>
        <v>Alta</v>
      </c>
      <c r="D72" s="34" t="s">
        <v>207</v>
      </c>
      <c r="E72" s="34" t="s">
        <v>47</v>
      </c>
      <c r="F72" s="78">
        <v>40791</v>
      </c>
      <c r="H72" s="99" t="s">
        <v>131</v>
      </c>
      <c r="I72" s="34" t="s">
        <v>273</v>
      </c>
      <c r="J72" s="34" t="s">
        <v>325</v>
      </c>
      <c r="K72" s="34">
        <f>IF((Observaciones[[#This Row],[Fecha Levantamiento]]-Observaciones[[#This Row],[Fecha Detección]])&gt;=0,Observaciones[[#This Row],[Fecha Levantamiento]]-Observaciones[[#This Row],[Fecha Detección]]+1,0)</f>
        <v>0</v>
      </c>
      <c r="L72" s="34" t="str">
        <f>LOOKUP(Observaciones[[#This Row],[Caso de Prueba]],CasoPrueba[Código CP],CasoPrueba[Código de REQ])</f>
        <v>INSPECCIÓN</v>
      </c>
    </row>
    <row r="73" spans="1:12" hidden="1">
      <c r="A73" s="34" t="s">
        <v>295</v>
      </c>
      <c r="B73" s="34" t="s">
        <v>185</v>
      </c>
      <c r="C73" s="34" t="str">
        <f>VLOOKUP(Observaciones[Caso de Prueba],CasoPrueba[[#All],[Código CP]:[Prioridad]],7,TRUE)</f>
        <v>Alta</v>
      </c>
      <c r="D73" s="34" t="s">
        <v>259</v>
      </c>
      <c r="E73" s="34" t="s">
        <v>47</v>
      </c>
      <c r="F73" s="78">
        <v>40793</v>
      </c>
      <c r="H73" s="99" t="s">
        <v>131</v>
      </c>
      <c r="I73" s="34" t="s">
        <v>260</v>
      </c>
      <c r="J73" s="34" t="s">
        <v>329</v>
      </c>
      <c r="K73" s="34">
        <f>IF((Observaciones[[#This Row],[Fecha Levantamiento]]-Observaciones[[#This Row],[Fecha Detección]])&gt;=0,Observaciones[[#This Row],[Fecha Levantamiento]]-Observaciones[[#This Row],[Fecha Detección]]+1,0)</f>
        <v>0</v>
      </c>
      <c r="L73" s="34" t="str">
        <f>LOOKUP(Observaciones[[#This Row],[Caso de Prueba]],CasoPrueba[Código CP],CasoPrueba[Código de REQ])</f>
        <v>INSPECCIÓN</v>
      </c>
    </row>
  </sheetData>
  <mergeCells count="1">
    <mergeCell ref="A1:K1"/>
  </mergeCells>
  <dataValidations count="1">
    <dataValidation type="list" allowBlank="1" showInputMessage="1" showErrorMessage="1" sqref="H3:H73">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8</xdr:col>
                    <xdr:colOff>2562225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Resumen!$P$11:$P$14</xm:f>
          </x14:formula1>
          <xm:sqref>D3:D12</xm:sqref>
        </x14:dataValidation>
        <x14:dataValidation type="list" allowBlank="1" showInputMessage="1" showErrorMessage="1">
          <x14:formula1>
            <xm:f>Resumen!$P$22:$P$24</xm:f>
          </x14:formula1>
          <xm:sqref>E3:E12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B3" sqref="B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1" t="s">
        <v>102</v>
      </c>
      <c r="B1" s="201"/>
      <c r="C1" s="201"/>
      <c r="D1" s="201"/>
      <c r="E1" s="201"/>
      <c r="F1" s="201"/>
      <c r="G1" s="201"/>
      <c r="H1" s="201"/>
      <c r="I1" s="201"/>
      <c r="J1" s="201"/>
      <c r="K1" s="36"/>
      <c r="L1" s="36"/>
      <c r="M1" t="s">
        <v>145</v>
      </c>
      <c r="XFD1" s="31"/>
    </row>
    <row r="2" spans="1:13 16384:16384" ht="39.75" customHeight="1">
      <c r="A2" s="162" t="s">
        <v>97</v>
      </c>
      <c r="B2" s="162" t="s">
        <v>90</v>
      </c>
      <c r="C2" s="162" t="s">
        <v>78</v>
      </c>
      <c r="D2" s="162" t="s">
        <v>91</v>
      </c>
      <c r="E2" s="162" t="s">
        <v>128</v>
      </c>
      <c r="F2" s="163" t="s">
        <v>98</v>
      </c>
      <c r="G2" s="163" t="s">
        <v>99</v>
      </c>
      <c r="H2" s="162" t="s">
        <v>100</v>
      </c>
      <c r="I2" s="162" t="s">
        <v>101</v>
      </c>
      <c r="J2" s="162" t="s">
        <v>95</v>
      </c>
      <c r="M2" s="31" t="s">
        <v>146</v>
      </c>
    </row>
    <row r="3" spans="1:13 16384:16384" ht="41.25" customHeight="1">
      <c r="A3" s="31" t="s">
        <v>125</v>
      </c>
      <c r="C3" s="34" t="e">
        <f>VLOOKUP(Consultas[[#This Row],[Caso de Prueba]],CasoPrueba[[#All],[Código CP]:[Prioridad]],7,TRUE)</f>
        <v>#N/A</v>
      </c>
      <c r="D3" s="31" t="s">
        <v>49</v>
      </c>
      <c r="J3" s="34">
        <f>IF((Consultas[[#This Row],[Fecha Respuesta]]-Consultas[[#This Row],[Fecha Solicitud]])&gt;=0,(Consultas[[#This Row],[Fecha Respuesta]]-Consultas[[#This Row],[Fecha Solicitud]])+1,0)</f>
        <v>1</v>
      </c>
      <c r="M3" s="31" t="s">
        <v>147</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8"/>
  <sheetViews>
    <sheetView zoomScale="85" zoomScaleNormal="85" workbookViewId="0">
      <selection activeCell="G22" sqref="G2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2" t="s">
        <v>110</v>
      </c>
      <c r="C2" s="202"/>
      <c r="D2" s="202"/>
      <c r="E2" s="202"/>
      <c r="F2" s="202"/>
      <c r="G2" s="202"/>
      <c r="H2" s="202"/>
      <c r="I2" s="202"/>
      <c r="J2" s="202"/>
      <c r="L2" s="202" t="s">
        <v>111</v>
      </c>
      <c r="M2" s="202"/>
      <c r="N2" s="202"/>
      <c r="O2" s="202"/>
    </row>
    <row r="3" spans="2:15" ht="26.25" thickBot="1">
      <c r="B3" s="164" t="s">
        <v>112</v>
      </c>
      <c r="C3" s="166" t="s">
        <v>104</v>
      </c>
      <c r="D3" s="166" t="s">
        <v>105</v>
      </c>
      <c r="E3" s="166" t="s">
        <v>21</v>
      </c>
      <c r="F3" s="166" t="s">
        <v>22</v>
      </c>
      <c r="G3" s="166" t="s">
        <v>23</v>
      </c>
      <c r="H3" s="167" t="s">
        <v>24</v>
      </c>
      <c r="I3" s="167" t="s">
        <v>106</v>
      </c>
      <c r="J3" s="167" t="s">
        <v>109</v>
      </c>
      <c r="L3" s="164" t="s">
        <v>112</v>
      </c>
      <c r="M3" s="165" t="s">
        <v>107</v>
      </c>
      <c r="N3" s="166" t="s">
        <v>108</v>
      </c>
      <c r="O3" s="167" t="s">
        <v>109</v>
      </c>
    </row>
    <row r="4" spans="2:15">
      <c r="B4" s="37">
        <v>40791</v>
      </c>
      <c r="C4" s="39">
        <v>0</v>
      </c>
      <c r="D4" s="39">
        <v>10</v>
      </c>
      <c r="E4" s="39">
        <v>0</v>
      </c>
      <c r="F4" s="39">
        <v>0</v>
      </c>
      <c r="G4" s="39">
        <v>0</v>
      </c>
      <c r="H4" s="39">
        <v>0</v>
      </c>
      <c r="I4" s="39">
        <v>0</v>
      </c>
      <c r="J4" s="41">
        <f>SUM(HistóricoEjecuciones[[#This Row],[Aciertos]:[En Proceso]])</f>
        <v>10</v>
      </c>
      <c r="L4" s="37">
        <v>40791</v>
      </c>
      <c r="M4" s="39">
        <v>0</v>
      </c>
      <c r="N4" s="39">
        <v>0</v>
      </c>
      <c r="O4" s="38">
        <f>SUM(HistoricoIncidencias[[#This Row],[Abiertas]:[Cerradas]])</f>
        <v>0</v>
      </c>
    </row>
    <row r="5" spans="2:15">
      <c r="B5" s="72"/>
      <c r="C5" s="39"/>
      <c r="D5" s="39"/>
      <c r="E5" s="39"/>
      <c r="F5" s="39"/>
      <c r="G5" s="39"/>
      <c r="H5" s="39"/>
      <c r="I5" s="39"/>
      <c r="J5" s="42">
        <f>SUM(HistóricoEjecuciones[[#This Row],[Aciertos]:[En Proceso]])</f>
        <v>0</v>
      </c>
      <c r="L5" s="73"/>
      <c r="M5" s="40"/>
      <c r="N5" s="40"/>
      <c r="O5" s="38">
        <f>SUM(HistoricoIncidencias[[#This Row],[Abiertas]:[Cerradas]])</f>
        <v>0</v>
      </c>
    </row>
    <row r="6" spans="2:15">
      <c r="B6" s="72"/>
      <c r="C6" s="39"/>
      <c r="D6" s="39"/>
      <c r="E6" s="39"/>
      <c r="F6" s="39"/>
      <c r="G6" s="39"/>
      <c r="H6" s="39"/>
      <c r="I6" s="39"/>
      <c r="J6" s="42">
        <f>SUM(HistóricoEjecuciones[[#This Row],[Aciertos]:[En Proceso]])</f>
        <v>0</v>
      </c>
      <c r="L6" s="72"/>
      <c r="M6" s="169"/>
      <c r="N6" s="169"/>
      <c r="O6" s="75">
        <f>SUM(HistoricoIncidencias[[#This Row],[Abiertas]:[Cerradas]])</f>
        <v>0</v>
      </c>
    </row>
    <row r="7" spans="2:15">
      <c r="B7" s="72"/>
      <c r="C7" s="64"/>
      <c r="D7" s="64"/>
      <c r="E7" s="64"/>
      <c r="F7" s="65"/>
      <c r="G7" s="66"/>
      <c r="H7" s="40"/>
      <c r="I7" s="40"/>
      <c r="J7" s="42"/>
      <c r="L7" s="73"/>
      <c r="M7" s="74"/>
      <c r="N7" s="74"/>
      <c r="O7" s="75"/>
    </row>
    <row r="8" spans="2:15">
      <c r="B8" s="72"/>
      <c r="C8" s="64"/>
      <c r="D8" s="64"/>
      <c r="E8" s="64"/>
      <c r="F8" s="65"/>
      <c r="G8" s="66"/>
      <c r="H8" s="40"/>
      <c r="I8" s="40"/>
      <c r="J8" s="42"/>
      <c r="L8" s="73"/>
      <c r="M8" s="74"/>
      <c r="N8" s="74"/>
      <c r="O8" s="75"/>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Susan</cp:lastModifiedBy>
  <dcterms:created xsi:type="dcterms:W3CDTF">2011-02-09T13:28:15Z</dcterms:created>
  <dcterms:modified xsi:type="dcterms:W3CDTF">2011-09-10T04:52:03Z</dcterms:modified>
</cp:coreProperties>
</file>