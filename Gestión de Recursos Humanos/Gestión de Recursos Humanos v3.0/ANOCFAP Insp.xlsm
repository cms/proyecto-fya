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75" windowWidth="15480" windowHeight="852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0" r:id="rId9"/>
    <pivotCache cacheId="1" r:id="rId10"/>
    <pivotCache cacheId="2" r:id="rId11"/>
    <pivotCache cacheId="3" r:id="rId12"/>
    <pivotCache cacheId="4" r:id="rId13"/>
    <pivotCache cacheId="5" r:id="rId14"/>
  </pivotCaches>
</workbook>
</file>

<file path=xl/calcChain.xml><?xml version="1.0" encoding="utf-8"?>
<calcChain xmlns="http://schemas.openxmlformats.org/spreadsheetml/2006/main">
  <c r="O6" i="6" l="1"/>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Q5" i="3"/>
  <c r="F5" i="3"/>
  <c r="F6" i="3"/>
  <c r="F7" i="3"/>
  <c r="F8" i="3"/>
  <c r="F14" i="3"/>
  <c r="F15" i="3"/>
  <c r="F16" i="3"/>
  <c r="F17" i="3"/>
  <c r="F18" i="3"/>
  <c r="F19" i="3"/>
  <c r="L14" i="3"/>
  <c r="L15" i="3"/>
  <c r="L16" i="3"/>
  <c r="L17" i="3"/>
  <c r="L18" i="3"/>
  <c r="L19" i="3"/>
  <c r="Q15" i="3"/>
  <c r="Q16" i="3"/>
  <c r="Q17" i="3"/>
  <c r="F9" i="3" l="1"/>
  <c r="F10" i="3"/>
  <c r="F11" i="3"/>
  <c r="F12" i="3"/>
  <c r="F13" i="3"/>
  <c r="L6" i="3"/>
  <c r="L7" i="3"/>
  <c r="L8" i="3"/>
  <c r="L9" i="3"/>
  <c r="L10" i="3"/>
  <c r="L11" i="3"/>
  <c r="L12" i="3"/>
  <c r="L13" i="3"/>
  <c r="Q6" i="3"/>
  <c r="Q7" i="3"/>
  <c r="Q8" i="3"/>
  <c r="Q9" i="3"/>
  <c r="Q11" i="3"/>
  <c r="Q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<sst xmlns="http://schemas.openxmlformats.org/spreadsheetml/2006/main" count="1206" uniqueCount="483">
  <si>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</si>
  <si>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</si>
  <si>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</si>
  <si>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</si>
  <si>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</si>
  <si>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</si>
  <si>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</si>
  <si>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</si>
  <si>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</si>
  <si>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</si>
  <si>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</si>
  <si>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</si>
  <si>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</si>
  <si>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</si>
  <si>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</si>
  <si>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</si>
  <si>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</si>
  <si>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</si>
  <si>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</si>
  <si>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</si>
  <si>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</si>
  <si>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</si>
  <si>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</si>
  <si>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</si>
  <si>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</si>
  <si>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</si>
  <si>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</si>
  <si>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</si>
  <si>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</si>
  <si>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</si>
  <si>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</si>
  <si>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</si>
  <si>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</si>
  <si>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</si>
  <si>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</si>
  <si>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</si>
  <si>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</si>
  <si>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</si>
  <si>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</si>
  <si>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</si>
  <si>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</si>
  <si>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</si>
  <si>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</si>
  <si>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</si>
  <si>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</si>
  <si>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</si>
  <si>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</si>
  <si>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</si>
  <si>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</si>
  <si>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</si>
  <si>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</si>
  <si>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</si>
  <si>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</si>
  <si>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</si>
  <si>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</si>
  <si>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</si>
  <si>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</si>
  <si>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</si>
  <si>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</si>
  <si>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</si>
  <si>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</si>
  <si>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</si>
  <si>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</si>
  <si>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</si>
  <si>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</si>
  <si>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</si>
  <si>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</si>
  <si>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</si>
  <si>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</si>
  <si>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</si>
  <si>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</si>
  <si>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</si>
  <si>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</si>
  <si>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</si>
  <si>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</si>
  <si>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</si>
  <si>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</si>
  <si>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</si>
  <si>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</si>
  <si>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</si>
  <si>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</si>
  <si>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</si>
  <si>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</si>
  <si>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</si>
  <si>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</si>
  <si>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</si>
  <si>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</si>
  <si>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</si>
  <si>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</si>
  <si>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</si>
  <si>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</si>
  <si>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</si>
  <si>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</si>
  <si>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</si>
  <si>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</si>
  <si>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</si>
  <si>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</si>
  <si>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</si>
  <si>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</si>
  <si>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</si>
  <si>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</si>
  <si>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</si>
  <si>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</si>
  <si>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</si>
  <si>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</si>
  <si>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</si>
  <si>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</si>
  <si>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</si>
  <si>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</si>
  <si>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</si>
  <si>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</si>
  <si>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</si>
  <si>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</si>
  <si>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</si>
  <si>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</si>
  <si>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</si>
  <si>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</si>
  <si>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</si>
  <si>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</si>
  <si>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</si>
  <si>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</si>
  <si>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</si>
  <si>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</si>
  <si>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</si>
  <si>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</si>
  <si>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</si>
  <si>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</si>
  <si>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</si>
  <si>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</si>
  <si>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</si>
  <si>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</si>
  <si>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</si>
  <si>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</si>
  <si>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</si>
  <si>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</si>
  <si>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</si>
  <si>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</si>
  <si>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</si>
  <si>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</si>
  <si>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</si>
  <si>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</si>
  <si>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</si>
  <si>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</si>
  <si>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</si>
  <si>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</si>
  <si>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</si>
  <si>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</si>
  <si>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</si>
  <si>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</si>
  <si>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</si>
  <si>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</si>
  <si>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</si>
  <si>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</si>
  <si>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</si>
  <si>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</si>
  <si>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</si>
  <si>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</si>
  <si>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</si>
  <si>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</si>
  <si>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</si>
  <si>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</si>
  <si>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</si>
  <si>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</si>
  <si>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</si>
  <si>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</si>
  <si>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</si>
  <si>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</si>
  <si>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</si>
  <si>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</si>
  <si>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</si>
  <si>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</si>
  <si>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</si>
  <si>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</si>
  <si>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</si>
  <si>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</si>
  <si>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</si>
  <si>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</si>
  <si>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</si>
  <si>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</si>
  <si>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</si>
  <si>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</si>
  <si>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</si>
  <si>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</si>
  <si>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</si>
  <si>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</si>
  <si>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</si>
  <si>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</si>
  <si>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</si>
  <si>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</si>
  <si>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</si>
  <si>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</si>
  <si>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</si>
  <si>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</si>
  <si>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</si>
  <si>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</si>
  <si>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</si>
  <si>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</si>
  <si>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</si>
  <si>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</si>
  <si>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</si>
  <si>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</si>
  <si>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</si>
  <si>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</si>
  <si>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</si>
  <si>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</si>
  <si>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</si>
  <si>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</si>
  <si>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</si>
  <si>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</si>
  <si>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</si>
  <si>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</si>
  <si>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</si>
  <si>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</si>
  <si>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</si>
  <si>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</si>
  <si>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</si>
  <si>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</si>
  <si>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</si>
  <si>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</si>
  <si>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</si>
  <si>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</si>
  <si>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</si>
  <si>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</si>
  <si>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</si>
  <si>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</si>
  <si>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</si>
  <si>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</si>
  <si>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</si>
  <si>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</si>
  <si>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</si>
  <si>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</si>
  <si>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</si>
  <si>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</si>
  <si>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</si>
  <si>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</si>
  <si>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</si>
  <si>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</si>
  <si>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</si>
  <si>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</si>
  <si>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</si>
  <si>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</si>
  <si>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</si>
  <si>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</si>
  <si>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</si>
  <si>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</si>
  <si>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</si>
  <si>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</si>
  <si>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</si>
  <si>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</si>
  <si>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</si>
  <si>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</si>
  <si>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</si>
  <si>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</si>
  <si>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</si>
  <si>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</si>
  <si>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</si>
  <si>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</si>
  <si>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</si>
  <si>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</si>
  <si>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</si>
  <si>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</si>
  <si>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</si>
  <si>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</si>
  <si>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</si>
  <si>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</si>
  <si>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</si>
  <si>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</si>
  <si>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</si>
  <si>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</si>
  <si>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</si>
  <si>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</si>
  <si>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</si>
  <si>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</si>
  <si>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</si>
  <si>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</si>
  <si>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</si>
  <si>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</si>
  <si>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</si>
  <si>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</si>
  <si>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</si>
  <si>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</si>
  <si>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</si>
  <si>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</si>
  <si>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</si>
  <si>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</si>
  <si>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</si>
  <si>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</si>
  <si>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</si>
  <si>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</si>
  <si>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</si>
  <si>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</si>
  <si>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</si>
  <si>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</si>
  <si>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</si>
  <si>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</si>
  <si>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</si>
  <si>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</si>
  <si>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</si>
  <si>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</si>
  <si>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</si>
  <si>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</si>
  <si>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</si>
  <si>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</si>
  <si>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</si>
  <si>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</si>
  <si>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</si>
  <si>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</si>
  <si>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</si>
  <si>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</si>
  <si>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</si>
  <si>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</si>
  <si>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</si>
  <si>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</si>
  <si>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</si>
  <si>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</si>
  <si>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</si>
  <si>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</si>
  <si>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</si>
  <si>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</si>
  <si>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</si>
  <si>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</si>
  <si>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</si>
  <si>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</si>
  <si>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</si>
  <si>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</si>
  <si>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</si>
  <si>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</si>
  <si>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</si>
  <si>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</si>
  <si>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</si>
  <si>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</si>
  <si>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</si>
  <si>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</si>
  <si>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</si>
  <si>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</si>
  <si>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</si>
  <si>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</si>
  <si>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</si>
  <si>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</si>
  <si>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</si>
  <si>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</si>
  <si>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</si>
  <si>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</si>
  <si>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</si>
  <si>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</si>
  <si>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</si>
  <si>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</si>
  <si>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</si>
  <si>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</si>
  <si>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</si>
  <si>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</si>
  <si>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</si>
  <si>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</si>
  <si>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</si>
  <si>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</si>
  <si>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</si>
  <si>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</si>
  <si>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</si>
  <si>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</si>
  <si>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</si>
  <si>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</si>
  <si>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</si>
  <si>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</si>
  <si>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</si>
  <si>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</si>
  <si>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</si>
  <si>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</si>
  <si>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</si>
  <si>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</si>
  <si>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</si>
  <si>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</si>
  <si>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</si>
  <si>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</si>
  <si>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</si>
  <si>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</si>
  <si>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</si>
  <si>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</si>
  <si>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</si>
  <si>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</si>
  <si>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</si>
  <si>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</si>
  <si>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</si>
  <si>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</si>
  <si>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</si>
  <si>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</si>
  <si>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</si>
  <si>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</si>
  <si>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</si>
  <si>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</si>
  <si>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</si>
  <si>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</si>
  <si>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</si>
  <si>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</si>
  <si>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</si>
  <si>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</si>
  <si>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</si>
  <si>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</si>
  <si>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</si>
  <si>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</si>
  <si>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</si>
  <si>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</si>
  <si>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</si>
  <si>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</si>
  <si>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</si>
  <si>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</si>
  <si>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</si>
  <si>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</si>
  <si>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</si>
  <si>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</si>
  <si>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</si>
  <si>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</si>
  <si>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</si>
  <si>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</si>
  <si>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</si>
  <si>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</si>
  <si>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</si>
  <si>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</si>
  <si>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</si>
  <si>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</si>
  <si>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</si>
  <si>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</si>
  <si>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</si>
  <si>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</si>
  <si>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</si>
  <si>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</si>
  <si>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</si>
  <si>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</si>
  <si>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</si>
  <si>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</si>
  <si>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</si>
  <si>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</si>
  <si>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</si>
  <si>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</si>
  <si>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</si>
  <si>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</si>
  <si>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</si>
  <si>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</si>
  <si>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</si>
  <si>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</si>
  <si>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</si>
  <si>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</si>
  <si>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</si>
  <si>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</si>
  <si>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</si>
  <si>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</si>
  <si>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</si>
  <si>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</si>
  <si>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</si>
  <si>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</si>
  <si>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</si>
  <si>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</si>
  <si>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</si>
  <si>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</si>
  <si>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</si>
  <si>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</si>
  <si>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</si>
  <si>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</si>
  <si>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</si>
  <si>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</si>
  <si>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</si>
  <si>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</si>
  <si>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Respecto a la OBS083, en todo caso agregar como datos de salida de la actividad 4 las entradas de las actividades 6 y 7, de lo contrario en este definición de procesos no se puede seguir el flujo en la caracterización</t>
  </si>
  <si>
    <t>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</si>
  <si>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</si>
  <si>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</si>
  <si>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</si>
  <si>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</si>
  <si>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</si>
  <si>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</si>
  <si>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</si>
  <si>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</si>
  <si>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</si>
  <si>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</si>
  <si>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[OBS119]Un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</si>
  <si>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</si>
  <si>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</si>
  <si>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</si>
  <si>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</si>
  <si>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cambiaron los conectores entre los procesos.</t>
  </si>
  <si>
    <t>Se modificó el nombre de las actividades mencionadas.</t>
  </si>
  <si>
    <t>Se adicionó información a la descripción de la actividad.</t>
  </si>
  <si>
    <t>Se modificó el párrafo indicado.</t>
  </si>
  <si>
    <t>Se va a elaborar todo el EBM. Cuando tengamos el documento de Reglas de Negocio, será anexado para la revisión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</si>
</sst>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37"/>
          <c:y val="0.20151813899974841"/>
          <c:w val="0.5014249413513483"/>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0.33333333333333331</c:v>
                </c:pt>
                <c:pt idx="1">
                  <c:v>0.66666666666666663</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dd/mm/yyyy</c:formatCode>
                <c:ptCount val="3"/>
                <c:pt idx="0">
                  <c:v>40791</c:v>
                </c:pt>
                <c:pt idx="1">
                  <c:v>40796</c:v>
                </c:pt>
                <c:pt idx="2">
                  <c:v>40800</c:v>
                </c:pt>
              </c:numCache>
            </c:numRef>
          </c:cat>
          <c:val>
            <c:numRef>
              <c:f>HistoricoAvance!$C$4:$C$6</c:f>
              <c:numCache>
                <c:formatCode>0</c:formatCode>
                <c:ptCount val="3"/>
                <c:pt idx="0">
                  <c:v>0</c:v>
                </c:pt>
                <c:pt idx="1">
                  <c:v>0</c:v>
                </c:pt>
                <c:pt idx="2">
                  <c:v>5</c:v>
                </c:pt>
              </c:numCache>
            </c:numRef>
          </c:val>
          <c:smooth val="0"/>
        </c:ser>
        <c:ser>
          <c:idx val="1"/>
          <c:order val="1"/>
          <c:tx>
            <c:strRef>
              <c:f>HistoricoAvance!$D$3</c:f>
              <c:strCache>
                <c:ptCount val="1"/>
                <c:pt idx="0">
                  <c:v>Fallos</c:v>
                </c:pt>
              </c:strCache>
            </c:strRef>
          </c:tx>
          <c:spPr>
            <a:ln w="50800"/>
          </c:spPr>
          <c:cat>
            <c:numRef>
              <c:f>HistoricoAvance!$B$4:$B$6</c:f>
              <c:numCache>
                <c:formatCode>dd/mm/yyyy</c:formatCode>
                <c:ptCount val="3"/>
                <c:pt idx="0">
                  <c:v>40791</c:v>
                </c:pt>
                <c:pt idx="1">
                  <c:v>40796</c:v>
                </c:pt>
                <c:pt idx="2">
                  <c:v>40800</c:v>
                </c:pt>
              </c:numCache>
            </c:numRef>
          </c:cat>
          <c:val>
            <c:numRef>
              <c:f>HistoricoAvance!$D$4:$D$6</c:f>
              <c:numCache>
                <c:formatCode>0</c:formatCode>
                <c:ptCount val="3"/>
                <c:pt idx="0">
                  <c:v>10</c:v>
                </c:pt>
                <c:pt idx="1">
                  <c:v>15</c:v>
                </c:pt>
                <c:pt idx="2">
                  <c:v>10</c:v>
                </c:pt>
              </c:numCache>
            </c:numRef>
          </c:val>
          <c:smooth val="0"/>
        </c:ser>
        <c:ser>
          <c:idx val="2"/>
          <c:order val="2"/>
          <c:tx>
            <c:strRef>
              <c:f>HistoricoAvance!$E$3</c:f>
              <c:strCache>
                <c:ptCount val="1"/>
                <c:pt idx="0">
                  <c:v>Bloqueado</c:v>
                </c:pt>
              </c:strCache>
            </c:strRef>
          </c:tx>
          <c:cat>
            <c:numRef>
              <c:f>HistoricoAvance!$B$4:$B$6</c:f>
              <c:numCache>
                <c:formatCode>dd/mm/yyyy</c:formatCode>
                <c:ptCount val="3"/>
                <c:pt idx="0">
                  <c:v>40791</c:v>
                </c:pt>
                <c:pt idx="1">
                  <c:v>40796</c:v>
                </c:pt>
                <c:pt idx="2">
                  <c:v>40800</c:v>
                </c:pt>
              </c:numCache>
            </c:numRef>
          </c:cat>
          <c:val>
            <c:numRef>
              <c:f>HistoricoAvance!$E$4:$E$6</c:f>
              <c:numCache>
                <c:formatCode>0</c:formatCode>
                <c:ptCount val="3"/>
                <c:pt idx="0">
                  <c:v>0</c:v>
                </c:pt>
                <c:pt idx="1">
                  <c:v>0</c:v>
                </c:pt>
                <c:pt idx="2">
                  <c:v>0</c:v>
                </c:pt>
              </c:numCache>
            </c:numRef>
          </c:val>
          <c:smooth val="0"/>
        </c:ser>
        <c:ser>
          <c:idx val="3"/>
          <c:order val="3"/>
          <c:tx>
            <c:strRef>
              <c:f>HistoricoAvance!$F$3</c:f>
              <c:strCache>
                <c:ptCount val="1"/>
                <c:pt idx="0">
                  <c:v>Pendiente</c:v>
                </c:pt>
              </c:strCache>
            </c:strRef>
          </c:tx>
          <c:cat>
            <c:numRef>
              <c:f>HistoricoAvance!$B$4:$B$6</c:f>
              <c:numCache>
                <c:formatCode>dd/mm/yyyy</c:formatCode>
                <c:ptCount val="3"/>
                <c:pt idx="0">
                  <c:v>40791</c:v>
                </c:pt>
                <c:pt idx="1">
                  <c:v>40796</c:v>
                </c:pt>
                <c:pt idx="2">
                  <c:v>40800</c:v>
                </c:pt>
              </c:numCache>
            </c:numRef>
          </c:cat>
          <c:val>
            <c:numRef>
              <c:f>HistoricoAvance!$F$4:$F$6</c:f>
              <c:numCache>
                <c:formatCode>0</c:formatCode>
                <c:ptCount val="3"/>
                <c:pt idx="0">
                  <c:v>0</c:v>
                </c:pt>
                <c:pt idx="1">
                  <c:v>0</c:v>
                </c:pt>
                <c:pt idx="2">
                  <c:v>0</c:v>
                </c:pt>
              </c:numCache>
            </c:numRef>
          </c:val>
          <c:smooth val="0"/>
        </c:ser>
        <c:ser>
          <c:idx val="4"/>
          <c:order val="4"/>
          <c:tx>
            <c:strRef>
              <c:f>HistoricoAvance!$G$3</c:f>
              <c:strCache>
                <c:ptCount val="1"/>
                <c:pt idx="0">
                  <c:v>No Aplica</c:v>
                </c:pt>
              </c:strCache>
            </c:strRef>
          </c:tx>
          <c:cat>
            <c:numRef>
              <c:f>HistoricoAvance!$B$4:$B$6</c:f>
              <c:numCache>
                <c:formatCode>dd/mm/yyyy</c:formatCode>
                <c:ptCount val="3"/>
                <c:pt idx="0">
                  <c:v>40791</c:v>
                </c:pt>
                <c:pt idx="1">
                  <c:v>40796</c:v>
                </c:pt>
                <c:pt idx="2">
                  <c:v>40800</c:v>
                </c:pt>
              </c:numCache>
            </c:numRef>
          </c:cat>
          <c:val>
            <c:numRef>
              <c:f>HistoricoAvance!$G$4:$G$6</c:f>
              <c:numCache>
                <c:formatCode>0</c:formatCode>
                <c:ptCount val="3"/>
                <c:pt idx="0">
                  <c:v>0</c:v>
                </c:pt>
                <c:pt idx="1">
                  <c:v>0</c:v>
                </c:pt>
                <c:pt idx="2">
                  <c:v>0</c:v>
                </c:pt>
              </c:numCache>
            </c:numRef>
          </c:val>
          <c:smooth val="0"/>
        </c:ser>
        <c:ser>
          <c:idx val="5"/>
          <c:order val="5"/>
          <c:tx>
            <c:strRef>
              <c:f>HistoricoAvance!$H$3</c:f>
              <c:strCache>
                <c:ptCount val="1"/>
                <c:pt idx="0">
                  <c:v>En Proceso</c:v>
                </c:pt>
              </c:strCache>
            </c:strRef>
          </c:tx>
          <c:cat>
            <c:numRef>
              <c:f>HistoricoAvance!$B$4:$B$6</c:f>
              <c:numCache>
                <c:formatCode>dd/mm/yyyy</c:formatCode>
                <c:ptCount val="3"/>
                <c:pt idx="0">
                  <c:v>40791</c:v>
                </c:pt>
                <c:pt idx="1">
                  <c:v>40796</c:v>
                </c:pt>
                <c:pt idx="2">
                  <c:v>40800</c:v>
                </c:pt>
              </c:numCache>
            </c:numRef>
          </c:cat>
          <c:val>
            <c:numRef>
              <c:f>HistoricoAvance!$H$4:$H$6</c:f>
              <c:numCache>
                <c:formatCode>0</c:formatCode>
                <c:ptCount val="3"/>
                <c:pt idx="0">
                  <c:v>0</c:v>
                </c:pt>
                <c:pt idx="1">
                  <c:v>0</c:v>
                </c:pt>
                <c:pt idx="2">
                  <c:v>0</c:v>
                </c:pt>
              </c:numCache>
            </c:numRef>
          </c:val>
          <c:smooth val="0"/>
        </c:ser>
        <c:ser>
          <c:idx val="6"/>
          <c:order val="6"/>
          <c:tx>
            <c:strRef>
              <c:f>HistoricoAvance!$I$3</c:f>
              <c:strCache>
                <c:ptCount val="1"/>
                <c:pt idx="0">
                  <c:v>Reejecuciones</c:v>
                </c:pt>
              </c:strCache>
            </c:strRef>
          </c:tx>
          <c:cat>
            <c:numRef>
              <c:f>HistoricoAvance!$B$4:$B$6</c:f>
              <c:numCache>
                <c:formatCode>dd/mm/yyyy</c:formatCode>
                <c:ptCount val="3"/>
                <c:pt idx="0">
                  <c:v>40791</c:v>
                </c:pt>
                <c:pt idx="1">
                  <c:v>40796</c:v>
                </c:pt>
                <c:pt idx="2">
                  <c:v>40800</c:v>
                </c:pt>
              </c:numCache>
            </c:numRef>
          </c:cat>
          <c:val>
            <c:numRef>
              <c:f>HistoricoAvance!$I$4:$I$6</c:f>
              <c:numCache>
                <c:formatCode>0</c:formatCode>
                <c:ptCount val="3"/>
                <c:pt idx="0">
                  <c:v>0</c:v>
                </c:pt>
                <c:pt idx="1">
                  <c:v>0</c:v>
                </c:pt>
                <c:pt idx="2">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pt idx="1">
                  <c:v>40796</c:v>
                </c:pt>
                <c:pt idx="2">
                  <c:v>40800</c:v>
                </c:pt>
              </c:numCache>
            </c:numRef>
          </c:cat>
          <c:val>
            <c:numRef>
              <c:f>HistoricoAvance!$J$4:$J$6</c:f>
              <c:numCache>
                <c:formatCode>General</c:formatCode>
                <c:ptCount val="3"/>
                <c:pt idx="0">
                  <c:v>10</c:v>
                </c:pt>
                <c:pt idx="1">
                  <c:v>15</c:v>
                </c:pt>
                <c:pt idx="2">
                  <c:v>15</c:v>
                </c:pt>
              </c:numCache>
            </c:numRef>
          </c:val>
          <c:smooth val="0"/>
        </c:ser>
        <c:dLbls>
          <c:showLegendKey val="0"/>
          <c:showVal val="0"/>
          <c:showCatName val="0"/>
          <c:showSerName val="0"/>
          <c:showPercent val="0"/>
          <c:showBubbleSize val="0"/>
        </c:dLbls>
        <c:marker val="1"/>
        <c:smooth val="0"/>
        <c:axId val="137538176"/>
        <c:axId val="137539968"/>
      </c:lineChart>
      <c:dateAx>
        <c:axId val="137538176"/>
        <c:scaling>
          <c:orientation val="minMax"/>
        </c:scaling>
        <c:delete val="0"/>
        <c:axPos val="b"/>
        <c:numFmt formatCode="dd/mm/yyyy" sourceLinked="1"/>
        <c:majorTickMark val="out"/>
        <c:minorTickMark val="none"/>
        <c:tickLblPos val="nextTo"/>
        <c:txPr>
          <a:bodyPr/>
          <a:lstStyle/>
          <a:p>
            <a:pPr>
              <a:defRPr lang="es-ES"/>
            </a:pPr>
            <a:endParaRPr lang="es-PE"/>
          </a:p>
        </c:txPr>
        <c:crossAx val="137539968"/>
        <c:crosses val="autoZero"/>
        <c:auto val="1"/>
        <c:lblOffset val="100"/>
        <c:baseTimeUnit val="days"/>
      </c:dateAx>
      <c:valAx>
        <c:axId val="13753996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53817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pt idx="1">
                  <c:v>40796</c:v>
                </c:pt>
                <c:pt idx="2">
                  <c:v>40800</c:v>
                </c:pt>
              </c:numCache>
            </c:numRef>
          </c:cat>
          <c:val>
            <c:numRef>
              <c:f>HistoricoAvance!$M$4:$M$6</c:f>
              <c:numCache>
                <c:formatCode>0</c:formatCode>
                <c:ptCount val="3"/>
                <c:pt idx="0">
                  <c:v>55</c:v>
                </c:pt>
                <c:pt idx="1">
                  <c:v>101</c:v>
                </c:pt>
                <c:pt idx="2">
                  <c:v>19</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pt idx="1">
                  <c:v>40796</c:v>
                </c:pt>
                <c:pt idx="2">
                  <c:v>40800</c:v>
                </c:pt>
              </c:numCache>
            </c:numRef>
          </c:cat>
          <c:val>
            <c:numRef>
              <c:f>HistoricoAvance!$N$4:$N$6</c:f>
              <c:numCache>
                <c:formatCode>0</c:formatCode>
                <c:ptCount val="3"/>
                <c:pt idx="0">
                  <c:v>0</c:v>
                </c:pt>
                <c:pt idx="1">
                  <c:v>0</c:v>
                </c:pt>
                <c:pt idx="2">
                  <c:v>101</c:v>
                </c:pt>
              </c:numCache>
            </c:numRef>
          </c:val>
          <c:smooth val="0"/>
        </c:ser>
        <c:ser>
          <c:idx val="2"/>
          <c:order val="2"/>
          <c:tx>
            <c:strRef>
              <c:f>HistoricoAvance!$O$3</c:f>
              <c:strCache>
                <c:ptCount val="1"/>
                <c:pt idx="0">
                  <c:v>Totales</c:v>
                </c:pt>
              </c:strCache>
            </c:strRef>
          </c:tx>
          <c:cat>
            <c:numRef>
              <c:f>HistoricoAvance!$L$4:$L$6</c:f>
              <c:numCache>
                <c:formatCode>dd/mm/yyyy</c:formatCode>
                <c:ptCount val="3"/>
                <c:pt idx="0">
                  <c:v>40791</c:v>
                </c:pt>
                <c:pt idx="1">
                  <c:v>40796</c:v>
                </c:pt>
                <c:pt idx="2">
                  <c:v>40800</c:v>
                </c:pt>
              </c:numCache>
            </c:numRef>
          </c:cat>
          <c:val>
            <c:numRef>
              <c:f>HistoricoAvance!$O$4:$O$6</c:f>
              <c:numCache>
                <c:formatCode>General</c:formatCode>
                <c:ptCount val="3"/>
                <c:pt idx="0">
                  <c:v>55</c:v>
                </c:pt>
                <c:pt idx="1">
                  <c:v>101</c:v>
                </c:pt>
                <c:pt idx="2">
                  <c:v>120</c:v>
                </c:pt>
              </c:numCache>
            </c:numRef>
          </c:val>
          <c:smooth val="0"/>
        </c:ser>
        <c:dLbls>
          <c:showLegendKey val="0"/>
          <c:showVal val="0"/>
          <c:showCatName val="0"/>
          <c:showSerName val="0"/>
          <c:showPercent val="0"/>
          <c:showBubbleSize val="0"/>
        </c:dLbls>
        <c:marker val="1"/>
        <c:smooth val="0"/>
        <c:axId val="140072448"/>
        <c:axId val="140073984"/>
      </c:lineChart>
      <c:dateAx>
        <c:axId val="140072448"/>
        <c:scaling>
          <c:orientation val="minMax"/>
        </c:scaling>
        <c:delete val="0"/>
        <c:axPos val="b"/>
        <c:numFmt formatCode="dd/mm/yyyy" sourceLinked="1"/>
        <c:majorTickMark val="out"/>
        <c:minorTickMark val="none"/>
        <c:tickLblPos val="nextTo"/>
        <c:txPr>
          <a:bodyPr/>
          <a:lstStyle/>
          <a:p>
            <a:pPr>
              <a:defRPr lang="es-ES"/>
            </a:pPr>
            <a:endParaRPr lang="es-PE"/>
          </a:p>
        </c:txPr>
        <c:crossAx val="140073984"/>
        <c:crosses val="autoZero"/>
        <c:auto val="1"/>
        <c:lblOffset val="100"/>
        <c:baseTimeUnit val="days"/>
      </c:dateAx>
      <c:valAx>
        <c:axId val="14007398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007244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755" l="0.70000000000000062" r="0.70000000000000062" t="0.750000000000007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0101120"/>
        <c:axId val="140102656"/>
      </c:barChart>
      <c:catAx>
        <c:axId val="140101120"/>
        <c:scaling>
          <c:orientation val="minMax"/>
        </c:scaling>
        <c:delete val="0"/>
        <c:axPos val="b"/>
        <c:majorTickMark val="out"/>
        <c:minorTickMark val="none"/>
        <c:tickLblPos val="nextTo"/>
        <c:txPr>
          <a:bodyPr/>
          <a:lstStyle/>
          <a:p>
            <a:pPr>
              <a:defRPr lang="es-ES"/>
            </a:pPr>
            <a:endParaRPr lang="es-PE"/>
          </a:p>
        </c:txPr>
        <c:crossAx val="140102656"/>
        <c:crosses val="autoZero"/>
        <c:auto val="1"/>
        <c:lblAlgn val="ctr"/>
        <c:lblOffset val="100"/>
        <c:noMultiLvlLbl val="0"/>
      </c:catAx>
      <c:valAx>
        <c:axId val="1401026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101120"/>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0397952"/>
        <c:axId val="140403840"/>
      </c:barChart>
      <c:catAx>
        <c:axId val="140397952"/>
        <c:scaling>
          <c:orientation val="minMax"/>
        </c:scaling>
        <c:delete val="0"/>
        <c:axPos val="b"/>
        <c:majorTickMark val="out"/>
        <c:minorTickMark val="none"/>
        <c:tickLblPos val="nextTo"/>
        <c:txPr>
          <a:bodyPr/>
          <a:lstStyle/>
          <a:p>
            <a:pPr>
              <a:defRPr lang="es-ES"/>
            </a:pPr>
            <a:endParaRPr lang="es-PE"/>
          </a:p>
        </c:txPr>
        <c:crossAx val="140403840"/>
        <c:crosses val="autoZero"/>
        <c:auto val="1"/>
        <c:lblAlgn val="ctr"/>
        <c:lblOffset val="100"/>
        <c:noMultiLvlLbl val="0"/>
      </c:catAx>
      <c:valAx>
        <c:axId val="14040384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397952"/>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1821440"/>
        <c:axId val="141822976"/>
      </c:barChart>
      <c:catAx>
        <c:axId val="141821440"/>
        <c:scaling>
          <c:orientation val="minMax"/>
        </c:scaling>
        <c:delete val="0"/>
        <c:axPos val="b"/>
        <c:majorTickMark val="out"/>
        <c:minorTickMark val="none"/>
        <c:tickLblPos val="nextTo"/>
        <c:txPr>
          <a:bodyPr/>
          <a:lstStyle/>
          <a:p>
            <a:pPr>
              <a:defRPr lang="es-ES"/>
            </a:pPr>
            <a:endParaRPr lang="es-PE"/>
          </a:p>
        </c:txPr>
        <c:crossAx val="141822976"/>
        <c:crosses val="autoZero"/>
        <c:auto val="1"/>
        <c:lblAlgn val="ctr"/>
        <c:lblOffset val="100"/>
        <c:noMultiLvlLbl val="0"/>
      </c:catAx>
      <c:valAx>
        <c:axId val="1418229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821440"/>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1839360"/>
        <c:axId val="141861632"/>
      </c:barChart>
      <c:catAx>
        <c:axId val="141839360"/>
        <c:scaling>
          <c:orientation val="minMax"/>
        </c:scaling>
        <c:delete val="0"/>
        <c:axPos val="b"/>
        <c:majorTickMark val="out"/>
        <c:minorTickMark val="none"/>
        <c:tickLblPos val="nextTo"/>
        <c:txPr>
          <a:bodyPr/>
          <a:lstStyle/>
          <a:p>
            <a:pPr>
              <a:defRPr lang="es-ES"/>
            </a:pPr>
            <a:endParaRPr lang="es-PE"/>
          </a:p>
        </c:txPr>
        <c:crossAx val="141861632"/>
        <c:crosses val="autoZero"/>
        <c:auto val="1"/>
        <c:lblAlgn val="ctr"/>
        <c:lblOffset val="100"/>
        <c:noMultiLvlLbl val="0"/>
      </c:catAx>
      <c:valAx>
        <c:axId val="14186163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839360"/>
        <c:crosses val="autoZero"/>
        <c:crossBetween val="between"/>
      </c:valAx>
    </c:plotArea>
    <c:plotVisOnly val="1"/>
    <c:dispBlanksAs val="gap"/>
    <c:showDLblsOverMax val="0"/>
  </c:chart>
  <c:printSettings>
    <c:headerFooter/>
    <c:pageMargins b="0.75000000000000711" l="0.70000000000000062" r="0.70000000000000062" t="0.750000000000007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878400"/>
        <c:axId val="141879936"/>
      </c:barChart>
      <c:catAx>
        <c:axId val="141878400"/>
        <c:scaling>
          <c:orientation val="minMax"/>
        </c:scaling>
        <c:delete val="0"/>
        <c:axPos val="b"/>
        <c:majorTickMark val="out"/>
        <c:minorTickMark val="none"/>
        <c:tickLblPos val="nextTo"/>
        <c:txPr>
          <a:bodyPr/>
          <a:lstStyle/>
          <a:p>
            <a:pPr>
              <a:defRPr lang="es-ES"/>
            </a:pPr>
            <a:endParaRPr lang="es-PE"/>
          </a:p>
        </c:txPr>
        <c:crossAx val="141879936"/>
        <c:crosses val="autoZero"/>
        <c:auto val="1"/>
        <c:lblAlgn val="ctr"/>
        <c:lblOffset val="100"/>
        <c:noMultiLvlLbl val="0"/>
      </c:catAx>
      <c:valAx>
        <c:axId val="1418799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878400"/>
        <c:crosses val="autoZero"/>
        <c:crossBetween val="between"/>
      </c:valAx>
    </c:plotArea>
    <c:plotVisOnly val="1"/>
    <c:dispBlanksAs val="gap"/>
    <c:showDLblsOverMax val="0"/>
  </c:chart>
  <c:printSettings>
    <c:headerFooter/>
    <c:pageMargins b="0.75000000000000711" l="0.70000000000000062" r="0.70000000000000062" t="0.7500000000000071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2054912"/>
        <c:axId val="142056448"/>
      </c:barChart>
      <c:catAx>
        <c:axId val="142054912"/>
        <c:scaling>
          <c:orientation val="minMax"/>
        </c:scaling>
        <c:delete val="0"/>
        <c:axPos val="b"/>
        <c:majorTickMark val="out"/>
        <c:minorTickMark val="none"/>
        <c:tickLblPos val="nextTo"/>
        <c:txPr>
          <a:bodyPr/>
          <a:lstStyle/>
          <a:p>
            <a:pPr>
              <a:defRPr lang="es-ES"/>
            </a:pPr>
            <a:endParaRPr lang="es-PE"/>
          </a:p>
        </c:txPr>
        <c:crossAx val="142056448"/>
        <c:crosses val="autoZero"/>
        <c:auto val="1"/>
        <c:lblAlgn val="ctr"/>
        <c:lblOffset val="100"/>
        <c:noMultiLvlLbl val="0"/>
      </c:catAx>
      <c:valAx>
        <c:axId val="14205644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2054912"/>
        <c:crosses val="autoZero"/>
        <c:crossBetween val="between"/>
      </c:valAx>
    </c:plotArea>
    <c:plotVisOnly val="1"/>
    <c:dispBlanksAs val="gap"/>
    <c:showDLblsOverMax val="0"/>
  </c:chart>
  <c:printSettings>
    <c:headerFooter/>
    <c:pageMargins b="0.75000000000000711" l="0.70000000000000062" r="0.70000000000000062" t="0.7500000000000071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4</xdr:col>
          <xdr:colOff>695325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8" dataDxfId="66" headerRowBorderDxfId="67" tableBorderDxfId="65">
  <autoFilter ref="A4:Q1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122" totalsRowShown="0" headerRowDxfId="47" dataDxfId="45" headerRowBorderDxfId="46" tableBorderDxfId="44">
  <autoFilter ref="A2:L122">
    <filterColumn colId="4">
      <filters>
        <filter val="Abierta"/>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SUM([1]!HistóricoEjecuciones[[#This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6" headerRowBorderDxfId="5" tableBorderDxfId="4">
  <tableColumns count="4">
    <tableColumn id="1" name="Fecha" dataDxfId="3"/>
    <tableColumn id="2" name="Abiertas" dataDxfId="2"/>
    <tableColumn id="4" name="Cerradas" dataDxfId="1"/>
    <tableColumn id="5" name="Totales" dataDxfId="0">
      <calculatedColumnFormula>SUM([1]!HistoricoIncidencias[[#This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14" t="s">
        <v>140</v>
      </c>
      <c r="B3" s="117" t="s">
        <v>163</v>
      </c>
      <c r="C3" s="114" t="s">
        <v>2</v>
      </c>
      <c r="D3" s="118" t="s">
        <v>139</v>
      </c>
      <c r="XFB3" s="4" t="s">
        <v>138</v>
      </c>
    </row>
    <row r="4" spans="1:4 16382:16382" ht="19.5" customHeight="1">
      <c r="A4" s="115" t="s">
        <v>141</v>
      </c>
      <c r="B4" s="176" t="s">
        <v>169</v>
      </c>
      <c r="C4" s="176"/>
      <c r="D4" s="176"/>
      <c r="XFB4" s="4" t="s">
        <v>139</v>
      </c>
    </row>
    <row r="5" spans="1:4 16382:16382" ht="120" customHeight="1">
      <c r="A5" s="114" t="s">
        <v>3</v>
      </c>
      <c r="B5" s="177" t="s">
        <v>164</v>
      </c>
      <c r="C5" s="178"/>
      <c r="D5" s="179"/>
    </row>
    <row r="6" spans="1:4 16382:16382" ht="19.5" customHeight="1">
      <c r="A6" s="114" t="s">
        <v>149</v>
      </c>
      <c r="B6" s="119" t="s">
        <v>168</v>
      </c>
      <c r="C6" s="114" t="s">
        <v>4</v>
      </c>
      <c r="D6" s="1" t="s">
        <v>166</v>
      </c>
    </row>
    <row r="7" spans="1:4 16382:16382" ht="19.5" customHeight="1">
      <c r="A7" s="114" t="s">
        <v>150</v>
      </c>
      <c r="B7" s="117" t="s">
        <v>165</v>
      </c>
      <c r="C7" s="114" t="s">
        <v>142</v>
      </c>
      <c r="D7" s="2" t="s">
        <v>167</v>
      </c>
    </row>
    <row r="8" spans="1:4 16382:16382" ht="19.5" customHeight="1">
      <c r="A8" s="180" t="s">
        <v>5</v>
      </c>
      <c r="B8" s="180"/>
      <c r="C8" s="180" t="s">
        <v>6</v>
      </c>
      <c r="D8" s="180"/>
    </row>
    <row r="9" spans="1:4 16382:16382" ht="19.5" customHeight="1">
      <c r="A9" s="116" t="s">
        <v>7</v>
      </c>
      <c r="B9" s="116" t="s">
        <v>8</v>
      </c>
      <c r="C9" s="116" t="s">
        <v>7</v>
      </c>
      <c r="D9" s="116" t="s">
        <v>8</v>
      </c>
    </row>
    <row r="10" spans="1:4 16382:16382" ht="19.5" customHeight="1">
      <c r="A10" s="120"/>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10" sqref="G10"/>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8" t="s">
        <v>9</v>
      </c>
      <c r="D2" s="137" t="str">
        <f>General!$B$3</f>
        <v xml:space="preserve">PRY-SSIAEDUCT-03 </v>
      </c>
      <c r="E2" s="79"/>
      <c r="F2" s="138" t="s">
        <v>10</v>
      </c>
      <c r="G2" s="182" t="str">
        <f>General!$B$4</f>
        <v>Arquitectura de Negocios de la Oficina Central de Fe y Alegría Perú – ANOCFAP</v>
      </c>
      <c r="H2" s="182"/>
      <c r="I2" s="182"/>
      <c r="J2" s="182"/>
      <c r="K2" s="182"/>
      <c r="L2" s="182"/>
      <c r="M2" s="182"/>
      <c r="N2" s="182"/>
      <c r="O2" s="182"/>
      <c r="P2" s="79"/>
      <c r="Q2" s="79"/>
      <c r="R2" s="79"/>
    </row>
    <row r="3" spans="1:18" ht="6" customHeight="1">
      <c r="A3" s="79"/>
      <c r="B3" s="79"/>
      <c r="C3" s="139"/>
      <c r="E3" s="79"/>
      <c r="F3" s="139"/>
      <c r="G3" s="79"/>
      <c r="H3" s="79"/>
      <c r="I3" s="79"/>
      <c r="J3" s="79"/>
      <c r="K3" s="79"/>
      <c r="L3" s="79"/>
      <c r="M3" s="79"/>
      <c r="N3" s="79"/>
      <c r="O3" s="79"/>
      <c r="P3" s="79"/>
      <c r="Q3" s="79"/>
      <c r="R3" s="79"/>
    </row>
    <row r="4" spans="1:18" ht="18.75">
      <c r="A4" s="79"/>
      <c r="B4" s="79"/>
      <c r="C4" s="138" t="s">
        <v>11</v>
      </c>
      <c r="D4" s="140">
        <f>$E$14+$I$14</f>
        <v>0.33333333333333331</v>
      </c>
      <c r="E4" s="139"/>
      <c r="F4" s="138" t="s">
        <v>12</v>
      </c>
      <c r="G4" s="183" t="str">
        <f>IF(SUM($C$30:$C$31)&gt;0,P37,IF((SUM($C$30:$C$31)=0)*(SUM($C$32:$C$33)),$P$36,IF($C$34=0,$P$35,$P$35)))</f>
        <v>INSATISFACTORIO</v>
      </c>
      <c r="H4" s="183"/>
      <c r="I4" s="183"/>
      <c r="J4" s="183"/>
      <c r="K4" s="183"/>
      <c r="L4" s="183"/>
      <c r="M4" s="183"/>
      <c r="N4" s="183"/>
      <c r="O4" s="183"/>
      <c r="P4" s="79"/>
      <c r="Q4" s="79"/>
      <c r="R4" s="79"/>
    </row>
    <row r="5" spans="1:18" ht="6" customHeight="1">
      <c r="A5" s="79"/>
      <c r="B5" s="79"/>
      <c r="C5" s="138"/>
      <c r="D5" s="141"/>
      <c r="E5" s="138"/>
      <c r="F5" s="142"/>
      <c r="G5" s="84"/>
      <c r="H5" s="84"/>
      <c r="I5" s="84"/>
      <c r="J5" s="84"/>
      <c r="K5" s="84"/>
      <c r="L5" s="84"/>
      <c r="M5" s="84"/>
      <c r="N5" s="84"/>
      <c r="O5" s="84"/>
      <c r="P5" s="79"/>
      <c r="Q5" s="79"/>
      <c r="R5" s="79"/>
    </row>
    <row r="6" spans="1:18" ht="18.75">
      <c r="A6" s="79"/>
      <c r="B6" s="79"/>
      <c r="C6" s="138" t="s">
        <v>13</v>
      </c>
      <c r="D6" s="140">
        <f>$C$11/$C$10</f>
        <v>1</v>
      </c>
      <c r="E6" s="139"/>
      <c r="F6" s="139"/>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6"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6" t="s">
        <v>16</v>
      </c>
      <c r="C11" s="9">
        <f>$C$10-$C$12</f>
        <v>15</v>
      </c>
      <c r="D11" s="79"/>
      <c r="E11" s="79"/>
      <c r="F11" s="79"/>
      <c r="G11" s="79"/>
      <c r="H11" s="79"/>
      <c r="I11" s="79"/>
      <c r="J11" s="79"/>
      <c r="K11" s="79"/>
      <c r="L11" s="79"/>
      <c r="M11" s="79"/>
      <c r="N11" s="79"/>
      <c r="O11" s="79"/>
      <c r="P11" s="88" t="s">
        <v>28</v>
      </c>
      <c r="Q11" s="12" t="s">
        <v>34</v>
      </c>
      <c r="R11" s="79"/>
    </row>
    <row r="12" spans="1:18" ht="30.75" thickBot="1">
      <c r="A12" s="79"/>
      <c r="B12" s="136" t="s">
        <v>18</v>
      </c>
      <c r="C12" s="9">
        <f>COUNTIF(CasoPrueba[[#All],[Estado Testing]],$P$27)</f>
        <v>0</v>
      </c>
      <c r="D12" s="79"/>
      <c r="E12" s="92" t="s">
        <v>19</v>
      </c>
      <c r="F12" s="93" t="s">
        <v>20</v>
      </c>
      <c r="G12" s="146" t="s">
        <v>21</v>
      </c>
      <c r="H12" s="147" t="s">
        <v>22</v>
      </c>
      <c r="I12" s="143" t="s">
        <v>23</v>
      </c>
      <c r="J12" s="144" t="s">
        <v>24</v>
      </c>
      <c r="K12" s="145" t="s">
        <v>131</v>
      </c>
      <c r="L12" s="81"/>
      <c r="M12" s="79"/>
      <c r="N12" s="79"/>
      <c r="O12" s="79"/>
      <c r="P12" s="89" t="s">
        <v>29</v>
      </c>
      <c r="Q12" s="13" t="s">
        <v>36</v>
      </c>
      <c r="R12" s="79"/>
    </row>
    <row r="13" spans="1:18" ht="30.75" thickBot="1">
      <c r="A13" s="79"/>
      <c r="B13" s="136" t="s">
        <v>114</v>
      </c>
      <c r="C13" s="9">
        <f>COUNTIF(CasoPrueba[[#All],[Estado Testing]],$P$29)</f>
        <v>10</v>
      </c>
      <c r="D13" s="79"/>
      <c r="E13" s="5">
        <f>COUNTIF(CasoPrueba[[#All],[Estado Testing]],$P$28)</f>
        <v>5</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30</v>
      </c>
      <c r="Q13" s="14" t="s">
        <v>38</v>
      </c>
      <c r="R13" s="79"/>
    </row>
    <row r="14" spans="1:18" ht="15.75" thickBot="1">
      <c r="A14" s="79"/>
      <c r="B14" s="136" t="s">
        <v>17</v>
      </c>
      <c r="C14" s="9">
        <f>COUNTIF(CasoPrueba[[#All],[Estado Testing]],$P$30)</f>
        <v>0</v>
      </c>
      <c r="D14" s="79"/>
      <c r="E14" s="15">
        <f t="shared" ref="E14:J14" si="0">E13/$C$10</f>
        <v>0.33333333333333331</v>
      </c>
      <c r="F14" s="15">
        <f t="shared" si="0"/>
        <v>0.66666666666666663</v>
      </c>
      <c r="G14" s="15">
        <f t="shared" si="0"/>
        <v>0</v>
      </c>
      <c r="H14" s="15">
        <f t="shared" si="0"/>
        <v>0</v>
      </c>
      <c r="I14" s="15">
        <f t="shared" si="0"/>
        <v>0</v>
      </c>
      <c r="J14" s="15">
        <f t="shared" si="0"/>
        <v>0</v>
      </c>
      <c r="K14" s="15">
        <f>K13/C10</f>
        <v>0</v>
      </c>
      <c r="L14" s="83"/>
      <c r="M14" s="79"/>
      <c r="N14" s="79"/>
      <c r="O14" s="79"/>
      <c r="P14" s="91" t="s">
        <v>162</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4" t="s">
        <v>25</v>
      </c>
      <c r="C16" s="185" t="s">
        <v>19</v>
      </c>
      <c r="D16" s="185"/>
      <c r="E16" s="186" t="s">
        <v>20</v>
      </c>
      <c r="F16" s="186"/>
      <c r="G16" s="187" t="s">
        <v>21</v>
      </c>
      <c r="H16" s="187"/>
      <c r="I16" s="188" t="s">
        <v>22</v>
      </c>
      <c r="J16" s="189"/>
      <c r="K16" s="192" t="s">
        <v>23</v>
      </c>
      <c r="L16" s="193"/>
      <c r="M16" s="190" t="s">
        <v>24</v>
      </c>
      <c r="N16" s="191"/>
      <c r="O16" s="79"/>
      <c r="P16" s="10" t="s">
        <v>41</v>
      </c>
      <c r="Q16" s="11" t="s">
        <v>42</v>
      </c>
      <c r="R16" s="79"/>
    </row>
    <row r="17" spans="1:18" ht="15.75" hidden="1" thickBot="1">
      <c r="A17" s="79"/>
      <c r="B17" s="184"/>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5</v>
      </c>
      <c r="D18" s="45">
        <f>C18/$C$10</f>
        <v>0.33333333333333331</v>
      </c>
      <c r="E18" s="46">
        <f>COUNTIFS(CasoPrueba[[#All],[Estado Testing]],$P$29,CasoPrueba[[#All],[Prioridad]],$P$17)</f>
        <v>10</v>
      </c>
      <c r="F18" s="47">
        <f>E18/$C$10</f>
        <v>0.66666666666666663</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0.66666666666666663</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5</v>
      </c>
      <c r="D21" s="63">
        <f t="shared" ref="D21:N21" si="2">SUM(D18:D20)</f>
        <v>0.33333333333333331</v>
      </c>
      <c r="E21" s="62">
        <f t="shared" si="2"/>
        <v>10</v>
      </c>
      <c r="F21" s="63">
        <f t="shared" si="2"/>
        <v>0.66666666666666663</v>
      </c>
      <c r="G21" s="62">
        <f t="shared" si="2"/>
        <v>0</v>
      </c>
      <c r="H21" s="63">
        <f t="shared" si="2"/>
        <v>0</v>
      </c>
      <c r="I21" s="62">
        <f t="shared" si="2"/>
        <v>0</v>
      </c>
      <c r="J21" s="63">
        <f t="shared" si="2"/>
        <v>0</v>
      </c>
      <c r="K21" s="62">
        <f>SUM(K18:K20)</f>
        <v>0</v>
      </c>
      <c r="L21" s="63">
        <f>SUM(L18:L20)</f>
        <v>0</v>
      </c>
      <c r="M21" s="62">
        <f t="shared" si="2"/>
        <v>10</v>
      </c>
      <c r="N21" s="63">
        <f t="shared" si="2"/>
        <v>0.66666666666666663</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23" t="s">
        <v>68</v>
      </c>
      <c r="B26" s="124"/>
      <c r="C26" s="124"/>
      <c r="D26" s="124"/>
      <c r="E26" s="124"/>
      <c r="F26" s="124"/>
      <c r="G26" s="124"/>
      <c r="H26" s="124"/>
      <c r="I26" s="124"/>
      <c r="J26" s="124"/>
      <c r="K26" s="124"/>
      <c r="L26" s="124"/>
      <c r="M26" s="79"/>
      <c r="N26" s="79"/>
      <c r="O26" s="79"/>
      <c r="P26" s="6" t="s">
        <v>53</v>
      </c>
      <c r="Q26" s="7" t="s">
        <v>54</v>
      </c>
      <c r="R26" s="79"/>
    </row>
    <row r="27" spans="1:18" ht="18" hidden="1" customHeight="1" thickBot="1">
      <c r="A27" s="124"/>
      <c r="B27" s="124"/>
      <c r="C27" s="124"/>
      <c r="D27" s="124"/>
      <c r="E27" s="124"/>
      <c r="F27" s="124"/>
      <c r="G27" s="124"/>
      <c r="H27" s="124"/>
      <c r="I27" s="124"/>
      <c r="J27" s="124"/>
      <c r="K27" s="124"/>
      <c r="L27" s="124"/>
      <c r="M27" s="79"/>
      <c r="N27" s="79"/>
      <c r="O27" s="79"/>
      <c r="P27" s="113" t="s">
        <v>22</v>
      </c>
      <c r="Q27" s="8" t="s">
        <v>66</v>
      </c>
      <c r="R27" s="79"/>
    </row>
    <row r="28" spans="1:18" ht="30.75" hidden="1" customHeight="1" thickBot="1">
      <c r="A28" s="124"/>
      <c r="B28" s="181" t="s">
        <v>69</v>
      </c>
      <c r="C28" s="181" t="s">
        <v>70</v>
      </c>
      <c r="D28" s="181"/>
      <c r="E28" s="181" t="s">
        <v>71</v>
      </c>
      <c r="F28" s="181"/>
      <c r="G28" s="124"/>
      <c r="H28" s="124"/>
      <c r="I28" s="124"/>
      <c r="J28" s="124"/>
      <c r="K28" s="124"/>
      <c r="L28" s="124"/>
      <c r="M28" s="79"/>
      <c r="N28" s="79"/>
      <c r="O28" s="79"/>
      <c r="P28" s="108" t="s">
        <v>19</v>
      </c>
      <c r="Q28" s="14" t="s">
        <v>55</v>
      </c>
      <c r="R28" s="79"/>
    </row>
    <row r="29" spans="1:18" ht="15.75" hidden="1" thickBot="1">
      <c r="A29" s="124"/>
      <c r="B29" s="181"/>
      <c r="C29" s="125" t="s">
        <v>26</v>
      </c>
      <c r="D29" s="125" t="s">
        <v>27</v>
      </c>
      <c r="E29" s="125" t="s">
        <v>26</v>
      </c>
      <c r="F29" s="125" t="s">
        <v>27</v>
      </c>
      <c r="G29" s="124"/>
      <c r="H29" s="126" t="s">
        <v>41</v>
      </c>
      <c r="I29" s="126" t="s">
        <v>28</v>
      </c>
      <c r="J29" s="126" t="s">
        <v>29</v>
      </c>
      <c r="K29" s="126" t="s">
        <v>30</v>
      </c>
      <c r="L29" s="121"/>
      <c r="M29" s="85"/>
      <c r="N29" s="79"/>
      <c r="O29" s="79"/>
      <c r="P29" s="109" t="s">
        <v>20</v>
      </c>
      <c r="Q29" s="14" t="s">
        <v>56</v>
      </c>
      <c r="R29" s="79"/>
    </row>
    <row r="30" spans="1:18" ht="33" hidden="1" customHeight="1" thickBot="1">
      <c r="A30" s="124"/>
      <c r="B30" s="127" t="s">
        <v>33</v>
      </c>
      <c r="C30" s="128">
        <f>COUNTIFS(Observaciones[[#All],[Estado]],Resumen!$P$22,Observaciones[[#All],[Severidad]],Resumen!$P$11)+COUNTIFS(Observaciones[[#All],[Estado]],$P$23,Observaciones[[#All],[Severidad]],Resumen!$P$11)</f>
        <v>2</v>
      </c>
      <c r="D30" s="129">
        <f>C30/$C$10</f>
        <v>0.13333333333333333</v>
      </c>
      <c r="E30" s="130">
        <f>COUNTIFS(Observaciones[[#All],[Estado]],Resumen!$P$24,Observaciones[[#All],[Severidad]],Resumen!$P$11)</f>
        <v>8</v>
      </c>
      <c r="F30" s="129">
        <f>E30/$C$10</f>
        <v>0.53333333333333333</v>
      </c>
      <c r="G30" s="124"/>
      <c r="H30" s="127" t="s">
        <v>33</v>
      </c>
      <c r="I30" s="131">
        <f>COUNTIFS(Observaciones[[#All],[Severidad]],Resumen!$P$11,Observaciones[[#All],[Prioridad]],Resumen!$P$17)</f>
        <v>10</v>
      </c>
      <c r="J30" s="131">
        <f>COUNTIFS(Observaciones[[#All],[Severidad]],Resumen!$P$11,Observaciones[[#All],[Prioridad]],Resumen!$P$18)</f>
        <v>0</v>
      </c>
      <c r="K30" s="131">
        <f>COUNTIFS(Observaciones[[#All],[Severidad]],Resumen!$P$11,Observaciones[[#All],[Prioridad]],Resumen!$P$19)</f>
        <v>0</v>
      </c>
      <c r="L30" s="122"/>
      <c r="M30" s="86"/>
      <c r="N30" s="79"/>
      <c r="O30" s="79"/>
      <c r="P30" s="110" t="s">
        <v>21</v>
      </c>
      <c r="Q30" s="14" t="s">
        <v>57</v>
      </c>
      <c r="R30" s="79"/>
    </row>
    <row r="31" spans="1:18" ht="33" hidden="1" customHeight="1" thickBot="1">
      <c r="A31" s="124"/>
      <c r="B31" s="127" t="s">
        <v>35</v>
      </c>
      <c r="C31" s="128">
        <f>COUNTIFS(Observaciones[[#All],[Estado]],Resumen!$P$22,Observaciones[[#All],[Severidad]],Resumen!$P$12)+COUNTIFS(Observaciones[[#All],[Estado]],$P$23,Observaciones[[#All],[Severidad]],Resumen!$P$12)</f>
        <v>7</v>
      </c>
      <c r="D31" s="129">
        <f>C31/$C$10</f>
        <v>0.46666666666666667</v>
      </c>
      <c r="E31" s="130">
        <f>COUNTIFS(Observaciones[[#All],[Estado]],Resumen!$P$24,Observaciones[[#All],[Severidad]],Resumen!$P$12)</f>
        <v>35</v>
      </c>
      <c r="F31" s="129">
        <f>E31/$C$10</f>
        <v>2.3333333333333335</v>
      </c>
      <c r="G31" s="124"/>
      <c r="H31" s="127" t="s">
        <v>35</v>
      </c>
      <c r="I31" s="131">
        <f>COUNTIFS(Observaciones[[#All],[Severidad]],Resumen!$P$12,Observaciones[[#All],[Prioridad]],Resumen!$P$17)</f>
        <v>42</v>
      </c>
      <c r="J31" s="131">
        <f>COUNTIFS(Observaciones[[#All],[Severidad]],Resumen!$P$12,Observaciones[[#All],[Prioridad]],Resumen!$P$18)</f>
        <v>0</v>
      </c>
      <c r="K31" s="131">
        <f>COUNTIFS(Observaciones[[#All],[Severidad]],Resumen!$P$12,Observaciones[[#All],[Prioridad]],Resumen!$P$19)</f>
        <v>0</v>
      </c>
      <c r="L31" s="122"/>
      <c r="M31" s="86"/>
      <c r="N31" s="79"/>
      <c r="O31" s="79"/>
      <c r="P31" s="111" t="s">
        <v>23</v>
      </c>
      <c r="Q31" s="14" t="s">
        <v>58</v>
      </c>
      <c r="R31" s="79"/>
    </row>
    <row r="32" spans="1:18" ht="33" hidden="1" customHeight="1" thickBot="1">
      <c r="A32" s="124"/>
      <c r="B32" s="127" t="s">
        <v>37</v>
      </c>
      <c r="C32" s="132">
        <f>COUNTIFS(Observaciones[[#All],[Estado]],Resumen!$P$22,Observaciones[[#All],[Severidad]],Resumen!$P$13)+COUNTIFS(Observaciones[[#All],[Estado]],$P$23,Observaciones[[#All],[Severidad]],Resumen!$P$13)</f>
        <v>5</v>
      </c>
      <c r="D32" s="129">
        <f>C32/$C$10</f>
        <v>0.33333333333333331</v>
      </c>
      <c r="E32" s="130">
        <f>COUNTIFS(Observaciones[[#All],[Estado]],Resumen!$P$24,Observaciones[[#All],[Severidad]],Resumen!$P$13)</f>
        <v>40</v>
      </c>
      <c r="F32" s="129">
        <f>E32/$C$10</f>
        <v>2.6666666666666665</v>
      </c>
      <c r="G32" s="124"/>
      <c r="H32" s="127" t="s">
        <v>37</v>
      </c>
      <c r="I32" s="131">
        <f>COUNTIFS(Observaciones[[#All],[Severidad]],Resumen!$P$13,Observaciones[[#All],[Prioridad]],Resumen!$P$17)</f>
        <v>45</v>
      </c>
      <c r="J32" s="131">
        <f>COUNTIFS(Observaciones[[#All],[Severidad]],Resumen!$P$13,Observaciones[[#All],[Prioridad]],Resumen!$P$18)</f>
        <v>0</v>
      </c>
      <c r="K32" s="131">
        <f>COUNTIFS(Observaciones[[#All],[Severidad]],Resumen!$P$13,Observaciones[[#All],[Prioridad]],Resumen!$P$19)</f>
        <v>0</v>
      </c>
      <c r="L32" s="122"/>
      <c r="M32" s="86"/>
      <c r="N32" s="79"/>
      <c r="O32" s="79"/>
      <c r="P32" s="112" t="s">
        <v>24</v>
      </c>
      <c r="Q32" s="14" t="s">
        <v>67</v>
      </c>
    </row>
    <row r="33" spans="1:18" ht="15.75" hidden="1" thickBot="1">
      <c r="A33" s="124"/>
      <c r="B33" s="127" t="s">
        <v>39</v>
      </c>
      <c r="C33" s="132">
        <f>COUNTIFS(Observaciones[[#All],[Estado]],Resumen!$P$22,Observaciones[[#All],[Severidad]],Resumen!$P$14)+COUNTIFS(Observaciones[[#All],[Estado]],$P$23,Observaciones[[#All],[Severidad]],Resumen!$P$14)</f>
        <v>5</v>
      </c>
      <c r="D33" s="129">
        <f>C33/$C$10</f>
        <v>0.33333333333333331</v>
      </c>
      <c r="E33" s="130">
        <f>COUNTIFS(Observaciones[[#All],[Estado]],Resumen!$P$24,Observaciones[[#All],[Severidad]],Resumen!$P$14)</f>
        <v>18</v>
      </c>
      <c r="F33" s="129">
        <f>E33/$C$10</f>
        <v>1.2</v>
      </c>
      <c r="G33" s="124"/>
      <c r="H33" s="127" t="s">
        <v>39</v>
      </c>
      <c r="I33" s="131">
        <f>COUNTIFS(Observaciones[[#All],[Severidad]],Resumen!$P$14,Observaciones[[#All],[Prioridad]],Resumen!$P$17)</f>
        <v>23</v>
      </c>
      <c r="J33" s="131">
        <f>COUNTIFS(Observaciones[[#All],[Severidad]],Resumen!$P$14,Observaciones[[#All],[Prioridad]],Resumen!$P$18)</f>
        <v>0</v>
      </c>
      <c r="K33" s="131">
        <f>COUNTIFS(Observaciones[[#All],[Severidad]],Resumen!$P$14,Observaciones[[#All],[Prioridad]],Resumen!$P$19)</f>
        <v>0</v>
      </c>
      <c r="L33" s="122"/>
      <c r="M33" s="86"/>
      <c r="N33" s="79"/>
      <c r="O33" s="79"/>
      <c r="P33" s="79"/>
      <c r="Q33" s="79"/>
      <c r="R33" s="79"/>
    </row>
    <row r="34" spans="1:18" ht="15.75" hidden="1" thickBot="1">
      <c r="A34" s="124"/>
      <c r="B34" s="127" t="s">
        <v>72</v>
      </c>
      <c r="C34" s="133">
        <f>SUM(C30:C33)</f>
        <v>19</v>
      </c>
      <c r="D34" s="134">
        <f>SUM(D30:D33)</f>
        <v>1.2666666666666666</v>
      </c>
      <c r="E34" s="133">
        <f>SUM(E30:E33)</f>
        <v>101</v>
      </c>
      <c r="F34" s="134">
        <f>SUM(F30:F33)</f>
        <v>6.7333333333333334</v>
      </c>
      <c r="G34" s="124"/>
      <c r="H34" s="127" t="s">
        <v>72</v>
      </c>
      <c r="I34" s="135">
        <f>SUM(I30:I33)</f>
        <v>120</v>
      </c>
      <c r="J34" s="135">
        <f>SUM(J30:J33)</f>
        <v>0</v>
      </c>
      <c r="K34" s="135">
        <f>SUM(K30:K33)</f>
        <v>0</v>
      </c>
      <c r="L34" s="122"/>
      <c r="M34" s="86"/>
      <c r="N34" s="79"/>
      <c r="O34" s="79"/>
      <c r="P34" s="10" t="s">
        <v>59</v>
      </c>
      <c r="Q34" s="11" t="s">
        <v>3</v>
      </c>
      <c r="R34" s="79"/>
    </row>
    <row r="35" spans="1:18" ht="33" hidden="1" customHeight="1" thickBot="1">
      <c r="A35" s="124"/>
      <c r="B35" s="124"/>
      <c r="C35" s="124"/>
      <c r="D35" s="124"/>
      <c r="E35" s="124"/>
      <c r="F35" s="124"/>
      <c r="G35" s="124"/>
      <c r="H35" s="124"/>
      <c r="I35" s="124"/>
      <c r="J35" s="124"/>
      <c r="K35" s="124"/>
      <c r="L35" s="124"/>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64"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7">
        <f>AVERAGE(Observaciones[[#All],[Tiempo de Solución (Dias)]])</f>
        <v>5.8151260504201678</v>
      </c>
      <c r="H68" s="68" t="s">
        <v>120</v>
      </c>
    </row>
    <row r="70" spans="1:18">
      <c r="B70" s="69" t="s">
        <v>121</v>
      </c>
      <c r="C70" t="s">
        <v>123</v>
      </c>
      <c r="G70" s="69" t="s">
        <v>121</v>
      </c>
      <c r="H70" t="s">
        <v>124</v>
      </c>
      <c r="L70" s="69" t="s">
        <v>121</v>
      </c>
      <c r="M70" t="s">
        <v>125</v>
      </c>
    </row>
    <row r="71" spans="1:18">
      <c r="B71" s="70" t="s">
        <v>37</v>
      </c>
      <c r="C71" s="35">
        <v>1</v>
      </c>
      <c r="G71" s="70" t="s">
        <v>28</v>
      </c>
      <c r="H71" s="35">
        <v>2</v>
      </c>
      <c r="L71" s="70" t="s">
        <v>49</v>
      </c>
      <c r="M71" s="35">
        <v>2</v>
      </c>
    </row>
    <row r="72" spans="1:18">
      <c r="B72" s="70" t="s">
        <v>39</v>
      </c>
      <c r="C72" s="35">
        <v>1</v>
      </c>
      <c r="G72" s="70" t="s">
        <v>122</v>
      </c>
      <c r="H72" s="35">
        <v>2</v>
      </c>
      <c r="L72" s="70" t="s">
        <v>122</v>
      </c>
      <c r="M72" s="35">
        <v>2</v>
      </c>
    </row>
    <row r="73" spans="1:18">
      <c r="B73" s="70"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7">
        <f>AVERAGE(Consultas[[#All],[Tiempo de Solución]])</f>
        <v>0</v>
      </c>
      <c r="H89" s="68" t="s">
        <v>120</v>
      </c>
    </row>
    <row r="91" spans="1:18">
      <c r="B91" s="69" t="s">
        <v>121</v>
      </c>
      <c r="C91" t="s">
        <v>130</v>
      </c>
      <c r="G91" s="69" t="s">
        <v>121</v>
      </c>
      <c r="H91" t="s">
        <v>124</v>
      </c>
      <c r="L91" s="69" t="s">
        <v>121</v>
      </c>
      <c r="M91" t="s">
        <v>125</v>
      </c>
    </row>
    <row r="92" spans="1:18">
      <c r="B92" s="70" t="s">
        <v>144</v>
      </c>
      <c r="C92" s="35"/>
      <c r="G92" s="70" t="s">
        <v>145</v>
      </c>
      <c r="H92" s="35">
        <v>1</v>
      </c>
      <c r="L92" s="70" t="s">
        <v>49</v>
      </c>
      <c r="M92" s="35">
        <v>1</v>
      </c>
    </row>
    <row r="93" spans="1:18">
      <c r="B93" s="70" t="s">
        <v>122</v>
      </c>
      <c r="C93" s="35"/>
      <c r="G93" s="70" t="s">
        <v>122</v>
      </c>
      <c r="H93" s="35">
        <v>1</v>
      </c>
      <c r="L93" s="70"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topLeftCell="B11" zoomScaleNormal="100" workbookViewId="0">
      <selection activeCell="D11" sqref="D11"/>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100"/>
      <c r="B1" s="100"/>
      <c r="C1" s="100"/>
      <c r="D1" s="100"/>
      <c r="E1" s="100"/>
      <c r="F1" s="104"/>
      <c r="G1" s="100"/>
      <c r="H1" s="100"/>
      <c r="I1" s="100"/>
      <c r="J1" s="100"/>
      <c r="K1" s="100"/>
      <c r="L1" s="105"/>
      <c r="M1" s="100"/>
      <c r="N1" s="100"/>
      <c r="O1" s="100"/>
      <c r="P1" s="100"/>
      <c r="Q1" s="100"/>
      <c r="R1" s="100"/>
    </row>
    <row r="2" spans="1:18" ht="15" customHeight="1">
      <c r="A2" s="100"/>
      <c r="B2" s="100"/>
      <c r="C2" s="100"/>
      <c r="D2" s="155" t="s">
        <v>9</v>
      </c>
      <c r="E2" s="156" t="str">
        <f>General!$B$3</f>
        <v xml:space="preserve">PRY-SSIAEDUCT-03 </v>
      </c>
      <c r="F2" s="157" t="s">
        <v>10</v>
      </c>
      <c r="G2" s="198" t="str">
        <f>General!$B$4</f>
        <v>Arquitectura de Negocios de la Oficina Central de Fe y Alegría Perú – ANOCFAP</v>
      </c>
      <c r="H2" s="199"/>
      <c r="I2" s="199"/>
      <c r="J2" s="199"/>
      <c r="K2" s="199"/>
      <c r="L2" s="199"/>
      <c r="M2" s="199"/>
      <c r="N2" s="200"/>
      <c r="O2" s="100"/>
      <c r="P2" s="100"/>
      <c r="Q2" s="100"/>
      <c r="R2" s="100"/>
    </row>
    <row r="3" spans="1:18" s="71" customFormat="1" ht="58.5" customHeight="1">
      <c r="A3" s="100"/>
      <c r="B3" s="100"/>
      <c r="C3" s="100"/>
      <c r="D3" s="101"/>
      <c r="E3" s="102"/>
      <c r="F3" s="103"/>
      <c r="G3" s="102"/>
      <c r="H3" s="102"/>
      <c r="I3" s="102"/>
      <c r="J3" s="102"/>
      <c r="K3" s="102"/>
      <c r="L3" s="102"/>
      <c r="M3" s="102"/>
      <c r="N3" s="102"/>
      <c r="O3" s="100"/>
      <c r="P3" s="100"/>
      <c r="Q3" s="100"/>
      <c r="R3" s="100"/>
    </row>
    <row r="4" spans="1:18" s="94" customFormat="1" ht="40.5" customHeight="1">
      <c r="A4" s="148" t="s">
        <v>135</v>
      </c>
      <c r="B4" s="149" t="s">
        <v>134</v>
      </c>
      <c r="C4" s="149" t="s">
        <v>73</v>
      </c>
      <c r="D4" s="149" t="s">
        <v>74</v>
      </c>
      <c r="E4" s="149" t="s">
        <v>75</v>
      </c>
      <c r="F4" s="150" t="s">
        <v>76</v>
      </c>
      <c r="G4" s="149" t="s">
        <v>77</v>
      </c>
      <c r="H4" s="149" t="s">
        <v>78</v>
      </c>
      <c r="I4" s="151" t="s">
        <v>79</v>
      </c>
      <c r="J4" s="151" t="s">
        <v>80</v>
      </c>
      <c r="K4" s="152" t="s">
        <v>81</v>
      </c>
      <c r="L4" s="153" t="s">
        <v>82</v>
      </c>
      <c r="M4" s="154" t="s">
        <v>83</v>
      </c>
      <c r="N4" s="149" t="s">
        <v>84</v>
      </c>
      <c r="O4" s="149" t="s">
        <v>85</v>
      </c>
      <c r="P4" s="149" t="s">
        <v>86</v>
      </c>
      <c r="Q4" s="149" t="s">
        <v>87</v>
      </c>
      <c r="R4" s="106"/>
    </row>
    <row r="5" spans="1:18" s="95" customFormat="1" ht="112.5">
      <c r="A5" s="95" t="s">
        <v>159</v>
      </c>
      <c r="B5" s="95" t="s">
        <v>88</v>
      </c>
      <c r="C5" s="95" t="s">
        <v>170</v>
      </c>
      <c r="D5" s="168" t="s">
        <v>177</v>
      </c>
      <c r="E5" s="95" t="s">
        <v>160</v>
      </c>
      <c r="F5" s="96" t="str">
        <f>IF(CasoPrueba[[#This Row],[Estado Testing]]=Resumen!$P$28,"OK",IF(CasoPrueba[[#This Row],[Estado Testing]]=Resumen!$P$29,"NO OK",IF((CasoPrueba[[#This Row],[Estado Testing]]=Resumen!$P$30)+(CasoPrueba[[#This Row],[Estado Testing]]=Resumen!$P$31),"OBSERVADO","")))</f>
        <v>NO OK</v>
      </c>
      <c r="G5" s="95" t="s">
        <v>20</v>
      </c>
      <c r="H5" s="95" t="s">
        <v>28</v>
      </c>
      <c r="I5" s="97" t="s">
        <v>30</v>
      </c>
      <c r="J5" s="95" t="s">
        <v>47</v>
      </c>
      <c r="L5" s="98">
        <f>General!$A$10</f>
        <v>0</v>
      </c>
      <c r="M5" s="98">
        <v>40637</v>
      </c>
      <c r="N5" s="95">
        <v>1</v>
      </c>
      <c r="P5" s="97" t="s">
        <v>465</v>
      </c>
      <c r="Q5" s="95" t="str">
        <f>CONCATENATE(General!$B$7," ",General!$B$6)</f>
        <v>Nicolay García José Ramos Ramírez</v>
      </c>
      <c r="R5" s="107"/>
    </row>
    <row r="6" spans="1:18" ht="33.75">
      <c r="A6" s="95" t="s">
        <v>159</v>
      </c>
      <c r="B6" s="95" t="s">
        <v>151</v>
      </c>
      <c r="C6" s="95" t="s">
        <v>170</v>
      </c>
      <c r="D6" s="4" t="s">
        <v>178</v>
      </c>
      <c r="E6" s="95" t="s">
        <v>160</v>
      </c>
      <c r="F6" s="96" t="str">
        <f>IF(CasoPrueba[[#This Row],[Estado Testing]]=Resumen!$P$28,"OK",IF(CasoPrueba[[#This Row],[Estado Testing]]=Resumen!$P$29,"NO OK",IF((CasoPrueba[[#This Row],[Estado Testing]]=Resumen!$P$30)+(CasoPrueba[[#This Row],[Estado Testing]]=Resumen!$P$31),"OBSERVADO","")))</f>
        <v>NO OK</v>
      </c>
      <c r="G6" s="95" t="s">
        <v>20</v>
      </c>
      <c r="H6" s="95" t="s">
        <v>28</v>
      </c>
      <c r="I6" s="97" t="s">
        <v>162</v>
      </c>
      <c r="J6" s="95" t="s">
        <v>47</v>
      </c>
      <c r="K6" s="95"/>
      <c r="L6" s="98">
        <f>General!$A$10</f>
        <v>0</v>
      </c>
      <c r="M6" s="98"/>
      <c r="N6" s="95"/>
      <c r="O6" s="95"/>
      <c r="P6" s="97" t="s">
        <v>466</v>
      </c>
      <c r="Q6" s="95" t="str">
        <f>CONCATENATE(General!$B$7," ",General!$B$6)</f>
        <v>Nicolay García José Ramos Ramírez</v>
      </c>
    </row>
    <row r="7" spans="1:18" ht="33.75">
      <c r="A7" s="95" t="s">
        <v>159</v>
      </c>
      <c r="B7" s="95" t="s">
        <v>152</v>
      </c>
      <c r="C7" s="95" t="s">
        <v>170</v>
      </c>
      <c r="D7" s="4" t="s">
        <v>179</v>
      </c>
      <c r="E7" s="95" t="s">
        <v>160</v>
      </c>
      <c r="F7" s="96" t="str">
        <f>IF(CasoPrueba[[#This Row],[Estado Testing]]=Resumen!$P$28,"OK",IF(CasoPrueba[[#This Row],[Estado Testing]]=Resumen!$P$29,"NO OK",IF((CasoPrueba[[#This Row],[Estado Testing]]=Resumen!$P$30)+(CasoPrueba[[#This Row],[Estado Testing]]=Resumen!$P$31),"OBSERVADO","")))</f>
        <v>NO OK</v>
      </c>
      <c r="G7" s="95" t="s">
        <v>20</v>
      </c>
      <c r="H7" s="95" t="s">
        <v>28</v>
      </c>
      <c r="I7" s="97" t="s">
        <v>29</v>
      </c>
      <c r="J7" s="95" t="s">
        <v>47</v>
      </c>
      <c r="K7" s="95"/>
      <c r="L7" s="98">
        <f>General!$A$10</f>
        <v>0</v>
      </c>
      <c r="M7" s="98"/>
      <c r="N7" s="95"/>
      <c r="O7" s="95"/>
      <c r="P7" s="97" t="s">
        <v>467</v>
      </c>
      <c r="Q7" s="95" t="str">
        <f>CONCATENATE(General!$B$7," ",General!$B$6)</f>
        <v>Nicolay García José Ramos Ramírez</v>
      </c>
    </row>
    <row r="8" spans="1:18" ht="78.75">
      <c r="A8" s="95" t="s">
        <v>159</v>
      </c>
      <c r="B8" s="95" t="s">
        <v>153</v>
      </c>
      <c r="C8" s="95" t="s">
        <v>170</v>
      </c>
      <c r="D8" s="4" t="s">
        <v>180</v>
      </c>
      <c r="E8" s="95" t="s">
        <v>160</v>
      </c>
      <c r="F8" s="96" t="str">
        <f>IF(CasoPrueba[[#This Row],[Estado Testing]]=Resumen!$P$28,"OK",IF(CasoPrueba[[#This Row],[Estado Testing]]=Resumen!$P$29,"NO OK",IF((CasoPrueba[[#This Row],[Estado Testing]]=Resumen!$P$30)+(CasoPrueba[[#This Row],[Estado Testing]]=Resumen!$P$31),"OBSERVADO","")))</f>
        <v>NO OK</v>
      </c>
      <c r="G8" s="95" t="s">
        <v>20</v>
      </c>
      <c r="H8" s="95" t="s">
        <v>28</v>
      </c>
      <c r="I8" s="97" t="s">
        <v>162</v>
      </c>
      <c r="J8" s="95" t="s">
        <v>47</v>
      </c>
      <c r="K8" s="95"/>
      <c r="L8" s="98">
        <f>General!$A$10</f>
        <v>0</v>
      </c>
      <c r="M8" s="98"/>
      <c r="N8" s="95"/>
      <c r="O8" s="95"/>
      <c r="P8" s="97" t="s">
        <v>468</v>
      </c>
      <c r="Q8" s="95" t="str">
        <f>CONCATENATE(General!$B$7," ",General!$B$6)</f>
        <v>Nicolay García José Ramos Ramírez</v>
      </c>
    </row>
    <row r="9" spans="1:18" ht="90">
      <c r="A9" s="95" t="s">
        <v>159</v>
      </c>
      <c r="B9" s="95" t="s">
        <v>154</v>
      </c>
      <c r="C9" s="95" t="s">
        <v>170</v>
      </c>
      <c r="D9" s="4" t="s">
        <v>181</v>
      </c>
      <c r="E9" s="95" t="s">
        <v>160</v>
      </c>
      <c r="F9" s="96" t="str">
        <f>IF(CasoPrueba[[#This Row],[Estado Testing]]=Resumen!$P$28,"OK",IF(CasoPrueba[[#This Row],[Estado Testing]]=Resumen!$P$29,"NO OK",IF((CasoPrueba[[#This Row],[Estado Testing]]=Resumen!$P$30)+(CasoPrueba[[#This Row],[Estado Testing]]=Resumen!$P$31),"OBSERVADO","")))</f>
        <v>NO OK</v>
      </c>
      <c r="G9" s="95" t="s">
        <v>20</v>
      </c>
      <c r="H9" s="95" t="s">
        <v>28</v>
      </c>
      <c r="I9" s="97" t="s">
        <v>30</v>
      </c>
      <c r="J9" s="95" t="s">
        <v>47</v>
      </c>
      <c r="K9" s="95"/>
      <c r="L9" s="98">
        <f>General!$A$10</f>
        <v>0</v>
      </c>
      <c r="M9" s="98"/>
      <c r="N9" s="95"/>
      <c r="O9" s="95"/>
      <c r="P9" s="97" t="s">
        <v>469</v>
      </c>
      <c r="Q9" s="95" t="str">
        <f>CONCATENATE(General!$B$7," ",General!$B$6)</f>
        <v>Nicolay García José Ramos Ramírez</v>
      </c>
    </row>
    <row r="10" spans="1:18">
      <c r="A10" s="95" t="s">
        <v>159</v>
      </c>
      <c r="B10" s="95" t="s">
        <v>155</v>
      </c>
      <c r="C10" s="95" t="s">
        <v>170</v>
      </c>
      <c r="D10" s="4" t="s">
        <v>182</v>
      </c>
      <c r="E10" s="95" t="s">
        <v>160</v>
      </c>
      <c r="F10" s="96" t="str">
        <f>IF(CasoPrueba[[#This Row],[Estado Testing]]=Resumen!$P$28,"OK",IF(CasoPrueba[[#This Row],[Estado Testing]]=Resumen!$P$29,"NO OK",IF((CasoPrueba[[#This Row],[Estado Testing]]=Resumen!$P$30)+(CasoPrueba[[#This Row],[Estado Testing]]=Resumen!$P$31),"OBSERVADO","")))</f>
        <v>OK</v>
      </c>
      <c r="G10" s="95" t="s">
        <v>19</v>
      </c>
      <c r="H10" s="95" t="s">
        <v>28</v>
      </c>
      <c r="I10" s="97"/>
      <c r="J10" s="95"/>
      <c r="K10" s="95"/>
      <c r="L10" s="98">
        <f>General!$A$10</f>
        <v>0</v>
      </c>
      <c r="M10" s="98"/>
      <c r="N10" s="95"/>
      <c r="O10" s="95"/>
      <c r="P10" s="97"/>
      <c r="Q10" s="95"/>
    </row>
    <row r="11" spans="1:18" ht="45">
      <c r="A11" s="95" t="s">
        <v>159</v>
      </c>
      <c r="B11" s="95" t="s">
        <v>156</v>
      </c>
      <c r="C11" s="95" t="s">
        <v>170</v>
      </c>
      <c r="D11" s="4" t="s">
        <v>183</v>
      </c>
      <c r="E11" s="95" t="s">
        <v>160</v>
      </c>
      <c r="F11" s="96" t="str">
        <f>IF(CasoPrueba[[#This Row],[Estado Testing]]=Resumen!$P$28,"OK",IF(CasoPrueba[[#This Row],[Estado Testing]]=Resumen!$P$29,"NO OK",IF((CasoPrueba[[#This Row],[Estado Testing]]=Resumen!$P$30)+(CasoPrueba[[#This Row],[Estado Testing]]=Resumen!$P$31),"OBSERVADO","")))</f>
        <v>NO OK</v>
      </c>
      <c r="G11" s="95" t="s">
        <v>20</v>
      </c>
      <c r="H11" s="95" t="s">
        <v>28</v>
      </c>
      <c r="I11" s="97" t="s">
        <v>30</v>
      </c>
      <c r="J11" s="95" t="s">
        <v>47</v>
      </c>
      <c r="K11" s="95"/>
      <c r="L11" s="98">
        <f>General!$A$10</f>
        <v>0</v>
      </c>
      <c r="M11" s="98"/>
      <c r="N11" s="95"/>
      <c r="O11" s="95"/>
      <c r="P11" s="97" t="s">
        <v>470</v>
      </c>
      <c r="Q11" s="95" t="str">
        <f>CONCATENATE(General!$B$7," ",General!$B$6)</f>
        <v>Nicolay García José Ramos Ramírez</v>
      </c>
    </row>
    <row r="12" spans="1:18">
      <c r="A12" s="95" t="s">
        <v>159</v>
      </c>
      <c r="B12" s="95" t="s">
        <v>157</v>
      </c>
      <c r="C12" s="95" t="s">
        <v>170</v>
      </c>
      <c r="D12" s="4" t="s">
        <v>184</v>
      </c>
      <c r="E12" s="95" t="s">
        <v>160</v>
      </c>
      <c r="F12" s="96" t="str">
        <f>IF(CasoPrueba[[#This Row],[Estado Testing]]=Resumen!$P$28,"OK",IF(CasoPrueba[[#This Row],[Estado Testing]]=Resumen!$P$29,"NO OK",IF((CasoPrueba[[#This Row],[Estado Testing]]=Resumen!$P$30)+(CasoPrueba[[#This Row],[Estado Testing]]=Resumen!$P$31),"OBSERVADO","")))</f>
        <v>OK</v>
      </c>
      <c r="G12" s="95" t="s">
        <v>19</v>
      </c>
      <c r="H12" s="95" t="s">
        <v>28</v>
      </c>
      <c r="I12" s="97"/>
      <c r="J12" s="95"/>
      <c r="K12" s="95"/>
      <c r="L12" s="98">
        <f>General!$A$10</f>
        <v>0</v>
      </c>
      <c r="M12" s="98"/>
      <c r="N12" s="95"/>
      <c r="O12" s="95"/>
      <c r="P12" s="97"/>
      <c r="Q12" s="95"/>
    </row>
    <row r="13" spans="1:18" ht="22.5">
      <c r="A13" s="95" t="s">
        <v>159</v>
      </c>
      <c r="B13" s="95" t="s">
        <v>158</v>
      </c>
      <c r="C13" s="95" t="s">
        <v>170</v>
      </c>
      <c r="D13" s="4" t="s">
        <v>185</v>
      </c>
      <c r="E13" s="95" t="s">
        <v>160</v>
      </c>
      <c r="F13" s="96" t="str">
        <f>IF(CasoPrueba[[#This Row],[Estado Testing]]=Resumen!$P$28,"OK",IF(CasoPrueba[[#This Row],[Estado Testing]]=Resumen!$P$29,"NO OK",IF((CasoPrueba[[#This Row],[Estado Testing]]=Resumen!$P$30)+(CasoPrueba[[#This Row],[Estado Testing]]=Resumen!$P$31),"OBSERVADO","")))</f>
        <v>NO OK</v>
      </c>
      <c r="G13" s="95" t="s">
        <v>20</v>
      </c>
      <c r="H13" s="95" t="s">
        <v>28</v>
      </c>
      <c r="I13" s="97" t="s">
        <v>30</v>
      </c>
      <c r="J13" s="95" t="s">
        <v>47</v>
      </c>
      <c r="K13" s="95"/>
      <c r="L13" s="98">
        <f>General!$A$10</f>
        <v>0</v>
      </c>
      <c r="M13" s="98"/>
      <c r="N13" s="95"/>
      <c r="O13" s="95"/>
      <c r="P13" s="97" t="s">
        <v>471</v>
      </c>
      <c r="Q13" s="95" t="str">
        <f>CONCATENATE(General!$B$7," ",General!$B$6)</f>
        <v>Nicolay García José Ramos Ramírez</v>
      </c>
    </row>
    <row r="14" spans="1:18">
      <c r="A14" s="95" t="s">
        <v>159</v>
      </c>
      <c r="B14" s="95" t="s">
        <v>171</v>
      </c>
      <c r="C14" s="95" t="s">
        <v>170</v>
      </c>
      <c r="D14" s="31" t="s">
        <v>186</v>
      </c>
      <c r="E14" s="95" t="s">
        <v>160</v>
      </c>
      <c r="F14" s="96" t="str">
        <f>IF(CasoPrueba[[#This Row],[Estado Testing]]=Resumen!$P$28,"OK",IF(CasoPrueba[[#This Row],[Estado Testing]]=Resumen!$P$29,"NO OK",IF((CasoPrueba[[#This Row],[Estado Testing]]=Resumen!$P$30)+(CasoPrueba[[#This Row],[Estado Testing]]=Resumen!$P$31),"OBSERVADO","")))</f>
        <v>OK</v>
      </c>
      <c r="G14" s="95" t="s">
        <v>19</v>
      </c>
      <c r="H14" s="95" t="s">
        <v>28</v>
      </c>
      <c r="I14" s="97"/>
      <c r="J14" s="95"/>
      <c r="K14" s="95"/>
      <c r="L14" s="98">
        <f>General!$A$10</f>
        <v>0</v>
      </c>
      <c r="M14" s="98"/>
      <c r="N14" s="95"/>
      <c r="O14" s="95"/>
      <c r="P14" s="97"/>
      <c r="Q14" s="95"/>
    </row>
    <row r="15" spans="1:18" ht="112.5">
      <c r="A15" s="95" t="s">
        <v>159</v>
      </c>
      <c r="B15" s="95" t="s">
        <v>172</v>
      </c>
      <c r="C15" s="95" t="s">
        <v>170</v>
      </c>
      <c r="D15" s="31" t="s">
        <v>187</v>
      </c>
      <c r="E15" s="95" t="s">
        <v>160</v>
      </c>
      <c r="F15" s="96" t="str">
        <f>IF(CasoPrueba[[#This Row],[Estado Testing]]=Resumen!$P$28,"OK",IF(CasoPrueba[[#This Row],[Estado Testing]]=Resumen!$P$29,"NO OK",IF((CasoPrueba[[#This Row],[Estado Testing]]=Resumen!$P$30)+(CasoPrueba[[#This Row],[Estado Testing]]=Resumen!$P$31),"OBSERVADO","")))</f>
        <v>NO OK</v>
      </c>
      <c r="G15" s="95" t="s">
        <v>20</v>
      </c>
      <c r="H15" s="95" t="s">
        <v>28</v>
      </c>
      <c r="I15" s="97" t="s">
        <v>28</v>
      </c>
      <c r="J15" s="95" t="s">
        <v>47</v>
      </c>
      <c r="K15" s="95"/>
      <c r="L15" s="98">
        <f>General!$A$10</f>
        <v>0</v>
      </c>
      <c r="M15" s="98"/>
      <c r="N15" s="95"/>
      <c r="O15" s="95"/>
      <c r="P15" s="97" t="s">
        <v>472</v>
      </c>
      <c r="Q15" s="95" t="str">
        <f>CONCATENATE(General!$B$7," ",General!$B$6)</f>
        <v>Nicolay García José Ramos Ramírez</v>
      </c>
    </row>
    <row r="16" spans="1:18" ht="67.5">
      <c r="A16" s="95" t="s">
        <v>159</v>
      </c>
      <c r="B16" s="95" t="s">
        <v>173</v>
      </c>
      <c r="C16" s="95" t="s">
        <v>170</v>
      </c>
      <c r="D16" s="31" t="s">
        <v>188</v>
      </c>
      <c r="E16" s="95" t="s">
        <v>160</v>
      </c>
      <c r="F16" s="96" t="str">
        <f>IF(CasoPrueba[[#This Row],[Estado Testing]]=Resumen!$P$28,"OK",IF(CasoPrueba[[#This Row],[Estado Testing]]=Resumen!$P$29,"NO OK",IF((CasoPrueba[[#This Row],[Estado Testing]]=Resumen!$P$30)+(CasoPrueba[[#This Row],[Estado Testing]]=Resumen!$P$31),"OBSERVADO","")))</f>
        <v>NO OK</v>
      </c>
      <c r="G16" s="95" t="s">
        <v>20</v>
      </c>
      <c r="H16" s="95" t="s">
        <v>28</v>
      </c>
      <c r="I16" s="97" t="s">
        <v>28</v>
      </c>
      <c r="J16" s="95" t="s">
        <v>47</v>
      </c>
      <c r="K16" s="95"/>
      <c r="L16" s="98">
        <f>General!$A$10</f>
        <v>0</v>
      </c>
      <c r="M16" s="98"/>
      <c r="N16" s="95"/>
      <c r="O16" s="95"/>
      <c r="P16" s="97" t="s">
        <v>473</v>
      </c>
      <c r="Q16" s="95" t="str">
        <f>CONCATENATE(General!$B$7," ",General!$B$6)</f>
        <v>Nicolay García José Ramos Ramírez</v>
      </c>
    </row>
    <row r="17" spans="1:17" ht="33.75">
      <c r="A17" s="95" t="s">
        <v>159</v>
      </c>
      <c r="B17" s="95" t="s">
        <v>174</v>
      </c>
      <c r="C17" s="95" t="s">
        <v>170</v>
      </c>
      <c r="D17" s="31" t="s">
        <v>189</v>
      </c>
      <c r="E17" s="95" t="s">
        <v>160</v>
      </c>
      <c r="F17" s="96" t="str">
        <f>IF(CasoPrueba[[#This Row],[Estado Testing]]=Resumen!$P$28,"OK",IF(CasoPrueba[[#This Row],[Estado Testing]]=Resumen!$P$29,"NO OK",IF((CasoPrueba[[#This Row],[Estado Testing]]=Resumen!$P$30)+(CasoPrueba[[#This Row],[Estado Testing]]=Resumen!$P$31),"OBSERVADO","")))</f>
        <v>NO OK</v>
      </c>
      <c r="G17" s="95" t="s">
        <v>20</v>
      </c>
      <c r="H17" s="95" t="s">
        <v>28</v>
      </c>
      <c r="I17" s="97" t="s">
        <v>30</v>
      </c>
      <c r="J17" s="95" t="s">
        <v>47</v>
      </c>
      <c r="K17" s="95"/>
      <c r="L17" s="98">
        <f>General!$A$10</f>
        <v>0</v>
      </c>
      <c r="M17" s="98"/>
      <c r="N17" s="95"/>
      <c r="O17" s="95"/>
      <c r="P17" s="97" t="s">
        <v>474</v>
      </c>
      <c r="Q17" s="95" t="str">
        <f>CONCATENATE(General!$B$7," ",General!$B$6)</f>
        <v>Nicolay García José Ramos Ramírez</v>
      </c>
    </row>
    <row r="18" spans="1:17" ht="30">
      <c r="A18" s="95" t="s">
        <v>159</v>
      </c>
      <c r="B18" s="95" t="s">
        <v>175</v>
      </c>
      <c r="C18" s="95" t="s">
        <v>170</v>
      </c>
      <c r="D18" s="31" t="s">
        <v>190</v>
      </c>
      <c r="E18" s="95" t="s">
        <v>160</v>
      </c>
      <c r="F18" s="96" t="str">
        <f>IF(CasoPrueba[[#This Row],[Estado Testing]]=Resumen!$P$28,"OK",IF(CasoPrueba[[#This Row],[Estado Testing]]=Resumen!$P$29,"NO OK",IF((CasoPrueba[[#This Row],[Estado Testing]]=Resumen!$P$30)+(CasoPrueba[[#This Row],[Estado Testing]]=Resumen!$P$31),"OBSERVADO","")))</f>
        <v>OK</v>
      </c>
      <c r="G18" s="95" t="s">
        <v>19</v>
      </c>
      <c r="H18" s="95" t="s">
        <v>28</v>
      </c>
      <c r="I18" s="97"/>
      <c r="J18" s="95"/>
      <c r="K18" s="95"/>
      <c r="L18" s="98">
        <f>General!$A$10</f>
        <v>0</v>
      </c>
      <c r="M18" s="98"/>
      <c r="N18" s="95"/>
      <c r="O18" s="95"/>
      <c r="P18" s="97"/>
      <c r="Q18" s="95"/>
    </row>
    <row r="19" spans="1:17" ht="30">
      <c r="A19" s="95" t="s">
        <v>159</v>
      </c>
      <c r="B19" s="95" t="s">
        <v>176</v>
      </c>
      <c r="C19" s="95" t="s">
        <v>170</v>
      </c>
      <c r="D19" s="31" t="s">
        <v>191</v>
      </c>
      <c r="E19" s="95" t="s">
        <v>160</v>
      </c>
      <c r="F19" s="96" t="str">
        <f>IF(CasoPrueba[[#This Row],[Estado Testing]]=Resumen!$P$28,"OK",IF(CasoPrueba[[#This Row],[Estado Testing]]=Resumen!$P$29,"NO OK",IF((CasoPrueba[[#This Row],[Estado Testing]]=Resumen!$P$30)+(CasoPrueba[[#This Row],[Estado Testing]]=Resumen!$P$31),"OBSERVADO","")))</f>
        <v>OK</v>
      </c>
      <c r="G19" s="95" t="s">
        <v>19</v>
      </c>
      <c r="H19" s="95" t="s">
        <v>28</v>
      </c>
      <c r="I19" s="97"/>
      <c r="J19" s="95"/>
      <c r="K19" s="95"/>
      <c r="L19" s="98">
        <f>General!$A$10</f>
        <v>0</v>
      </c>
      <c r="M19" s="98"/>
      <c r="N19" s="95"/>
      <c r="O19" s="95"/>
      <c r="P19" s="97" t="s">
        <v>475</v>
      </c>
      <c r="Q19" s="95"/>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G5:G19</xm:sqref>
        </x14:dataValidation>
        <x14:dataValidation type="list" allowBlank="1" showInputMessage="1" showErrorMessage="1">
          <x14:formula1>
            <xm:f>Resumen!$P$17:$P$19</xm:f>
          </x14:formula1>
          <xm:sqref>H5:H19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122"/>
  <sheetViews>
    <sheetView tabSelected="1" zoomScale="85" zoomScaleNormal="85" workbookViewId="0">
      <selection activeCell="J117" sqref="J117"/>
    </sheetView>
  </sheetViews>
  <sheetFormatPr baseColWidth="10" defaultColWidth="0" defaultRowHeight="15"/>
  <cols>
    <col min="1" max="1" width="12.7109375" style="77" customWidth="1"/>
    <col min="2" max="3" width="12.7109375" style="34" customWidth="1"/>
    <col min="4" max="4" width="15.28515625" style="34" customWidth="1"/>
    <col min="5" max="5" width="12.7109375" style="34" customWidth="1"/>
    <col min="6" max="7" width="12.7109375" style="78" customWidth="1"/>
    <col min="8" max="8" width="13.28515625" style="99"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1" t="s">
        <v>96</v>
      </c>
      <c r="B1" s="201"/>
      <c r="C1" s="201"/>
      <c r="D1" s="201"/>
      <c r="E1" s="201"/>
      <c r="F1" s="201"/>
      <c r="G1" s="201"/>
      <c r="H1" s="201"/>
      <c r="I1" s="201"/>
      <c r="J1" s="201"/>
      <c r="K1" s="201"/>
      <c r="N1" s="31" t="s">
        <v>132</v>
      </c>
    </row>
    <row r="2" spans="1:14" s="76" customFormat="1" ht="38.25">
      <c r="A2" s="158" t="s">
        <v>89</v>
      </c>
      <c r="B2" s="159" t="s">
        <v>90</v>
      </c>
      <c r="C2" s="159" t="s">
        <v>78</v>
      </c>
      <c r="D2" s="159" t="s">
        <v>79</v>
      </c>
      <c r="E2" s="159" t="s">
        <v>91</v>
      </c>
      <c r="F2" s="160" t="s">
        <v>92</v>
      </c>
      <c r="G2" s="160" t="s">
        <v>93</v>
      </c>
      <c r="H2" s="160" t="s">
        <v>129</v>
      </c>
      <c r="I2" s="159" t="s">
        <v>3</v>
      </c>
      <c r="J2" s="159" t="s">
        <v>94</v>
      </c>
      <c r="K2" s="161" t="s">
        <v>104</v>
      </c>
      <c r="L2" s="161" t="s">
        <v>143</v>
      </c>
      <c r="N2" s="31" t="s">
        <v>133</v>
      </c>
    </row>
    <row r="3" spans="1:14" ht="45" hidden="1">
      <c r="A3" s="77" t="s">
        <v>97</v>
      </c>
      <c r="B3" s="34" t="s">
        <v>88</v>
      </c>
      <c r="C3" s="34" t="str">
        <f>VLOOKUP(Observaciones[Caso de Prueba],CasoPrueba[[#All],[Código CP]:[Prioridad]],7,TRUE)</f>
        <v>Alta</v>
      </c>
      <c r="D3" s="34" t="s">
        <v>30</v>
      </c>
      <c r="E3" s="34" t="s">
        <v>49</v>
      </c>
      <c r="F3" s="78">
        <v>40784</v>
      </c>
      <c r="G3" s="78">
        <v>40796</v>
      </c>
      <c r="H3" s="99"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71" t="s">
        <v>161</v>
      </c>
      <c r="B4" s="169" t="s">
        <v>88</v>
      </c>
      <c r="C4" s="34" t="str">
        <f>VLOOKUP(Observaciones[Caso de Prueba],CasoPrueba[[#All],[Código CP]:[Prioridad]],7,TRUE)</f>
        <v>Alta</v>
      </c>
      <c r="D4" s="169" t="s">
        <v>30</v>
      </c>
      <c r="E4" s="34" t="s">
        <v>49</v>
      </c>
      <c r="F4" s="170">
        <v>40784</v>
      </c>
      <c r="G4" s="78">
        <v>40796</v>
      </c>
      <c r="H4" s="172" t="s">
        <v>132</v>
      </c>
      <c r="I4" s="169" t="s">
        <v>192</v>
      </c>
      <c r="J4" s="169"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71" t="s">
        <v>194</v>
      </c>
      <c r="B5" s="169" t="s">
        <v>88</v>
      </c>
      <c r="C5" s="34" t="str">
        <f>VLOOKUP(Observaciones[Caso de Prueba],CasoPrueba[[#All],[Código CP]:[Prioridad]],7,TRUE)</f>
        <v>Alta</v>
      </c>
      <c r="D5" s="169" t="s">
        <v>162</v>
      </c>
      <c r="E5" s="34" t="s">
        <v>49</v>
      </c>
      <c r="F5" s="170">
        <v>40784</v>
      </c>
      <c r="G5" s="78">
        <v>40796</v>
      </c>
      <c r="H5" s="172" t="s">
        <v>132</v>
      </c>
      <c r="I5" s="169" t="s">
        <v>195</v>
      </c>
      <c r="J5" s="169"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71" t="s">
        <v>197</v>
      </c>
      <c r="B6" s="169" t="s">
        <v>88</v>
      </c>
      <c r="C6" s="34" t="str">
        <f>VLOOKUP(Observaciones[Caso de Prueba],CasoPrueba[[#All],[Código CP]:[Prioridad]],7,TRUE)</f>
        <v>Alta</v>
      </c>
      <c r="D6" s="169" t="s">
        <v>162</v>
      </c>
      <c r="E6" s="34" t="s">
        <v>49</v>
      </c>
      <c r="F6" s="170">
        <v>40784</v>
      </c>
      <c r="G6" s="78">
        <v>40796</v>
      </c>
      <c r="H6" s="172" t="s">
        <v>132</v>
      </c>
      <c r="I6" s="169" t="s">
        <v>198</v>
      </c>
      <c r="J6" s="169"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71" t="s">
        <v>200</v>
      </c>
      <c r="B7" s="169" t="s">
        <v>88</v>
      </c>
      <c r="C7" s="34" t="str">
        <f>VLOOKUP(Observaciones[Caso de Prueba],CasoPrueba[[#All],[Código CP]:[Prioridad]],7,TRUE)</f>
        <v>Alta</v>
      </c>
      <c r="D7" s="169" t="s">
        <v>162</v>
      </c>
      <c r="E7" s="34" t="s">
        <v>49</v>
      </c>
      <c r="F7" s="170">
        <v>40784</v>
      </c>
      <c r="G7" s="78">
        <v>40796</v>
      </c>
      <c r="H7" s="172" t="s">
        <v>132</v>
      </c>
      <c r="I7" s="169" t="s">
        <v>426</v>
      </c>
      <c r="J7" s="169"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71" t="s">
        <v>202</v>
      </c>
      <c r="B8" s="169" t="s">
        <v>88</v>
      </c>
      <c r="C8" s="34" t="str">
        <f>VLOOKUP(Observaciones[Caso de Prueba],CasoPrueba[[#All],[Código CP]:[Prioridad]],7,TRUE)</f>
        <v>Alta</v>
      </c>
      <c r="D8" s="169" t="s">
        <v>30</v>
      </c>
      <c r="E8" s="34" t="s">
        <v>49</v>
      </c>
      <c r="F8" s="170">
        <v>40793</v>
      </c>
      <c r="G8" s="78">
        <v>40796</v>
      </c>
      <c r="H8" s="172" t="s">
        <v>132</v>
      </c>
      <c r="I8" s="169" t="s">
        <v>203</v>
      </c>
      <c r="J8" s="169"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71" t="s">
        <v>205</v>
      </c>
      <c r="B9" s="169" t="s">
        <v>88</v>
      </c>
      <c r="C9" s="34" t="str">
        <f>VLOOKUP(Observaciones[Caso de Prueba],CasoPrueba[[#All],[Código CP]:[Prioridad]],7,TRUE)</f>
        <v>Alta</v>
      </c>
      <c r="D9" s="169" t="s">
        <v>29</v>
      </c>
      <c r="E9" s="34" t="s">
        <v>49</v>
      </c>
      <c r="F9" s="170">
        <v>40784</v>
      </c>
      <c r="G9" s="78">
        <v>40796</v>
      </c>
      <c r="H9" s="172" t="s">
        <v>132</v>
      </c>
      <c r="I9" s="169" t="s">
        <v>206</v>
      </c>
      <c r="J9" s="169"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71" t="s">
        <v>208</v>
      </c>
      <c r="B10" s="169" t="s">
        <v>88</v>
      </c>
      <c r="C10" s="34" t="str">
        <f>VLOOKUP(Observaciones[Caso de Prueba],CasoPrueba[[#All],[Código CP]:[Prioridad]],7,TRUE)</f>
        <v>Alta</v>
      </c>
      <c r="D10" s="169" t="s">
        <v>29</v>
      </c>
      <c r="E10" s="34" t="s">
        <v>49</v>
      </c>
      <c r="F10" s="170">
        <v>40784</v>
      </c>
      <c r="G10" s="78">
        <v>40796</v>
      </c>
      <c r="H10" s="172" t="s">
        <v>132</v>
      </c>
      <c r="I10" s="169" t="s">
        <v>209</v>
      </c>
      <c r="J10" s="169"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71" t="s">
        <v>211</v>
      </c>
      <c r="B11" s="169" t="s">
        <v>88</v>
      </c>
      <c r="C11" s="34" t="str">
        <f>VLOOKUP(Observaciones[Caso de Prueba],CasoPrueba[[#All],[Código CP]:[Prioridad]],7,TRUE)</f>
        <v>Alta</v>
      </c>
      <c r="D11" s="169" t="s">
        <v>29</v>
      </c>
      <c r="E11" s="34" t="s">
        <v>49</v>
      </c>
      <c r="F11" s="170">
        <v>40784</v>
      </c>
      <c r="G11" s="78">
        <v>40796</v>
      </c>
      <c r="H11" s="172" t="s">
        <v>132</v>
      </c>
      <c r="I11" s="169" t="s">
        <v>212</v>
      </c>
      <c r="J11" s="169"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71" t="s">
        <v>214</v>
      </c>
      <c r="B12" s="169" t="s">
        <v>88</v>
      </c>
      <c r="C12" s="34" t="str">
        <f>VLOOKUP(Observaciones[Caso de Prueba],CasoPrueba[[#All],[Código CP]:[Prioridad]],7,TRUE)</f>
        <v>Alta</v>
      </c>
      <c r="D12" s="169" t="s">
        <v>29</v>
      </c>
      <c r="E12" s="34" t="s">
        <v>49</v>
      </c>
      <c r="F12" s="170">
        <v>40784</v>
      </c>
      <c r="G12" s="78">
        <v>40796</v>
      </c>
      <c r="H12" s="172" t="s">
        <v>132</v>
      </c>
      <c r="I12" s="169" t="s">
        <v>215</v>
      </c>
      <c r="J12" s="169"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71" t="s">
        <v>217</v>
      </c>
      <c r="B13" s="169" t="s">
        <v>88</v>
      </c>
      <c r="C13" s="34" t="str">
        <f>VLOOKUP(Observaciones[Caso de Prueba],CasoPrueba[[#All],[Código CP]:[Prioridad]],7,TRUE)</f>
        <v>Alta</v>
      </c>
      <c r="D13" s="169" t="s">
        <v>29</v>
      </c>
      <c r="E13" s="34" t="s">
        <v>49</v>
      </c>
      <c r="F13" s="170">
        <v>40784</v>
      </c>
      <c r="G13" s="78">
        <v>40796</v>
      </c>
      <c r="H13" s="172" t="s">
        <v>132</v>
      </c>
      <c r="I13" s="169" t="s">
        <v>218</v>
      </c>
      <c r="J13" s="169"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71" t="s">
        <v>220</v>
      </c>
      <c r="B14" s="169" t="s">
        <v>88</v>
      </c>
      <c r="C14" s="34" t="str">
        <f>VLOOKUP(Observaciones[Caso de Prueba],CasoPrueba[[#All],[Código CP]:[Prioridad]],7,TRUE)</f>
        <v>Alta</v>
      </c>
      <c r="D14" s="169" t="s">
        <v>30</v>
      </c>
      <c r="E14" s="34" t="s">
        <v>49</v>
      </c>
      <c r="F14" s="170">
        <v>40784</v>
      </c>
      <c r="G14" s="78">
        <v>40796</v>
      </c>
      <c r="H14" s="172" t="s">
        <v>132</v>
      </c>
      <c r="I14" s="169" t="s">
        <v>221</v>
      </c>
      <c r="J14" s="169"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71" t="s">
        <v>223</v>
      </c>
      <c r="B15" s="169" t="s">
        <v>88</v>
      </c>
      <c r="C15" s="34" t="str">
        <f>VLOOKUP(Observaciones[Caso de Prueba],CasoPrueba[[#All],[Código CP]:[Prioridad]],7,TRUE)</f>
        <v>Alta</v>
      </c>
      <c r="D15" s="169" t="s">
        <v>30</v>
      </c>
      <c r="E15" s="34" t="s">
        <v>49</v>
      </c>
      <c r="F15" s="170">
        <v>40784</v>
      </c>
      <c r="G15" s="78">
        <v>40796</v>
      </c>
      <c r="H15" s="172" t="s">
        <v>132</v>
      </c>
      <c r="I15" s="169" t="s">
        <v>224</v>
      </c>
      <c r="J15" s="169"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71" t="s">
        <v>226</v>
      </c>
      <c r="B16" s="169" t="s">
        <v>151</v>
      </c>
      <c r="C16" s="34" t="str">
        <f>VLOOKUP(Observaciones[Caso de Prueba],CasoPrueba[[#All],[Código CP]:[Prioridad]],7,TRUE)</f>
        <v>Alta</v>
      </c>
      <c r="D16" s="169" t="s">
        <v>30</v>
      </c>
      <c r="E16" s="34" t="s">
        <v>49</v>
      </c>
      <c r="F16" s="170">
        <v>40786</v>
      </c>
      <c r="G16" s="78">
        <v>40796</v>
      </c>
      <c r="H16" s="172" t="s">
        <v>132</v>
      </c>
      <c r="I16" s="169" t="s">
        <v>227</v>
      </c>
      <c r="J16" s="169"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71" t="s">
        <v>229</v>
      </c>
      <c r="B17" s="169" t="s">
        <v>151</v>
      </c>
      <c r="C17" s="34" t="str">
        <f>VLOOKUP(Observaciones[Caso de Prueba],CasoPrueba[[#All],[Código CP]:[Prioridad]],7,TRUE)</f>
        <v>Alta</v>
      </c>
      <c r="D17" s="169" t="s">
        <v>162</v>
      </c>
      <c r="E17" s="34" t="s">
        <v>49</v>
      </c>
      <c r="F17" s="170">
        <v>40786</v>
      </c>
      <c r="G17" s="78">
        <v>40796</v>
      </c>
      <c r="H17" s="172" t="s">
        <v>132</v>
      </c>
      <c r="I17" s="169" t="s">
        <v>230</v>
      </c>
      <c r="J17" s="169"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71" t="s">
        <v>232</v>
      </c>
      <c r="B18" s="169" t="s">
        <v>151</v>
      </c>
      <c r="C18" s="34" t="str">
        <f>VLOOKUP(Observaciones[Caso de Prueba],CasoPrueba[[#All],[Código CP]:[Prioridad]],7,TRUE)</f>
        <v>Alta</v>
      </c>
      <c r="D18" s="169" t="s">
        <v>162</v>
      </c>
      <c r="E18" s="34" t="s">
        <v>49</v>
      </c>
      <c r="F18" s="170">
        <v>40786</v>
      </c>
      <c r="G18" s="78">
        <v>40796</v>
      </c>
      <c r="H18" s="172" t="s">
        <v>132</v>
      </c>
      <c r="I18" s="169" t="s">
        <v>233</v>
      </c>
      <c r="J18" s="169"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71" t="s">
        <v>235</v>
      </c>
      <c r="B19" s="169" t="s">
        <v>151</v>
      </c>
      <c r="C19" s="34" t="str">
        <f>VLOOKUP(Observaciones[Caso de Prueba],CasoPrueba[[#All],[Código CP]:[Prioridad]],7,TRUE)</f>
        <v>Alta</v>
      </c>
      <c r="D19" s="169" t="s">
        <v>30</v>
      </c>
      <c r="E19" s="34" t="s">
        <v>49</v>
      </c>
      <c r="F19" s="170">
        <v>40793</v>
      </c>
      <c r="G19" s="78">
        <v>40796</v>
      </c>
      <c r="H19" s="172" t="s">
        <v>132</v>
      </c>
      <c r="I19" s="169" t="s">
        <v>236</v>
      </c>
      <c r="J19" s="169"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71" t="s">
        <v>238</v>
      </c>
      <c r="B20" s="169" t="s">
        <v>151</v>
      </c>
      <c r="C20" s="34" t="str">
        <f>VLOOKUP(Observaciones[Caso de Prueba],CasoPrueba[[#All],[Código CP]:[Prioridad]],7,TRUE)</f>
        <v>Alta</v>
      </c>
      <c r="D20" s="169" t="s">
        <v>29</v>
      </c>
      <c r="E20" s="34" t="s">
        <v>49</v>
      </c>
      <c r="F20" s="170">
        <v>40786</v>
      </c>
      <c r="G20" s="78">
        <v>40796</v>
      </c>
      <c r="H20" s="172" t="s">
        <v>132</v>
      </c>
      <c r="I20" s="169" t="s">
        <v>239</v>
      </c>
      <c r="J20" s="169"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71" t="s">
        <v>241</v>
      </c>
      <c r="B21" s="169" t="s">
        <v>151</v>
      </c>
      <c r="C21" s="34" t="str">
        <f>VLOOKUP(Observaciones[Caso de Prueba],CasoPrueba[[#All],[Código CP]:[Prioridad]],7,TRUE)</f>
        <v>Alta</v>
      </c>
      <c r="D21" s="169" t="s">
        <v>29</v>
      </c>
      <c r="E21" s="34" t="s">
        <v>49</v>
      </c>
      <c r="F21" s="170">
        <v>40786</v>
      </c>
      <c r="G21" s="78">
        <v>40796</v>
      </c>
      <c r="H21" s="172" t="s">
        <v>132</v>
      </c>
      <c r="I21" s="169" t="s">
        <v>242</v>
      </c>
      <c r="J21" s="169"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71" t="s">
        <v>244</v>
      </c>
      <c r="B22" s="169" t="s">
        <v>151</v>
      </c>
      <c r="C22" s="34" t="str">
        <f>VLOOKUP(Observaciones[Caso de Prueba],CasoPrueba[[#All],[Código CP]:[Prioridad]],7,TRUE)</f>
        <v>Alta</v>
      </c>
      <c r="D22" s="169" t="s">
        <v>29</v>
      </c>
      <c r="E22" s="34" t="s">
        <v>49</v>
      </c>
      <c r="F22" s="170">
        <v>40786</v>
      </c>
      <c r="G22" s="78">
        <v>40796</v>
      </c>
      <c r="H22" s="172" t="s">
        <v>132</v>
      </c>
      <c r="I22" s="169" t="s">
        <v>245</v>
      </c>
      <c r="J22" s="169"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71" t="s">
        <v>247</v>
      </c>
      <c r="B23" s="169" t="s">
        <v>151</v>
      </c>
      <c r="C23" s="34" t="str">
        <f>VLOOKUP(Observaciones[Caso de Prueba],CasoPrueba[[#All],[Código CP]:[Prioridad]],7,TRUE)</f>
        <v>Alta</v>
      </c>
      <c r="D23" s="169" t="s">
        <v>162</v>
      </c>
      <c r="E23" s="34" t="s">
        <v>49</v>
      </c>
      <c r="F23" s="170">
        <v>40786</v>
      </c>
      <c r="G23" s="78">
        <v>40796</v>
      </c>
      <c r="H23" s="172" t="s">
        <v>132</v>
      </c>
      <c r="I23" s="169" t="s">
        <v>248</v>
      </c>
      <c r="J23" s="169"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71" t="s">
        <v>249</v>
      </c>
      <c r="B24" s="169" t="s">
        <v>151</v>
      </c>
      <c r="C24" s="34" t="str">
        <f>VLOOKUP(Observaciones[Caso de Prueba],CasoPrueba[[#All],[Código CP]:[Prioridad]],7,TRUE)</f>
        <v>Alta</v>
      </c>
      <c r="D24" s="169" t="s">
        <v>28</v>
      </c>
      <c r="E24" s="34" t="s">
        <v>49</v>
      </c>
      <c r="F24" s="170">
        <v>40786</v>
      </c>
      <c r="G24" s="78">
        <v>40796</v>
      </c>
      <c r="H24" s="172" t="s">
        <v>132</v>
      </c>
      <c r="I24" s="169" t="s">
        <v>250</v>
      </c>
      <c r="J24" s="169"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71" t="s">
        <v>252</v>
      </c>
      <c r="B25" s="169" t="s">
        <v>152</v>
      </c>
      <c r="C25" s="34" t="str">
        <f>VLOOKUP(Observaciones[Caso de Prueba],CasoPrueba[[#All],[Código CP]:[Prioridad]],7,TRUE)</f>
        <v>Alta</v>
      </c>
      <c r="D25" s="169" t="s">
        <v>30</v>
      </c>
      <c r="E25" s="34" t="s">
        <v>49</v>
      </c>
      <c r="F25" s="170">
        <v>40786</v>
      </c>
      <c r="G25" s="78">
        <v>40796</v>
      </c>
      <c r="H25" s="172" t="s">
        <v>132</v>
      </c>
      <c r="I25" s="169" t="s">
        <v>253</v>
      </c>
      <c r="J25" s="169"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71" t="s">
        <v>254</v>
      </c>
      <c r="B26" s="169" t="s">
        <v>152</v>
      </c>
      <c r="C26" s="34" t="str">
        <f>VLOOKUP(Observaciones[Caso de Prueba],CasoPrueba[[#All],[Código CP]:[Prioridad]],7,TRUE)</f>
        <v>Alta</v>
      </c>
      <c r="D26" s="169" t="s">
        <v>30</v>
      </c>
      <c r="E26" s="169" t="s">
        <v>49</v>
      </c>
      <c r="F26" s="170">
        <v>40793</v>
      </c>
      <c r="G26" s="78">
        <v>40796</v>
      </c>
      <c r="H26" s="172" t="s">
        <v>132</v>
      </c>
      <c r="I26" s="169" t="s">
        <v>236</v>
      </c>
      <c r="J26" s="169"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71" t="s">
        <v>256</v>
      </c>
      <c r="B27" s="169" t="s">
        <v>152</v>
      </c>
      <c r="C27" s="34" t="str">
        <f>VLOOKUP(Observaciones[Caso de Prueba],CasoPrueba[[#All],[Código CP]:[Prioridad]],7,TRUE)</f>
        <v>Alta</v>
      </c>
      <c r="D27" s="169" t="s">
        <v>29</v>
      </c>
      <c r="E27" s="169" t="s">
        <v>49</v>
      </c>
      <c r="F27" s="170">
        <v>40786</v>
      </c>
      <c r="G27" s="78">
        <v>40796</v>
      </c>
      <c r="H27" s="172" t="s">
        <v>132</v>
      </c>
      <c r="I27" s="169" t="s">
        <v>257</v>
      </c>
      <c r="J27" s="169"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71" t="s">
        <v>259</v>
      </c>
      <c r="B28" s="169" t="s">
        <v>152</v>
      </c>
      <c r="C28" s="34" t="str">
        <f>VLOOKUP(Observaciones[Caso de Prueba],CasoPrueba[[#All],[Código CP]:[Prioridad]],7,TRUE)</f>
        <v>Alta</v>
      </c>
      <c r="D28" s="169" t="s">
        <v>29</v>
      </c>
      <c r="E28" s="169" t="s">
        <v>49</v>
      </c>
      <c r="F28" s="170">
        <v>40786</v>
      </c>
      <c r="G28" s="78">
        <v>40796</v>
      </c>
      <c r="H28" s="172" t="s">
        <v>132</v>
      </c>
      <c r="I28" s="169" t="s">
        <v>260</v>
      </c>
      <c r="J28" s="169"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71" t="s">
        <v>262</v>
      </c>
      <c r="B29" s="169" t="s">
        <v>152</v>
      </c>
      <c r="C29" s="34" t="str">
        <f>VLOOKUP(Observaciones[Caso de Prueba],CasoPrueba[[#All],[Código CP]:[Prioridad]],7,TRUE)</f>
        <v>Alta</v>
      </c>
      <c r="D29" s="169" t="s">
        <v>162</v>
      </c>
      <c r="E29" s="169" t="s">
        <v>49</v>
      </c>
      <c r="F29" s="170">
        <v>40786</v>
      </c>
      <c r="G29" s="78">
        <v>40796</v>
      </c>
      <c r="H29" s="172" t="s">
        <v>132</v>
      </c>
      <c r="I29" s="169" t="s">
        <v>263</v>
      </c>
      <c r="J29" s="169"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71" t="s">
        <v>265</v>
      </c>
      <c r="B30" s="169" t="s">
        <v>152</v>
      </c>
      <c r="C30" s="34" t="str">
        <f>VLOOKUP(Observaciones[Caso de Prueba],CasoPrueba[[#All],[Código CP]:[Prioridad]],7,TRUE)</f>
        <v>Alta</v>
      </c>
      <c r="D30" s="169" t="s">
        <v>28</v>
      </c>
      <c r="E30" s="169" t="s">
        <v>49</v>
      </c>
      <c r="F30" s="170">
        <v>40793</v>
      </c>
      <c r="G30" s="78">
        <v>40796</v>
      </c>
      <c r="H30" s="172" t="s">
        <v>132</v>
      </c>
      <c r="I30" s="169" t="s">
        <v>250</v>
      </c>
      <c r="J30" s="169"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71" t="s">
        <v>267</v>
      </c>
      <c r="B31" s="169" t="s">
        <v>153</v>
      </c>
      <c r="C31" s="34" t="str">
        <f>VLOOKUP(Observaciones[Caso de Prueba],CasoPrueba[[#All],[Código CP]:[Prioridad]],7,TRUE)</f>
        <v>Alta</v>
      </c>
      <c r="D31" s="169" t="s">
        <v>30</v>
      </c>
      <c r="E31" s="169" t="s">
        <v>49</v>
      </c>
      <c r="F31" s="170">
        <v>40788</v>
      </c>
      <c r="G31" s="78">
        <v>40796</v>
      </c>
      <c r="H31" s="172" t="s">
        <v>132</v>
      </c>
      <c r="I31" s="169" t="s">
        <v>268</v>
      </c>
      <c r="J31" s="169"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71" t="s">
        <v>270</v>
      </c>
      <c r="B32" s="169" t="s">
        <v>153</v>
      </c>
      <c r="C32" s="34" t="str">
        <f>VLOOKUP(Observaciones[Caso de Prueba],CasoPrueba[[#All],[Código CP]:[Prioridad]],7,TRUE)</f>
        <v>Alta</v>
      </c>
      <c r="D32" s="169" t="s">
        <v>30</v>
      </c>
      <c r="E32" s="169" t="s">
        <v>49</v>
      </c>
      <c r="F32" s="170">
        <v>40788</v>
      </c>
      <c r="G32" s="78">
        <v>40796</v>
      </c>
      <c r="H32" s="172" t="s">
        <v>132</v>
      </c>
      <c r="I32" s="169" t="s">
        <v>253</v>
      </c>
      <c r="J32" s="169"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71" t="s">
        <v>271</v>
      </c>
      <c r="B33" s="169" t="s">
        <v>153</v>
      </c>
      <c r="C33" s="34" t="str">
        <f>VLOOKUP(Observaciones[Caso de Prueba],CasoPrueba[[#All],[Código CP]:[Prioridad]],7,TRUE)</f>
        <v>Alta</v>
      </c>
      <c r="D33" s="169" t="s">
        <v>30</v>
      </c>
      <c r="E33" s="169" t="s">
        <v>49</v>
      </c>
      <c r="F33" s="170">
        <v>40793</v>
      </c>
      <c r="G33" s="78">
        <v>40796</v>
      </c>
      <c r="H33" s="172" t="s">
        <v>132</v>
      </c>
      <c r="I33" s="169" t="s">
        <v>236</v>
      </c>
      <c r="J33" s="169"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71" t="s">
        <v>273</v>
      </c>
      <c r="B34" s="169" t="s">
        <v>153</v>
      </c>
      <c r="C34" s="34" t="str">
        <f>VLOOKUP(Observaciones[Caso de Prueba],CasoPrueba[[#All],[Código CP]:[Prioridad]],7,TRUE)</f>
        <v>Alta</v>
      </c>
      <c r="D34" s="169" t="s">
        <v>29</v>
      </c>
      <c r="E34" s="169" t="s">
        <v>49</v>
      </c>
      <c r="F34" s="170">
        <v>40788</v>
      </c>
      <c r="G34" s="78">
        <v>40796</v>
      </c>
      <c r="H34" s="172" t="s">
        <v>132</v>
      </c>
      <c r="I34" s="169" t="s">
        <v>206</v>
      </c>
      <c r="J34" s="169"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71" t="s">
        <v>275</v>
      </c>
      <c r="B35" s="169" t="s">
        <v>153</v>
      </c>
      <c r="C35" s="34" t="str">
        <f>VLOOKUP(Observaciones[Caso de Prueba],CasoPrueba[[#All],[Código CP]:[Prioridad]],7,TRUE)</f>
        <v>Alta</v>
      </c>
      <c r="D35" s="169" t="s">
        <v>30</v>
      </c>
      <c r="E35" s="169" t="s">
        <v>49</v>
      </c>
      <c r="F35" s="170">
        <v>40788</v>
      </c>
      <c r="G35" s="78">
        <v>40796</v>
      </c>
      <c r="H35" s="172" t="s">
        <v>132</v>
      </c>
      <c r="I35" s="169" t="s">
        <v>276</v>
      </c>
      <c r="J35" s="169"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71" t="s">
        <v>278</v>
      </c>
      <c r="B36" s="169" t="s">
        <v>153</v>
      </c>
      <c r="C36" s="34" t="str">
        <f>VLOOKUP(Observaciones[Caso de Prueba],CasoPrueba[[#All],[Código CP]:[Prioridad]],7,TRUE)</f>
        <v>Alta</v>
      </c>
      <c r="D36" s="169" t="s">
        <v>29</v>
      </c>
      <c r="E36" s="169" t="s">
        <v>49</v>
      </c>
      <c r="F36" s="170">
        <v>40788</v>
      </c>
      <c r="G36" s="78">
        <v>40796</v>
      </c>
      <c r="H36" s="172" t="s">
        <v>132</v>
      </c>
      <c r="I36" s="169" t="s">
        <v>279</v>
      </c>
      <c r="J36" s="169"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71" t="s">
        <v>281</v>
      </c>
      <c r="B37" s="169" t="s">
        <v>153</v>
      </c>
      <c r="C37" s="34" t="str">
        <f>VLOOKUP(Observaciones[Caso de Prueba],CasoPrueba[[#All],[Código CP]:[Prioridad]],7,TRUE)</f>
        <v>Alta</v>
      </c>
      <c r="D37" s="169" t="s">
        <v>29</v>
      </c>
      <c r="E37" s="169" t="s">
        <v>49</v>
      </c>
      <c r="F37" s="170">
        <v>40788</v>
      </c>
      <c r="G37" s="78">
        <v>40796</v>
      </c>
      <c r="H37" s="172" t="s">
        <v>132</v>
      </c>
      <c r="I37" s="169" t="s">
        <v>282</v>
      </c>
      <c r="J37" s="169"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71" t="s">
        <v>284</v>
      </c>
      <c r="B38" s="169" t="s">
        <v>153</v>
      </c>
      <c r="C38" s="34" t="str">
        <f>VLOOKUP(Observaciones[Caso de Prueba],CasoPrueba[[#All],[Código CP]:[Prioridad]],7,TRUE)</f>
        <v>Alta</v>
      </c>
      <c r="D38" s="169" t="s">
        <v>29</v>
      </c>
      <c r="E38" s="169" t="s">
        <v>49</v>
      </c>
      <c r="F38" s="170">
        <v>40788</v>
      </c>
      <c r="G38" s="78">
        <v>40796</v>
      </c>
      <c r="H38" s="172" t="s">
        <v>132</v>
      </c>
      <c r="I38" s="169" t="s">
        <v>285</v>
      </c>
      <c r="J38" s="169"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71" t="s">
        <v>287</v>
      </c>
      <c r="B39" s="169" t="s">
        <v>153</v>
      </c>
      <c r="C39" s="34" t="str">
        <f>VLOOKUP(Observaciones[Caso de Prueba],CasoPrueba[[#All],[Código CP]:[Prioridad]],7,TRUE)</f>
        <v>Alta</v>
      </c>
      <c r="D39" s="169" t="s">
        <v>29</v>
      </c>
      <c r="E39" s="169" t="s">
        <v>49</v>
      </c>
      <c r="F39" s="170">
        <v>40788</v>
      </c>
      <c r="G39" s="78">
        <v>40796</v>
      </c>
      <c r="H39" s="172" t="s">
        <v>132</v>
      </c>
      <c r="I39" s="169" t="s">
        <v>288</v>
      </c>
      <c r="J39" s="169"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71" t="s">
        <v>290</v>
      </c>
      <c r="B40" s="169" t="s">
        <v>153</v>
      </c>
      <c r="C40" s="34" t="str">
        <f>VLOOKUP(Observaciones[Caso de Prueba],CasoPrueba[[#All],[Código CP]:[Prioridad]],7,TRUE)</f>
        <v>Alta</v>
      </c>
      <c r="D40" s="169" t="s">
        <v>162</v>
      </c>
      <c r="E40" s="169" t="s">
        <v>49</v>
      </c>
      <c r="F40" s="170">
        <v>40788</v>
      </c>
      <c r="G40" s="78">
        <v>40796</v>
      </c>
      <c r="H40" s="172" t="s">
        <v>132</v>
      </c>
      <c r="I40" s="169" t="s">
        <v>291</v>
      </c>
      <c r="J40" s="169"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71" t="s">
        <v>292</v>
      </c>
      <c r="B41" s="169" t="s">
        <v>153</v>
      </c>
      <c r="C41" s="34" t="str">
        <f>VLOOKUP(Observaciones[Caso de Prueba],CasoPrueba[[#All],[Código CP]:[Prioridad]],7,TRUE)</f>
        <v>Alta</v>
      </c>
      <c r="D41" s="169" t="s">
        <v>30</v>
      </c>
      <c r="E41" s="169" t="s">
        <v>49</v>
      </c>
      <c r="F41" s="170">
        <v>40788</v>
      </c>
      <c r="G41" s="78">
        <v>40796</v>
      </c>
      <c r="H41" s="172" t="s">
        <v>132</v>
      </c>
      <c r="I41" s="169" t="s">
        <v>293</v>
      </c>
      <c r="J41" s="169"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71" t="s">
        <v>295</v>
      </c>
      <c r="B42" s="169" t="s">
        <v>153</v>
      </c>
      <c r="C42" s="34" t="str">
        <f>VLOOKUP(Observaciones[Caso de Prueba],CasoPrueba[[#All],[Código CP]:[Prioridad]],7,TRUE)</f>
        <v>Alta</v>
      </c>
      <c r="D42" s="169" t="s">
        <v>29</v>
      </c>
      <c r="E42" s="169" t="s">
        <v>49</v>
      </c>
      <c r="F42" s="170">
        <v>40788</v>
      </c>
      <c r="G42" s="78">
        <v>40796</v>
      </c>
      <c r="H42" s="172" t="s">
        <v>132</v>
      </c>
      <c r="I42" s="169" t="s">
        <v>296</v>
      </c>
      <c r="J42" s="169"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71" t="s">
        <v>298</v>
      </c>
      <c r="B43" s="169" t="s">
        <v>154</v>
      </c>
      <c r="C43" s="34" t="str">
        <f>VLOOKUP(Observaciones[Caso de Prueba],CasoPrueba[[#All],[Código CP]:[Prioridad]],7,TRUE)</f>
        <v>Alta</v>
      </c>
      <c r="D43" s="169" t="s">
        <v>30</v>
      </c>
      <c r="E43" s="169" t="s">
        <v>49</v>
      </c>
      <c r="F43" s="170">
        <v>40788</v>
      </c>
      <c r="G43" s="78">
        <v>40796</v>
      </c>
      <c r="H43" s="172" t="s">
        <v>132</v>
      </c>
      <c r="I43" s="169" t="s">
        <v>253</v>
      </c>
      <c r="J43" s="169"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71" t="s">
        <v>299</v>
      </c>
      <c r="B44" s="169" t="s">
        <v>154</v>
      </c>
      <c r="C44" s="34" t="str">
        <f>VLOOKUP(Observaciones[Caso de Prueba],CasoPrueba[[#All],[Código CP]:[Prioridad]],7,TRUE)</f>
        <v>Alta</v>
      </c>
      <c r="D44" s="169" t="s">
        <v>30</v>
      </c>
      <c r="E44" s="169" t="s">
        <v>49</v>
      </c>
      <c r="F44" s="170">
        <v>40793</v>
      </c>
      <c r="G44" s="78">
        <v>40796</v>
      </c>
      <c r="H44" s="172" t="s">
        <v>132</v>
      </c>
      <c r="I44" s="169" t="s">
        <v>236</v>
      </c>
      <c r="J44" s="169"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71" t="s">
        <v>300</v>
      </c>
      <c r="B45" s="169" t="s">
        <v>154</v>
      </c>
      <c r="C45" s="34" t="str">
        <f>VLOOKUP(Observaciones[Caso de Prueba],CasoPrueba[[#All],[Código CP]:[Prioridad]],7,TRUE)</f>
        <v>Alta</v>
      </c>
      <c r="D45" s="169" t="s">
        <v>29</v>
      </c>
      <c r="E45" s="169" t="s">
        <v>49</v>
      </c>
      <c r="F45" s="170">
        <v>40788</v>
      </c>
      <c r="G45" s="78">
        <v>40796</v>
      </c>
      <c r="H45" s="172" t="s">
        <v>132</v>
      </c>
      <c r="I45" s="169" t="s">
        <v>301</v>
      </c>
      <c r="J45" s="169"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71" t="s">
        <v>302</v>
      </c>
      <c r="B46" s="169" t="s">
        <v>154</v>
      </c>
      <c r="C46" s="34" t="str">
        <f>VLOOKUP(Observaciones[Caso de Prueba],CasoPrueba[[#All],[Código CP]:[Prioridad]],7,TRUE)</f>
        <v>Alta</v>
      </c>
      <c r="D46" s="169" t="s">
        <v>29</v>
      </c>
      <c r="E46" s="169" t="s">
        <v>49</v>
      </c>
      <c r="F46" s="170">
        <v>40788</v>
      </c>
      <c r="G46" s="78">
        <v>40796</v>
      </c>
      <c r="H46" s="172" t="s">
        <v>132</v>
      </c>
      <c r="I46" s="169" t="s">
        <v>303</v>
      </c>
      <c r="J46" s="169"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71" t="s">
        <v>304</v>
      </c>
      <c r="B47" s="169" t="s">
        <v>154</v>
      </c>
      <c r="C47" s="34" t="str">
        <f>VLOOKUP(Observaciones[Caso de Prueba],CasoPrueba[[#All],[Código CP]:[Prioridad]],7,TRUE)</f>
        <v>Alta</v>
      </c>
      <c r="D47" s="169" t="s">
        <v>28</v>
      </c>
      <c r="E47" s="169" t="s">
        <v>49</v>
      </c>
      <c r="F47" s="170">
        <v>40793</v>
      </c>
      <c r="G47" s="78">
        <v>40796</v>
      </c>
      <c r="H47" s="172" t="s">
        <v>132</v>
      </c>
      <c r="I47" s="169" t="s">
        <v>250</v>
      </c>
      <c r="J47" s="169"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71" t="s">
        <v>306</v>
      </c>
      <c r="B48" s="169" t="s">
        <v>155</v>
      </c>
      <c r="C48" s="34" t="str">
        <f>VLOOKUP(Observaciones[Caso de Prueba],CasoPrueba[[#All],[Código CP]:[Prioridad]],7,TRUE)</f>
        <v>Alta</v>
      </c>
      <c r="D48" s="169" t="s">
        <v>30</v>
      </c>
      <c r="E48" s="169" t="s">
        <v>49</v>
      </c>
      <c r="F48" s="170">
        <v>40788</v>
      </c>
      <c r="G48" s="78">
        <v>40796</v>
      </c>
      <c r="H48" s="172" t="s">
        <v>132</v>
      </c>
      <c r="I48" s="169" t="s">
        <v>253</v>
      </c>
      <c r="J48" s="169"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71" t="s">
        <v>307</v>
      </c>
      <c r="B49" s="169" t="s">
        <v>155</v>
      </c>
      <c r="C49" s="34" t="str">
        <f>VLOOKUP(Observaciones[Caso de Prueba],CasoPrueba[[#All],[Código CP]:[Prioridad]],7,TRUE)</f>
        <v>Alta</v>
      </c>
      <c r="D49" s="169" t="s">
        <v>30</v>
      </c>
      <c r="E49" s="169" t="s">
        <v>49</v>
      </c>
      <c r="F49" s="170">
        <v>40793</v>
      </c>
      <c r="G49" s="78">
        <v>40796</v>
      </c>
      <c r="H49" s="172" t="s">
        <v>132</v>
      </c>
      <c r="I49" s="169" t="s">
        <v>236</v>
      </c>
      <c r="J49" s="169"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71" t="s">
        <v>308</v>
      </c>
      <c r="B50" s="169" t="s">
        <v>155</v>
      </c>
      <c r="C50" s="34" t="str">
        <f>VLOOKUP(Observaciones[Caso de Prueba],CasoPrueba[[#All],[Código CP]:[Prioridad]],7,TRUE)</f>
        <v>Alta</v>
      </c>
      <c r="D50" s="169" t="s">
        <v>29</v>
      </c>
      <c r="E50" s="169" t="s">
        <v>49</v>
      </c>
      <c r="F50" s="170">
        <v>40788</v>
      </c>
      <c r="G50" s="78">
        <v>40796</v>
      </c>
      <c r="H50" s="172" t="s">
        <v>132</v>
      </c>
      <c r="I50" s="169" t="s">
        <v>301</v>
      </c>
      <c r="J50" s="169"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71" t="s">
        <v>309</v>
      </c>
      <c r="B51" s="169" t="s">
        <v>156</v>
      </c>
      <c r="C51" s="34" t="str">
        <f>VLOOKUP(Observaciones[Caso de Prueba],CasoPrueba[[#All],[Código CP]:[Prioridad]],7,TRUE)</f>
        <v>Alta</v>
      </c>
      <c r="D51" s="169" t="s">
        <v>30</v>
      </c>
      <c r="E51" s="169" t="s">
        <v>49</v>
      </c>
      <c r="F51" s="170">
        <v>40789</v>
      </c>
      <c r="G51" s="78">
        <v>40796</v>
      </c>
      <c r="H51" s="172" t="s">
        <v>132</v>
      </c>
      <c r="I51" s="169" t="s">
        <v>253</v>
      </c>
      <c r="J51" s="169"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71" t="s">
        <v>310</v>
      </c>
      <c r="B52" s="169" t="s">
        <v>156</v>
      </c>
      <c r="C52" s="34" t="str">
        <f>VLOOKUP(Observaciones[Caso de Prueba],CasoPrueba[[#All],[Código CP]:[Prioridad]],7,TRUE)</f>
        <v>Alta</v>
      </c>
      <c r="D52" s="169" t="s">
        <v>30</v>
      </c>
      <c r="E52" s="169" t="s">
        <v>49</v>
      </c>
      <c r="F52" s="170">
        <v>40793</v>
      </c>
      <c r="G52" s="78">
        <v>40796</v>
      </c>
      <c r="H52" s="172" t="s">
        <v>132</v>
      </c>
      <c r="I52" s="169" t="s">
        <v>236</v>
      </c>
      <c r="J52" s="169"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71" t="s">
        <v>311</v>
      </c>
      <c r="B53" s="169" t="s">
        <v>156</v>
      </c>
      <c r="C53" s="34" t="str">
        <f>VLOOKUP(Observaciones[Caso de Prueba],CasoPrueba[[#All],[Código CP]:[Prioridad]],7,TRUE)</f>
        <v>Alta</v>
      </c>
      <c r="D53" s="169" t="s">
        <v>30</v>
      </c>
      <c r="E53" s="169" t="s">
        <v>49</v>
      </c>
      <c r="F53" s="170">
        <v>40789</v>
      </c>
      <c r="G53" s="78">
        <v>40796</v>
      </c>
      <c r="H53" s="172" t="s">
        <v>132</v>
      </c>
      <c r="I53" s="169" t="s">
        <v>312</v>
      </c>
      <c r="J53" s="169"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71" t="s">
        <v>314</v>
      </c>
      <c r="B54" s="169" t="s">
        <v>156</v>
      </c>
      <c r="C54" s="34" t="str">
        <f>VLOOKUP(Observaciones[Caso de Prueba],CasoPrueba[[#All],[Código CP]:[Prioridad]],7,TRUE)</f>
        <v>Alta</v>
      </c>
      <c r="D54" s="169" t="s">
        <v>29</v>
      </c>
      <c r="E54" s="169" t="s">
        <v>49</v>
      </c>
      <c r="F54" s="170">
        <v>40789</v>
      </c>
      <c r="G54" s="78">
        <v>40796</v>
      </c>
      <c r="H54" s="172" t="s">
        <v>132</v>
      </c>
      <c r="I54" s="169" t="s">
        <v>315</v>
      </c>
      <c r="J54" s="169"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71" t="s">
        <v>316</v>
      </c>
      <c r="B55" s="169" t="s">
        <v>156</v>
      </c>
      <c r="C55" s="34" t="str">
        <f>VLOOKUP(Observaciones[Caso de Prueba],CasoPrueba[[#All],[Código CP]:[Prioridad]],7,TRUE)</f>
        <v>Alta</v>
      </c>
      <c r="D55" s="169" t="s">
        <v>30</v>
      </c>
      <c r="E55" s="169" t="s">
        <v>49</v>
      </c>
      <c r="F55" s="170">
        <v>40793</v>
      </c>
      <c r="G55" s="78">
        <v>40796</v>
      </c>
      <c r="H55" s="172" t="s">
        <v>132</v>
      </c>
      <c r="I55" s="169" t="s">
        <v>317</v>
      </c>
      <c r="J55" s="169"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71" t="s">
        <v>319</v>
      </c>
      <c r="B56" s="169" t="s">
        <v>156</v>
      </c>
      <c r="C56" s="34" t="str">
        <f>VLOOKUP(Observaciones[Caso de Prueba],CasoPrueba[[#All],[Código CP]:[Prioridad]],7,TRUE)</f>
        <v>Alta</v>
      </c>
      <c r="D56" s="169" t="s">
        <v>30</v>
      </c>
      <c r="E56" s="169" t="s">
        <v>49</v>
      </c>
      <c r="F56" s="170">
        <v>40789</v>
      </c>
      <c r="G56" s="78">
        <v>40796</v>
      </c>
      <c r="H56" s="172" t="s">
        <v>132</v>
      </c>
      <c r="I56" s="169" t="s">
        <v>320</v>
      </c>
      <c r="J56" s="169"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71" t="s">
        <v>322</v>
      </c>
      <c r="B57" s="169" t="s">
        <v>156</v>
      </c>
      <c r="C57" s="34" t="str">
        <f>VLOOKUP(Observaciones[Caso de Prueba],CasoPrueba[[#All],[Código CP]:[Prioridad]],7,TRUE)</f>
        <v>Alta</v>
      </c>
      <c r="D57" s="169" t="s">
        <v>29</v>
      </c>
      <c r="E57" s="169" t="s">
        <v>49</v>
      </c>
      <c r="F57" s="170">
        <v>40789</v>
      </c>
      <c r="G57" s="78">
        <v>40796</v>
      </c>
      <c r="H57" s="172" t="s">
        <v>132</v>
      </c>
      <c r="I57" s="169" t="s">
        <v>323</v>
      </c>
      <c r="J57" s="169"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71" t="s">
        <v>325</v>
      </c>
      <c r="B58" s="169" t="s">
        <v>157</v>
      </c>
      <c r="C58" s="34" t="str">
        <f>VLOOKUP(Observaciones[Caso de Prueba],CasoPrueba[[#All],[Código CP]:[Prioridad]],7,TRUE)</f>
        <v>Alta</v>
      </c>
      <c r="D58" s="169" t="s">
        <v>30</v>
      </c>
      <c r="E58" s="169" t="s">
        <v>49</v>
      </c>
      <c r="F58" s="170">
        <v>40789</v>
      </c>
      <c r="G58" s="78">
        <v>40796</v>
      </c>
      <c r="H58" s="172" t="s">
        <v>132</v>
      </c>
      <c r="I58" s="169" t="s">
        <v>253</v>
      </c>
      <c r="J58" s="169"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71" t="s">
        <v>326</v>
      </c>
      <c r="B59" s="169" t="s">
        <v>157</v>
      </c>
      <c r="C59" s="34" t="str">
        <f>VLOOKUP(Observaciones[Caso de Prueba],CasoPrueba[[#All],[Código CP]:[Prioridad]],7,TRUE)</f>
        <v>Alta</v>
      </c>
      <c r="D59" s="169" t="s">
        <v>30</v>
      </c>
      <c r="E59" s="169" t="s">
        <v>49</v>
      </c>
      <c r="F59" s="170">
        <v>40793</v>
      </c>
      <c r="G59" s="78">
        <v>40796</v>
      </c>
      <c r="H59" s="172" t="s">
        <v>132</v>
      </c>
      <c r="I59" s="169" t="s">
        <v>236</v>
      </c>
      <c r="J59" s="169"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71" t="s">
        <v>327</v>
      </c>
      <c r="B60" s="169" t="s">
        <v>157</v>
      </c>
      <c r="C60" s="34" t="str">
        <f>VLOOKUP(Observaciones[Caso de Prueba],CasoPrueba[[#All],[Código CP]:[Prioridad]],7,TRUE)</f>
        <v>Alta</v>
      </c>
      <c r="D60" s="169" t="s">
        <v>162</v>
      </c>
      <c r="E60" s="169" t="s">
        <v>49</v>
      </c>
      <c r="F60" s="170">
        <v>40789</v>
      </c>
      <c r="G60" s="78">
        <v>40796</v>
      </c>
      <c r="H60" s="172" t="s">
        <v>132</v>
      </c>
      <c r="I60" s="169" t="s">
        <v>328</v>
      </c>
      <c r="J60" s="169"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71" t="s">
        <v>329</v>
      </c>
      <c r="B61" s="169" t="s">
        <v>157</v>
      </c>
      <c r="C61" s="34" t="str">
        <f>VLOOKUP(Observaciones[Caso de Prueba],CasoPrueba[[#All],[Código CP]:[Prioridad]],7,TRUE)</f>
        <v>Alta</v>
      </c>
      <c r="D61" s="169" t="s">
        <v>29</v>
      </c>
      <c r="E61" s="169" t="s">
        <v>49</v>
      </c>
      <c r="F61" s="170">
        <v>40789</v>
      </c>
      <c r="G61" s="78">
        <v>40796</v>
      </c>
      <c r="H61" s="172" t="s">
        <v>132</v>
      </c>
      <c r="I61" s="169" t="s">
        <v>330</v>
      </c>
      <c r="J61" s="169"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71" t="s">
        <v>332</v>
      </c>
      <c r="B62" s="169" t="s">
        <v>157</v>
      </c>
      <c r="C62" s="34" t="str">
        <f>VLOOKUP(Observaciones[Caso de Prueba],CasoPrueba[[#All],[Código CP]:[Prioridad]],7,TRUE)</f>
        <v>Alta</v>
      </c>
      <c r="D62" s="169" t="s">
        <v>29</v>
      </c>
      <c r="E62" s="169" t="s">
        <v>49</v>
      </c>
      <c r="F62" s="170">
        <v>40789</v>
      </c>
      <c r="G62" s="78">
        <v>40796</v>
      </c>
      <c r="H62" s="172" t="s">
        <v>132</v>
      </c>
      <c r="I62" s="169" t="s">
        <v>333</v>
      </c>
      <c r="J62" s="169"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71" t="s">
        <v>334</v>
      </c>
      <c r="B63" s="169" t="s">
        <v>157</v>
      </c>
      <c r="C63" s="34" t="str">
        <f>VLOOKUP(Observaciones[Caso de Prueba],CasoPrueba[[#All],[Código CP]:[Prioridad]],7,TRUE)</f>
        <v>Alta</v>
      </c>
      <c r="D63" s="169" t="s">
        <v>28</v>
      </c>
      <c r="E63" s="169" t="s">
        <v>49</v>
      </c>
      <c r="F63" s="170">
        <v>40793</v>
      </c>
      <c r="G63" s="78">
        <v>40796</v>
      </c>
      <c r="H63" s="172" t="s">
        <v>132</v>
      </c>
      <c r="I63" s="169" t="s">
        <v>250</v>
      </c>
      <c r="J63" s="169"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71" t="s">
        <v>336</v>
      </c>
      <c r="B64" s="169" t="s">
        <v>158</v>
      </c>
      <c r="C64" s="34" t="str">
        <f>VLOOKUP(Observaciones[Caso de Prueba],CasoPrueba[[#All],[Código CP]:[Prioridad]],7,TRUE)</f>
        <v>Alta</v>
      </c>
      <c r="D64" s="169" t="s">
        <v>30</v>
      </c>
      <c r="E64" s="169" t="s">
        <v>49</v>
      </c>
      <c r="F64" s="170">
        <v>40791</v>
      </c>
      <c r="G64" s="78">
        <v>40796</v>
      </c>
      <c r="H64" s="172" t="s">
        <v>132</v>
      </c>
      <c r="I64" s="169" t="s">
        <v>253</v>
      </c>
      <c r="J64" s="169"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71" t="s">
        <v>337</v>
      </c>
      <c r="B65" s="169" t="s">
        <v>158</v>
      </c>
      <c r="C65" s="34" t="str">
        <f>VLOOKUP(Observaciones[Caso de Prueba],CasoPrueba[[#All],[Código CP]:[Prioridad]],7,TRUE)</f>
        <v>Alta</v>
      </c>
      <c r="D65" s="169" t="s">
        <v>30</v>
      </c>
      <c r="E65" s="169" t="s">
        <v>49</v>
      </c>
      <c r="F65" s="170">
        <v>40793</v>
      </c>
      <c r="G65" s="78">
        <v>40796</v>
      </c>
      <c r="H65" s="172" t="s">
        <v>132</v>
      </c>
      <c r="I65" s="169" t="s">
        <v>236</v>
      </c>
      <c r="J65" s="169"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71" t="s">
        <v>338</v>
      </c>
      <c r="B66" s="169" t="s">
        <v>158</v>
      </c>
      <c r="C66" s="34" t="str">
        <f>VLOOKUP(Observaciones[Caso de Prueba],CasoPrueba[[#All],[Código CP]:[Prioridad]],7,TRUE)</f>
        <v>Alta</v>
      </c>
      <c r="D66" s="169" t="s">
        <v>30</v>
      </c>
      <c r="E66" s="169" t="s">
        <v>49</v>
      </c>
      <c r="F66" s="170">
        <v>40793</v>
      </c>
      <c r="G66" s="78">
        <v>40796</v>
      </c>
      <c r="H66" s="172" t="s">
        <v>132</v>
      </c>
      <c r="I66" s="169" t="s">
        <v>317</v>
      </c>
      <c r="J66" s="169"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71" t="s">
        <v>339</v>
      </c>
      <c r="B67" s="169" t="s">
        <v>158</v>
      </c>
      <c r="C67" s="34" t="str">
        <f>VLOOKUP(Observaciones[Caso de Prueba],CasoPrueba[[#All],[Código CP]:[Prioridad]],7,TRUE)</f>
        <v>Alta</v>
      </c>
      <c r="D67" s="169" t="s">
        <v>29</v>
      </c>
      <c r="E67" s="169" t="s">
        <v>49</v>
      </c>
      <c r="F67" s="170">
        <v>40791</v>
      </c>
      <c r="G67" s="78">
        <v>40796</v>
      </c>
      <c r="H67" s="172" t="s">
        <v>132</v>
      </c>
      <c r="I67" s="169" t="s">
        <v>340</v>
      </c>
      <c r="J67" s="169"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71" t="s">
        <v>341</v>
      </c>
      <c r="B68" s="169" t="s">
        <v>158</v>
      </c>
      <c r="C68" s="34" t="str">
        <f>VLOOKUP(Observaciones[Caso de Prueba],CasoPrueba[[#All],[Código CP]:[Prioridad]],7,TRUE)</f>
        <v>Alta</v>
      </c>
      <c r="D68" s="169" t="s">
        <v>162</v>
      </c>
      <c r="E68" s="169" t="s">
        <v>49</v>
      </c>
      <c r="F68" s="170">
        <v>40791</v>
      </c>
      <c r="G68" s="78">
        <v>40796</v>
      </c>
      <c r="H68" s="172" t="s">
        <v>132</v>
      </c>
      <c r="I68" s="169" t="s">
        <v>342</v>
      </c>
      <c r="J68" s="169"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71" t="s">
        <v>343</v>
      </c>
      <c r="B69" s="169" t="s">
        <v>158</v>
      </c>
      <c r="C69" s="34" t="str">
        <f>VLOOKUP(Observaciones[Caso de Prueba],CasoPrueba[[#All],[Código CP]:[Prioridad]],7,TRUE)</f>
        <v>Alta</v>
      </c>
      <c r="D69" s="169" t="s">
        <v>29</v>
      </c>
      <c r="E69" s="169" t="s">
        <v>49</v>
      </c>
      <c r="F69" s="170">
        <v>40791</v>
      </c>
      <c r="G69" s="78">
        <v>40796</v>
      </c>
      <c r="H69" s="172" t="s">
        <v>132</v>
      </c>
      <c r="I69" s="169" t="s">
        <v>323</v>
      </c>
      <c r="J69" s="169"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71" t="s">
        <v>344</v>
      </c>
      <c r="B70" s="169" t="s">
        <v>171</v>
      </c>
      <c r="C70" s="34" t="str">
        <f>VLOOKUP(Observaciones[Caso de Prueba],CasoPrueba[[#All],[Código CP]:[Prioridad]],7,TRUE)</f>
        <v>Alta</v>
      </c>
      <c r="D70" s="169" t="s">
        <v>30</v>
      </c>
      <c r="E70" s="169" t="s">
        <v>49</v>
      </c>
      <c r="F70" s="170">
        <v>40791</v>
      </c>
      <c r="G70" s="78">
        <v>40796</v>
      </c>
      <c r="H70" s="172" t="s">
        <v>132</v>
      </c>
      <c r="I70" s="169" t="s">
        <v>253</v>
      </c>
      <c r="J70" s="169"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71" t="s">
        <v>345</v>
      </c>
      <c r="B71" s="169" t="s">
        <v>171</v>
      </c>
      <c r="C71" s="34" t="str">
        <f>VLOOKUP(Observaciones[Caso de Prueba],CasoPrueba[[#All],[Código CP]:[Prioridad]],7,TRUE)</f>
        <v>Alta</v>
      </c>
      <c r="D71" s="169" t="s">
        <v>30</v>
      </c>
      <c r="E71" s="169" t="s">
        <v>49</v>
      </c>
      <c r="F71" s="170">
        <v>40793</v>
      </c>
      <c r="G71" s="78">
        <v>40796</v>
      </c>
      <c r="H71" s="172" t="s">
        <v>132</v>
      </c>
      <c r="I71" s="169" t="s">
        <v>236</v>
      </c>
      <c r="J71" s="169"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71" t="s">
        <v>346</v>
      </c>
      <c r="B72" s="169" t="s">
        <v>171</v>
      </c>
      <c r="C72" s="34" t="str">
        <f>VLOOKUP(Observaciones[Caso de Prueba],CasoPrueba[[#All],[Código CP]:[Prioridad]],7,TRUE)</f>
        <v>Alta</v>
      </c>
      <c r="D72" s="169" t="s">
        <v>29</v>
      </c>
      <c r="E72" s="169" t="s">
        <v>49</v>
      </c>
      <c r="F72" s="170">
        <v>40791</v>
      </c>
      <c r="G72" s="78">
        <v>40796</v>
      </c>
      <c r="H72" s="172" t="s">
        <v>132</v>
      </c>
      <c r="I72" s="169" t="s">
        <v>323</v>
      </c>
      <c r="J72" s="169"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71" t="s">
        <v>347</v>
      </c>
      <c r="B73" s="169" t="s">
        <v>171</v>
      </c>
      <c r="C73" s="34" t="str">
        <f>VLOOKUP(Observaciones[Caso de Prueba],CasoPrueba[[#All],[Código CP]:[Prioridad]],7,TRUE)</f>
        <v>Alta</v>
      </c>
      <c r="D73" s="169" t="s">
        <v>28</v>
      </c>
      <c r="E73" s="169" t="s">
        <v>49</v>
      </c>
      <c r="F73" s="170">
        <v>40793</v>
      </c>
      <c r="G73" s="78">
        <v>40796</v>
      </c>
      <c r="H73" s="172" t="s">
        <v>132</v>
      </c>
      <c r="I73" s="169" t="s">
        <v>250</v>
      </c>
      <c r="J73" s="169"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71" t="s">
        <v>348</v>
      </c>
      <c r="B74" s="169" t="s">
        <v>172</v>
      </c>
      <c r="C74" s="34" t="str">
        <f>VLOOKUP(Observaciones[Caso de Prueba],CasoPrueba[[#All],[Código CP]:[Prioridad]],7,TRUE)</f>
        <v>Alta</v>
      </c>
      <c r="D74" s="169" t="s">
        <v>162</v>
      </c>
      <c r="E74" s="169" t="s">
        <v>49</v>
      </c>
      <c r="F74" s="170">
        <v>40793</v>
      </c>
      <c r="G74" s="78">
        <v>40796</v>
      </c>
      <c r="H74" s="172" t="s">
        <v>132</v>
      </c>
      <c r="I74" s="169" t="s">
        <v>349</v>
      </c>
      <c r="J74" s="169"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71" t="s">
        <v>350</v>
      </c>
      <c r="B75" s="169" t="s">
        <v>172</v>
      </c>
      <c r="C75" s="34" t="str">
        <f>VLOOKUP(Observaciones[Caso de Prueba],CasoPrueba[[#All],[Código CP]:[Prioridad]],7,TRUE)</f>
        <v>Alta</v>
      </c>
      <c r="D75" s="169" t="s">
        <v>162</v>
      </c>
      <c r="E75" s="169" t="s">
        <v>49</v>
      </c>
      <c r="F75" s="170">
        <v>40793</v>
      </c>
      <c r="G75" s="78">
        <v>40796</v>
      </c>
      <c r="H75" s="172" t="s">
        <v>132</v>
      </c>
      <c r="I75" s="169" t="s">
        <v>351</v>
      </c>
      <c r="J75" s="169"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71" t="s">
        <v>353</v>
      </c>
      <c r="B76" s="169" t="s">
        <v>172</v>
      </c>
      <c r="C76" s="34" t="str">
        <f>VLOOKUP(Observaciones[Caso de Prueba],CasoPrueba[[#All],[Código CP]:[Prioridad]],7,TRUE)</f>
        <v>Alta</v>
      </c>
      <c r="D76" s="169" t="s">
        <v>30</v>
      </c>
      <c r="E76" s="169" t="s">
        <v>49</v>
      </c>
      <c r="F76" s="170">
        <v>40793</v>
      </c>
      <c r="G76" s="78">
        <v>40796</v>
      </c>
      <c r="H76" s="172" t="s">
        <v>132</v>
      </c>
      <c r="I76" s="169" t="s">
        <v>354</v>
      </c>
      <c r="J76" s="169"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71" t="s">
        <v>356</v>
      </c>
      <c r="B77" s="169" t="s">
        <v>172</v>
      </c>
      <c r="C77" s="34" t="str">
        <f>VLOOKUP(Observaciones[Caso de Prueba],CasoPrueba[[#All],[Código CP]:[Prioridad]],7,TRUE)</f>
        <v>Alta</v>
      </c>
      <c r="D77" s="169" t="s">
        <v>28</v>
      </c>
      <c r="E77" s="169" t="s">
        <v>49</v>
      </c>
      <c r="F77" s="170">
        <v>40793</v>
      </c>
      <c r="G77" s="78">
        <v>40796</v>
      </c>
      <c r="H77" s="172" t="s">
        <v>132</v>
      </c>
      <c r="I77" s="169" t="s">
        <v>357</v>
      </c>
      <c r="J77" s="169"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71" t="s">
        <v>359</v>
      </c>
      <c r="B78" s="169" t="s">
        <v>172</v>
      </c>
      <c r="C78" s="34" t="str">
        <f>VLOOKUP(Observaciones[Caso de Prueba],CasoPrueba[[#All],[Código CP]:[Prioridad]],7,TRUE)</f>
        <v>Alta</v>
      </c>
      <c r="D78" s="169" t="s">
        <v>28</v>
      </c>
      <c r="E78" s="169" t="s">
        <v>49</v>
      </c>
      <c r="F78" s="170">
        <v>40793</v>
      </c>
      <c r="G78" s="78">
        <v>40796</v>
      </c>
      <c r="H78" s="172" t="s">
        <v>132</v>
      </c>
      <c r="I78" s="169" t="s">
        <v>250</v>
      </c>
      <c r="J78" s="169"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71" t="s">
        <v>361</v>
      </c>
      <c r="B79" s="169" t="s">
        <v>172</v>
      </c>
      <c r="C79" s="34" t="str">
        <f>VLOOKUP(Observaciones[Caso de Prueba],CasoPrueba[[#All],[Código CP]:[Prioridad]],7,TRUE)</f>
        <v>Alta</v>
      </c>
      <c r="D79" s="169" t="s">
        <v>29</v>
      </c>
      <c r="E79" s="169" t="s">
        <v>49</v>
      </c>
      <c r="F79" s="170">
        <v>40793</v>
      </c>
      <c r="G79" s="78">
        <v>40796</v>
      </c>
      <c r="H79" s="172" t="s">
        <v>132</v>
      </c>
      <c r="I79" s="169" t="s">
        <v>301</v>
      </c>
      <c r="J79" s="169"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71" t="s">
        <v>363</v>
      </c>
      <c r="B80" s="169" t="s">
        <v>172</v>
      </c>
      <c r="C80" s="34" t="str">
        <f>VLOOKUP(Observaciones[Caso de Prueba],CasoPrueba[[#All],[Código CP]:[Prioridad]],7,TRUE)</f>
        <v>Alta</v>
      </c>
      <c r="D80" s="169" t="s">
        <v>29</v>
      </c>
      <c r="E80" s="169" t="s">
        <v>49</v>
      </c>
      <c r="F80" s="170">
        <v>40793</v>
      </c>
      <c r="G80" s="78">
        <v>40796</v>
      </c>
      <c r="H80" s="172" t="s">
        <v>132</v>
      </c>
      <c r="I80" s="169" t="s">
        <v>364</v>
      </c>
      <c r="J80" s="169"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71" t="s">
        <v>366</v>
      </c>
      <c r="B81" s="169" t="s">
        <v>172</v>
      </c>
      <c r="C81" s="34" t="str">
        <f>VLOOKUP(Observaciones[Caso de Prueba],CasoPrueba[[#All],[Código CP]:[Prioridad]],7,TRUE)</f>
        <v>Alta</v>
      </c>
      <c r="D81" s="169" t="s">
        <v>30</v>
      </c>
      <c r="E81" s="169" t="s">
        <v>49</v>
      </c>
      <c r="F81" s="170">
        <v>40793</v>
      </c>
      <c r="G81" s="78">
        <v>40796</v>
      </c>
      <c r="H81" s="172" t="s">
        <v>132</v>
      </c>
      <c r="I81" s="169" t="s">
        <v>460</v>
      </c>
      <c r="J81" s="169"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71" t="s">
        <v>368</v>
      </c>
      <c r="B82" s="169" t="s">
        <v>172</v>
      </c>
      <c r="C82" s="34" t="str">
        <f>VLOOKUP(Observaciones[Caso de Prueba],CasoPrueba[[#All],[Código CP]:[Prioridad]],7,TRUE)</f>
        <v>Alta</v>
      </c>
      <c r="D82" s="169" t="s">
        <v>29</v>
      </c>
      <c r="E82" s="169" t="s">
        <v>49</v>
      </c>
      <c r="F82" s="170">
        <v>40793</v>
      </c>
      <c r="G82" s="78">
        <v>40796</v>
      </c>
      <c r="H82" s="172" t="s">
        <v>132</v>
      </c>
      <c r="I82" s="169" t="s">
        <v>369</v>
      </c>
      <c r="J82" s="169"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71" t="s">
        <v>371</v>
      </c>
      <c r="B83" s="169" t="s">
        <v>172</v>
      </c>
      <c r="C83" s="34" t="str">
        <f>VLOOKUP(Observaciones[Caso de Prueba],CasoPrueba[[#All],[Código CP]:[Prioridad]],7,TRUE)</f>
        <v>Alta</v>
      </c>
      <c r="D83" s="169" t="s">
        <v>29</v>
      </c>
      <c r="E83" s="169" t="s">
        <v>49</v>
      </c>
      <c r="F83" s="170">
        <v>40793</v>
      </c>
      <c r="G83" s="78">
        <v>40796</v>
      </c>
      <c r="H83" s="172" t="s">
        <v>132</v>
      </c>
      <c r="I83" s="169" t="s">
        <v>372</v>
      </c>
      <c r="J83" s="169"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71" t="s">
        <v>373</v>
      </c>
      <c r="B84" s="169" t="s">
        <v>172</v>
      </c>
      <c r="C84" s="34" t="str">
        <f>VLOOKUP(Observaciones[Caso de Prueba],CasoPrueba[[#All],[Código CP]:[Prioridad]],7,TRUE)</f>
        <v>Alta</v>
      </c>
      <c r="D84" s="169" t="s">
        <v>29</v>
      </c>
      <c r="E84" s="169" t="s">
        <v>49</v>
      </c>
      <c r="F84" s="170">
        <v>40793</v>
      </c>
      <c r="G84" s="78">
        <v>40796</v>
      </c>
      <c r="H84" s="172" t="s">
        <v>132</v>
      </c>
      <c r="I84" s="169" t="s">
        <v>374</v>
      </c>
      <c r="J84" s="169"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71" t="s">
        <v>376</v>
      </c>
      <c r="B85" s="169" t="s">
        <v>172</v>
      </c>
      <c r="C85" s="34" t="str">
        <f>VLOOKUP(Observaciones[Caso de Prueba],CasoPrueba[[#All],[Código CP]:[Prioridad]],7,TRUE)</f>
        <v>Alta</v>
      </c>
      <c r="D85" s="169" t="s">
        <v>29</v>
      </c>
      <c r="E85" s="169" t="s">
        <v>49</v>
      </c>
      <c r="F85" s="170">
        <v>40793</v>
      </c>
      <c r="G85" s="78">
        <v>40796</v>
      </c>
      <c r="H85" s="172" t="s">
        <v>132</v>
      </c>
      <c r="I85" s="169" t="s">
        <v>377</v>
      </c>
      <c r="J85" s="169"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71" t="s">
        <v>379</v>
      </c>
      <c r="B86" s="169" t="s">
        <v>172</v>
      </c>
      <c r="C86" s="34" t="str">
        <f>VLOOKUP(Observaciones[Caso de Prueba],CasoPrueba[[#All],[Código CP]:[Prioridad]],7,TRUE)</f>
        <v>Alta</v>
      </c>
      <c r="D86" s="169" t="s">
        <v>162</v>
      </c>
      <c r="E86" s="169" t="s">
        <v>49</v>
      </c>
      <c r="F86" s="170">
        <v>40793</v>
      </c>
      <c r="G86" s="78">
        <v>40796</v>
      </c>
      <c r="H86" s="172" t="s">
        <v>132</v>
      </c>
      <c r="I86" s="169" t="s">
        <v>380</v>
      </c>
      <c r="J86" s="169"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71" t="s">
        <v>381</v>
      </c>
      <c r="B87" s="169" t="s">
        <v>172</v>
      </c>
      <c r="C87" s="34" t="str">
        <f>VLOOKUP(Observaciones[Caso de Prueba],CasoPrueba[[#All],[Código CP]:[Prioridad]],7,TRUE)</f>
        <v>Alta</v>
      </c>
      <c r="D87" s="169" t="s">
        <v>29</v>
      </c>
      <c r="E87" s="169" t="s">
        <v>49</v>
      </c>
      <c r="F87" s="170">
        <v>40793</v>
      </c>
      <c r="G87" s="78">
        <v>40796</v>
      </c>
      <c r="H87" s="172" t="s">
        <v>132</v>
      </c>
      <c r="I87" s="169" t="s">
        <v>382</v>
      </c>
      <c r="J87" s="169"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71" t="s">
        <v>384</v>
      </c>
      <c r="B88" s="169" t="s">
        <v>173</v>
      </c>
      <c r="C88" s="34" t="str">
        <f>VLOOKUP(Observaciones[Caso de Prueba],CasoPrueba[[#All],[Código CP]:[Prioridad]],7,TRUE)</f>
        <v>Alta</v>
      </c>
      <c r="D88" s="169" t="s">
        <v>162</v>
      </c>
      <c r="E88" s="169" t="s">
        <v>49</v>
      </c>
      <c r="F88" s="170">
        <v>40795</v>
      </c>
      <c r="G88" s="78">
        <v>40796</v>
      </c>
      <c r="H88" s="172" t="s">
        <v>132</v>
      </c>
      <c r="I88" s="169" t="s">
        <v>385</v>
      </c>
      <c r="J88" s="169"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71" t="s">
        <v>387</v>
      </c>
      <c r="B89" s="169" t="s">
        <v>173</v>
      </c>
      <c r="C89" s="34" t="str">
        <f>VLOOKUP(Observaciones[Caso de Prueba],CasoPrueba[[#All],[Código CP]:[Prioridad]],7,TRUE)</f>
        <v>Alta</v>
      </c>
      <c r="D89" s="169" t="s">
        <v>162</v>
      </c>
      <c r="E89" s="169" t="s">
        <v>49</v>
      </c>
      <c r="F89" s="170">
        <v>40795</v>
      </c>
      <c r="G89" s="78">
        <v>40796</v>
      </c>
      <c r="H89" s="172" t="s">
        <v>132</v>
      </c>
      <c r="I89" s="169" t="s">
        <v>388</v>
      </c>
      <c r="J89" s="169"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71" t="s">
        <v>390</v>
      </c>
      <c r="B90" s="169" t="s">
        <v>173</v>
      </c>
      <c r="C90" s="34" t="str">
        <f>VLOOKUP(Observaciones[Caso de Prueba],CasoPrueba[[#All],[Código CP]:[Prioridad]],7,TRUE)</f>
        <v>Alta</v>
      </c>
      <c r="D90" s="169" t="s">
        <v>30</v>
      </c>
      <c r="E90" s="169" t="s">
        <v>49</v>
      </c>
      <c r="F90" s="170">
        <v>40795</v>
      </c>
      <c r="G90" s="78">
        <v>40796</v>
      </c>
      <c r="H90" s="172" t="s">
        <v>132</v>
      </c>
      <c r="I90" s="169" t="s">
        <v>354</v>
      </c>
      <c r="J90" s="169"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71" t="s">
        <v>392</v>
      </c>
      <c r="B91" s="169" t="s">
        <v>173</v>
      </c>
      <c r="C91" s="34" t="str">
        <f>VLOOKUP(Observaciones[Caso de Prueba],CasoPrueba[[#All],[Código CP]:[Prioridad]],7,TRUE)</f>
        <v>Alta</v>
      </c>
      <c r="D91" s="169" t="s">
        <v>28</v>
      </c>
      <c r="E91" s="169" t="s">
        <v>49</v>
      </c>
      <c r="F91" s="170">
        <v>40795</v>
      </c>
      <c r="G91" s="78">
        <v>40796</v>
      </c>
      <c r="H91" s="172" t="s">
        <v>132</v>
      </c>
      <c r="I91" s="169" t="s">
        <v>393</v>
      </c>
      <c r="J91" s="169"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71" t="s">
        <v>395</v>
      </c>
      <c r="B92" s="169" t="s">
        <v>173</v>
      </c>
      <c r="C92" s="34" t="str">
        <f>VLOOKUP(Observaciones[Caso de Prueba],CasoPrueba[[#All],[Código CP]:[Prioridad]],7,TRUE)</f>
        <v>Alta</v>
      </c>
      <c r="D92" s="169" t="s">
        <v>30</v>
      </c>
      <c r="E92" s="169" t="s">
        <v>49</v>
      </c>
      <c r="F92" s="170">
        <v>40795</v>
      </c>
      <c r="G92" s="78">
        <v>40796</v>
      </c>
      <c r="H92" s="172" t="s">
        <v>132</v>
      </c>
      <c r="I92" s="169" t="s">
        <v>396</v>
      </c>
      <c r="J92" s="169"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71" t="s">
        <v>398</v>
      </c>
      <c r="B93" s="169" t="s">
        <v>173</v>
      </c>
      <c r="C93" s="34" t="str">
        <f>VLOOKUP(Observaciones[Caso de Prueba],CasoPrueba[[#All],[Código CP]:[Prioridad]],7,TRUE)</f>
        <v>Alta</v>
      </c>
      <c r="D93" s="169" t="s">
        <v>30</v>
      </c>
      <c r="E93" s="169" t="s">
        <v>49</v>
      </c>
      <c r="F93" s="170">
        <v>40795</v>
      </c>
      <c r="G93" s="78">
        <v>40796</v>
      </c>
      <c r="H93" s="172" t="s">
        <v>132</v>
      </c>
      <c r="I93" s="169" t="s">
        <v>399</v>
      </c>
      <c r="J93" s="169"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71" t="s">
        <v>401</v>
      </c>
      <c r="B94" s="169" t="s">
        <v>173</v>
      </c>
      <c r="C94" s="34" t="str">
        <f>VLOOKUP(Observaciones[Caso de Prueba],CasoPrueba[[#All],[Código CP]:[Prioridad]],7,TRUE)</f>
        <v>Alta</v>
      </c>
      <c r="D94" s="169" t="s">
        <v>30</v>
      </c>
      <c r="E94" s="169" t="s">
        <v>49</v>
      </c>
      <c r="F94" s="170">
        <v>40795</v>
      </c>
      <c r="G94" s="78">
        <v>40796</v>
      </c>
      <c r="H94" s="172" t="s">
        <v>132</v>
      </c>
      <c r="I94" s="169" t="s">
        <v>402</v>
      </c>
      <c r="J94" s="169"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71" t="s">
        <v>404</v>
      </c>
      <c r="B95" s="169" t="s">
        <v>175</v>
      </c>
      <c r="C95" s="34" t="str">
        <f>VLOOKUP(Observaciones[Caso de Prueba],CasoPrueba[[#All],[Código CP]:[Prioridad]],7,TRUE)</f>
        <v>Alta</v>
      </c>
      <c r="D95" s="169" t="s">
        <v>162</v>
      </c>
      <c r="E95" s="169" t="s">
        <v>49</v>
      </c>
      <c r="F95" s="170">
        <v>40795</v>
      </c>
      <c r="G95" s="78">
        <v>40796</v>
      </c>
      <c r="H95" s="172" t="s">
        <v>132</v>
      </c>
      <c r="I95" s="169" t="s">
        <v>405</v>
      </c>
      <c r="J95" s="169"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71" t="s">
        <v>407</v>
      </c>
      <c r="B96" s="169" t="s">
        <v>175</v>
      </c>
      <c r="C96" s="34" t="str">
        <f>VLOOKUP(Observaciones[Caso de Prueba],CasoPrueba[[#All],[Código CP]:[Prioridad]],7,TRUE)</f>
        <v>Alta</v>
      </c>
      <c r="D96" s="169" t="s">
        <v>30</v>
      </c>
      <c r="E96" s="169" t="s">
        <v>49</v>
      </c>
      <c r="F96" s="170">
        <v>40795</v>
      </c>
      <c r="G96" s="78">
        <v>40796</v>
      </c>
      <c r="H96" s="172" t="s">
        <v>132</v>
      </c>
      <c r="I96" s="169" t="s">
        <v>354</v>
      </c>
      <c r="J96" s="169"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71" t="s">
        <v>409</v>
      </c>
      <c r="B97" s="169" t="s">
        <v>175</v>
      </c>
      <c r="C97" s="34" t="str">
        <f>VLOOKUP(Observaciones[Caso de Prueba],CasoPrueba[[#All],[Código CP]:[Prioridad]],7,TRUE)</f>
        <v>Alta</v>
      </c>
      <c r="D97" s="169" t="s">
        <v>162</v>
      </c>
      <c r="E97" s="169" t="s">
        <v>49</v>
      </c>
      <c r="F97" s="170">
        <v>40795</v>
      </c>
      <c r="G97" s="78">
        <v>40796</v>
      </c>
      <c r="H97" s="172" t="s">
        <v>132</v>
      </c>
      <c r="I97" s="169" t="s">
        <v>410</v>
      </c>
      <c r="J97" s="169"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71" t="s">
        <v>412</v>
      </c>
      <c r="B98" s="169" t="s">
        <v>175</v>
      </c>
      <c r="C98" s="34" t="str">
        <f>VLOOKUP(Observaciones[Caso de Prueba],CasoPrueba[[#All],[Código CP]:[Prioridad]],7,TRUE)</f>
        <v>Alta</v>
      </c>
      <c r="D98" s="169" t="s">
        <v>29</v>
      </c>
      <c r="E98" s="169" t="s">
        <v>49</v>
      </c>
      <c r="F98" s="170">
        <v>40795</v>
      </c>
      <c r="G98" s="78">
        <v>40796</v>
      </c>
      <c r="H98" s="172" t="s">
        <v>132</v>
      </c>
      <c r="I98" s="169" t="s">
        <v>413</v>
      </c>
      <c r="J98" s="169"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71" t="s">
        <v>415</v>
      </c>
      <c r="B99" s="169" t="s">
        <v>175</v>
      </c>
      <c r="C99" s="34" t="str">
        <f>VLOOKUP(Observaciones[Caso de Prueba],CasoPrueba[[#All],[Código CP]:[Prioridad]],7,TRUE)</f>
        <v>Alta</v>
      </c>
      <c r="D99" s="169" t="s">
        <v>30</v>
      </c>
      <c r="E99" s="169" t="s">
        <v>49</v>
      </c>
      <c r="F99" s="170">
        <v>40795</v>
      </c>
      <c r="G99" s="78">
        <v>40796</v>
      </c>
      <c r="H99" s="172" t="s">
        <v>132</v>
      </c>
      <c r="I99" s="169" t="s">
        <v>416</v>
      </c>
      <c r="J99" s="169"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71" t="s">
        <v>418</v>
      </c>
      <c r="B100" s="169" t="s">
        <v>175</v>
      </c>
      <c r="C100" s="34" t="str">
        <f>VLOOKUP(Observaciones[Caso de Prueba],CasoPrueba[[#All],[Código CP]:[Prioridad]],7,TRUE)</f>
        <v>Alta</v>
      </c>
      <c r="D100" s="169" t="s">
        <v>162</v>
      </c>
      <c r="E100" s="169" t="s">
        <v>49</v>
      </c>
      <c r="F100" s="170">
        <v>40795</v>
      </c>
      <c r="G100" s="78">
        <v>40796</v>
      </c>
      <c r="H100" s="172" t="s">
        <v>132</v>
      </c>
      <c r="I100" s="169" t="s">
        <v>419</v>
      </c>
      <c r="J100" s="169"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71" t="s">
        <v>420</v>
      </c>
      <c r="B101" s="169" t="s">
        <v>176</v>
      </c>
      <c r="C101" s="34" t="str">
        <f>VLOOKUP(Observaciones[Caso de Prueba],CasoPrueba[[#All],[Código CP]:[Prioridad]],7,TRUE)</f>
        <v>Alta</v>
      </c>
      <c r="D101" s="169" t="s">
        <v>30</v>
      </c>
      <c r="E101" s="169" t="s">
        <v>49</v>
      </c>
      <c r="F101" s="170">
        <v>40795</v>
      </c>
      <c r="G101" s="78">
        <v>40796</v>
      </c>
      <c r="H101" s="172" t="s">
        <v>132</v>
      </c>
      <c r="I101" s="169" t="s">
        <v>354</v>
      </c>
      <c r="J101" s="169"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71" t="s">
        <v>421</v>
      </c>
      <c r="B102" s="169" t="s">
        <v>176</v>
      </c>
      <c r="C102" s="34" t="str">
        <f>VLOOKUP(Observaciones[Caso de Prueba],CasoPrueba[[#All],[Código CP]:[Prioridad]],7,TRUE)</f>
        <v>Alta</v>
      </c>
      <c r="D102" s="169" t="s">
        <v>29</v>
      </c>
      <c r="E102" s="169" t="s">
        <v>49</v>
      </c>
      <c r="F102" s="170">
        <v>40795</v>
      </c>
      <c r="G102" s="78">
        <v>40796</v>
      </c>
      <c r="H102" s="172" t="s">
        <v>132</v>
      </c>
      <c r="I102" s="169" t="s">
        <v>422</v>
      </c>
      <c r="J102" s="169"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71" t="s">
        <v>423</v>
      </c>
      <c r="B103" s="169" t="s">
        <v>176</v>
      </c>
      <c r="C103" s="34" t="str">
        <f>VLOOKUP(Observaciones[Caso de Prueba],CasoPrueba[[#All],[Código CP]:[Prioridad]],7,TRUE)</f>
        <v>Alta</v>
      </c>
      <c r="D103" s="169" t="s">
        <v>30</v>
      </c>
      <c r="E103" s="169" t="s">
        <v>49</v>
      </c>
      <c r="F103" s="170">
        <v>40795</v>
      </c>
      <c r="G103" s="78">
        <v>40796</v>
      </c>
      <c r="H103" s="172" t="s">
        <v>132</v>
      </c>
      <c r="I103" s="169" t="s">
        <v>424</v>
      </c>
      <c r="J103" s="169"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c r="A104" s="171" t="s">
        <v>427</v>
      </c>
      <c r="B104" s="34" t="s">
        <v>88</v>
      </c>
      <c r="C104" s="34" t="str">
        <f>VLOOKUP(Observaciones[Caso de Prueba],CasoPrueba[[#All],[Código CP]:[Prioridad]],7,TRUE)</f>
        <v>Alta</v>
      </c>
      <c r="D104" s="34" t="s">
        <v>162</v>
      </c>
      <c r="E104" s="34" t="s">
        <v>47</v>
      </c>
      <c r="F104" s="78">
        <v>40798</v>
      </c>
      <c r="H104" s="172" t="s">
        <v>132</v>
      </c>
      <c r="I104" s="34" t="s">
        <v>438</v>
      </c>
      <c r="K104" s="34">
        <f>IF((Observaciones[[#This Row],[Fecha Levantamiento]]-Observaciones[[#This Row],[Fecha Detección]])&gt;=0,Observaciones[[#This Row],[Fecha Levantamiento]]-Observaciones[[#This Row],[Fecha Detección]]+1,0)</f>
        <v>0</v>
      </c>
      <c r="L104" s="34" t="str">
        <f>LOOKUP(Observaciones[[#This Row],[Caso de Prueba]],CasoPrueba[Código CP],CasoPrueba[Código de REQ])</f>
        <v>INSPECCIÓN</v>
      </c>
    </row>
    <row r="105" spans="1:12" ht="76.5" customHeight="1">
      <c r="A105" s="171" t="s">
        <v>428</v>
      </c>
      <c r="B105" s="34" t="s">
        <v>88</v>
      </c>
      <c r="C105" s="34" t="str">
        <f>VLOOKUP(Observaciones[Caso de Prueba],CasoPrueba[[#All],[Código CP]:[Prioridad]],7,TRUE)</f>
        <v>Alta</v>
      </c>
      <c r="D105" s="34" t="s">
        <v>29</v>
      </c>
      <c r="E105" s="34" t="s">
        <v>47</v>
      </c>
      <c r="F105" s="78">
        <v>40798</v>
      </c>
      <c r="H105" s="172" t="s">
        <v>132</v>
      </c>
      <c r="I105" s="34" t="s">
        <v>439</v>
      </c>
      <c r="K105" s="34">
        <f>IF((Observaciones[[#This Row],[Fecha Levantamiento]]-Observaciones[[#This Row],[Fecha Detección]])&gt;=0,Observaciones[[#This Row],[Fecha Levantamiento]]-Observaciones[[#This Row],[Fecha Detección]]+1,0)</f>
        <v>0</v>
      </c>
      <c r="L105" s="34" t="str">
        <f>LOOKUP(Observaciones[[#This Row],[Caso de Prueba]],CasoPrueba[Código CP],CasoPrueba[Código de REQ])</f>
        <v>INSPECCIÓN</v>
      </c>
    </row>
    <row r="106" spans="1:12" ht="48" customHeight="1">
      <c r="A106" s="171" t="s">
        <v>429</v>
      </c>
      <c r="B106" s="34" t="s">
        <v>88</v>
      </c>
      <c r="C106" s="34" t="str">
        <f>VLOOKUP(Observaciones[Caso de Prueba],CasoPrueba[[#All],[Código CP]:[Prioridad]],7,TRUE)</f>
        <v>Alta</v>
      </c>
      <c r="D106" s="34" t="s">
        <v>162</v>
      </c>
      <c r="E106" s="34" t="s">
        <v>47</v>
      </c>
      <c r="F106" s="78">
        <v>40798</v>
      </c>
      <c r="H106" s="172" t="s">
        <v>132</v>
      </c>
      <c r="I106" s="34" t="s">
        <v>440</v>
      </c>
      <c r="K106" s="34">
        <f>IF((Observaciones[[#This Row],[Fecha Levantamiento]]-Observaciones[[#This Row],[Fecha Detección]])&gt;=0,Observaciones[[#This Row],[Fecha Levantamiento]]-Observaciones[[#This Row],[Fecha Detección]]+1,0)</f>
        <v>0</v>
      </c>
      <c r="L106" s="34" t="str">
        <f>LOOKUP(Observaciones[[#This Row],[Caso de Prueba]],CasoPrueba[Código CP],CasoPrueba[Código de REQ])</f>
        <v>INSPECCIÓN</v>
      </c>
    </row>
    <row r="107" spans="1:12" ht="45">
      <c r="A107" s="171" t="s">
        <v>430</v>
      </c>
      <c r="B107" s="34" t="s">
        <v>88</v>
      </c>
      <c r="C107" s="34" t="str">
        <f>VLOOKUP(Observaciones[Caso de Prueba],CasoPrueba[[#All],[Código CP]:[Prioridad]],7,TRUE)</f>
        <v>Alta</v>
      </c>
      <c r="D107" s="34" t="s">
        <v>30</v>
      </c>
      <c r="E107" s="34" t="s">
        <v>47</v>
      </c>
      <c r="F107" s="78">
        <v>40798</v>
      </c>
      <c r="H107" s="172" t="s">
        <v>132</v>
      </c>
      <c r="I107" s="34" t="s">
        <v>458</v>
      </c>
      <c r="K107" s="34">
        <f>IF((Observaciones[[#This Row],[Fecha Levantamiento]]-Observaciones[[#This Row],[Fecha Detección]])&gt;=0,Observaciones[[#This Row],[Fecha Levantamiento]]-Observaciones[[#This Row],[Fecha Detección]]+1,0)</f>
        <v>0</v>
      </c>
      <c r="L107" s="34" t="str">
        <f>LOOKUP(Observaciones[[#This Row],[Caso de Prueba]],CasoPrueba[Código CP],CasoPrueba[Código de REQ])</f>
        <v>INSPECCIÓN</v>
      </c>
    </row>
    <row r="108" spans="1:12" ht="30">
      <c r="A108" s="171" t="s">
        <v>431</v>
      </c>
      <c r="B108" s="34" t="s">
        <v>151</v>
      </c>
      <c r="C108" s="34" t="str">
        <f>VLOOKUP(Observaciones[Caso de Prueba],CasoPrueba[[#All],[Código CP]:[Prioridad]],7,TRUE)</f>
        <v>Alta</v>
      </c>
      <c r="D108" s="34" t="s">
        <v>162</v>
      </c>
      <c r="E108" s="34" t="s">
        <v>47</v>
      </c>
      <c r="F108" s="78">
        <v>40798</v>
      </c>
      <c r="H108" s="172" t="s">
        <v>132</v>
      </c>
      <c r="I108" s="34" t="s">
        <v>441</v>
      </c>
      <c r="K108" s="34">
        <f>IF((Observaciones[[#This Row],[Fecha Levantamiento]]-Observaciones[[#This Row],[Fecha Detección]])&gt;=0,Observaciones[[#This Row],[Fecha Levantamiento]]-Observaciones[[#This Row],[Fecha Detección]]+1,0)</f>
        <v>0</v>
      </c>
      <c r="L108" s="34" t="str">
        <f>LOOKUP(Observaciones[[#This Row],[Caso de Prueba]],CasoPrueba[Código CP],CasoPrueba[Código de REQ])</f>
        <v>INSPECCIÓN</v>
      </c>
    </row>
    <row r="109" spans="1:12" ht="55.5" customHeight="1">
      <c r="A109" s="171" t="s">
        <v>432</v>
      </c>
      <c r="B109" s="34" t="s">
        <v>152</v>
      </c>
      <c r="C109" s="34" t="str">
        <f>VLOOKUP(Observaciones[Caso de Prueba],CasoPrueba[[#All],[Código CP]:[Prioridad]],7,TRUE)</f>
        <v>Alta</v>
      </c>
      <c r="D109" s="34" t="s">
        <v>29</v>
      </c>
      <c r="E109" s="34" t="s">
        <v>47</v>
      </c>
      <c r="F109" s="78">
        <v>40798</v>
      </c>
      <c r="H109" s="172" t="s">
        <v>132</v>
      </c>
      <c r="I109" s="34" t="s">
        <v>442</v>
      </c>
      <c r="J109" s="34" t="s">
        <v>478</v>
      </c>
      <c r="K109" s="34">
        <f>IF((Observaciones[[#This Row],[Fecha Levantamiento]]-Observaciones[[#This Row],[Fecha Detección]])&gt;=0,Observaciones[[#This Row],[Fecha Levantamiento]]-Observaciones[[#This Row],[Fecha Detección]]+1,0)</f>
        <v>0</v>
      </c>
      <c r="L109" s="34" t="str">
        <f>LOOKUP(Observaciones[[#This Row],[Caso de Prueba]],CasoPrueba[Código CP],CasoPrueba[Código de REQ])</f>
        <v>INSPECCIÓN</v>
      </c>
    </row>
    <row r="110" spans="1:12" ht="30">
      <c r="A110" s="171" t="s">
        <v>433</v>
      </c>
      <c r="B110" s="34" t="s">
        <v>153</v>
      </c>
      <c r="C110" s="34" t="str">
        <f>VLOOKUP(Observaciones[Caso de Prueba],CasoPrueba[[#All],[Código CP]:[Prioridad]],7,TRUE)</f>
        <v>Alta</v>
      </c>
      <c r="D110" s="34" t="s">
        <v>162</v>
      </c>
      <c r="E110" s="34" t="s">
        <v>47</v>
      </c>
      <c r="F110" s="78">
        <v>40800</v>
      </c>
      <c r="H110" s="99" t="s">
        <v>132</v>
      </c>
      <c r="I110" s="34" t="s">
        <v>443</v>
      </c>
      <c r="K110" s="34">
        <f>IF((Observaciones[[#This Row],[Fecha Levantamiento]]-Observaciones[[#This Row],[Fecha Detección]])&gt;=0,Observaciones[[#This Row],[Fecha Levantamiento]]-Observaciones[[#This Row],[Fecha Detección]]+1,0)</f>
        <v>0</v>
      </c>
      <c r="L110" s="34" t="str">
        <f>LOOKUP(Observaciones[[#This Row],[Caso de Prueba]],CasoPrueba[Código CP],CasoPrueba[Código de REQ])</f>
        <v>INSPECCIÓN</v>
      </c>
    </row>
    <row r="111" spans="1:12" ht="30">
      <c r="A111" s="171" t="s">
        <v>434</v>
      </c>
      <c r="B111" s="34" t="s">
        <v>153</v>
      </c>
      <c r="C111" s="34" t="str">
        <f>VLOOKUP(Observaciones[Caso de Prueba],CasoPrueba[[#All],[Código CP]:[Prioridad]],7,TRUE)</f>
        <v>Alta</v>
      </c>
      <c r="D111" s="34" t="s">
        <v>162</v>
      </c>
      <c r="E111" s="34" t="s">
        <v>47</v>
      </c>
      <c r="F111" s="78">
        <v>40800</v>
      </c>
      <c r="H111" s="99" t="s">
        <v>132</v>
      </c>
      <c r="I111" s="34" t="s">
        <v>444</v>
      </c>
      <c r="K111" s="34">
        <f>IF((Observaciones[[#This Row],[Fecha Levantamiento]]-Observaciones[[#This Row],[Fecha Detección]])&gt;=0,Observaciones[[#This Row],[Fecha Levantamiento]]-Observaciones[[#This Row],[Fecha Detección]]+1,0)</f>
        <v>0</v>
      </c>
      <c r="L111" s="34" t="str">
        <f>LOOKUP(Observaciones[[#This Row],[Caso de Prueba]],CasoPrueba[Código CP],CasoPrueba[Código de REQ])</f>
        <v>INSPECCIÓN</v>
      </c>
    </row>
    <row r="112" spans="1:12" ht="45">
      <c r="A112" s="171" t="s">
        <v>435</v>
      </c>
      <c r="B112" s="34" t="s">
        <v>153</v>
      </c>
      <c r="C112" s="34" t="str">
        <f>VLOOKUP(Observaciones[Caso de Prueba],CasoPrueba[[#All],[Código CP]:[Prioridad]],7,TRUE)</f>
        <v>Alta</v>
      </c>
      <c r="D112" s="34" t="s">
        <v>29</v>
      </c>
      <c r="E112" s="34" t="s">
        <v>47</v>
      </c>
      <c r="F112" s="78">
        <v>40800</v>
      </c>
      <c r="H112" s="99" t="s">
        <v>132</v>
      </c>
      <c r="I112" s="34" t="s">
        <v>446</v>
      </c>
      <c r="K112" s="34"/>
      <c r="L112" s="34"/>
    </row>
    <row r="113" spans="1:12" ht="120">
      <c r="A113" s="171" t="s">
        <v>436</v>
      </c>
      <c r="B113" s="34" t="s">
        <v>154</v>
      </c>
      <c r="C113" s="34" t="str">
        <f>VLOOKUP(Observaciones[Caso de Prueba],CasoPrueba[[#All],[Código CP]:[Prioridad]],7,TRUE)</f>
        <v>Alta</v>
      </c>
      <c r="D113" s="34" t="s">
        <v>30</v>
      </c>
      <c r="E113" s="34" t="s">
        <v>47</v>
      </c>
      <c r="F113" s="78">
        <v>40800</v>
      </c>
      <c r="H113" s="99" t="s">
        <v>132</v>
      </c>
      <c r="I113" s="34" t="s">
        <v>445</v>
      </c>
      <c r="J113" s="34" t="s">
        <v>482</v>
      </c>
      <c r="K113" s="34">
        <f>IF((Observaciones[[#This Row],[Fecha Levantamiento]]-Observaciones[[#This Row],[Fecha Detección]])&gt;=0,Observaciones[[#This Row],[Fecha Levantamiento]]-Observaciones[[#This Row],[Fecha Detección]]+1,0)</f>
        <v>0</v>
      </c>
      <c r="L113" s="34" t="str">
        <f>LOOKUP(Observaciones[[#This Row],[Caso de Prueba]],CasoPrueba[Código CP],CasoPrueba[Código de REQ])</f>
        <v>INSPECCIÓN</v>
      </c>
    </row>
    <row r="114" spans="1:12" ht="30">
      <c r="A114" s="171" t="s">
        <v>437</v>
      </c>
      <c r="B114" s="34" t="s">
        <v>154</v>
      </c>
      <c r="C114" s="34" t="str">
        <f>VLOOKUP(Observaciones[Caso de Prueba],CasoPrueba[[#All],[Código CP]:[Prioridad]],7,TRUE)</f>
        <v>Alta</v>
      </c>
      <c r="D114" s="34" t="s">
        <v>29</v>
      </c>
      <c r="E114" s="34" t="s">
        <v>47</v>
      </c>
      <c r="F114" s="78">
        <v>40800</v>
      </c>
      <c r="H114" s="99" t="s">
        <v>132</v>
      </c>
      <c r="I114" s="34" t="s">
        <v>455</v>
      </c>
      <c r="J114" s="34" t="s">
        <v>479</v>
      </c>
      <c r="K114" s="34">
        <f>IF((Observaciones[[#This Row],[Fecha Levantamiento]]-Observaciones[[#This Row],[Fecha Detección]])&gt;=0,Observaciones[[#This Row],[Fecha Levantamiento]]-Observaciones[[#This Row],[Fecha Detección]]+1,0)</f>
        <v>0</v>
      </c>
      <c r="L114" s="34" t="str">
        <f>LOOKUP(Observaciones[[#This Row],[Caso de Prueba]],CasoPrueba[Código CP],CasoPrueba[Código de REQ])</f>
        <v>INSPECCIÓN</v>
      </c>
    </row>
    <row r="115" spans="1:12" ht="45">
      <c r="A115" s="171" t="s">
        <v>447</v>
      </c>
      <c r="B115" s="34" t="s">
        <v>156</v>
      </c>
      <c r="C115" s="34" t="str">
        <f>VLOOKUP(Observaciones[Caso de Prueba],CasoPrueba[[#All],[Código CP]:[Prioridad]],7,TRUE)</f>
        <v>Alta</v>
      </c>
      <c r="D115" s="34" t="s">
        <v>30</v>
      </c>
      <c r="E115" s="34" t="s">
        <v>47</v>
      </c>
      <c r="F115" s="78">
        <v>40800</v>
      </c>
      <c r="H115" s="99" t="s">
        <v>132</v>
      </c>
      <c r="I115" s="34" t="s">
        <v>456</v>
      </c>
      <c r="J115" s="34" t="s">
        <v>482</v>
      </c>
      <c r="K115" s="34">
        <f>IF((Observaciones[[#This Row],[Fecha Levantamiento]]-Observaciones[[#This Row],[Fecha Detección]])&gt;=0,Observaciones[[#This Row],[Fecha Levantamiento]]-Observaciones[[#This Row],[Fecha Detección]]+1,0)</f>
        <v>0</v>
      </c>
      <c r="L115" s="34" t="str">
        <f>LOOKUP(Observaciones[[#This Row],[Caso de Prueba]],CasoPrueba[Código CP],CasoPrueba[Código de REQ])</f>
        <v>INSPECCIÓN</v>
      </c>
    </row>
    <row r="116" spans="1:12" ht="45">
      <c r="A116" s="171" t="s">
        <v>448</v>
      </c>
      <c r="B116" s="34" t="s">
        <v>156</v>
      </c>
      <c r="C116" s="34" t="str">
        <f>VLOOKUP(Observaciones[Caso de Prueba],CasoPrueba[[#All],[Código CP]:[Prioridad]],7,TRUE)</f>
        <v>Alta</v>
      </c>
      <c r="D116" s="34" t="s">
        <v>29</v>
      </c>
      <c r="E116" s="34" t="s">
        <v>47</v>
      </c>
      <c r="F116" s="78">
        <v>40800</v>
      </c>
      <c r="H116" s="99" t="s">
        <v>132</v>
      </c>
      <c r="I116" s="34" t="s">
        <v>457</v>
      </c>
      <c r="J116" s="34" t="s">
        <v>480</v>
      </c>
      <c r="K116" s="34">
        <f>IF((Observaciones[[#This Row],[Fecha Levantamiento]]-Observaciones[[#This Row],[Fecha Detección]])&gt;=0,Observaciones[[#This Row],[Fecha Levantamiento]]-Observaciones[[#This Row],[Fecha Detección]]+1,0)</f>
        <v>0</v>
      </c>
      <c r="L116" s="34" t="str">
        <f>LOOKUP(Observaciones[[#This Row],[Caso de Prueba]],CasoPrueba[Código CP],CasoPrueba[Código de REQ])</f>
        <v>INSPECCIÓN</v>
      </c>
    </row>
    <row r="117" spans="1:12" ht="45">
      <c r="A117" s="171" t="s">
        <v>449</v>
      </c>
      <c r="B117" s="34" t="s">
        <v>158</v>
      </c>
      <c r="C117" s="34" t="str">
        <f>VLOOKUP(Observaciones[Caso de Prueba],CasoPrueba[[#All],[Código CP]:[Prioridad]],7,TRUE)</f>
        <v>Alta</v>
      </c>
      <c r="D117" s="34" t="s">
        <v>30</v>
      </c>
      <c r="E117" s="34" t="s">
        <v>47</v>
      </c>
      <c r="F117" s="78">
        <v>40800</v>
      </c>
      <c r="H117" s="99" t="s">
        <v>132</v>
      </c>
      <c r="I117" s="34" t="s">
        <v>456</v>
      </c>
      <c r="J117" s="34" t="s">
        <v>482</v>
      </c>
      <c r="K117" s="34">
        <f>IF((Observaciones[[#This Row],[Fecha Levantamiento]]-Observaciones[[#This Row],[Fecha Detección]])&gt;=0,Observaciones[[#This Row],[Fecha Levantamiento]]-Observaciones[[#This Row],[Fecha Detección]]+1,0)</f>
        <v>0</v>
      </c>
      <c r="L117" s="34" t="str">
        <f>LOOKUP(Observaciones[[#This Row],[Caso de Prueba]],CasoPrueba[Código CP],CasoPrueba[Código de REQ])</f>
        <v>INSPECCIÓN</v>
      </c>
    </row>
    <row r="118" spans="1:12" ht="45">
      <c r="A118" s="171" t="s">
        <v>450</v>
      </c>
      <c r="B118" s="34" t="s">
        <v>172</v>
      </c>
      <c r="C118" s="34" t="str">
        <f>VLOOKUP(Observaciones[Caso de Prueba],CasoPrueba[[#All],[Código CP]:[Prioridad]],7,TRUE)</f>
        <v>Alta</v>
      </c>
      <c r="D118" s="34" t="s">
        <v>28</v>
      </c>
      <c r="E118" s="34" t="s">
        <v>47</v>
      </c>
      <c r="F118" s="78">
        <v>40800</v>
      </c>
      <c r="H118" s="99" t="s">
        <v>132</v>
      </c>
      <c r="I118" s="34" t="s">
        <v>459</v>
      </c>
      <c r="K118" s="34">
        <f>IF((Observaciones[[#This Row],[Fecha Levantamiento]]-Observaciones[[#This Row],[Fecha Detección]])&gt;=0,Observaciones[[#This Row],[Fecha Levantamiento]]-Observaciones[[#This Row],[Fecha Detección]]+1,0)</f>
        <v>0</v>
      </c>
      <c r="L118" s="34" t="str">
        <f>LOOKUP(Observaciones[[#This Row],[Caso de Prueba]],CasoPrueba[Código CP],CasoPrueba[Código de REQ])</f>
        <v>INSPECCIÓN</v>
      </c>
    </row>
    <row r="119" spans="1:12" ht="93" customHeight="1">
      <c r="A119" s="171" t="s">
        <v>451</v>
      </c>
      <c r="B119" s="34" t="s">
        <v>172</v>
      </c>
      <c r="C119" s="34" t="str">
        <f>VLOOKUP(Observaciones[Caso de Prueba],CasoPrueba[[#All],[Código CP]:[Prioridad]],7,TRUE)</f>
        <v>Alta</v>
      </c>
      <c r="D119" s="34" t="s">
        <v>29</v>
      </c>
      <c r="E119" s="34" t="s">
        <v>47</v>
      </c>
      <c r="F119" s="78">
        <v>40800</v>
      </c>
      <c r="H119" s="99" t="s">
        <v>132</v>
      </c>
      <c r="I119" s="34" t="s">
        <v>461</v>
      </c>
      <c r="K119" s="34">
        <f>IF((Observaciones[[#This Row],[Fecha Levantamiento]]-Observaciones[[#This Row],[Fecha Detección]])&gt;=0,Observaciones[[#This Row],[Fecha Levantamiento]]-Observaciones[[#This Row],[Fecha Detección]]+1,0)</f>
        <v>0</v>
      </c>
      <c r="L119" s="34" t="str">
        <f>LOOKUP(Observaciones[[#This Row],[Caso de Prueba]],CasoPrueba[Código CP],CasoPrueba[Código de REQ])</f>
        <v>INSPECCIÓN</v>
      </c>
    </row>
    <row r="120" spans="1:12" ht="105">
      <c r="A120" s="171" t="s">
        <v>452</v>
      </c>
      <c r="B120" s="34" t="s">
        <v>172</v>
      </c>
      <c r="C120" s="34" t="str">
        <f>VLOOKUP(Observaciones[Caso de Prueba],CasoPrueba[[#All],[Código CP]:[Prioridad]],7,TRUE)</f>
        <v>Alta</v>
      </c>
      <c r="D120" s="34" t="s">
        <v>29</v>
      </c>
      <c r="E120" s="34" t="s">
        <v>47</v>
      </c>
      <c r="F120" s="78">
        <v>40800</v>
      </c>
      <c r="H120" s="99" t="s">
        <v>132</v>
      </c>
      <c r="I120" s="34" t="s">
        <v>462</v>
      </c>
      <c r="K120" s="34">
        <f>IF((Observaciones[[#This Row],[Fecha Levantamiento]]-Observaciones[[#This Row],[Fecha Detección]])&gt;=0,Observaciones[[#This Row],[Fecha Levantamiento]]-Observaciones[[#This Row],[Fecha Detección]]+1,0)</f>
        <v>0</v>
      </c>
      <c r="L120" s="34" t="str">
        <f>LOOKUP(Observaciones[[#This Row],[Caso de Prueba]],CasoPrueba[Código CP],CasoPrueba[Código de REQ])</f>
        <v>INSPECCIÓN</v>
      </c>
    </row>
    <row r="121" spans="1:12" ht="105">
      <c r="A121" s="171" t="s">
        <v>453</v>
      </c>
      <c r="B121" s="34" t="s">
        <v>173</v>
      </c>
      <c r="C121" s="34" t="str">
        <f>VLOOKUP(Observaciones[Caso de Prueba],CasoPrueba[[#All],[Código CP]:[Prioridad]],7,TRUE)</f>
        <v>Alta</v>
      </c>
      <c r="D121" s="34" t="s">
        <v>28</v>
      </c>
      <c r="E121" s="34" t="s">
        <v>47</v>
      </c>
      <c r="F121" s="78">
        <v>40800</v>
      </c>
      <c r="H121" s="99" t="s">
        <v>132</v>
      </c>
      <c r="I121" s="34" t="s">
        <v>463</v>
      </c>
      <c r="J121" s="34" t="s">
        <v>266</v>
      </c>
      <c r="K121" s="34">
        <f>IF((Observaciones[[#This Row],[Fecha Levantamiento]]-Observaciones[[#This Row],[Fecha Detección]])&gt;=0,Observaciones[[#This Row],[Fecha Levantamiento]]-Observaciones[[#This Row],[Fecha Detección]]+1,0)</f>
        <v>0</v>
      </c>
      <c r="L121" s="34" t="str">
        <f>LOOKUP(Observaciones[[#This Row],[Caso de Prueba]],CasoPrueba[Código CP],CasoPrueba[Código de REQ])</f>
        <v>INSPECCIÓN</v>
      </c>
    </row>
    <row r="122" spans="1:12" ht="30">
      <c r="A122" s="171" t="s">
        <v>454</v>
      </c>
      <c r="B122" s="34" t="s">
        <v>174</v>
      </c>
      <c r="C122" s="34" t="str">
        <f>VLOOKUP(Observaciones[Caso de Prueba],CasoPrueba[[#All],[Código CP]:[Prioridad]],7,TRUE)</f>
        <v>Alta</v>
      </c>
      <c r="D122" s="34" t="s">
        <v>30</v>
      </c>
      <c r="E122" s="34" t="s">
        <v>47</v>
      </c>
      <c r="F122" s="78">
        <v>40800</v>
      </c>
      <c r="H122" s="99" t="s">
        <v>132</v>
      </c>
      <c r="I122" s="34" t="s">
        <v>464</v>
      </c>
      <c r="J122" s="34" t="s">
        <v>481</v>
      </c>
      <c r="K122" s="34">
        <f>IF((Observaciones[[#This Row],[Fecha Levantamiento]]-Observaciones[[#This Row],[Fecha Detección]])&gt;=0,Observaciones[[#This Row],[Fecha Levantamiento]]-Observaciones[[#This Row],[Fecha Detección]]+1,0)</f>
        <v>0</v>
      </c>
      <c r="L122" s="34" t="str">
        <f>LOOKUP(Observaciones[[#This Row],[Caso de Prueba]],CasoPrueba[Código CP],CasoPrueba[Código de REQ])</f>
        <v>INSPECCIÓN</v>
      </c>
    </row>
  </sheetData>
  <mergeCells count="1">
    <mergeCell ref="A1:K1"/>
  </mergeCells>
  <dataValidations count="1">
    <dataValidation type="list" allowBlank="1" showInputMessage="1" showErrorMessage="1" sqref="H3:H122">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4</xdr:col>
                    <xdr:colOff>695325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D3:D122</xm:sqref>
        </x14:dataValidation>
        <x14:dataValidation type="list" allowBlank="1" showInputMessage="1" showErrorMessage="1">
          <x14:formula1>
            <xm:f>Resumen!$P$22:$P$24</xm:f>
          </x14:formula1>
          <xm:sqref>E3:E122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I3" sqref="I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62" t="s">
        <v>98</v>
      </c>
      <c r="B2" s="162" t="s">
        <v>90</v>
      </c>
      <c r="C2" s="162" t="s">
        <v>78</v>
      </c>
      <c r="D2" s="162" t="s">
        <v>91</v>
      </c>
      <c r="E2" s="162" t="s">
        <v>129</v>
      </c>
      <c r="F2" s="163" t="s">
        <v>99</v>
      </c>
      <c r="G2" s="163" t="s">
        <v>100</v>
      </c>
      <c r="H2" s="162" t="s">
        <v>101</v>
      </c>
      <c r="I2" s="162" t="s">
        <v>102</v>
      </c>
      <c r="J2" s="162" t="s">
        <v>95</v>
      </c>
      <c r="M2" s="31" t="s">
        <v>147</v>
      </c>
    </row>
    <row r="3" spans="1:13 16384:16384" ht="41.25" customHeight="1">
      <c r="A3" s="31" t="s">
        <v>126</v>
      </c>
      <c r="B3" s="31" t="s">
        <v>477</v>
      </c>
      <c r="C3" s="34" t="str">
        <f>VLOOKUP(Consultas[[#This Row],[Caso de Prueba]],CasoPrueba[[#All],[Código CP]:[Prioridad]],7,TRUE)</f>
        <v>Alta</v>
      </c>
      <c r="D3" s="31" t="s">
        <v>49</v>
      </c>
      <c r="E3" s="31" t="s">
        <v>147</v>
      </c>
      <c r="F3" s="32">
        <v>40800</v>
      </c>
      <c r="H3" s="31" t="s">
        <v>476</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L7" sqref="L7"/>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64" t="s">
        <v>113</v>
      </c>
      <c r="C3" s="166" t="s">
        <v>105</v>
      </c>
      <c r="D3" s="166" t="s">
        <v>106</v>
      </c>
      <c r="E3" s="166" t="s">
        <v>21</v>
      </c>
      <c r="F3" s="166" t="s">
        <v>22</v>
      </c>
      <c r="G3" s="166" t="s">
        <v>23</v>
      </c>
      <c r="H3" s="167" t="s">
        <v>24</v>
      </c>
      <c r="I3" s="167" t="s">
        <v>107</v>
      </c>
      <c r="J3" s="167" t="s">
        <v>110</v>
      </c>
      <c r="L3" s="164" t="s">
        <v>113</v>
      </c>
      <c r="M3" s="165" t="s">
        <v>108</v>
      </c>
      <c r="N3" s="166" t="s">
        <v>109</v>
      </c>
      <c r="O3" s="167"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73">
        <v>40796</v>
      </c>
      <c r="C5" s="40">
        <v>0</v>
      </c>
      <c r="D5" s="40">
        <v>15</v>
      </c>
      <c r="E5" s="40">
        <v>0</v>
      </c>
      <c r="F5" s="40">
        <v>0</v>
      </c>
      <c r="G5" s="40">
        <v>0</v>
      </c>
      <c r="H5" s="40">
        <v>0</v>
      </c>
      <c r="I5" s="40">
        <v>0</v>
      </c>
      <c r="J5" s="42">
        <f>SUM(HistóricoEjecuciones[[#This Row],[Aciertos]:[En Proceso]])</f>
        <v>15</v>
      </c>
      <c r="L5" s="73">
        <v>40796</v>
      </c>
      <c r="M5" s="40">
        <v>101</v>
      </c>
      <c r="N5" s="40">
        <v>0</v>
      </c>
      <c r="O5" s="75">
        <f>SUM(HistoricoIncidencias[[#This Row],[Abiertas]:[Cerradas]])</f>
        <v>101</v>
      </c>
    </row>
    <row r="6" spans="2:15">
      <c r="B6" s="73">
        <v>40800</v>
      </c>
      <c r="C6" s="40">
        <v>5</v>
      </c>
      <c r="D6" s="40">
        <v>10</v>
      </c>
      <c r="E6" s="40">
        <v>0</v>
      </c>
      <c r="F6" s="40">
        <v>0</v>
      </c>
      <c r="G6" s="40">
        <v>0</v>
      </c>
      <c r="H6" s="40">
        <v>0</v>
      </c>
      <c r="I6" s="40">
        <v>0</v>
      </c>
      <c r="J6" s="42">
        <f>SUM(HistóricoEjecuciones[[#This Row],[Aciertos]:[En Proceso]])</f>
        <v>15</v>
      </c>
      <c r="L6" s="73">
        <v>40800</v>
      </c>
      <c r="M6" s="40">
        <v>19</v>
      </c>
      <c r="N6" s="40">
        <v>101</v>
      </c>
      <c r="O6" s="75">
        <f>SUM(HistoricoIncidencias[[#This Row],[Abiertas]:[Cerradas]])</f>
        <v>120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2011-09-18T02:17:08Z</dcterms:modified>
</cp:coreProperties>
</file>