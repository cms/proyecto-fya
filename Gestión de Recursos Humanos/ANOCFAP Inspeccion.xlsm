
<file path=[Content_Types].xml><?xml version="1.0" encoding="utf-8"?>
<Types xmlns="http://schemas.openxmlformats.org/package/2006/content-types">
  <Override PartName="/xl/pivotTables/pivotTable6.xml" ContentType="application/vnd.openxmlformats-officedocument.spreadsheetml.pivotTable+xml"/>
  <Override PartName="/xl/charts/chart6.xml" ContentType="application/vnd.openxmlformats-officedocument.drawingml.chart+xml"/>
  <Override PartName="/xl/tables/table4.xml" ContentType="application/vnd.openxmlformats-officedocument.spreadsheetml.table+xml"/>
  <Override PartName="/xl/theme/theme1.xml" ContentType="application/vnd.openxmlformats-officedocument.theme+xml"/>
  <Override PartName="/xl/styles.xml" ContentType="application/vnd.openxmlformats-officedocument.spreadsheetml.styles+xml"/>
  <Override PartName="/xl/pivotTables/pivotTable4.xml" ContentType="application/vnd.openxmlformats-officedocument.spreadsheetml.pivotTable+xml"/>
  <Override PartName="/xl/charts/chart4.xml" ContentType="application/vnd.openxmlformats-officedocument.drawingml.chart+xml"/>
  <Override PartName="/xl/tables/table2.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6.xml" ContentType="application/vnd.openxmlformats-officedocument.spreadsheetml.pivotCacheDefinition+xml"/>
  <Default Extension="jpeg" ContentType="image/jpeg"/>
  <Override PartName="/xl/pivotTables/pivotTable1.xml" ContentType="application/vnd.openxmlformats-officedocument.spreadsheetml.pivotTable+xml"/>
  <Override PartName="/xl/pivotTables/pivotTable2.xml" ContentType="application/vnd.openxmlformats-officedocument.spreadsheetml.pivotTable+xml"/>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drawings/drawing1.xml" ContentType="application/vnd.openxmlformats-officedocument.drawing+xml"/>
  <Override PartName="/xl/worksheets/sheet1.xml" ContentType="application/vnd.openxmlformats-officedocument.spreadsheetml.worksheet+xml"/>
  <Override PartName="/xl/pivotCache/pivotCacheDefinition1.xml" ContentType="application/vnd.openxmlformats-officedocument.spreadsheetml.pivotCacheDefinition+xml"/>
  <Override PartName="/xl/pivotCache/pivotCacheRecords5.xml" ContentType="application/vnd.openxmlformats-officedocument.spreadsheetml.pivotCacheRecords+xml"/>
  <Override PartName="/xl/pivotCache/pivotCacheRecords6.xml" ContentType="application/vnd.openxmlformats-officedocument.spreadsheetml.pivotCacheRecords+xml"/>
  <Default Extension="vml" ContentType="application/vnd.openxmlformats-officedocument.vmlDrawing"/>
  <Override PartName="/xl/calcChain.xml" ContentType="application/vnd.openxmlformats-officedocument.spreadsheetml.calcChain+xml"/>
  <Override PartName="/xl/pivotCache/pivotCacheRecords3.xml" ContentType="application/vnd.openxmlformats-officedocument.spreadsheetml.pivotCacheRecords+xml"/>
  <Override PartName="/xl/pivotCache/pivotCacheRecords4.xml" ContentType="application/vnd.openxmlformats-officedocument.spreadsheetml.pivotCacheRecords+xml"/>
  <Override PartName="/xl/sharedStrings.xml" ContentType="application/vnd.openxmlformats-officedocument.spreadsheetml.sharedStrings+xml"/>
  <Override PartName="/xl/pivotCache/pivotCacheRecords1.xml" ContentType="application/vnd.openxmlformats-officedocument.spreadsheetml.pivotCacheRecords+xml"/>
  <Override PartName="/xl/pivotCache/pivotCacheRecords2.xml" ContentType="application/vnd.openxmlformats-officedocument.spreadsheetml.pivotCacheRecords+xml"/>
  <Override PartName="/xl/charts/chart8.xml" ContentType="application/vnd.openxmlformats-officedocument.drawingml.chart+xml"/>
  <Override PartName="/xl/charts/chart9.xml" ContentType="application/vnd.openxmlformats-officedocument.drawingml.chart+xml"/>
  <Override PartName="/xl/tables/table5.xml" ContentType="application/vnd.openxmlformats-officedocument.spreadsheetml.table+xml"/>
  <Override PartName="/docProps/core.xml" ContentType="application/vnd.openxmlformats-package.core-properties+xml"/>
  <Default Extension="bin" ContentType="application/vnd.openxmlformats-officedocument.spreadsheetml.printerSettings"/>
  <Override PartName="/xl/pivotTables/pivotTable5.xml" ContentType="application/vnd.openxmlformats-officedocument.spreadsheetml.pivotTable+xml"/>
  <Override PartName="/xl/charts/chart7.xml" ContentType="application/vnd.openxmlformats-officedocument.drawingml.chart+xml"/>
  <Override PartName="/xl/charts/chart10.xml" ContentType="application/vnd.openxmlformats-officedocument.drawingml.chart+xml"/>
  <Override PartName="/xl/tables/table3.xml" ContentType="application/vnd.openxmlformats-officedocument.spreadsheetml.table+xml"/>
  <Override PartName="/xl/pivotTables/pivotTable3.xml" ContentType="application/vnd.openxmlformats-officedocument.spreadsheetml.pivotTable+xml"/>
  <Override PartName="/xl/charts/chart5.xml" ContentType="application/vnd.openxmlformats-officedocument.drawingml.chart+xml"/>
  <Override PartName="/xl/tables/table1.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360" yWindow="135" windowWidth="15480" windowHeight="8460" tabRatio="783" activeTab="3"/>
  </bookViews>
  <sheets>
    <sheet name="General" sheetId="1" r:id="rId1"/>
    <sheet name="Resumen" sheetId="2" r:id="rId2"/>
    <sheet name="CuadrosResumen" sheetId="7" r:id="rId3"/>
    <sheet name="Iteracion" sheetId="3" r:id="rId4"/>
    <sheet name="Observaciones" sheetId="4" r:id="rId5"/>
    <sheet name="Consultas" sheetId="5" r:id="rId6"/>
    <sheet name="HistoricoAvance" sheetId="6" r:id="rId7"/>
  </sheets>
  <functionGroups/>
  <calcPr calcId="125725"/>
  <pivotCaches>
    <pivotCache cacheId="0" r:id="rId8"/>
    <pivotCache cacheId="1" r:id="rId9"/>
    <pivotCache cacheId="2" r:id="rId10"/>
    <pivotCache cacheId="3" r:id="rId11"/>
    <pivotCache cacheId="4" r:id="rId12"/>
    <pivotCache cacheId="5" r:id="rId13"/>
  </pivotCaches>
</workbook>
</file>

<file path=xl/calcChain.xml><?xml version="1.0" encoding="utf-8"?>
<calcChain xmlns="http://schemas.openxmlformats.org/spreadsheetml/2006/main">
  <c r="F14" i="3"/>
  <c r="F15"/>
  <c r="F16"/>
  <c r="F17"/>
  <c r="F18"/>
  <c r="F19"/>
  <c r="F5"/>
  <c r="F6"/>
  <c r="F7"/>
  <c r="F8"/>
  <c r="F9"/>
  <c r="F10"/>
  <c r="F11"/>
  <c r="F12"/>
  <c r="F13"/>
  <c r="Q6" l="1"/>
  <c r="Q7"/>
  <c r="Q8"/>
  <c r="Q9"/>
  <c r="Q10"/>
  <c r="Q11"/>
  <c r="Q12"/>
  <c r="Q13"/>
  <c r="Q14"/>
  <c r="Q15"/>
  <c r="Q16"/>
  <c r="Q17"/>
  <c r="Q18"/>
  <c r="Q19"/>
  <c r="C50" i="4" l="1"/>
  <c r="C59"/>
  <c r="C60"/>
  <c r="C61"/>
  <c r="C62"/>
  <c r="C63"/>
  <c r="C64"/>
  <c r="C65"/>
  <c r="C66"/>
  <c r="C67"/>
  <c r="C68"/>
  <c r="C69"/>
  <c r="C70"/>
  <c r="C71"/>
  <c r="C72"/>
  <c r="C73"/>
  <c r="C74"/>
  <c r="C75"/>
  <c r="C76"/>
  <c r="K58"/>
  <c r="K59"/>
  <c r="K60"/>
  <c r="K61"/>
  <c r="K62"/>
  <c r="K63"/>
  <c r="K64"/>
  <c r="K65"/>
  <c r="K66"/>
  <c r="K67"/>
  <c r="K68"/>
  <c r="K69"/>
  <c r="K70"/>
  <c r="K71"/>
  <c r="K72"/>
  <c r="K73"/>
  <c r="K74"/>
  <c r="K75"/>
  <c r="K76"/>
  <c r="L58"/>
  <c r="L59"/>
  <c r="L60"/>
  <c r="L61"/>
  <c r="L62"/>
  <c r="L63"/>
  <c r="L64"/>
  <c r="L65"/>
  <c r="L66"/>
  <c r="L67"/>
  <c r="L68"/>
  <c r="L69"/>
  <c r="L70"/>
  <c r="L71"/>
  <c r="L72"/>
  <c r="L73"/>
  <c r="L74"/>
  <c r="L75"/>
  <c r="L76"/>
  <c r="C54"/>
  <c r="C48"/>
  <c r="C39"/>
  <c r="L4"/>
  <c r="L5"/>
  <c r="L6"/>
  <c r="L7"/>
  <c r="L8"/>
  <c r="L9"/>
  <c r="L10"/>
  <c r="L11"/>
  <c r="L12"/>
  <c r="L13"/>
  <c r="L14"/>
  <c r="L15"/>
  <c r="L16"/>
  <c r="L17"/>
  <c r="L18"/>
  <c r="L19"/>
  <c r="K19"/>
  <c r="K4"/>
  <c r="K5"/>
  <c r="K6"/>
  <c r="K7"/>
  <c r="K8"/>
  <c r="K9"/>
  <c r="K10"/>
  <c r="K11"/>
  <c r="K12"/>
  <c r="K13"/>
  <c r="K14"/>
  <c r="K15"/>
  <c r="K16"/>
  <c r="K17"/>
  <c r="K18"/>
  <c r="K34"/>
  <c r="C3"/>
  <c r="C4"/>
  <c r="C5"/>
  <c r="C6"/>
  <c r="C7"/>
  <c r="C8"/>
  <c r="C9"/>
  <c r="C10"/>
  <c r="C11"/>
  <c r="C12"/>
  <c r="C13"/>
  <c r="C14"/>
  <c r="C15"/>
  <c r="C16"/>
  <c r="C17"/>
  <c r="C18"/>
  <c r="C19"/>
  <c r="C21"/>
  <c r="C20"/>
  <c r="C22"/>
  <c r="C23"/>
  <c r="C24"/>
  <c r="C25"/>
  <c r="C26"/>
  <c r="C27"/>
  <c r="C28"/>
  <c r="C29"/>
  <c r="C30"/>
  <c r="C31"/>
  <c r="C32"/>
  <c r="C33"/>
  <c r="C34"/>
  <c r="C35"/>
  <c r="C36"/>
  <c r="C37"/>
  <c r="C38"/>
  <c r="C40"/>
  <c r="C41"/>
  <c r="C42"/>
  <c r="C43"/>
  <c r="C44"/>
  <c r="C45"/>
  <c r="C46"/>
  <c r="C47"/>
  <c r="C49"/>
  <c r="C51"/>
  <c r="C52"/>
  <c r="C53"/>
  <c r="C55"/>
  <c r="C56"/>
  <c r="C57"/>
  <c r="C58"/>
  <c r="K20"/>
  <c r="K21"/>
  <c r="K22"/>
  <c r="K23"/>
  <c r="K24"/>
  <c r="K25"/>
  <c r="K26"/>
  <c r="K27"/>
  <c r="K28"/>
  <c r="K29"/>
  <c r="K30"/>
  <c r="K31"/>
  <c r="K32"/>
  <c r="K33"/>
  <c r="K35"/>
  <c r="K36"/>
  <c r="K37"/>
  <c r="K38"/>
  <c r="K39"/>
  <c r="K40"/>
  <c r="K41"/>
  <c r="K42"/>
  <c r="K43"/>
  <c r="K44"/>
  <c r="K45"/>
  <c r="K46"/>
  <c r="K47"/>
  <c r="K48"/>
  <c r="K49"/>
  <c r="K50"/>
  <c r="K51"/>
  <c r="K52"/>
  <c r="K53"/>
  <c r="K54"/>
  <c r="K55"/>
  <c r="K56"/>
  <c r="K57"/>
  <c r="L20"/>
  <c r="L21"/>
  <c r="L22"/>
  <c r="L23"/>
  <c r="L24"/>
  <c r="L25"/>
  <c r="L26"/>
  <c r="L27"/>
  <c r="L28"/>
  <c r="L29"/>
  <c r="L30"/>
  <c r="L31"/>
  <c r="L32"/>
  <c r="L33"/>
  <c r="L34"/>
  <c r="L35"/>
  <c r="L36"/>
  <c r="L37"/>
  <c r="L38"/>
  <c r="L39"/>
  <c r="L40"/>
  <c r="L41"/>
  <c r="L42"/>
  <c r="L43"/>
  <c r="L44"/>
  <c r="L45"/>
  <c r="L46"/>
  <c r="L47"/>
  <c r="L48"/>
  <c r="L49"/>
  <c r="L50"/>
  <c r="L51"/>
  <c r="L52"/>
  <c r="L53"/>
  <c r="L54"/>
  <c r="L55"/>
  <c r="L56"/>
  <c r="L57"/>
  <c r="K3"/>
  <c r="L3"/>
  <c r="L14" i="3"/>
  <c r="L15"/>
  <c r="L16"/>
  <c r="L17"/>
  <c r="L18"/>
  <c r="L19"/>
  <c r="M14"/>
  <c r="M15"/>
  <c r="M16"/>
  <c r="M17"/>
  <c r="M18"/>
  <c r="M19"/>
  <c r="C10" i="2" l="1"/>
  <c r="J6" i="6"/>
  <c r="C3" i="5"/>
  <c r="J3"/>
  <c r="O5" i="6" l="1"/>
  <c r="O6"/>
  <c r="J5"/>
  <c r="Q5" i="3"/>
  <c r="L5"/>
  <c r="M5"/>
  <c r="K33" i="2"/>
  <c r="C30"/>
  <c r="E30"/>
  <c r="C31"/>
  <c r="E31"/>
  <c r="C32"/>
  <c r="E32"/>
  <c r="C33"/>
  <c r="E33"/>
  <c r="I33"/>
  <c r="K30" l="1"/>
  <c r="J30"/>
  <c r="I30"/>
  <c r="J33"/>
  <c r="E34"/>
  <c r="C34"/>
  <c r="J32" l="1"/>
  <c r="I32"/>
  <c r="K32"/>
  <c r="I13" l="1"/>
  <c r="J4" i="6"/>
  <c r="O4"/>
  <c r="K13" i="2"/>
  <c r="I31" l="1"/>
  <c r="I34" s="1"/>
  <c r="K31"/>
  <c r="K34" s="1"/>
  <c r="J31"/>
  <c r="J34" s="1"/>
  <c r="K20"/>
  <c r="K19"/>
  <c r="K18"/>
  <c r="I20"/>
  <c r="I19"/>
  <c r="I18"/>
  <c r="G20"/>
  <c r="G19"/>
  <c r="G18"/>
  <c r="M20"/>
  <c r="M19"/>
  <c r="M18"/>
  <c r="E20"/>
  <c r="E19"/>
  <c r="E18"/>
  <c r="C20"/>
  <c r="C19"/>
  <c r="C18"/>
  <c r="J13"/>
  <c r="H13"/>
  <c r="G13"/>
  <c r="F13"/>
  <c r="E13"/>
  <c r="C14"/>
  <c r="C13"/>
  <c r="C12"/>
  <c r="C11" s="1"/>
  <c r="G2" i="3"/>
  <c r="G89" i="7"/>
  <c r="E2" i="3"/>
  <c r="G2" i="2"/>
  <c r="D2"/>
  <c r="D30" l="1"/>
  <c r="D31"/>
  <c r="F33"/>
  <c r="F32"/>
  <c r="D32"/>
  <c r="F30"/>
  <c r="D33"/>
  <c r="F31"/>
  <c r="D6"/>
  <c r="D18"/>
  <c r="K14"/>
  <c r="G68" i="7"/>
  <c r="C21" i="2"/>
  <c r="F20"/>
  <c r="J19"/>
  <c r="L20"/>
  <c r="F19"/>
  <c r="N20"/>
  <c r="L19"/>
  <c r="F18"/>
  <c r="N19"/>
  <c r="H20"/>
  <c r="L18"/>
  <c r="N18"/>
  <c r="H19"/>
  <c r="J20"/>
  <c r="I21"/>
  <c r="G21"/>
  <c r="M21"/>
  <c r="K21"/>
  <c r="J18"/>
  <c r="H18"/>
  <c r="E21"/>
  <c r="D19"/>
  <c r="D20"/>
  <c r="F14"/>
  <c r="J14"/>
  <c r="E14"/>
  <c r="I14"/>
  <c r="H14"/>
  <c r="G14"/>
  <c r="F34" l="1"/>
  <c r="D34"/>
  <c r="D4"/>
  <c r="L21"/>
  <c r="G4"/>
  <c r="J21"/>
  <c r="F21"/>
  <c r="N21"/>
  <c r="H21"/>
  <c r="D21"/>
</calcChain>
</file>

<file path=xl/sharedStrings.xml><?xml version="1.0" encoding="utf-8"?>
<sst xmlns="http://schemas.openxmlformats.org/spreadsheetml/2006/main" count="731" uniqueCount="320">
  <si>
    <t>CASOS DE PRUEBA</t>
  </si>
  <si>
    <t>DATOS GENERALES</t>
  </si>
  <si>
    <t>Tipo de Solicitud</t>
  </si>
  <si>
    <t>Descripción</t>
  </si>
  <si>
    <t>Proveedor Desarrollo</t>
  </si>
  <si>
    <t>Pruebas de Sistemas</t>
  </si>
  <si>
    <t>Pruebas Post Producción</t>
  </si>
  <si>
    <t>Fecha Inicio</t>
  </si>
  <si>
    <t>Fecha Fin</t>
  </si>
  <si>
    <t>Código:</t>
  </si>
  <si>
    <t>Título:</t>
  </si>
  <si>
    <t>Avance Real:</t>
  </si>
  <si>
    <t>Resultado:</t>
  </si>
  <si>
    <t>Ejecutado:</t>
  </si>
  <si>
    <t>1. Casos de Prueba</t>
  </si>
  <si>
    <t>CP Totales</t>
  </si>
  <si>
    <t>CP Ejecutados</t>
  </si>
  <si>
    <t>CP Bloqueado</t>
  </si>
  <si>
    <t>CP Pendiente</t>
  </si>
  <si>
    <t>Acierto</t>
  </si>
  <si>
    <t>Fallo</t>
  </si>
  <si>
    <t>Bloqueado</t>
  </si>
  <si>
    <t>Pendiente</t>
  </si>
  <si>
    <t>No Aplica</t>
  </si>
  <si>
    <t>En Proceso</t>
  </si>
  <si>
    <t>Casos de Prueba</t>
  </si>
  <si>
    <t>Nº</t>
  </si>
  <si>
    <t>%</t>
  </si>
  <si>
    <t>Alta</t>
  </si>
  <si>
    <t>Media</t>
  </si>
  <si>
    <t>Baja</t>
  </si>
  <si>
    <t>TOTAL</t>
  </si>
  <si>
    <t>Severidad (SI)</t>
  </si>
  <si>
    <t>Severidad 1</t>
  </si>
  <si>
    <t>Bloqueante para el sistema</t>
  </si>
  <si>
    <t>Severidad 2</t>
  </si>
  <si>
    <t>Bloqueante para el negocio, flujo crítico interrumpido</t>
  </si>
  <si>
    <t>Severidad 3</t>
  </si>
  <si>
    <t>No bloqueante, flujo alterno interrumpido</t>
  </si>
  <si>
    <t>Severidad 4</t>
  </si>
  <si>
    <t>De carácter estético</t>
  </si>
  <si>
    <t>Prioridad (P)</t>
  </si>
  <si>
    <t>Abrev.</t>
  </si>
  <si>
    <t>A</t>
  </si>
  <si>
    <t>M</t>
  </si>
  <si>
    <t>B</t>
  </si>
  <si>
    <t>Estado (EI)</t>
  </si>
  <si>
    <t>Abierta</t>
  </si>
  <si>
    <t>Corregida</t>
  </si>
  <si>
    <t>Cerrada</t>
  </si>
  <si>
    <t>Incidencia respondida por el AM cuya verificación está en proceso</t>
  </si>
  <si>
    <t xml:space="preserve">Incidencia reportada al AM </t>
  </si>
  <si>
    <t>Incidencia verificada y levantada</t>
  </si>
  <si>
    <t>Estado Testing (ET)</t>
  </si>
  <si>
    <t>Descripión</t>
  </si>
  <si>
    <t>El resultado real es igual a resultado esperado</t>
  </si>
  <si>
    <t>No se cumple el caso esperado</t>
  </si>
  <si>
    <t>No se puede probar el CP, por dependecias de otro CP en Fallo o falta de prerequisitos o desarrollo</t>
  </si>
  <si>
    <t>El CP esta fuera de alcance de las pruebas de esta iteración</t>
  </si>
  <si>
    <t>Resultado</t>
  </si>
  <si>
    <t>SATISFACTORIO</t>
  </si>
  <si>
    <t>Las pruebas pasaron sin problemas</t>
  </si>
  <si>
    <t>SATISFACTORIO con Observaciones</t>
  </si>
  <si>
    <t>Durante las pruebas se realizaron observaciones menores.</t>
  </si>
  <si>
    <t>INSATISFACTORIO</t>
  </si>
  <si>
    <t>Se encontraron Incidencias de Severidad 1 o Severidad 2.</t>
  </si>
  <si>
    <t>CP cuya ejecución está en pendiente</t>
  </si>
  <si>
    <t>El CP cuya ejecución aún no se ha terminado.</t>
  </si>
  <si>
    <t>2. Incidencias</t>
  </si>
  <si>
    <t>Severidad (S)</t>
  </si>
  <si>
    <t>Incidencias Abiertas</t>
  </si>
  <si>
    <t>Incidencias Cerradas</t>
  </si>
  <si>
    <t>TOTALES</t>
  </si>
  <si>
    <t>Funcionalidad</t>
  </si>
  <si>
    <t>Descripción Caso de Prueba</t>
  </si>
  <si>
    <t>Resultado Esperado</t>
  </si>
  <si>
    <t>Resultado Real</t>
  </si>
  <si>
    <t>Estado Testing</t>
  </si>
  <si>
    <t>Prioridad</t>
  </si>
  <si>
    <t>Severidad</t>
  </si>
  <si>
    <t>Estado Incidencia</t>
  </si>
  <si>
    <t>Reejecución</t>
  </si>
  <si>
    <t>Fecha Planificada</t>
  </si>
  <si>
    <t>Fecha Real</t>
  </si>
  <si>
    <t>Duración Caso de Prueba (horas / hombre)</t>
  </si>
  <si>
    <t>Pre-requisitos para la ejecución de la prueba</t>
  </si>
  <si>
    <t>Observaciones Pruebas Testing</t>
  </si>
  <si>
    <t>Revisión</t>
  </si>
  <si>
    <t>CP001</t>
  </si>
  <si>
    <t>Cod. Obs.</t>
  </si>
  <si>
    <t>Caso de Prueba</t>
  </si>
  <si>
    <t>Estado</t>
  </si>
  <si>
    <t>Fecha Detección</t>
  </si>
  <si>
    <t>Fecha Levantamiento</t>
  </si>
  <si>
    <t>Solución</t>
  </si>
  <si>
    <t>Tiempo de Solución</t>
  </si>
  <si>
    <t>MATRIZ DE OBSERVACIONES</t>
  </si>
  <si>
    <t>Cod. Cons.</t>
  </si>
  <si>
    <t>Fecha Solicitud</t>
  </si>
  <si>
    <t>Fecha Respuesta</t>
  </si>
  <si>
    <t>Descripción de la Consulta</t>
  </si>
  <si>
    <t>Respuesta del Responsable</t>
  </si>
  <si>
    <t>MATRIZ DE CONSULTAS</t>
  </si>
  <si>
    <t>Tiempo de Solución (Dias)</t>
  </si>
  <si>
    <t>Aciertos</t>
  </si>
  <si>
    <t>Fallos</t>
  </si>
  <si>
    <t>Reejecuciones</t>
  </si>
  <si>
    <t>Abiertas</t>
  </si>
  <si>
    <t>Cerradas</t>
  </si>
  <si>
    <t>Totales</t>
  </si>
  <si>
    <t>HISTÓRICO DE EJECUCIÓN</t>
  </si>
  <si>
    <t>HISTÓRICO DE INCIDENCIAS</t>
  </si>
  <si>
    <t>Fecha</t>
  </si>
  <si>
    <t>CP con Fallo</t>
  </si>
  <si>
    <t>1. RESÚMEN DE ESTADOS DE CASOS DE PRUEBA</t>
  </si>
  <si>
    <t>2. HISTÓRICO DE EJECUCIONES DE CASOS DE PRUEBA</t>
  </si>
  <si>
    <t>3. HISTÓRICO DE INCIDENCIAS</t>
  </si>
  <si>
    <t>4. RESÚMEN DE OBSERVACIONES</t>
  </si>
  <si>
    <t>TIEMPO MEDIO DE RESOLUCIÓN Y CIERRE DE INCIDENCIAS</t>
  </si>
  <si>
    <t>DIAS</t>
  </si>
  <si>
    <t>Rótulos de fila</t>
  </si>
  <si>
    <t>Total general</t>
  </si>
  <si>
    <t>Cuenta de Severidad</t>
  </si>
  <si>
    <t>Cuenta de Prioridad</t>
  </si>
  <si>
    <t>Cuenta de Estado</t>
  </si>
  <si>
    <t>CON001</t>
  </si>
  <si>
    <t>5. RESÚMEN DE CONSULTAS</t>
  </si>
  <si>
    <t>TIEMPO MEDIO DE RESOLUCIÓN Y CIERRE DE CONSULTAS</t>
  </si>
  <si>
    <t>Responsable</t>
  </si>
  <si>
    <t>Cuenta de Responsable</t>
  </si>
  <si>
    <t>Re Ejecuciones</t>
  </si>
  <si>
    <t>AM</t>
  </si>
  <si>
    <t>No AM</t>
  </si>
  <si>
    <t>Código CP</t>
  </si>
  <si>
    <t>Código de REQ</t>
  </si>
  <si>
    <t>Pruebas Funcionales</t>
  </si>
  <si>
    <t>Pruebas de Performance</t>
  </si>
  <si>
    <t>Pruebas de Seguridad</t>
  </si>
  <si>
    <t>Inspección</t>
  </si>
  <si>
    <t>Solicitud Código Proyecto</t>
  </si>
  <si>
    <t>Nombre de la Solicitud</t>
  </si>
  <si>
    <t>Gerente Proyectos Cliente</t>
  </si>
  <si>
    <t>Cod. Req.</t>
  </si>
  <si>
    <t>(en blanco)</t>
  </si>
  <si>
    <t>#N/A</t>
  </si>
  <si>
    <t>IT Expert</t>
  </si>
  <si>
    <t>Cliente</t>
  </si>
  <si>
    <t>Empresa QA</t>
  </si>
  <si>
    <t>Responsable Cliente</t>
  </si>
  <si>
    <t>INSPECCIÓN</t>
  </si>
  <si>
    <t>VALIDACIÓN OK</t>
  </si>
  <si>
    <t>OBS002</t>
  </si>
  <si>
    <t>OBS003</t>
  </si>
  <si>
    <t>OBS004</t>
  </si>
  <si>
    <t>OBS005</t>
  </si>
  <si>
    <t>OBS006</t>
  </si>
  <si>
    <t>OBS007</t>
  </si>
  <si>
    <t>OBS008</t>
  </si>
  <si>
    <t>OBS009</t>
  </si>
  <si>
    <t>-</t>
  </si>
  <si>
    <t>Responsable V&amp;V</t>
  </si>
  <si>
    <t>INSPECCIÓN DE DOCUMENTO</t>
  </si>
  <si>
    <t>MacroProceso - Gestión de Recursos Humanos</t>
  </si>
  <si>
    <t>Nicolay García</t>
  </si>
  <si>
    <t xml:space="preserve">PRY-SSIAEDUCT-03 </t>
  </si>
  <si>
    <t>Arquitectura de Negocios de la Oficina Central de Fe y Alegría Perú – ANOCFAP</t>
  </si>
  <si>
    <t>José Ramos Ramírez</t>
  </si>
  <si>
    <t>OBS001</t>
  </si>
  <si>
    <t>En actores del proceso se menciona un departamento pero no se indica cuál.</t>
  </si>
  <si>
    <t>En el procedimiento en el punto 5 hay un "es" innecesario.</t>
  </si>
  <si>
    <t>En el procedimiento en el punto 10 hay un error ortográfico: "institución".</t>
  </si>
  <si>
    <t>Página 5 innecesaria</t>
  </si>
  <si>
    <t xml:space="preserve">En el punto 2 de la caracterización el Anuncio Publicado ni el Aviso difundido deberían ser datos de entrada.
</t>
  </si>
  <si>
    <t>En el punto 5 de la caracterización la descripción no corresponde.</t>
  </si>
  <si>
    <t>Los Gateways no tienen nombre ni estan caracterizados.</t>
  </si>
  <si>
    <t>En el diagrama no se detalla el nombre del "Jefe de Departamento"  ni "Empleado del Departamento" del punto 9, 10 y 13</t>
  </si>
  <si>
    <t>En el punto 6, 7, 8, 9, 10, 12, 13 y 14 de la caracterización la entrada y la salida no puede ser un actor o acción, siempre es un artefacto.</t>
  </si>
  <si>
    <t>El conector hacia la actividad 14 no es el correcto, se debe usar un flujo de secuencia ya que no es una actividad externa. Esta actividad debe tener un conector hacia el fin.</t>
  </si>
  <si>
    <t>CP002</t>
  </si>
  <si>
    <t>CP003</t>
  </si>
  <si>
    <t>CP004</t>
  </si>
  <si>
    <t>CP005</t>
  </si>
  <si>
    <t>CP006</t>
  </si>
  <si>
    <t>CP007</t>
  </si>
  <si>
    <t>CP008</t>
  </si>
  <si>
    <t>CP009</t>
  </si>
  <si>
    <t>CP010</t>
  </si>
  <si>
    <t>CP011</t>
  </si>
  <si>
    <t>CP012</t>
  </si>
  <si>
    <t>CP013</t>
  </si>
  <si>
    <t>CP014</t>
  </si>
  <si>
    <t>CP015</t>
  </si>
  <si>
    <t>Proceso - Capacitación de Personal</t>
  </si>
  <si>
    <t>Proceso - Contratación e Inducción</t>
  </si>
  <si>
    <t>Proceso - Despido o Retiro de Personal</t>
  </si>
  <si>
    <t>Proceso - Evaluación de Postulantes</t>
  </si>
  <si>
    <t>Proceso - Reclutamiento de Postulantes</t>
  </si>
  <si>
    <t>Proceso - Rendición de Gastos de Viaje</t>
  </si>
  <si>
    <t>Proceso - Seguimiento de Personal</t>
  </si>
  <si>
    <t>Proceso - Solicitud de Fondos de Viaje</t>
  </si>
  <si>
    <t>Proceso - Solicitud de Personal</t>
  </si>
  <si>
    <t>MacroProceso - Gestión de Educación Rural</t>
  </si>
  <si>
    <t>Proceso - Acompañamiento a los Programas Educativos Rurales</t>
  </si>
  <si>
    <t>Proceso - Creación de Programa Educativo Rural</t>
  </si>
  <si>
    <t>Proceso - Planificación de los Programas Educativos Rurales</t>
  </si>
  <si>
    <t>Proceso - Seguimiento  a los Programas Educativos Rurales</t>
  </si>
  <si>
    <t>BAJA</t>
  </si>
  <si>
    <t>DESESTIMADA</t>
  </si>
  <si>
    <t>MEDIA</t>
  </si>
  <si>
    <t>OBS010</t>
  </si>
  <si>
    <t>OBS011</t>
  </si>
  <si>
    <t>OBS012</t>
  </si>
  <si>
    <t>OBS013</t>
  </si>
  <si>
    <t>OBS014</t>
  </si>
  <si>
    <t>En el propósito se mencionan los objetivos OSE pero no se menciona donde se encuentra la totalidad de los OSE</t>
  </si>
  <si>
    <t>OBS015</t>
  </si>
  <si>
    <t>OBS016</t>
  </si>
  <si>
    <t>OBS017</t>
  </si>
  <si>
    <t>OBS018</t>
  </si>
  <si>
    <t>OBS019</t>
  </si>
  <si>
    <t>OBS020</t>
  </si>
  <si>
    <t>OBS021</t>
  </si>
  <si>
    <t>OBS022</t>
  </si>
  <si>
    <t>OBS023</t>
  </si>
  <si>
    <t>OBS024</t>
  </si>
  <si>
    <t>OBS025</t>
  </si>
  <si>
    <t>OBS026</t>
  </si>
  <si>
    <t>OBS027</t>
  </si>
  <si>
    <t>OBS028</t>
  </si>
  <si>
    <t>OBS029</t>
  </si>
  <si>
    <t>OBS030</t>
  </si>
  <si>
    <t>OBS031</t>
  </si>
  <si>
    <t>OBS032</t>
  </si>
  <si>
    <t>OBS033</t>
  </si>
  <si>
    <t>OBS034</t>
  </si>
  <si>
    <t>OBS035</t>
  </si>
  <si>
    <t>OBS036</t>
  </si>
  <si>
    <t>OBS037</t>
  </si>
  <si>
    <t>OBS038</t>
  </si>
  <si>
    <t>OBS039</t>
  </si>
  <si>
    <t>OBS040</t>
  </si>
  <si>
    <t>OBS041</t>
  </si>
  <si>
    <t>OBS042</t>
  </si>
  <si>
    <t>OBS043</t>
  </si>
  <si>
    <t>OBS044</t>
  </si>
  <si>
    <t>OBS045</t>
  </si>
  <si>
    <t>OBS046</t>
  </si>
  <si>
    <t>OBS047</t>
  </si>
  <si>
    <t>OBS048</t>
  </si>
  <si>
    <t>OBS049</t>
  </si>
  <si>
    <t>OBS050</t>
  </si>
  <si>
    <t>OBS051</t>
  </si>
  <si>
    <t>OBS052</t>
  </si>
  <si>
    <t>OBS053</t>
  </si>
  <si>
    <t>OBS054</t>
  </si>
  <si>
    <t>OBS055</t>
  </si>
  <si>
    <t>En el procedimiento, el punto 5 falta indicar la acción tomada por el jefe de área.</t>
  </si>
  <si>
    <t>En el procedimiento, el punto 6 hay un error ortográfico al final: "Administrador".</t>
  </si>
  <si>
    <t>En el punto 4 de la caracterización se debe tener 2 salidas.</t>
  </si>
  <si>
    <t>En el punto 9 de la caracterización hay un error gramatical en la descripción.</t>
  </si>
  <si>
    <t>ALTA</t>
  </si>
  <si>
    <t>El diagrama es ANSI y no BPMN</t>
  </si>
  <si>
    <t>En el punto 1, 2, 6, 7, 11, 12 y 13 de la caracterización la entrada y la salida no puede ser un actor, siempre es un artefacto.</t>
  </si>
  <si>
    <t>En el punto 1, 2, 5, 6, 7, 8, 9 y 15 de la caracterización la entrada y la salida no puede ser un actor o una acción, siempre es un artefacto.</t>
  </si>
  <si>
    <t>En el propósito se mencionan los objetivos OSE pero no se menciona donde se encuentra la totalidad de los OSE.</t>
  </si>
  <si>
    <t>En el punto 4 de la caracterización hay un error gramatical antes de "Administrador".</t>
  </si>
  <si>
    <t>El título que aparece en la cabecera del cuadro no es el del proceso.</t>
  </si>
  <si>
    <t>El Empleado no puede decidir si es un despido. El inicio no debe empezar en el empleado</t>
  </si>
  <si>
    <t>En el punto 2, 3, 5, 7, 8, 10, 13, 14, 16, 17 y 19 de la caracterización la entrada y la salida no puede ser un actor o una acción, siempre es un artefacto.</t>
  </si>
  <si>
    <t>La actividad 3 tiene un nombre que no concuerda con el proceso.</t>
  </si>
  <si>
    <t>Luego de la actividad 12 no queda claro que sucedería con el empleado en caso de que se desapruebe la renuncia del mismo.</t>
  </si>
  <si>
    <t>Error de tipeo en la salida del punto 15 de la caracterización en "certificados".</t>
  </si>
  <si>
    <t>La actividad 9 tiene un nombre que no concuerda con el proceso.</t>
  </si>
  <si>
    <t>El nombre de la actividad 19 no puede ser una pregunta.</t>
  </si>
  <si>
    <t>En caso de despido, nunca se le comunica al empleado.</t>
  </si>
  <si>
    <t>En el punto 2, 3, 4, 5, 8, 9 y 10 de la caracterización la entrada y la salida no puede ser un actor o una acción, siempre es un artefacto.</t>
  </si>
  <si>
    <t>Normalmente solo debe existir un inicio y un fin.</t>
  </si>
  <si>
    <t>Las anotaciones van en el documento del EBM bajo las reglas de Negocio.</t>
  </si>
  <si>
    <t>Para que se efectúe la actividad 3 tiene que existir una condición de tener gastos sin justificantes. Debería haber un gateway previo.</t>
  </si>
  <si>
    <t>En el punto 1, 4 y 5 de la caracterización la entrada y la salida no puede ser una acción, siempre es un artefacto.</t>
  </si>
  <si>
    <t>En la caracterización no se ha caracterizado el fin.</t>
  </si>
  <si>
    <t>En la caracterización no se ha caracterizado el inicio ni el fin.</t>
  </si>
  <si>
    <t>En la caracterización no se ha caracterizado el inicio, el fin, los gateway ni los eventos.</t>
  </si>
  <si>
    <t>En la caracterización no se ha caracterizado el inicio ni los fines.</t>
  </si>
  <si>
    <t>En la caracterización no se ha caracterizado el inicio, uno de los fines ni los eventos.</t>
  </si>
  <si>
    <t>En la caracterización no se ha caracterizado los gateways ni el fin.</t>
  </si>
  <si>
    <t>En el punto 1, 2, 3 y 4 de la caracterización la entrada y la salida no puede ser un actor siempre es un artefacto.</t>
  </si>
  <si>
    <t>En el punto 1 y 9 de la caracterización la entrada y la salida no puede ser un actor o acción, siempre es un artefacto.</t>
  </si>
  <si>
    <t>En la descripción del punto 6 de la caracterización se debe corregir el termino "de vuelta", no es correcto.</t>
  </si>
  <si>
    <t>OBS056</t>
  </si>
  <si>
    <t>OBS057</t>
  </si>
  <si>
    <t>OBS058</t>
  </si>
  <si>
    <t>OBS059</t>
  </si>
  <si>
    <t>OBS060</t>
  </si>
  <si>
    <t>OBS061</t>
  </si>
  <si>
    <t>OBS062</t>
  </si>
  <si>
    <t>OBS063</t>
  </si>
  <si>
    <t>OBS064</t>
  </si>
  <si>
    <t>OBS065</t>
  </si>
  <si>
    <t>OBS066</t>
  </si>
  <si>
    <t>OBS067</t>
  </si>
  <si>
    <t>OBS068</t>
  </si>
  <si>
    <t>OBS069</t>
  </si>
  <si>
    <t>OBS070</t>
  </si>
  <si>
    <t>OBS071</t>
  </si>
  <si>
    <t>OBS072</t>
  </si>
  <si>
    <t>OBS073</t>
  </si>
  <si>
    <t>OBS074</t>
  </si>
  <si>
    <t>En el diagrama hay un error de tipeo en el Lane del "Director General".</t>
  </si>
  <si>
    <t xml:space="preserve">[OBS001]En el propósito se mencionan los objetivos OSE pero no se menciona donde se encuentra la totalidad de los OSE_x000D_
[OBS002]En actores del proceso se menciona un departamento pero no se indica cuál._x000D_
[OBS003]En el procedimiento en el punto 5 hay un "es" innecesario._x000D_
[OBS004]En el procedimiento en el punto 10 hay un error ortográfico: "institución"._x000D_
[OBS005]Página 5 innecesaria_x000D_
[OBS006]En la caracterización no se ha caracterizado el inicio, el fin, los gateway ni los eventos._x000D_
[OBS007]En el punto 2 de la caracterización el Anuncio Publicado ni el Aviso difundido deberían ser datos de entrada.
_x000D_
[OBS008]En el punto 5 de la caracterización la descripción no corresponde._x000D_
[OBS009]En el punto 6, 7, 8, 9, 10, 12, 13 y 14 de la caracterización la entrada y la salida no puede ser un actor o acción, siempre es un artefacto._x000D_
[OBS010]En el diagrama no se detalla el nombre del "Jefe de Departamento"  ni "Empleado del Departamento" del punto 9, 10 y 13_x000D_
[OBS011]Los Gateways no tienen nombre ni estan caracterizados._x000D_
[OBS012]El conector hacia la actividad 14 no es el correcto, se debe usar un flujo de secuencia ya que no es una actividad externa. Esta actividad debe tener un conector hacia el fin._x000D_
</t>
  </si>
  <si>
    <t xml:space="preserve">[OBS013]En el propósito se mencionan los objetivos OSE pero no se menciona donde se encuentra la totalidad de los OSE_x000D_
[OBS014]En el procedimiento, el punto 5 falta indicar la acción tomada por el jefe de área._x000D_
[OBS015]En el procedimiento, el punto 6 hay un error ortográfico al final: "Administrador"._x000D_
[OBS016]En la caracterización no se ha caracterizado el inicio ni los fines._x000D_
[OBS017]En el punto 1, 2, 6, 7, 11, 12 y 13 de la caracterización la entrada y la salida no puede ser un actor, siempre es un artefacto._x000D_
[OBS018]En el punto 4 de la caracterización se debe tener 2 salidas._x000D_
[OBS019]En el punto 9 de la caracterización hay un error gramatical en la descripción._x000D_
[OBS020]El diagrama es ANSI y no BPMN_x000D_
</t>
  </si>
  <si>
    <t xml:space="preserve">[OBS021]En el propósito se mencionan los objetivos OSE pero no se menciona donde se encuentra la totalidad de los OSE._x000D_
[OBS022]En la caracterización no se ha caracterizado el inicio, uno de los fines ni los eventos._x000D_
[OBS023]En el punto 1, 2, 5, 6, 7, 8, 9 y 15 de la caracterización la entrada y la salida no puede ser un actor o una acción, siempre es un artefacto._x000D_
[OBS024]En el punto 4 de la caracterización hay un error gramatical antes de "Administrador"._x000D_
</t>
  </si>
  <si>
    <t xml:space="preserve">[OBS025]El título que aparece en la cabecera del cuadro no es el del proceso._x000D_
[OBS026]En el propósito se mencionan los objetivos OSE pero no se menciona donde se encuentra la totalidad de los OSE._x000D_
[OBS027]En la caracterización no se ha caracterizado el inicio, el fin, los gateway ni los eventos._x000D_
[OBS028]El Empleado no puede decidir si es un despido. El inicio no debe empezar en el empleado_x000D_
[OBS029]En el punto 2, 3, 5, 7, 8, 10, 13, 14, 16, 17 y 19 de la caracterización la entrada y la salida no puede ser un actor o una acción, siempre es un artefacto._x000D_
[OBS030]La actividad 3 tiene un nombre que no concuerda con el proceso._x000D_
[OBS031]La actividad 9 tiene un nombre que no concuerda con el proceso._x000D_
[OBS032]Luego de la actividad 12 no queda claro que sucedería con el empleado en caso de que se desapruebe la renuncia del mismo._x000D_
[OBS033]Error de tipeo en la salida del punto 15 de la caracterización en "certificados"._x000D_
[OBS034]El nombre de la actividad 19 no puede ser una pregunta._x000D_
[OBS035]En caso de despido, nunca se le comunica al empleado._x000D_
</t>
  </si>
  <si>
    <t xml:space="preserve">[OBS036]En el propósito se mencionan los objetivos OSE pero no se menciona donde se encuentra la totalidad de los OSE._x000D_
[OBS037]En la caracterización no se ha caracterizado el inicio ni el fin._x000D_
[OBS038]En el punto 2, 3, 4, 5, 8, 9 y 10 de la caracterización la entrada y la salida no puede ser un actor o una acción, siempre es un artefacto._x000D_
</t>
  </si>
  <si>
    <t xml:space="preserve">[OBS039]En el propósito se mencionan los objetivos OSE pero no se menciona donde se encuentra la totalidad de los OSE._x000D_
[OBS040]En la caracterización no se ha caracterizado el inicio ni el fin._x000D_
</t>
  </si>
  <si>
    <t xml:space="preserve">[OBS041]En el propósito se mencionan los objetivos OSE pero no se menciona donde se encuentra la totalidad de los OSE._x000D_
[OBS042]Normalmente solo debe existir un inicio y un fin._x000D_
[OBS043]En el punto 1, 4 y 5 de la caracterización la entrada y la salida no puede ser una acción, siempre es un artefacto._x000D_
[OBS044]Las anotaciones van en el documento del EBM bajo las reglas de Negocio._x000D_
[OBS045]Para que se efectúe la actividad 3 tiene que existir una condición de tener gastos sin justificantes. Debería haber un gateway previo._x000D_
[OBS046]En la caracterización no se ha caracterizado el fin._x000D_
</t>
  </si>
  <si>
    <t xml:space="preserve">[OBS047]En el propósito se mencionan los objetivos OSE pero no se menciona donde se encuentra la totalidad de los OSE._x000D_
[OBS048]En el diagrama hay un error de tipeo en el Lane del "Director General"._x000D_
[OBS049]En la caracterización no se ha caracterizado los gateways ni el fin._x000D_
[OBS050]En el punto 1, 2, 3 y 4 de la caracterización la entrada y la salida no puede ser un actor siempre es un artefacto._x000D_
</t>
  </si>
  <si>
    <t xml:space="preserve">[OBS051]En el propósito se mencionan los objetivos OSE pero no se menciona donde se encuentra la totalidad de los OSE._x000D_
[OBS052]Las anotaciones van en el documento del EBM bajo las reglas de Negocio._x000D_
[OBS053]En el punto 1 y 9 de la caracterización la entrada y la salida no puede ser un actor o acción, siempre es un artefacto._x000D_
[OBS054]En la descripción del punto 6 de la caracterización se debe corregir el termino "de vuelta", no es correcto._x000D_
[OBS055]En la caracterización no se ha caracterizado el fin._x000D_
</t>
  </si>
  <si>
    <t xml:space="preserve">[OBS056]En el propósito se mencionan los objetivos OSE pero no se menciona donde se encuentra la totalidad de los OSE._x000D_
[OBS057]En la caracterización no se ha caracterizado el fin._x000D_
</t>
  </si>
  <si>
    <t>Parte del desarrollo de los proyectos de las empresas virtuales es que los proyectos puedan ser validados por la empresa virtual QA. Para este caso, se trabajará con un proyecto de la empresa virtual Educate: Arquitectura de Negocios de la Oficina Central de Fe y Alegría Perú (ANOCFAP). Para la validación de documentos se realizará inspecciones y se contará con Checklists como anexos.</t>
  </si>
</sst>
</file>

<file path=xl/styles.xml><?xml version="1.0" encoding="utf-8"?>
<styleSheet xmlns="http://schemas.openxmlformats.org/spreadsheetml/2006/main">
  <numFmts count="1">
    <numFmt numFmtId="164" formatCode="dd/mm/yyyy;@"/>
  </numFmts>
  <fonts count="54">
    <font>
      <sz val="11"/>
      <color theme="1"/>
      <name val="Calibri"/>
      <family val="2"/>
      <scheme val="minor"/>
    </font>
    <font>
      <sz val="11"/>
      <color theme="1"/>
      <name val="Calibri"/>
      <family val="2"/>
      <scheme val="minor"/>
    </font>
    <font>
      <b/>
      <sz val="11"/>
      <color theme="1"/>
      <name val="Calibri"/>
      <family val="2"/>
      <scheme val="minor"/>
    </font>
    <font>
      <b/>
      <sz val="20"/>
      <color rgb="FFFFFFFF"/>
      <name val="Arial"/>
      <family val="2"/>
    </font>
    <font>
      <b/>
      <sz val="12"/>
      <color rgb="FFFFFFFF"/>
      <name val="Arial"/>
      <family val="2"/>
    </font>
    <font>
      <sz val="10"/>
      <name val="Arial"/>
      <family val="2"/>
    </font>
    <font>
      <b/>
      <sz val="9"/>
      <name val="Andale Mono"/>
    </font>
    <font>
      <b/>
      <sz val="10"/>
      <name val="Arial"/>
      <family val="2"/>
    </font>
    <font>
      <sz val="9"/>
      <name val="Andale Mono"/>
    </font>
    <font>
      <sz val="10"/>
      <color theme="1"/>
      <name val="Tahoma"/>
      <family val="2"/>
    </font>
    <font>
      <b/>
      <sz val="11"/>
      <color rgb="FFFFFFFF"/>
      <name val="Arial"/>
      <family val="2"/>
    </font>
    <font>
      <b/>
      <sz val="11"/>
      <color indexed="61"/>
      <name val="Calibri"/>
      <family val="2"/>
    </font>
    <font>
      <b/>
      <sz val="14"/>
      <color indexed="8"/>
      <name val="Calibri"/>
      <family val="2"/>
    </font>
    <font>
      <b/>
      <sz val="18"/>
      <color indexed="8"/>
      <name val="Calibri"/>
      <family val="2"/>
    </font>
    <font>
      <b/>
      <sz val="9"/>
      <color indexed="9"/>
      <name val="Arial"/>
      <family val="2"/>
    </font>
    <font>
      <b/>
      <sz val="11"/>
      <color indexed="8"/>
      <name val="Calibri"/>
      <family val="2"/>
    </font>
    <font>
      <sz val="11"/>
      <color indexed="8"/>
      <name val="Calibri"/>
      <family val="2"/>
    </font>
    <font>
      <b/>
      <sz val="8"/>
      <color indexed="9"/>
      <name val="Arial"/>
      <family val="2"/>
    </font>
    <font>
      <b/>
      <sz val="8"/>
      <color indexed="8"/>
      <name val="Arial"/>
      <family val="2"/>
    </font>
    <font>
      <sz val="8"/>
      <color indexed="8"/>
      <name val="Arial"/>
      <family val="2"/>
    </font>
    <font>
      <b/>
      <sz val="11"/>
      <color indexed="9"/>
      <name val="Calibri"/>
      <family val="2"/>
    </font>
    <font>
      <b/>
      <sz val="11"/>
      <color indexed="10"/>
      <name val="Calibri"/>
      <family val="2"/>
    </font>
    <font>
      <sz val="11"/>
      <color theme="0"/>
      <name val="Calibri"/>
      <family val="2"/>
    </font>
    <font>
      <b/>
      <sz val="11"/>
      <color indexed="51"/>
      <name val="Calibri"/>
      <family val="2"/>
    </font>
    <font>
      <b/>
      <sz val="11"/>
      <color indexed="58"/>
      <name val="Calibri"/>
      <family val="2"/>
    </font>
    <font>
      <b/>
      <sz val="11"/>
      <color theme="6"/>
      <name val="Calibri"/>
      <family val="2"/>
    </font>
    <font>
      <b/>
      <sz val="11"/>
      <color theme="4"/>
      <name val="Calibri"/>
      <family val="2"/>
    </font>
    <font>
      <b/>
      <sz val="11"/>
      <color indexed="28"/>
      <name val="Calibri"/>
      <family val="2"/>
    </font>
    <font>
      <sz val="10"/>
      <name val="TheSansCorrespondence"/>
      <family val="2"/>
    </font>
    <font>
      <b/>
      <sz val="10"/>
      <color theme="0"/>
      <name val="Arial"/>
      <family val="2"/>
    </font>
    <font>
      <b/>
      <sz val="24"/>
      <color theme="9"/>
      <name val="Calibri"/>
      <family val="2"/>
      <scheme val="minor"/>
    </font>
    <font>
      <b/>
      <sz val="10"/>
      <color indexed="9"/>
      <name val="Arial"/>
      <family val="2"/>
    </font>
    <font>
      <b/>
      <sz val="11"/>
      <color theme="0"/>
      <name val="Calibri"/>
      <family val="2"/>
      <scheme val="minor"/>
    </font>
    <font>
      <b/>
      <sz val="10"/>
      <color indexed="8"/>
      <name val="Arial"/>
      <family val="2"/>
    </font>
    <font>
      <b/>
      <sz val="16"/>
      <name val="Calibri"/>
      <family val="2"/>
      <scheme val="minor"/>
    </font>
    <font>
      <sz val="11"/>
      <color rgb="FF000000"/>
      <name val="Calibri"/>
      <family val="2"/>
      <scheme val="minor"/>
    </font>
    <font>
      <b/>
      <sz val="9"/>
      <color indexed="9"/>
      <name val="Calibri"/>
      <family val="2"/>
    </font>
    <font>
      <b/>
      <sz val="9"/>
      <color indexed="10"/>
      <name val="Calibri"/>
      <family val="2"/>
    </font>
    <font>
      <b/>
      <sz val="9"/>
      <color indexed="8"/>
      <name val="Calibri"/>
      <family val="2"/>
    </font>
    <font>
      <b/>
      <sz val="9"/>
      <color indexed="9"/>
      <name val="Arial Narrow"/>
      <family val="2"/>
    </font>
    <font>
      <sz val="9"/>
      <color theme="1"/>
      <name val="Calibri"/>
      <family val="2"/>
      <scheme val="minor"/>
    </font>
    <font>
      <sz val="8"/>
      <color theme="1"/>
      <name val="Calibri"/>
      <family val="2"/>
      <scheme val="minor"/>
    </font>
    <font>
      <b/>
      <sz val="11"/>
      <color rgb="FF000000"/>
      <name val="Calibri"/>
      <family val="2"/>
      <scheme val="minor"/>
    </font>
    <font>
      <sz val="11"/>
      <color theme="0"/>
      <name val="Calibri"/>
      <family val="2"/>
      <scheme val="minor"/>
    </font>
    <font>
      <b/>
      <sz val="10"/>
      <color theme="1"/>
      <name val="Tahoma"/>
      <family val="2"/>
    </font>
    <font>
      <b/>
      <sz val="18"/>
      <color theme="0"/>
      <name val="Calibri"/>
      <family val="2"/>
    </font>
    <font>
      <b/>
      <sz val="9"/>
      <color theme="0"/>
      <name val="Arial"/>
      <family val="2"/>
    </font>
    <font>
      <b/>
      <sz val="8"/>
      <color theme="0"/>
      <name val="Arial"/>
      <family val="2"/>
    </font>
    <font>
      <sz val="10"/>
      <color theme="0"/>
      <name val="Arial"/>
      <family val="2"/>
    </font>
    <font>
      <sz val="8"/>
      <color theme="0"/>
      <name val="Arial"/>
      <family val="2"/>
    </font>
    <font>
      <b/>
      <sz val="11"/>
      <color theme="0"/>
      <name val="Calibri"/>
      <family val="2"/>
    </font>
    <font>
      <b/>
      <sz val="11"/>
      <color theme="3" tint="-0.499984740745262"/>
      <name val="Calibri"/>
      <family val="2"/>
    </font>
    <font>
      <sz val="11"/>
      <color theme="3" tint="-0.499984740745262"/>
      <name val="Calibri"/>
      <family val="2"/>
      <scheme val="minor"/>
    </font>
    <font>
      <b/>
      <sz val="14"/>
      <color theme="3" tint="-0.499984740745262"/>
      <name val="Calibri"/>
      <family val="2"/>
    </font>
  </fonts>
  <fills count="41">
    <fill>
      <patternFill patternType="none"/>
    </fill>
    <fill>
      <patternFill patternType="gray125"/>
    </fill>
    <fill>
      <patternFill patternType="solid">
        <fgColor indexed="20"/>
        <bgColor indexed="36"/>
      </patternFill>
    </fill>
    <fill>
      <patternFill patternType="solid">
        <fgColor indexed="50"/>
        <bgColor indexed="55"/>
      </patternFill>
    </fill>
    <fill>
      <patternFill patternType="solid">
        <fgColor rgb="FFC00000"/>
        <bgColor indexed="25"/>
      </patternFill>
    </fill>
    <fill>
      <patternFill patternType="solid">
        <fgColor indexed="51"/>
        <bgColor indexed="52"/>
      </patternFill>
    </fill>
    <fill>
      <patternFill patternType="solid">
        <fgColor theme="9" tint="-0.249977111117893"/>
        <bgColor indexed="64"/>
      </patternFill>
    </fill>
    <fill>
      <patternFill patternType="solid">
        <fgColor theme="9" tint="0.59999389629810485"/>
        <bgColor indexed="64"/>
      </patternFill>
    </fill>
    <fill>
      <patternFill patternType="solid">
        <fgColor indexed="27"/>
        <bgColor indexed="41"/>
      </patternFill>
    </fill>
    <fill>
      <patternFill patternType="solid">
        <fgColor theme="9" tint="0.39997558519241921"/>
        <bgColor indexed="24"/>
      </patternFill>
    </fill>
    <fill>
      <patternFill patternType="solid">
        <fgColor theme="4" tint="0.79998168889431442"/>
        <bgColor indexed="41"/>
      </patternFill>
    </fill>
    <fill>
      <patternFill patternType="solid">
        <fgColor theme="4"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FF99"/>
        <bgColor indexed="64"/>
      </patternFill>
    </fill>
    <fill>
      <patternFill patternType="solid">
        <fgColor rgb="FFFFFF66"/>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0"/>
        <bgColor indexed="25"/>
      </patternFill>
    </fill>
    <fill>
      <patternFill patternType="solid">
        <fgColor theme="0"/>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3" tint="-0.499984740745262"/>
        <bgColor indexed="64"/>
      </patternFill>
    </fill>
    <fill>
      <patternFill patternType="solid">
        <fgColor theme="3" tint="0.79998168889431442"/>
        <bgColor indexed="64"/>
      </patternFill>
    </fill>
    <fill>
      <patternFill patternType="solid">
        <fgColor theme="0"/>
        <bgColor indexed="36"/>
      </patternFill>
    </fill>
    <fill>
      <patternFill patternType="solid">
        <fgColor theme="3" tint="-0.499984740745262"/>
        <bgColor indexed="36"/>
      </patternFill>
    </fill>
    <fill>
      <patternFill patternType="solid">
        <fgColor theme="3" tint="-0.499984740745262"/>
        <bgColor indexed="27"/>
      </patternFill>
    </fill>
    <fill>
      <patternFill patternType="solid">
        <fgColor theme="3" tint="-0.499984740745262"/>
        <bgColor indexed="52"/>
      </patternFill>
    </fill>
    <fill>
      <patternFill patternType="solid">
        <fgColor theme="3" tint="0.59999389629810485"/>
        <bgColor indexed="41"/>
      </patternFill>
    </fill>
    <fill>
      <patternFill patternType="solid">
        <fgColor theme="3" tint="-0.499984740745262"/>
        <bgColor indexed="25"/>
      </patternFill>
    </fill>
    <fill>
      <patternFill patternType="solid">
        <fgColor theme="3" tint="0.79998168889431442"/>
        <bgColor indexed="27"/>
      </patternFill>
    </fill>
    <fill>
      <patternFill patternType="solid">
        <fgColor theme="3" tint="-0.499984740745262"/>
        <bgColor theme="9"/>
      </patternFill>
    </fill>
    <fill>
      <patternFill patternType="solid">
        <fgColor theme="3" tint="-0.499984740745262"/>
        <bgColor indexed="50"/>
      </patternFill>
    </fill>
  </fills>
  <borders count="39">
    <border>
      <left/>
      <right/>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23"/>
      </left>
      <right/>
      <top style="medium">
        <color indexed="23"/>
      </top>
      <bottom style="medium">
        <color indexed="23"/>
      </bottom>
      <diagonal/>
    </border>
    <border>
      <left style="medium">
        <color indexed="54"/>
      </left>
      <right/>
      <top style="medium">
        <color indexed="54"/>
      </top>
      <bottom style="medium">
        <color indexed="54"/>
      </bottom>
      <diagonal/>
    </border>
    <border>
      <left/>
      <right style="medium">
        <color indexed="54"/>
      </right>
      <top style="medium">
        <color indexed="54"/>
      </top>
      <bottom style="medium">
        <color indexed="54"/>
      </bottom>
      <diagonal/>
    </border>
    <border>
      <left style="medium">
        <color indexed="54"/>
      </left>
      <right/>
      <top/>
      <bottom style="medium">
        <color indexed="54"/>
      </bottom>
      <diagonal/>
    </border>
    <border>
      <left/>
      <right style="medium">
        <color indexed="54"/>
      </right>
      <top/>
      <bottom style="medium">
        <color indexed="54"/>
      </bottom>
      <diagonal/>
    </border>
    <border>
      <left style="medium">
        <color indexed="54"/>
      </left>
      <right/>
      <top/>
      <bottom/>
      <diagonal/>
    </border>
    <border>
      <left/>
      <right style="medium">
        <color indexed="54"/>
      </right>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9"/>
      </right>
      <top/>
      <bottom style="thin">
        <color theme="5"/>
      </bottom>
      <diagonal/>
    </border>
    <border>
      <left style="thin">
        <color indexed="9"/>
      </left>
      <right style="thin">
        <color indexed="9"/>
      </right>
      <top/>
      <bottom style="thin">
        <color theme="5"/>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right style="thin">
        <color indexed="22"/>
      </right>
      <top/>
      <bottom style="medium">
        <color indexed="22"/>
      </bottom>
      <diagonal/>
    </border>
    <border>
      <left style="thin">
        <color indexed="22"/>
      </left>
      <right style="thin">
        <color indexed="22"/>
      </right>
      <top/>
      <bottom style="medium">
        <color indexed="22"/>
      </bottom>
      <diagonal/>
    </border>
    <border>
      <left style="thin">
        <color indexed="22"/>
      </left>
      <right/>
      <top/>
      <bottom style="medium">
        <color indexed="22"/>
      </bottom>
      <diagonal/>
    </border>
    <border>
      <left style="medium">
        <color indexed="22"/>
      </left>
      <right style="thin">
        <color indexed="22"/>
      </right>
      <top/>
      <bottom style="medium">
        <color indexed="22"/>
      </bottom>
      <diagonal/>
    </border>
    <border>
      <left/>
      <right style="thin">
        <color indexed="22"/>
      </right>
      <top/>
      <bottom style="thin">
        <color indexed="22"/>
      </bottom>
      <diagonal/>
    </border>
    <border>
      <left style="thin">
        <color indexed="22"/>
      </left>
      <right/>
      <top style="thin">
        <color indexed="22"/>
      </top>
      <bottom style="thin">
        <color indexed="22"/>
      </bottom>
      <diagonal/>
    </border>
    <border>
      <left style="thin">
        <color indexed="22"/>
      </left>
      <right/>
      <top/>
      <bottom style="thin">
        <color indexed="22"/>
      </bottom>
      <diagonal/>
    </border>
    <border>
      <left style="thin">
        <color indexed="22"/>
      </left>
      <right/>
      <top/>
      <bottom/>
      <diagonal/>
    </border>
    <border>
      <left style="thin">
        <color indexed="22"/>
      </left>
      <right/>
      <top style="thin">
        <color indexed="2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22"/>
      </left>
      <right style="thin">
        <color indexed="22"/>
      </right>
      <top style="thin">
        <color indexed="22"/>
      </top>
      <bottom/>
      <diagonal/>
    </border>
    <border>
      <left style="thin">
        <color indexed="22"/>
      </left>
      <right style="thin">
        <color indexed="22"/>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22"/>
      </right>
      <top style="thin">
        <color indexed="22"/>
      </top>
      <bottom/>
      <diagonal/>
    </border>
    <border>
      <left/>
      <right style="thin">
        <color indexed="22"/>
      </right>
      <top/>
      <bottom/>
      <diagonal/>
    </border>
    <border>
      <left/>
      <right/>
      <top style="thin">
        <color indexed="64"/>
      </top>
      <bottom style="thin">
        <color indexed="64"/>
      </bottom>
      <diagonal/>
    </border>
  </borders>
  <cellStyleXfs count="5">
    <xf numFmtId="0" fontId="0" fillId="0" borderId="0"/>
    <xf numFmtId="9" fontId="1" fillId="0" borderId="0" applyFont="0" applyFill="0" applyBorder="0" applyAlignment="0" applyProtection="0"/>
    <xf numFmtId="0" fontId="5" fillId="0" borderId="0"/>
    <xf numFmtId="0" fontId="16" fillId="8" borderId="0" applyNumberFormat="0" applyBorder="0" applyAlignment="0" applyProtection="0"/>
    <xf numFmtId="0" fontId="28" fillId="0" borderId="0" applyNumberFormat="0" applyFill="0" applyBorder="0" applyAlignment="0" applyProtection="0"/>
  </cellStyleXfs>
  <cellXfs count="203">
    <xf numFmtId="0" fontId="0" fillId="0" borderId="0" xfId="0"/>
    <xf numFmtId="0" fontId="5" fillId="0" borderId="3" xfId="2" applyFont="1" applyBorder="1" applyAlignment="1">
      <alignment horizontal="center" vertical="center"/>
    </xf>
    <xf numFmtId="0" fontId="9" fillId="0" borderId="3" xfId="0" applyFont="1" applyBorder="1" applyAlignment="1">
      <alignment horizontal="center" vertical="center"/>
    </xf>
    <xf numFmtId="14" fontId="8" fillId="0" borderId="3" xfId="2" applyNumberFormat="1" applyFont="1" applyFill="1" applyBorder="1" applyAlignment="1" applyProtection="1">
      <alignment horizontal="center" vertical="center" wrapText="1"/>
      <protection locked="0"/>
    </xf>
    <xf numFmtId="0" fontId="0" fillId="0" borderId="0" xfId="0" applyAlignment="1">
      <alignment vertical="center"/>
    </xf>
    <xf numFmtId="0" fontId="0" fillId="0" borderId="3" xfId="0" applyBorder="1" applyAlignment="1">
      <alignment vertical="center"/>
    </xf>
    <xf numFmtId="0" fontId="20" fillId="2" borderId="6" xfId="0" applyFont="1" applyFill="1" applyBorder="1" applyAlignment="1">
      <alignment horizontal="center" vertical="top"/>
    </xf>
    <xf numFmtId="0" fontId="20" fillId="2" borderId="7" xfId="0" applyFont="1" applyFill="1" applyBorder="1" applyAlignment="1">
      <alignment horizontal="center" vertical="top"/>
    </xf>
    <xf numFmtId="0" fontId="16" fillId="0" borderId="9" xfId="0" applyFont="1" applyBorder="1" applyAlignment="1">
      <alignment vertical="top" wrapText="1"/>
    </xf>
    <xf numFmtId="0" fontId="0" fillId="0" borderId="4" xfId="0" applyBorder="1" applyAlignment="1">
      <alignment vertical="center"/>
    </xf>
    <xf numFmtId="0" fontId="20" fillId="2" borderId="6" xfId="0" applyFont="1" applyFill="1" applyBorder="1" applyAlignment="1">
      <alignment horizontal="center" vertical="center"/>
    </xf>
    <xf numFmtId="0" fontId="20" fillId="2" borderId="7" xfId="0" applyFont="1" applyFill="1" applyBorder="1" applyAlignment="1">
      <alignment horizontal="center" vertical="center"/>
    </xf>
    <xf numFmtId="0" fontId="22" fillId="2" borderId="9" xfId="0" applyFont="1" applyFill="1" applyBorder="1" applyAlignment="1">
      <alignment vertical="center" wrapText="1"/>
    </xf>
    <xf numFmtId="0" fontId="16" fillId="0" borderId="11" xfId="0" applyFont="1" applyBorder="1" applyAlignment="1">
      <alignment vertical="center" wrapText="1"/>
    </xf>
    <xf numFmtId="0" fontId="16" fillId="0" borderId="7" xfId="0" applyFont="1" applyBorder="1" applyAlignment="1">
      <alignment vertical="center" wrapText="1"/>
    </xf>
    <xf numFmtId="9" fontId="16" fillId="0" borderId="3" xfId="1" applyFont="1" applyFill="1" applyBorder="1" applyAlignment="1" applyProtection="1">
      <alignment vertical="center"/>
    </xf>
    <xf numFmtId="0" fontId="16" fillId="0" borderId="9" xfId="0" applyFont="1" applyBorder="1" applyAlignment="1">
      <alignment vertical="center" wrapText="1"/>
    </xf>
    <xf numFmtId="0" fontId="21" fillId="0" borderId="8" xfId="0" applyFont="1" applyBorder="1" applyAlignment="1">
      <alignment horizontal="center" vertical="center"/>
    </xf>
    <xf numFmtId="0" fontId="16" fillId="0" borderId="9" xfId="0" applyFont="1" applyBorder="1" applyAlignment="1">
      <alignment horizontal="center" vertical="center" wrapText="1"/>
    </xf>
    <xf numFmtId="0" fontId="23" fillId="0" borderId="8" xfId="0" applyFont="1" applyBorder="1" applyAlignment="1">
      <alignment horizontal="center" vertical="center"/>
    </xf>
    <xf numFmtId="0" fontId="16" fillId="0" borderId="7" xfId="0" applyFont="1" applyBorder="1" applyAlignment="1">
      <alignment horizontal="center" vertical="center" wrapText="1"/>
    </xf>
    <xf numFmtId="0" fontId="24" fillId="0" borderId="8" xfId="0" applyFont="1" applyBorder="1" applyAlignment="1">
      <alignment horizontal="center" vertical="center"/>
    </xf>
    <xf numFmtId="0" fontId="26" fillId="0" borderId="8" xfId="0" applyFont="1" applyBorder="1" applyAlignment="1">
      <alignment horizontal="center" vertical="center"/>
    </xf>
    <xf numFmtId="0" fontId="25" fillId="0" borderId="8" xfId="0" applyFont="1" applyBorder="1" applyAlignment="1">
      <alignment horizontal="center" vertical="center"/>
    </xf>
    <xf numFmtId="0" fontId="16" fillId="0" borderId="9" xfId="0" applyFont="1" applyBorder="1" applyAlignment="1">
      <alignment horizontal="left" vertical="center" wrapText="1"/>
    </xf>
    <xf numFmtId="0" fontId="16" fillId="0" borderId="7" xfId="0" applyFont="1" applyBorder="1" applyAlignment="1">
      <alignment horizontal="left" vertical="center" wrapText="1"/>
    </xf>
    <xf numFmtId="0" fontId="24" fillId="0" borderId="8" xfId="0" applyFont="1" applyBorder="1" applyAlignment="1">
      <alignment horizontal="center" vertical="top" wrapText="1"/>
    </xf>
    <xf numFmtId="0" fontId="16" fillId="0" borderId="9" xfId="0" applyFont="1" applyBorder="1" applyAlignment="1">
      <alignment horizontal="left" vertical="top" wrapText="1"/>
    </xf>
    <xf numFmtId="0" fontId="27" fillId="0" borderId="8" xfId="0" applyFont="1" applyBorder="1" applyAlignment="1">
      <alignment horizontal="center" vertical="top" wrapText="1"/>
    </xf>
    <xf numFmtId="0" fontId="16" fillId="0" borderId="7" xfId="0" applyFont="1" applyBorder="1" applyAlignment="1">
      <alignment horizontal="left" vertical="top" wrapText="1"/>
    </xf>
    <xf numFmtId="0" fontId="21" fillId="0" borderId="8" xfId="0" applyFont="1" applyBorder="1" applyAlignment="1">
      <alignment horizontal="center" vertical="top" wrapText="1"/>
    </xf>
    <xf numFmtId="0" fontId="0" fillId="0" borderId="0" xfId="0" applyAlignment="1">
      <alignment vertical="center" wrapText="1"/>
    </xf>
    <xf numFmtId="14" fontId="0" fillId="0" borderId="0" xfId="0" applyNumberFormat="1" applyAlignment="1">
      <alignment vertical="center" wrapText="1"/>
    </xf>
    <xf numFmtId="0" fontId="0" fillId="0" borderId="0" xfId="0" applyAlignment="1" applyProtection="1">
      <alignment vertical="center" wrapText="1"/>
    </xf>
    <xf numFmtId="0" fontId="0" fillId="0" borderId="0" xfId="0" applyNumberFormat="1" applyAlignment="1">
      <alignment vertical="center" wrapText="1"/>
    </xf>
    <xf numFmtId="0" fontId="0" fillId="0" borderId="0" xfId="0" applyNumberFormat="1"/>
    <xf numFmtId="0" fontId="30" fillId="0" borderId="0" xfId="0" applyFont="1" applyAlignment="1"/>
    <xf numFmtId="14" fontId="0" fillId="0" borderId="24" xfId="0" applyNumberFormat="1" applyBorder="1" applyProtection="1">
      <protection locked="0"/>
    </xf>
    <xf numFmtId="0" fontId="0" fillId="0" borderId="25" xfId="0" applyNumberFormat="1" applyBorder="1"/>
    <xf numFmtId="1" fontId="0" fillId="0" borderId="26" xfId="0" applyNumberFormat="1" applyBorder="1" applyProtection="1">
      <protection locked="0"/>
    </xf>
    <xf numFmtId="1" fontId="0" fillId="0" borderId="27" xfId="0" applyNumberFormat="1" applyBorder="1" applyProtection="1">
      <protection locked="0"/>
    </xf>
    <xf numFmtId="0" fontId="0" fillId="0" borderId="25" xfId="0" applyNumberFormat="1" applyBorder="1" applyProtection="1">
      <protection locked="0"/>
    </xf>
    <xf numFmtId="0" fontId="0" fillId="0" borderId="28" xfId="0" applyNumberFormat="1" applyBorder="1" applyProtection="1">
      <protection locked="0"/>
    </xf>
    <xf numFmtId="0" fontId="18" fillId="0" borderId="3" xfId="0" applyFont="1" applyBorder="1" applyAlignment="1">
      <alignment vertical="center" wrapText="1"/>
    </xf>
    <xf numFmtId="0" fontId="19" fillId="13" borderId="3" xfId="0" applyFont="1" applyFill="1" applyBorder="1" applyAlignment="1">
      <alignment vertical="center" wrapText="1"/>
    </xf>
    <xf numFmtId="9" fontId="19" fillId="14" borderId="3" xfId="1" applyFont="1" applyFill="1" applyBorder="1" applyAlignment="1" applyProtection="1">
      <alignment vertical="center" wrapText="1"/>
    </xf>
    <xf numFmtId="0" fontId="19" fillId="15" borderId="3" xfId="0" applyFont="1" applyFill="1" applyBorder="1" applyAlignment="1">
      <alignment vertical="center" wrapText="1"/>
    </xf>
    <xf numFmtId="9" fontId="19" fillId="16" borderId="3" xfId="1" applyFont="1" applyFill="1" applyBorder="1" applyAlignment="1" applyProtection="1">
      <alignment vertical="center" wrapText="1"/>
    </xf>
    <xf numFmtId="0" fontId="19" fillId="17" borderId="3" xfId="0" applyFont="1" applyFill="1" applyBorder="1" applyAlignment="1">
      <alignment vertical="center" wrapText="1"/>
    </xf>
    <xf numFmtId="9" fontId="19" fillId="18" borderId="3" xfId="1" applyFont="1" applyFill="1" applyBorder="1" applyAlignment="1" applyProtection="1">
      <alignment vertical="center" wrapText="1"/>
    </xf>
    <xf numFmtId="0" fontId="19" fillId="7" borderId="3" xfId="0" applyFont="1" applyFill="1" applyBorder="1" applyAlignment="1">
      <alignment vertical="center" wrapText="1"/>
    </xf>
    <xf numFmtId="9" fontId="19" fillId="19" borderId="3" xfId="1" applyFont="1" applyFill="1" applyBorder="1" applyAlignment="1" applyProtection="1">
      <alignment vertical="center" wrapText="1"/>
    </xf>
    <xf numFmtId="0" fontId="19" fillId="20" borderId="3" xfId="0" applyFont="1" applyFill="1" applyBorder="1" applyAlignment="1">
      <alignment vertical="center" wrapText="1"/>
    </xf>
    <xf numFmtId="9" fontId="19" fillId="21" borderId="3" xfId="1" applyFont="1" applyFill="1" applyBorder="1" applyAlignment="1" applyProtection="1">
      <alignment vertical="center" wrapText="1"/>
    </xf>
    <xf numFmtId="9" fontId="19" fillId="7" borderId="3" xfId="1" applyFont="1" applyFill="1" applyBorder="1" applyAlignment="1" applyProtection="1">
      <alignment vertical="center" wrapText="1"/>
    </xf>
    <xf numFmtId="0" fontId="19" fillId="23" borderId="3" xfId="0" applyFont="1" applyFill="1" applyBorder="1" applyAlignment="1">
      <alignment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3" xfId="0" applyFont="1" applyFill="1" applyBorder="1" applyAlignment="1">
      <alignment horizontal="center" vertical="center"/>
    </xf>
    <xf numFmtId="0" fontId="2" fillId="7" borderId="3" xfId="0" applyFont="1" applyFill="1" applyBorder="1" applyAlignment="1">
      <alignment horizontal="center" vertical="center"/>
    </xf>
    <xf numFmtId="0" fontId="15" fillId="8" borderId="3" xfId="3" applyFont="1" applyBorder="1" applyAlignment="1" applyProtection="1">
      <alignment horizontal="center" vertical="center"/>
    </xf>
    <xf numFmtId="0" fontId="33" fillId="12" borderId="3" xfId="0" applyFont="1" applyFill="1" applyBorder="1" applyAlignment="1">
      <alignment vertical="center" wrapText="1"/>
    </xf>
    <xf numFmtId="9" fontId="33" fillId="12" borderId="3" xfId="0" applyNumberFormat="1" applyFont="1" applyFill="1" applyBorder="1" applyAlignment="1">
      <alignment vertical="center" wrapText="1"/>
    </xf>
    <xf numFmtId="0" fontId="0" fillId="0" borderId="31" xfId="0" applyBorder="1" applyProtection="1">
      <protection locked="0"/>
    </xf>
    <xf numFmtId="0" fontId="0" fillId="0" borderId="32" xfId="0" applyBorder="1" applyProtection="1">
      <protection locked="0"/>
    </xf>
    <xf numFmtId="1" fontId="0" fillId="0" borderId="31" xfId="0" applyNumberFormat="1" applyBorder="1" applyProtection="1">
      <protection locked="0"/>
    </xf>
    <xf numFmtId="2" fontId="2" fillId="24" borderId="33" xfId="0" applyNumberFormat="1" applyFont="1" applyFill="1" applyBorder="1"/>
    <xf numFmtId="0" fontId="2" fillId="24" borderId="35" xfId="0" applyFont="1" applyFill="1" applyBorder="1"/>
    <xf numFmtId="0" fontId="0" fillId="0" borderId="0" xfId="0" pivotButton="1"/>
    <xf numFmtId="0" fontId="0" fillId="0" borderId="0" xfId="0" applyAlignment="1">
      <alignment horizontal="left"/>
    </xf>
    <xf numFmtId="0" fontId="0" fillId="0" borderId="0" xfId="0" applyFill="1" applyAlignment="1">
      <alignment vertical="center" wrapText="1"/>
    </xf>
    <xf numFmtId="14" fontId="0" fillId="0" borderId="36" xfId="0" applyNumberFormat="1" applyBorder="1" applyProtection="1">
      <protection locked="0"/>
    </xf>
    <xf numFmtId="14" fontId="0" fillId="0" borderId="37" xfId="0" applyNumberFormat="1" applyBorder="1" applyProtection="1">
      <protection locked="0"/>
    </xf>
    <xf numFmtId="0" fontId="0" fillId="0" borderId="31" xfId="0" applyBorder="1"/>
    <xf numFmtId="0" fontId="0" fillId="0" borderId="28" xfId="0" applyNumberFormat="1" applyBorder="1"/>
    <xf numFmtId="0" fontId="2" fillId="0" borderId="0" xfId="0" applyFont="1" applyAlignment="1">
      <alignment horizontal="center" vertical="center" wrapText="1"/>
    </xf>
    <xf numFmtId="0" fontId="0" fillId="0" borderId="0" xfId="0" applyNumberFormat="1" applyFont="1" applyAlignment="1">
      <alignment vertical="center" wrapText="1"/>
    </xf>
    <xf numFmtId="164" fontId="0" fillId="0" borderId="0" xfId="0" applyNumberFormat="1" applyAlignment="1">
      <alignment vertical="center" wrapText="1"/>
    </xf>
    <xf numFmtId="0" fontId="0" fillId="26" borderId="0" xfId="0" applyFill="1" applyAlignment="1">
      <alignment vertical="center"/>
    </xf>
    <xf numFmtId="0" fontId="13" fillId="26" borderId="0" xfId="0" applyFont="1" applyFill="1" applyAlignment="1">
      <alignment vertical="center"/>
    </xf>
    <xf numFmtId="0" fontId="16" fillId="26" borderId="0" xfId="3" applyFont="1" applyFill="1" applyBorder="1" applyAlignment="1" applyProtection="1">
      <alignment horizontal="center" vertical="center"/>
    </xf>
    <xf numFmtId="0" fontId="0" fillId="26" borderId="0" xfId="0" applyFill="1" applyBorder="1" applyAlignment="1">
      <alignment vertical="center"/>
    </xf>
    <xf numFmtId="9" fontId="16" fillId="26" borderId="0" xfId="1" applyFont="1" applyFill="1" applyBorder="1" applyAlignment="1" applyProtection="1">
      <alignment vertical="center"/>
    </xf>
    <xf numFmtId="0" fontId="12" fillId="26" borderId="0" xfId="0" applyFont="1" applyFill="1" applyBorder="1" applyAlignment="1">
      <alignment horizontal="left" vertical="center"/>
    </xf>
    <xf numFmtId="0" fontId="17" fillId="26" borderId="0" xfId="0" applyFont="1" applyFill="1" applyBorder="1" applyAlignment="1">
      <alignment horizontal="center" vertical="center" wrapText="1"/>
    </xf>
    <xf numFmtId="0" fontId="19" fillId="26" borderId="0" xfId="0" applyFont="1" applyFill="1" applyBorder="1" applyAlignment="1">
      <alignment vertical="center" wrapText="1"/>
    </xf>
    <xf numFmtId="0" fontId="36" fillId="2" borderId="6" xfId="0" applyFont="1" applyFill="1" applyBorder="1" applyAlignment="1">
      <alignment horizontal="center" vertical="center"/>
    </xf>
    <xf numFmtId="0" fontId="37" fillId="2" borderId="8" xfId="0" applyFont="1" applyFill="1" applyBorder="1" applyAlignment="1">
      <alignment horizontal="center" vertical="center"/>
    </xf>
    <xf numFmtId="0" fontId="37" fillId="0" borderId="10" xfId="0" applyFont="1" applyBorder="1" applyAlignment="1">
      <alignment horizontal="center" vertical="center"/>
    </xf>
    <xf numFmtId="0" fontId="38" fillId="0" borderId="6" xfId="0" applyFont="1" applyBorder="1" applyAlignment="1">
      <alignment horizontal="center" vertical="center"/>
    </xf>
    <xf numFmtId="0" fontId="38" fillId="0" borderId="8" xfId="0" applyFont="1" applyBorder="1" applyAlignment="1">
      <alignment horizontal="center" vertical="center"/>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40" fillId="0" borderId="0" xfId="0" applyFont="1" applyAlignment="1">
      <alignment vertical="center" wrapText="1"/>
    </xf>
    <xf numFmtId="0" fontId="41" fillId="0" borderId="0" xfId="0" applyFont="1" applyAlignment="1">
      <alignment vertical="center" wrapText="1"/>
    </xf>
    <xf numFmtId="0" fontId="41" fillId="0" borderId="0" xfId="0" applyNumberFormat="1" applyFont="1" applyAlignment="1" applyProtection="1">
      <alignment vertical="center" wrapText="1"/>
    </xf>
    <xf numFmtId="0" fontId="41" fillId="0" borderId="0" xfId="0" applyNumberFormat="1" applyFont="1" applyAlignment="1">
      <alignment vertical="center" wrapText="1"/>
    </xf>
    <xf numFmtId="14" fontId="41" fillId="0" borderId="0" xfId="0" applyNumberFormat="1" applyFont="1" applyAlignment="1">
      <alignment vertical="center" wrapText="1"/>
    </xf>
    <xf numFmtId="164" fontId="0" fillId="0" borderId="0" xfId="0" applyNumberFormat="1" applyAlignment="1">
      <alignment horizontal="center" vertical="center" wrapText="1"/>
    </xf>
    <xf numFmtId="0" fontId="0" fillId="26" borderId="0" xfId="0" applyFill="1" applyAlignment="1">
      <alignment vertical="center" wrapText="1"/>
    </xf>
    <xf numFmtId="0" fontId="11" fillId="26" borderId="0" xfId="0" applyFont="1" applyFill="1" applyAlignment="1">
      <alignment horizontal="right" vertical="center" wrapText="1"/>
    </xf>
    <xf numFmtId="0" fontId="11" fillId="26" borderId="0" xfId="0" applyFont="1" applyFill="1" applyBorder="1" applyAlignment="1">
      <alignment horizontal="left" vertical="center" wrapText="1"/>
    </xf>
    <xf numFmtId="0" fontId="11" fillId="26" borderId="0" xfId="0" applyFont="1" applyFill="1" applyAlignment="1" applyProtection="1">
      <alignment horizontal="right" vertical="center" wrapText="1"/>
    </xf>
    <xf numFmtId="0" fontId="0" fillId="26" borderId="0" xfId="0" applyFill="1" applyAlignment="1" applyProtection="1">
      <alignment vertical="center" wrapText="1"/>
    </xf>
    <xf numFmtId="14" fontId="0" fillId="26" borderId="0" xfId="0" applyNumberFormat="1" applyFill="1" applyAlignment="1">
      <alignment vertical="center" wrapText="1"/>
    </xf>
    <xf numFmtId="0" fontId="40" fillId="26" borderId="0" xfId="0" applyFont="1" applyFill="1" applyAlignment="1">
      <alignment vertical="center" wrapText="1"/>
    </xf>
    <xf numFmtId="0" fontId="41" fillId="26" borderId="0" xfId="0" applyFont="1" applyFill="1" applyAlignment="1">
      <alignment vertical="center" wrapText="1"/>
    </xf>
    <xf numFmtId="0" fontId="38" fillId="3" borderId="8" xfId="0" applyFont="1" applyFill="1" applyBorder="1" applyAlignment="1">
      <alignment horizontal="center" vertical="center"/>
    </xf>
    <xf numFmtId="0" fontId="38" fillId="4" borderId="8" xfId="0" applyFont="1" applyFill="1" applyBorder="1" applyAlignment="1">
      <alignment horizontal="center" vertical="center"/>
    </xf>
    <xf numFmtId="0" fontId="38" fillId="5" borderId="8" xfId="0" applyFont="1" applyFill="1" applyBorder="1" applyAlignment="1">
      <alignment horizontal="center" vertical="center"/>
    </xf>
    <xf numFmtId="0" fontId="38" fillId="9" borderId="8" xfId="0" applyFont="1" applyFill="1" applyBorder="1" applyAlignment="1">
      <alignment horizontal="center" vertical="center"/>
    </xf>
    <xf numFmtId="0" fontId="38" fillId="10" borderId="8" xfId="0" applyFont="1" applyFill="1" applyBorder="1" applyAlignment="1">
      <alignment horizontal="center" vertical="center"/>
    </xf>
    <xf numFmtId="0" fontId="38" fillId="6" borderId="8" xfId="0" applyFont="1" applyFill="1" applyBorder="1" applyAlignment="1">
      <alignment horizontal="center" vertical="center"/>
    </xf>
    <xf numFmtId="0" fontId="6" fillId="31" borderId="3" xfId="2" applyFont="1" applyFill="1" applyBorder="1" applyAlignment="1">
      <alignment vertical="center" wrapText="1"/>
    </xf>
    <xf numFmtId="0" fontId="6" fillId="31" borderId="3" xfId="2" applyFont="1" applyFill="1" applyBorder="1" applyAlignment="1">
      <alignment vertical="center"/>
    </xf>
    <xf numFmtId="0" fontId="6" fillId="31" borderId="3" xfId="2" applyFont="1" applyFill="1" applyBorder="1" applyAlignment="1">
      <alignment horizontal="center" vertical="center" wrapText="1"/>
    </xf>
    <xf numFmtId="0" fontId="2" fillId="27" borderId="3" xfId="0" applyFont="1" applyFill="1" applyBorder="1" applyAlignment="1">
      <alignment vertical="center"/>
    </xf>
    <xf numFmtId="0" fontId="2" fillId="27" borderId="3" xfId="2" applyFont="1" applyFill="1" applyBorder="1" applyAlignment="1">
      <alignment vertical="center"/>
    </xf>
    <xf numFmtId="0" fontId="44" fillId="27" borderId="3" xfId="0" applyFont="1" applyFill="1" applyBorder="1" applyAlignment="1">
      <alignment horizontal="left" vertical="center"/>
    </xf>
    <xf numFmtId="14" fontId="6" fillId="27" borderId="3" xfId="2" applyNumberFormat="1" applyFont="1" applyFill="1" applyBorder="1" applyAlignment="1" applyProtection="1">
      <alignment horizontal="center" vertical="center" wrapText="1"/>
      <protection locked="0"/>
    </xf>
    <xf numFmtId="0" fontId="47" fillId="26" borderId="0" xfId="0" applyFont="1" applyFill="1" applyBorder="1" applyAlignment="1">
      <alignment horizontal="center" vertical="center" wrapText="1"/>
    </xf>
    <xf numFmtId="0" fontId="49" fillId="26" borderId="0" xfId="0" applyFont="1" applyFill="1" applyBorder="1" applyAlignment="1">
      <alignment vertical="center" wrapText="1"/>
    </xf>
    <xf numFmtId="0" fontId="45" fillId="26" borderId="0" xfId="0" applyFont="1" applyFill="1" applyBorder="1"/>
    <xf numFmtId="0" fontId="43" fillId="26" borderId="0" xfId="0" applyFont="1" applyFill="1" applyBorder="1" applyAlignment="1">
      <alignment vertical="center"/>
    </xf>
    <xf numFmtId="0" fontId="47" fillId="32" borderId="0" xfId="0" applyFont="1" applyFill="1" applyBorder="1" applyAlignment="1">
      <alignment horizontal="center" vertical="center" wrapText="1"/>
    </xf>
    <xf numFmtId="0" fontId="46" fillId="32" borderId="0" xfId="0" applyFont="1" applyFill="1" applyBorder="1" applyAlignment="1">
      <alignment horizontal="center" vertical="center" wrapText="1"/>
    </xf>
    <xf numFmtId="0" fontId="46" fillId="26" borderId="0" xfId="0" applyFont="1" applyFill="1" applyBorder="1" applyAlignment="1">
      <alignment vertical="center" wrapText="1"/>
    </xf>
    <xf numFmtId="0" fontId="29" fillId="25" borderId="0" xfId="0" applyFont="1" applyFill="1" applyBorder="1" applyAlignment="1">
      <alignment horizontal="center" vertical="center" wrapText="1"/>
    </xf>
    <xf numFmtId="9" fontId="48" fillId="26" borderId="0" xfId="1" applyFont="1" applyFill="1" applyBorder="1" applyAlignment="1" applyProtection="1">
      <alignment horizontal="center" vertical="center" wrapText="1"/>
    </xf>
    <xf numFmtId="0" fontId="48" fillId="26" borderId="0" xfId="0" applyFont="1" applyFill="1" applyBorder="1" applyAlignment="1">
      <alignment horizontal="center" vertical="center" wrapText="1"/>
    </xf>
    <xf numFmtId="0" fontId="48" fillId="26" borderId="0" xfId="0" applyFont="1" applyFill="1" applyBorder="1" applyAlignment="1">
      <alignment vertical="center" wrapText="1"/>
    </xf>
    <xf numFmtId="0" fontId="48" fillId="25" borderId="0" xfId="0" applyFont="1" applyFill="1" applyBorder="1" applyAlignment="1">
      <alignment horizontal="center" vertical="center" wrapText="1"/>
    </xf>
    <xf numFmtId="0" fontId="29" fillId="26" borderId="0" xfId="0" applyFont="1" applyFill="1" applyBorder="1" applyAlignment="1">
      <alignment horizontal="center" vertical="center" wrapText="1"/>
    </xf>
    <xf numFmtId="9" fontId="29" fillId="26" borderId="0" xfId="0" applyNumberFormat="1" applyFont="1" applyFill="1" applyBorder="1" applyAlignment="1">
      <alignment horizontal="center" vertical="center" wrapText="1"/>
    </xf>
    <xf numFmtId="0" fontId="29" fillId="26" borderId="0" xfId="0" applyFont="1" applyFill="1" applyBorder="1" applyAlignment="1">
      <alignment vertical="center" wrapText="1"/>
    </xf>
    <xf numFmtId="0" fontId="14" fillId="33" borderId="5" xfId="0" applyFont="1" applyFill="1" applyBorder="1" applyAlignment="1">
      <alignment horizontal="left" vertical="center" wrapText="1"/>
    </xf>
    <xf numFmtId="0" fontId="50" fillId="34" borderId="4" xfId="0" applyFont="1" applyFill="1" applyBorder="1" applyAlignment="1">
      <alignment horizontal="left" vertical="center"/>
    </xf>
    <xf numFmtId="0" fontId="51" fillId="26" borderId="0" xfId="0" applyFont="1" applyFill="1" applyAlignment="1">
      <alignment horizontal="right" vertical="center"/>
    </xf>
    <xf numFmtId="0" fontId="52" fillId="26" borderId="0" xfId="0" applyFont="1" applyFill="1" applyAlignment="1">
      <alignment vertical="center"/>
    </xf>
    <xf numFmtId="10" fontId="53" fillId="0" borderId="4" xfId="1" applyNumberFormat="1" applyFont="1" applyFill="1" applyBorder="1" applyAlignment="1" applyProtection="1">
      <alignment horizontal="right" vertical="center"/>
    </xf>
    <xf numFmtId="9" fontId="53" fillId="0" borderId="0" xfId="1" applyFont="1" applyFill="1" applyBorder="1" applyAlignment="1" applyProtection="1">
      <alignment horizontal="right" vertical="center"/>
    </xf>
    <xf numFmtId="0" fontId="53" fillId="26" borderId="0" xfId="0" applyFont="1" applyFill="1" applyBorder="1" applyAlignment="1">
      <alignment horizontal="left" vertical="center"/>
    </xf>
    <xf numFmtId="0" fontId="2" fillId="28" borderId="3" xfId="0" applyFont="1" applyFill="1" applyBorder="1" applyAlignment="1">
      <alignment horizontal="center" vertical="center"/>
    </xf>
    <xf numFmtId="0" fontId="15" fillId="36" borderId="3" xfId="3" applyFont="1" applyFill="1" applyBorder="1" applyAlignment="1" applyProtection="1">
      <alignment horizontal="center" vertical="center"/>
    </xf>
    <xf numFmtId="0" fontId="15" fillId="31" borderId="3" xfId="3" applyFont="1" applyFill="1" applyBorder="1" applyAlignment="1" applyProtection="1">
      <alignment horizontal="center" vertical="center" wrapText="1"/>
    </xf>
    <xf numFmtId="0" fontId="32" fillId="35" borderId="3" xfId="0" applyFont="1" applyFill="1" applyBorder="1" applyAlignment="1">
      <alignment horizontal="center" vertical="center" wrapText="1"/>
    </xf>
    <xf numFmtId="0" fontId="32" fillId="29" borderId="3" xfId="0" applyFont="1" applyFill="1" applyBorder="1" applyAlignment="1">
      <alignment horizontal="center" vertical="center"/>
    </xf>
    <xf numFmtId="0" fontId="39" fillId="37" borderId="15" xfId="4" applyFont="1" applyFill="1" applyBorder="1" applyAlignment="1">
      <alignment horizontal="center" vertical="center" wrapText="1"/>
    </xf>
    <xf numFmtId="0" fontId="39" fillId="37" borderId="16" xfId="4" applyFont="1" applyFill="1" applyBorder="1" applyAlignment="1">
      <alignment horizontal="center" vertical="center" wrapText="1"/>
    </xf>
    <xf numFmtId="0" fontId="39" fillId="37" borderId="16" xfId="4" applyFont="1" applyFill="1" applyBorder="1" applyAlignment="1" applyProtection="1">
      <alignment horizontal="center" vertical="center" wrapText="1"/>
    </xf>
    <xf numFmtId="0" fontId="39" fillId="33" borderId="16" xfId="4" applyFont="1" applyFill="1" applyBorder="1" applyAlignment="1">
      <alignment horizontal="center" vertical="center" wrapText="1"/>
    </xf>
    <xf numFmtId="0" fontId="39" fillId="33" borderId="15" xfId="4" applyFont="1" applyFill="1" applyBorder="1" applyAlignment="1">
      <alignment horizontal="center" vertical="center" wrapText="1"/>
    </xf>
    <xf numFmtId="14" fontId="39" fillId="37" borderId="16" xfId="4" applyNumberFormat="1" applyFont="1" applyFill="1" applyBorder="1" applyAlignment="1">
      <alignment horizontal="center" vertical="center" wrapText="1"/>
    </xf>
    <xf numFmtId="164" fontId="39" fillId="37" borderId="16" xfId="4" applyNumberFormat="1" applyFont="1" applyFill="1" applyBorder="1" applyAlignment="1">
      <alignment horizontal="center" vertical="center" wrapText="1"/>
    </xf>
    <xf numFmtId="0" fontId="51" fillId="26" borderId="0" xfId="0" applyFont="1" applyFill="1" applyAlignment="1">
      <alignment horizontal="right" vertical="center" wrapText="1"/>
    </xf>
    <xf numFmtId="0" fontId="51" fillId="38" borderId="4" xfId="0" applyFont="1" applyFill="1" applyBorder="1" applyAlignment="1">
      <alignment horizontal="left" vertical="center" wrapText="1"/>
    </xf>
    <xf numFmtId="0" fontId="51" fillId="26" borderId="0" xfId="0" applyFont="1" applyFill="1" applyAlignment="1" applyProtection="1">
      <alignment horizontal="right" vertical="center" wrapText="1"/>
    </xf>
    <xf numFmtId="0" fontId="29" fillId="39" borderId="17" xfId="0" applyNumberFormat="1" applyFont="1" applyFill="1" applyBorder="1" applyAlignment="1">
      <alignment horizontal="center" vertical="center" wrapText="1"/>
    </xf>
    <xf numFmtId="0" fontId="29" fillId="39" borderId="18" xfId="0" applyNumberFormat="1" applyFont="1" applyFill="1" applyBorder="1" applyAlignment="1">
      <alignment horizontal="center" vertical="center" wrapText="1"/>
    </xf>
    <xf numFmtId="164" fontId="29" fillId="39" borderId="18" xfId="0" applyNumberFormat="1" applyFont="1" applyFill="1" applyBorder="1" applyAlignment="1">
      <alignment horizontal="center" vertical="center" wrapText="1"/>
    </xf>
    <xf numFmtId="0" fontId="29" fillId="39" borderId="19" xfId="0" applyNumberFormat="1" applyFont="1" applyFill="1" applyBorder="1" applyAlignment="1">
      <alignment horizontal="center" vertical="center" wrapText="1"/>
    </xf>
    <xf numFmtId="0" fontId="0" fillId="30" borderId="0" xfId="0" applyFill="1" applyAlignment="1">
      <alignment horizontal="center" vertical="center" wrapText="1"/>
    </xf>
    <xf numFmtId="14" fontId="0" fillId="30" borderId="0" xfId="0" applyNumberFormat="1" applyFill="1" applyAlignment="1">
      <alignment horizontal="center" vertical="center" wrapText="1"/>
    </xf>
    <xf numFmtId="0" fontId="31" fillId="40" borderId="20" xfId="0" applyFont="1" applyFill="1" applyBorder="1" applyAlignment="1">
      <alignment horizontal="center" vertical="center" wrapText="1"/>
    </xf>
    <xf numFmtId="0" fontId="31" fillId="40" borderId="23" xfId="0" applyFont="1" applyFill="1" applyBorder="1" applyAlignment="1">
      <alignment horizontal="center" vertical="center" wrapText="1"/>
    </xf>
    <xf numFmtId="0" fontId="31" fillId="40" borderId="21" xfId="0" applyFont="1" applyFill="1" applyBorder="1" applyAlignment="1">
      <alignment horizontal="center" vertical="center" wrapText="1"/>
    </xf>
    <xf numFmtId="0" fontId="31" fillId="40" borderId="22" xfId="0" applyFont="1" applyFill="1" applyBorder="1" applyAlignment="1">
      <alignment horizontal="center" vertical="center" wrapText="1"/>
    </xf>
    <xf numFmtId="0" fontId="0" fillId="0" borderId="0" xfId="0" applyAlignment="1">
      <alignment horizontal="center" vertical="center"/>
    </xf>
    <xf numFmtId="1" fontId="0" fillId="0" borderId="28" xfId="0" applyNumberFormat="1" applyBorder="1" applyProtection="1">
      <protection locked="0"/>
    </xf>
    <xf numFmtId="0" fontId="0" fillId="0" borderId="0" xfId="0" applyNumberFormat="1" applyBorder="1" applyAlignment="1">
      <alignment vertical="center" wrapText="1"/>
    </xf>
    <xf numFmtId="164" fontId="0" fillId="0" borderId="0" xfId="0" applyNumberFormat="1" applyBorder="1" applyAlignment="1">
      <alignment vertical="center" wrapText="1"/>
    </xf>
    <xf numFmtId="0" fontId="3" fillId="30" borderId="1" xfId="0" applyFont="1" applyFill="1" applyBorder="1" applyAlignment="1">
      <alignment horizontal="center" vertical="center" wrapText="1"/>
    </xf>
    <xf numFmtId="0" fontId="3" fillId="30" borderId="2" xfId="0" applyFont="1" applyFill="1" applyBorder="1" applyAlignment="1">
      <alignment horizontal="center" vertical="center" wrapText="1"/>
    </xf>
    <xf numFmtId="0" fontId="4" fillId="30" borderId="3" xfId="0" applyFont="1" applyFill="1" applyBorder="1" applyAlignment="1">
      <alignment horizontal="center" vertical="center" wrapText="1"/>
    </xf>
    <xf numFmtId="0" fontId="7" fillId="27" borderId="3" xfId="2" applyFont="1" applyFill="1" applyBorder="1" applyAlignment="1">
      <alignment horizontal="left" vertical="center"/>
    </xf>
    <xf numFmtId="0" fontId="10" fillId="30" borderId="3" xfId="0" applyFont="1" applyFill="1" applyBorder="1" applyAlignment="1">
      <alignment horizontal="center" vertical="center" wrapText="1"/>
    </xf>
    <xf numFmtId="0" fontId="46" fillId="32" borderId="0" xfId="0" applyFont="1" applyFill="1" applyBorder="1" applyAlignment="1">
      <alignment horizontal="center" vertical="center" wrapText="1"/>
    </xf>
    <xf numFmtId="0" fontId="50" fillId="34" borderId="4" xfId="0" applyFont="1" applyFill="1" applyBorder="1" applyAlignment="1">
      <alignment horizontal="left" vertical="center" wrapText="1"/>
    </xf>
    <xf numFmtId="0" fontId="12" fillId="0" borderId="4" xfId="0" applyFont="1" applyBorder="1" applyAlignment="1">
      <alignment horizontal="left" vertical="center"/>
    </xf>
    <xf numFmtId="0" fontId="14" fillId="33" borderId="3" xfId="0" applyFont="1" applyFill="1" applyBorder="1" applyAlignment="1">
      <alignment horizontal="center"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29" xfId="0" applyFont="1" applyFill="1" applyBorder="1" applyAlignment="1">
      <alignment horizontal="center" vertical="center"/>
    </xf>
    <xf numFmtId="0" fontId="2" fillId="6" borderId="30" xfId="0" applyFont="1" applyFill="1" applyBorder="1" applyAlignment="1">
      <alignment horizontal="center" vertical="center"/>
    </xf>
    <xf numFmtId="0" fontId="15" fillId="8" borderId="29" xfId="3" applyFont="1" applyBorder="1" applyAlignment="1" applyProtection="1">
      <alignment horizontal="center" vertical="center"/>
    </xf>
    <xf numFmtId="0" fontId="15" fillId="8" borderId="30" xfId="3" applyFont="1" applyBorder="1" applyAlignment="1" applyProtection="1">
      <alignment horizontal="center" vertical="center"/>
    </xf>
    <xf numFmtId="0" fontId="2" fillId="7" borderId="29" xfId="0" applyFont="1" applyFill="1" applyBorder="1" applyAlignment="1">
      <alignment horizontal="center" vertical="center"/>
    </xf>
    <xf numFmtId="0" fontId="2" fillId="7" borderId="30" xfId="0" applyFont="1" applyFill="1" applyBorder="1" applyAlignment="1">
      <alignment horizontal="center" vertical="center"/>
    </xf>
    <xf numFmtId="0" fontId="34" fillId="22" borderId="0" xfId="0" applyFont="1" applyFill="1" applyAlignment="1">
      <alignment horizontal="left"/>
    </xf>
    <xf numFmtId="0" fontId="2" fillId="24" borderId="33" xfId="0" applyFont="1" applyFill="1" applyBorder="1" applyAlignment="1">
      <alignment horizontal="left"/>
    </xf>
    <xf numFmtId="0" fontId="2" fillId="24" borderId="34" xfId="0" applyFont="1" applyFill="1" applyBorder="1" applyAlignment="1">
      <alignment horizontal="left"/>
    </xf>
    <xf numFmtId="0" fontId="2" fillId="24" borderId="35" xfId="0" applyFont="1" applyFill="1" applyBorder="1" applyAlignment="1">
      <alignment horizontal="left"/>
    </xf>
    <xf numFmtId="0" fontId="51" fillId="38" borderId="12" xfId="0" applyFont="1" applyFill="1" applyBorder="1" applyAlignment="1">
      <alignment horizontal="left" vertical="center" wrapText="1"/>
    </xf>
    <xf numFmtId="0" fontId="51" fillId="38" borderId="13" xfId="0" applyFont="1" applyFill="1" applyBorder="1" applyAlignment="1">
      <alignment horizontal="left" vertical="center" wrapText="1"/>
    </xf>
    <xf numFmtId="0" fontId="51" fillId="38" borderId="14" xfId="0" applyFont="1" applyFill="1" applyBorder="1" applyAlignment="1">
      <alignment horizontal="left" vertical="center" wrapText="1"/>
    </xf>
    <xf numFmtId="0" fontId="30" fillId="0" borderId="0" xfId="0" applyNumberFormat="1" applyFont="1" applyAlignment="1">
      <alignment horizontal="center"/>
    </xf>
    <xf numFmtId="0" fontId="30" fillId="0" borderId="0" xfId="0" applyFont="1" applyAlignment="1">
      <alignment horizontal="center"/>
    </xf>
    <xf numFmtId="0" fontId="7" fillId="11" borderId="0" xfId="0" applyFont="1" applyFill="1" applyAlignment="1">
      <alignment horizontal="center"/>
    </xf>
    <xf numFmtId="0" fontId="6" fillId="0" borderId="29" xfId="2" applyNumberFormat="1" applyFont="1" applyFill="1" applyBorder="1" applyAlignment="1">
      <alignment horizontal="left" vertical="center" wrapText="1"/>
    </xf>
    <xf numFmtId="0" fontId="6" fillId="0" borderId="38" xfId="2" applyNumberFormat="1" applyFont="1" applyFill="1" applyBorder="1" applyAlignment="1">
      <alignment horizontal="left" vertical="center" wrapText="1"/>
    </xf>
    <xf numFmtId="0" fontId="6" fillId="0" borderId="30" xfId="2" applyNumberFormat="1" applyFont="1" applyFill="1" applyBorder="1" applyAlignment="1">
      <alignment horizontal="left" vertical="center" wrapText="1"/>
    </xf>
  </cellXfs>
  <cellStyles count="5">
    <cellStyle name="(4) STM-1 (LECT)_x000d__x000a_PL-4579-M-039-99_x000d__x000a_FALTA APE" xfId="4"/>
    <cellStyle name="Excel Built-in 20% - Accent1" xfId="3"/>
    <cellStyle name="Normal" xfId="0" builtinId="0"/>
    <cellStyle name="Normal_Nuevo Formato Matriz de Pruebas - 150909" xfId="2"/>
    <cellStyle name="Porcentual" xfId="1" builtinId="5"/>
  </cellStyles>
  <dxfs count="71">
    <dxf>
      <numFmt numFmtId="0" formatCode="General"/>
      <border diagonalUp="0" diagonalDown="0" outline="0">
        <left style="thin">
          <color indexed="22"/>
        </left>
        <right/>
        <top style="thin">
          <color indexed="22"/>
        </top>
        <bottom style="thin">
          <color indexed="22"/>
        </bottom>
      </border>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indent="0" relativeIndent="0" justifyLastLine="0" shrinkToFit="0" readingOrder="0"/>
      <border diagonalUp="0" diagonalDown="0" outline="0">
        <left style="thin">
          <color indexed="22"/>
        </left>
        <right style="thin">
          <color indexed="22"/>
        </right>
        <top/>
        <bottom/>
      </border>
    </dxf>
    <dxf>
      <numFmt numFmtId="0" formatCode="General"/>
      <border diagonalUp="0" diagonalDown="0" outline="0">
        <left style="thin">
          <color indexed="22"/>
        </left>
        <right/>
        <top style="thin">
          <color indexed="22"/>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style="thin">
          <color indexed="22"/>
        </top>
        <bottom style="thin">
          <color indexed="22"/>
        </bottom>
      </border>
      <protection locked="0" hidden="0"/>
    </dxf>
    <dxf>
      <border outline="0">
        <left style="medium">
          <color indexed="22"/>
        </left>
        <right style="medium">
          <color indexed="22"/>
        </right>
        <top style="medium">
          <color indexed="22"/>
        </top>
        <bottom style="thin">
          <color indexed="22"/>
        </bottom>
      </border>
    </dxf>
    <dxf>
      <protection locked="0" hidden="0"/>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indent="0" relativeIndent="0" justifyLastLine="0" shrinkToFit="0" readingOrder="0"/>
      <border diagonalUp="0" diagonalDown="0" outline="0">
        <left style="thin">
          <color indexed="22"/>
        </left>
        <right style="thin">
          <color indexed="22"/>
        </right>
        <top/>
        <bottom/>
      </border>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19" formatCode="dd/mm/yyyy"/>
      <alignment horizontal="general" vertical="center" textRotation="0" wrapText="1" indent="0" relativeIndent="0" justifyLastLine="0" shrinkToFit="0" readingOrder="0"/>
    </dxf>
    <dxf>
      <numFmt numFmtId="19" formatCode="dd/mm/yyyy"/>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fill>
        <patternFill patternType="solid">
          <fgColor indexed="64"/>
          <bgColor theme="3" tint="-0.499984740745262"/>
        </patternFill>
      </fill>
      <alignment horizontal="center" vertical="center" textRotation="0" wrapText="1" indent="0" relativeIndent="0"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164" formatCode="dd/mm/yyyy;@"/>
      <alignment horizontal="center" vertical="center" textRotation="0" wrapText="1" indent="0" relativeIndent="255" justifyLastLine="0" shrinkToFit="0" readingOrder="0"/>
    </dxf>
    <dxf>
      <numFmt numFmtId="164" formatCode="dd/mm/yyyy;@"/>
      <alignment horizontal="general" vertical="center" textRotation="0" wrapText="1" indent="0" relativeIndent="0" justifyLastLine="0" shrinkToFit="0" readingOrder="0"/>
    </dxf>
    <dxf>
      <numFmt numFmtId="164" formatCode="dd/mm/yyyy;@"/>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font>
        <b val="0"/>
      </font>
      <numFmt numFmtId="0" formatCode="General"/>
      <alignment vertical="center" textRotation="0" wrapText="1" justifyLastLine="0" shrinkToFit="0" readingOrder="0"/>
    </dxf>
    <dxf>
      <border outline="0">
        <top style="thin">
          <color theme="9" tint="0.39997558519241921"/>
        </top>
      </border>
    </dxf>
    <dxf>
      <alignment vertical="center" textRotation="0" wrapText="1" justifyLastLine="0" shrinkToFit="0" readingOrder="0"/>
    </dxf>
    <dxf>
      <border outline="0">
        <bottom style="thin">
          <color theme="9" tint="0.39997558519241921"/>
        </bottom>
      </border>
    </dxf>
    <dxf>
      <font>
        <b/>
        <i val="0"/>
        <strike val="0"/>
        <condense val="0"/>
        <extend val="0"/>
        <outline val="0"/>
        <shadow val="0"/>
        <u val="none"/>
        <vertAlign val="baseline"/>
        <sz val="10"/>
        <color theme="0"/>
        <name val="Arial"/>
        <scheme val="none"/>
      </font>
      <numFmt numFmtId="0" formatCode="General"/>
      <fill>
        <patternFill patternType="solid">
          <fgColor theme="9"/>
          <bgColor theme="3" tint="-0.499984740745262"/>
        </patternFill>
      </fill>
      <alignment horizontal="center" vertical="center" textRotation="0" wrapText="1" indent="0" relativeIndent="255"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relativeIndent="255"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relativeIndent="255" justifyLastLine="0" shrinkToFit="0" readingOrder="0"/>
    </dxf>
    <dxf>
      <font>
        <strike val="0"/>
        <outline val="0"/>
        <shadow val="0"/>
        <u val="none"/>
        <vertAlign val="baseline"/>
        <sz val="8"/>
        <color theme="1"/>
        <name val="Calibri"/>
        <scheme val="minor"/>
      </font>
      <alignment horizontal="general" vertical="center" textRotation="0" wrapText="1" indent="0" relativeIndent="255" justifyLastLine="0" shrinkToFit="0" readingOrder="0"/>
    </dxf>
    <dxf>
      <font>
        <strike val="0"/>
        <outline val="0"/>
        <shadow val="0"/>
        <u val="none"/>
        <vertAlign val="baseline"/>
        <sz val="8"/>
        <color theme="1"/>
        <name val="Calibri"/>
        <scheme val="minor"/>
      </font>
      <alignment horizontal="general" vertical="center" textRotation="0" wrapText="1" indent="0" relativeIndent="255"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relativeIndent="255"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relativeIndent="255" justifyLastLine="0" shrinkToFit="0" readingOrder="0"/>
    </dxf>
    <dxf>
      <font>
        <strike val="0"/>
        <outline val="0"/>
        <shadow val="0"/>
        <u val="none"/>
        <vertAlign val="baseline"/>
        <sz val="8"/>
        <color theme="1"/>
        <name val="Calibri"/>
        <scheme val="minor"/>
      </font>
      <alignment horizontal="general" vertical="center" textRotation="0" wrapText="1" indent="0" relativeIndent="255" justifyLastLine="0" shrinkToFit="0" readingOrder="0"/>
    </dxf>
    <dxf>
      <font>
        <strike val="0"/>
        <outline val="0"/>
        <shadow val="0"/>
        <u val="none"/>
        <vertAlign val="baseline"/>
        <sz val="8"/>
        <color theme="1"/>
        <name val="Calibri"/>
        <scheme val="minor"/>
      </font>
      <alignment horizontal="general" vertical="center" textRotation="0" wrapText="1" indent="0" relativeIndent="255"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relativeIndent="255" justifyLastLine="0" shrinkToFit="0" readingOrder="0"/>
    </dxf>
    <dxf>
      <font>
        <strike val="0"/>
        <outline val="0"/>
        <shadow val="0"/>
        <u val="none"/>
        <vertAlign val="baseline"/>
        <sz val="8"/>
        <color theme="1"/>
        <name val="Calibri"/>
        <scheme val="minor"/>
      </font>
      <alignment horizontal="general" vertical="center" textRotation="0" wrapText="1" indent="0" relativeIndent="255"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relativeIndent="255"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relativeIndent="255" justifyLastLine="0" shrinkToFit="0" readingOrder="0"/>
      <protection locked="1" hidden="0"/>
    </dxf>
    <dxf>
      <font>
        <strike val="0"/>
        <outline val="0"/>
        <shadow val="0"/>
        <u val="none"/>
        <vertAlign val="baseline"/>
        <sz val="8"/>
        <color theme="1"/>
        <name val="Calibri"/>
        <scheme val="minor"/>
      </font>
      <alignment horizontal="general" vertical="center" textRotation="0" wrapText="1" indent="0" relativeIndent="255" justifyLastLine="0" shrinkToFit="0" readingOrder="0"/>
    </dxf>
    <dxf>
      <font>
        <strike val="0"/>
        <outline val="0"/>
        <shadow val="0"/>
        <u val="none"/>
        <vertAlign val="baseline"/>
        <sz val="8"/>
        <color theme="1"/>
        <name val="Calibri"/>
        <scheme val="minor"/>
      </font>
      <alignment horizontal="general" vertical="center" textRotation="0" wrapText="1" indent="0" relativeIndent="255" justifyLastLine="0" shrinkToFit="0" readingOrder="0"/>
    </dxf>
    <dxf>
      <font>
        <strike val="0"/>
        <outline val="0"/>
        <shadow val="0"/>
        <u val="none"/>
        <vertAlign val="baseline"/>
        <sz val="8"/>
        <color theme="1"/>
        <name val="Calibri"/>
        <scheme val="minor"/>
      </font>
      <alignment horizontal="general" vertical="center" textRotation="0" wrapText="1" indent="0" relativeIndent="255" justifyLastLine="0" shrinkToFit="0" readingOrder="0"/>
    </dxf>
    <dxf>
      <font>
        <strike val="0"/>
        <outline val="0"/>
        <shadow val="0"/>
        <u val="none"/>
        <vertAlign val="baseline"/>
        <sz val="8"/>
        <color theme="1"/>
        <name val="Calibri"/>
        <scheme val="minor"/>
      </font>
      <alignment horizontal="general" vertical="center" textRotation="0" wrapText="1" indent="0" relativeIndent="255" justifyLastLine="0" shrinkToFit="0" readingOrder="0"/>
    </dxf>
    <dxf>
      <border outline="0">
        <top style="thin">
          <color theme="5"/>
        </top>
      </border>
    </dxf>
    <dxf>
      <font>
        <strike val="0"/>
        <outline val="0"/>
        <shadow val="0"/>
        <u val="none"/>
        <vertAlign val="baseline"/>
        <sz val="8"/>
        <color theme="1"/>
        <name val="Calibri"/>
        <scheme val="minor"/>
      </font>
      <alignment horizontal="general" vertical="center" textRotation="0" wrapText="1" indent="0" relativeIndent="255" justifyLastLine="0" shrinkToFit="0" readingOrder="0"/>
      <border diagonalUp="0" diagonalDown="0">
        <left style="thin">
          <color indexed="9"/>
        </left>
        <right style="thin">
          <color indexed="9"/>
        </right>
        <top/>
        <bottom/>
      </border>
    </dxf>
    <dxf>
      <border outline="0">
        <bottom style="thin">
          <color theme="5"/>
        </bottom>
      </border>
    </dxf>
    <dxf>
      <font>
        <b/>
        <i val="0"/>
        <strike val="0"/>
        <condense val="0"/>
        <extend val="0"/>
        <outline val="0"/>
        <shadow val="0"/>
        <u val="none"/>
        <vertAlign val="baseline"/>
        <sz val="9"/>
        <color indexed="9"/>
        <name val="Arial Narrow"/>
        <scheme val="none"/>
      </font>
      <fill>
        <patternFill patternType="solid">
          <fgColor indexed="58"/>
          <bgColor theme="3" tint="-0.499984740745262"/>
        </patternFill>
      </fill>
      <alignment horizontal="center" vertical="center" textRotation="0" wrapText="1" indent="0" relativeIndent="0" justifyLastLine="0" shrinkToFit="0" readingOrder="0"/>
      <border diagonalUp="0" diagonalDown="0" outline="0">
        <left style="thin">
          <color indexed="9"/>
        </left>
        <right style="thin">
          <color indexed="9"/>
        </right>
        <top/>
        <bottom/>
      </border>
    </dxf>
    <dxf>
      <font>
        <b/>
        <i val="0"/>
        <color theme="6" tint="-0.499984740745262"/>
      </font>
      <fill>
        <patternFill patternType="solid">
          <fgColor indexed="44"/>
          <bgColor theme="6" tint="0.79998168889431442"/>
        </patternFill>
      </fill>
    </dxf>
    <dxf>
      <font>
        <b/>
        <i val="0"/>
        <color theme="9" tint="-0.499984740745262"/>
      </font>
      <fill>
        <patternFill patternType="solid">
          <fgColor indexed="22"/>
          <bgColor theme="9" tint="0.79998168889431442"/>
        </patternFill>
      </fill>
    </dxf>
    <dxf>
      <font>
        <b/>
        <i val="0"/>
        <color rgb="FFFF0000"/>
      </font>
      <fill>
        <patternFill patternType="solid">
          <fgColor indexed="46"/>
          <bgColor theme="5" tint="0.79998168889431442"/>
        </patternFill>
      </fill>
    </dxf>
  </dxfs>
  <tableStyles count="0" defaultTableStyle="TableStyleMedium9" defaultPivotStyle="PivotStyleLight16"/>
  <colors>
    <mruColors>
      <color rgb="FFFFFF66"/>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pivotCacheDefinition" Target="pivotCache/pivotCacheDefinition6.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5.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es-PE"/>
  <c:chart>
    <c:title>
      <c:tx>
        <c:rich>
          <a:bodyPr/>
          <a:lstStyle/>
          <a:p>
            <a:pPr>
              <a:defRPr lang="es-ES" sz="1600"/>
            </a:pPr>
            <a:r>
              <a:rPr lang="es-ES" sz="1600"/>
              <a:t>Distribución Porcentual de los Estados de Casos de Prueba</a:t>
            </a:r>
          </a:p>
        </c:rich>
      </c:tx>
      <c:layout/>
    </c:title>
    <c:plotArea>
      <c:layout>
        <c:manualLayout>
          <c:layoutTarget val="inner"/>
          <c:xMode val="edge"/>
          <c:yMode val="edge"/>
          <c:x val="0.21306389798620556"/>
          <c:y val="0.20151813899974841"/>
          <c:w val="0.50142494135134741"/>
          <c:h val="0.77617833387264945"/>
        </c:manualLayout>
      </c:layout>
      <c:pieChart>
        <c:varyColors val="1"/>
        <c:ser>
          <c:idx val="0"/>
          <c:order val="0"/>
          <c:explosion val="6"/>
          <c:dLbls>
            <c:spPr>
              <a:solidFill>
                <a:schemeClr val="tx1"/>
              </a:solidFill>
            </c:spPr>
            <c:txPr>
              <a:bodyPr/>
              <a:lstStyle/>
              <a:p>
                <a:pPr>
                  <a:defRPr lang="es-ES" b="1">
                    <a:solidFill>
                      <a:schemeClr val="bg1"/>
                    </a:solidFill>
                  </a:defRPr>
                </a:pPr>
                <a:endParaRPr lang="es-PE"/>
              </a:p>
            </c:txPr>
            <c:showPercent val="1"/>
            <c:showLeaderLines val="1"/>
          </c:dLbls>
          <c:cat>
            <c:strRef>
              <c:f>Resumen!$E$12:$J$12</c:f>
              <c:strCache>
                <c:ptCount val="6"/>
                <c:pt idx="0">
                  <c:v>Acierto</c:v>
                </c:pt>
                <c:pt idx="1">
                  <c:v>Fallo</c:v>
                </c:pt>
                <c:pt idx="2">
                  <c:v>Bloqueado</c:v>
                </c:pt>
                <c:pt idx="3">
                  <c:v>Pendiente</c:v>
                </c:pt>
                <c:pt idx="4">
                  <c:v>No Aplica</c:v>
                </c:pt>
                <c:pt idx="5">
                  <c:v>En Proceso</c:v>
                </c:pt>
              </c:strCache>
            </c:strRef>
          </c:cat>
          <c:val>
            <c:numRef>
              <c:f>Resumen!$E$14:$J$14</c:f>
              <c:numCache>
                <c:formatCode>0%</c:formatCode>
                <c:ptCount val="6"/>
                <c:pt idx="0">
                  <c:v>0</c:v>
                </c:pt>
                <c:pt idx="1">
                  <c:v>0.66666666666666663</c:v>
                </c:pt>
                <c:pt idx="2">
                  <c:v>0</c:v>
                </c:pt>
                <c:pt idx="3">
                  <c:v>0</c:v>
                </c:pt>
                <c:pt idx="4">
                  <c:v>0</c:v>
                </c:pt>
                <c:pt idx="5">
                  <c:v>0</c:v>
                </c:pt>
              </c:numCache>
            </c:numRef>
          </c:val>
        </c:ser>
        <c:dLbls>
          <c:showPercent val="1"/>
        </c:dLbls>
        <c:firstSliceAng val="0"/>
      </c:pieChart>
    </c:plotArea>
    <c:legend>
      <c:legendPos val="r"/>
      <c:layout/>
      <c:txPr>
        <a:bodyPr/>
        <a:lstStyle/>
        <a:p>
          <a:pPr>
            <a:defRPr lang="es-ES"/>
          </a:pPr>
          <a:endParaRPr lang="es-PE"/>
        </a:p>
      </c:txPr>
    </c:legend>
    <c:plotVisOnly val="1"/>
    <c:dispBlanksAs val="zero"/>
  </c:chart>
  <c:printSettings>
    <c:headerFooter/>
    <c:pageMargins b="0.75000000000000799" l="0.70000000000000062" r="0.70000000000000062" t="0.75000000000000799"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PE"/>
  <c:chart>
    <c:title>
      <c:tx>
        <c:rich>
          <a:bodyPr/>
          <a:lstStyle/>
          <a:p>
            <a:pPr>
              <a:defRPr lang="es-ES"/>
            </a:pPr>
            <a:r>
              <a:rPr lang="es-ES"/>
              <a:t>Distribución Porcentual de los Estados de las Incidencias</a:t>
            </a:r>
          </a:p>
        </c:rich>
      </c:tx>
      <c:layout/>
    </c:title>
    <c:plotArea>
      <c:layout/>
      <c:pieChart>
        <c:varyColors val="1"/>
        <c:ser>
          <c:idx val="0"/>
          <c:order val="0"/>
          <c:explosion val="4"/>
          <c:dLbls>
            <c:spPr>
              <a:solidFill>
                <a:schemeClr val="tx1"/>
              </a:solidFill>
            </c:spPr>
            <c:txPr>
              <a:bodyPr/>
              <a:lstStyle/>
              <a:p>
                <a:pPr>
                  <a:defRPr lang="es-ES" b="1">
                    <a:solidFill>
                      <a:schemeClr val="bg1"/>
                    </a:solidFill>
                  </a:defRPr>
                </a:pPr>
                <a:endParaRPr lang="es-PE"/>
              </a:p>
            </c:txPr>
            <c:showPercent val="1"/>
            <c:showLeaderLines val="1"/>
          </c:dLbls>
          <c:cat>
            <c:multiLvlStrRef>
              <c:f>(Resumen!$C$28,Resumen!$E$28)</c:f>
            </c:multiLvlStrRef>
          </c:cat>
          <c:val>
            <c:numRef>
              <c:f>(Resumen!$C$34,Resumen!$E$34)</c:f>
            </c:numRef>
          </c:val>
        </c:ser>
        <c:dLbls>
          <c:showPercent val="1"/>
        </c:dLbls>
        <c:firstSliceAng val="0"/>
      </c:pieChart>
    </c:plotArea>
    <c:legend>
      <c:legendPos val="r"/>
      <c:layout/>
      <c:txPr>
        <a:bodyPr/>
        <a:lstStyle/>
        <a:p>
          <a:pPr rtl="0">
            <a:defRPr lang="es-ES"/>
          </a:pPr>
          <a:endParaRPr lang="es-PE"/>
        </a:p>
      </c:txPr>
    </c:legend>
    <c:plotVisOnly val="1"/>
    <c:dispBlanksAs val="zero"/>
  </c:chart>
  <c:printSettings>
    <c:headerFooter/>
    <c:pageMargins b="0.75000000000000799" l="0.70000000000000062" r="0.70000000000000062" t="0.75000000000000799"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PE"/>
  <c:chart>
    <c:plotArea>
      <c:layout/>
      <c:lineChart>
        <c:grouping val="standard"/>
        <c:ser>
          <c:idx val="0"/>
          <c:order val="0"/>
          <c:tx>
            <c:strRef>
              <c:f>HistoricoAvance!$C$3</c:f>
              <c:strCache>
                <c:ptCount val="1"/>
                <c:pt idx="0">
                  <c:v>Aciertos</c:v>
                </c:pt>
              </c:strCache>
            </c:strRef>
          </c:tx>
          <c:spPr>
            <a:ln w="50800"/>
          </c:spPr>
          <c:cat>
            <c:numRef>
              <c:f>HistoricoAvance!$B$4:$B$6</c:f>
              <c:numCache>
                <c:formatCode>dd/mm/yyyy</c:formatCode>
                <c:ptCount val="3"/>
                <c:pt idx="0">
                  <c:v>40791</c:v>
                </c:pt>
              </c:numCache>
            </c:numRef>
          </c:cat>
          <c:val>
            <c:numRef>
              <c:f>HistoricoAvance!$C$4:$C$6</c:f>
              <c:numCache>
                <c:formatCode>0</c:formatCode>
                <c:ptCount val="3"/>
                <c:pt idx="0">
                  <c:v>0</c:v>
                </c:pt>
              </c:numCache>
            </c:numRef>
          </c:val>
        </c:ser>
        <c:ser>
          <c:idx val="1"/>
          <c:order val="1"/>
          <c:tx>
            <c:strRef>
              <c:f>HistoricoAvance!$D$3</c:f>
              <c:strCache>
                <c:ptCount val="1"/>
                <c:pt idx="0">
                  <c:v>Fallos</c:v>
                </c:pt>
              </c:strCache>
            </c:strRef>
          </c:tx>
          <c:spPr>
            <a:ln w="50800"/>
          </c:spPr>
          <c:cat>
            <c:numRef>
              <c:f>HistoricoAvance!$B$4:$B$6</c:f>
              <c:numCache>
                <c:formatCode>dd/mm/yyyy</c:formatCode>
                <c:ptCount val="3"/>
                <c:pt idx="0">
                  <c:v>40791</c:v>
                </c:pt>
              </c:numCache>
            </c:numRef>
          </c:cat>
          <c:val>
            <c:numRef>
              <c:f>HistoricoAvance!$D$4:$D$6</c:f>
              <c:numCache>
                <c:formatCode>0</c:formatCode>
                <c:ptCount val="3"/>
                <c:pt idx="0">
                  <c:v>10</c:v>
                </c:pt>
              </c:numCache>
            </c:numRef>
          </c:val>
        </c:ser>
        <c:ser>
          <c:idx val="2"/>
          <c:order val="2"/>
          <c:tx>
            <c:strRef>
              <c:f>HistoricoAvance!$E$3</c:f>
              <c:strCache>
                <c:ptCount val="1"/>
                <c:pt idx="0">
                  <c:v>Bloqueado</c:v>
                </c:pt>
              </c:strCache>
            </c:strRef>
          </c:tx>
          <c:cat>
            <c:numRef>
              <c:f>HistoricoAvance!$B$4:$B$6</c:f>
              <c:numCache>
                <c:formatCode>dd/mm/yyyy</c:formatCode>
                <c:ptCount val="3"/>
                <c:pt idx="0">
                  <c:v>40791</c:v>
                </c:pt>
              </c:numCache>
            </c:numRef>
          </c:cat>
          <c:val>
            <c:numRef>
              <c:f>HistoricoAvance!$E$4:$E$6</c:f>
              <c:numCache>
                <c:formatCode>0</c:formatCode>
                <c:ptCount val="3"/>
                <c:pt idx="0">
                  <c:v>0</c:v>
                </c:pt>
              </c:numCache>
            </c:numRef>
          </c:val>
        </c:ser>
        <c:ser>
          <c:idx val="3"/>
          <c:order val="3"/>
          <c:tx>
            <c:strRef>
              <c:f>HistoricoAvance!$F$3</c:f>
              <c:strCache>
                <c:ptCount val="1"/>
                <c:pt idx="0">
                  <c:v>Pendiente</c:v>
                </c:pt>
              </c:strCache>
            </c:strRef>
          </c:tx>
          <c:cat>
            <c:numRef>
              <c:f>HistoricoAvance!$B$4:$B$6</c:f>
              <c:numCache>
                <c:formatCode>dd/mm/yyyy</c:formatCode>
                <c:ptCount val="3"/>
                <c:pt idx="0">
                  <c:v>40791</c:v>
                </c:pt>
              </c:numCache>
            </c:numRef>
          </c:cat>
          <c:val>
            <c:numRef>
              <c:f>HistoricoAvance!$F$4:$F$6</c:f>
              <c:numCache>
                <c:formatCode>0</c:formatCode>
                <c:ptCount val="3"/>
                <c:pt idx="0">
                  <c:v>0</c:v>
                </c:pt>
              </c:numCache>
            </c:numRef>
          </c:val>
        </c:ser>
        <c:ser>
          <c:idx val="4"/>
          <c:order val="4"/>
          <c:tx>
            <c:strRef>
              <c:f>HistoricoAvance!$G$3</c:f>
              <c:strCache>
                <c:ptCount val="1"/>
                <c:pt idx="0">
                  <c:v>No Aplica</c:v>
                </c:pt>
              </c:strCache>
            </c:strRef>
          </c:tx>
          <c:cat>
            <c:numRef>
              <c:f>HistoricoAvance!$B$4:$B$6</c:f>
              <c:numCache>
                <c:formatCode>dd/mm/yyyy</c:formatCode>
                <c:ptCount val="3"/>
                <c:pt idx="0">
                  <c:v>40791</c:v>
                </c:pt>
              </c:numCache>
            </c:numRef>
          </c:cat>
          <c:val>
            <c:numRef>
              <c:f>HistoricoAvance!$G$4:$G$6</c:f>
              <c:numCache>
                <c:formatCode>0</c:formatCode>
                <c:ptCount val="3"/>
                <c:pt idx="0">
                  <c:v>0</c:v>
                </c:pt>
              </c:numCache>
            </c:numRef>
          </c:val>
        </c:ser>
        <c:ser>
          <c:idx val="5"/>
          <c:order val="5"/>
          <c:tx>
            <c:strRef>
              <c:f>HistoricoAvance!$H$3</c:f>
              <c:strCache>
                <c:ptCount val="1"/>
                <c:pt idx="0">
                  <c:v>En Proceso</c:v>
                </c:pt>
              </c:strCache>
            </c:strRef>
          </c:tx>
          <c:cat>
            <c:numRef>
              <c:f>HistoricoAvance!$B$4:$B$6</c:f>
              <c:numCache>
                <c:formatCode>dd/mm/yyyy</c:formatCode>
                <c:ptCount val="3"/>
                <c:pt idx="0">
                  <c:v>40791</c:v>
                </c:pt>
              </c:numCache>
            </c:numRef>
          </c:cat>
          <c:val>
            <c:numRef>
              <c:f>HistoricoAvance!$H$4:$H$6</c:f>
              <c:numCache>
                <c:formatCode>0</c:formatCode>
                <c:ptCount val="3"/>
                <c:pt idx="0">
                  <c:v>0</c:v>
                </c:pt>
              </c:numCache>
            </c:numRef>
          </c:val>
        </c:ser>
        <c:ser>
          <c:idx val="6"/>
          <c:order val="6"/>
          <c:tx>
            <c:strRef>
              <c:f>HistoricoAvance!$I$3</c:f>
              <c:strCache>
                <c:ptCount val="1"/>
                <c:pt idx="0">
                  <c:v>Reejecuciones</c:v>
                </c:pt>
              </c:strCache>
            </c:strRef>
          </c:tx>
          <c:cat>
            <c:numRef>
              <c:f>HistoricoAvance!$B$4:$B$6</c:f>
              <c:numCache>
                <c:formatCode>dd/mm/yyyy</c:formatCode>
                <c:ptCount val="3"/>
                <c:pt idx="0">
                  <c:v>40791</c:v>
                </c:pt>
              </c:numCache>
            </c:numRef>
          </c:cat>
          <c:val>
            <c:numRef>
              <c:f>HistoricoAvance!$I$4:$I$6</c:f>
              <c:numCache>
                <c:formatCode>0</c:formatCode>
                <c:ptCount val="3"/>
                <c:pt idx="0">
                  <c:v>0</c:v>
                </c:pt>
              </c:numCache>
            </c:numRef>
          </c:val>
        </c:ser>
        <c:ser>
          <c:idx val="7"/>
          <c:order val="7"/>
          <c:tx>
            <c:strRef>
              <c:f>HistoricoAvance!$J$3</c:f>
              <c:strCache>
                <c:ptCount val="1"/>
                <c:pt idx="0">
                  <c:v>Totales</c:v>
                </c:pt>
              </c:strCache>
            </c:strRef>
          </c:tx>
          <c:spPr>
            <a:ln w="50800" cmpd="sng">
              <a:solidFill>
                <a:schemeClr val="tx1"/>
              </a:solidFill>
            </a:ln>
          </c:spPr>
          <c:cat>
            <c:numRef>
              <c:f>HistoricoAvance!$B$4:$B$6</c:f>
              <c:numCache>
                <c:formatCode>dd/mm/yyyy</c:formatCode>
                <c:ptCount val="3"/>
                <c:pt idx="0">
                  <c:v>40791</c:v>
                </c:pt>
              </c:numCache>
            </c:numRef>
          </c:cat>
          <c:val>
            <c:numRef>
              <c:f>HistoricoAvance!$J$4:$J$6</c:f>
              <c:numCache>
                <c:formatCode>General</c:formatCode>
                <c:ptCount val="3"/>
                <c:pt idx="0">
                  <c:v>10</c:v>
                </c:pt>
                <c:pt idx="1">
                  <c:v>0</c:v>
                </c:pt>
                <c:pt idx="2">
                  <c:v>0</c:v>
                </c:pt>
              </c:numCache>
            </c:numRef>
          </c:val>
        </c:ser>
        <c:marker val="1"/>
        <c:axId val="100266752"/>
        <c:axId val="100268288"/>
      </c:lineChart>
      <c:dateAx>
        <c:axId val="100266752"/>
        <c:scaling>
          <c:orientation val="minMax"/>
        </c:scaling>
        <c:axPos val="b"/>
        <c:numFmt formatCode="dd/mm/yyyy" sourceLinked="1"/>
        <c:tickLblPos val="nextTo"/>
        <c:txPr>
          <a:bodyPr/>
          <a:lstStyle/>
          <a:p>
            <a:pPr>
              <a:defRPr lang="es-ES"/>
            </a:pPr>
            <a:endParaRPr lang="es-PE"/>
          </a:p>
        </c:txPr>
        <c:crossAx val="100268288"/>
        <c:crosses val="autoZero"/>
        <c:auto val="1"/>
        <c:lblOffset val="100"/>
      </c:dateAx>
      <c:valAx>
        <c:axId val="100268288"/>
        <c:scaling>
          <c:orientation val="minMax"/>
        </c:scaling>
        <c:axPos val="l"/>
        <c:majorGridlines/>
        <c:numFmt formatCode="0" sourceLinked="1"/>
        <c:tickLblPos val="nextTo"/>
        <c:txPr>
          <a:bodyPr/>
          <a:lstStyle/>
          <a:p>
            <a:pPr>
              <a:defRPr lang="es-ES"/>
            </a:pPr>
            <a:endParaRPr lang="es-PE"/>
          </a:p>
        </c:txPr>
        <c:crossAx val="100266752"/>
        <c:crosses val="autoZero"/>
        <c:crossBetween val="between"/>
      </c:valAx>
    </c:plotArea>
    <c:legend>
      <c:legendPos val="r"/>
      <c:layout/>
      <c:txPr>
        <a:bodyPr/>
        <a:lstStyle/>
        <a:p>
          <a:pPr>
            <a:defRPr lang="es-ES"/>
          </a:pPr>
          <a:endParaRPr lang="es-PE"/>
        </a:p>
      </c:txPr>
    </c:legend>
    <c:plotVisOnly val="1"/>
    <c:dispBlanksAs val="gap"/>
  </c:chart>
  <c:printSettings>
    <c:headerFooter/>
    <c:pageMargins b="0.75000000000000799" l="0.70000000000000062" r="0.70000000000000062" t="0.75000000000000799"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PE"/>
  <c:chart>
    <c:plotArea>
      <c:layout/>
      <c:lineChart>
        <c:grouping val="standard"/>
        <c:ser>
          <c:idx val="0"/>
          <c:order val="0"/>
          <c:tx>
            <c:strRef>
              <c:f>HistoricoAvance!$M$3</c:f>
              <c:strCache>
                <c:ptCount val="1"/>
                <c:pt idx="0">
                  <c:v>Abiertas</c:v>
                </c:pt>
              </c:strCache>
            </c:strRef>
          </c:tx>
          <c:spPr>
            <a:ln w="50800">
              <a:solidFill>
                <a:schemeClr val="accent2"/>
              </a:solidFill>
            </a:ln>
          </c:spPr>
          <c:cat>
            <c:numRef>
              <c:f>HistoricoAvance!$L$4:$L$6</c:f>
              <c:numCache>
                <c:formatCode>dd/mm/yyyy</c:formatCode>
                <c:ptCount val="3"/>
                <c:pt idx="0">
                  <c:v>40791</c:v>
                </c:pt>
              </c:numCache>
            </c:numRef>
          </c:cat>
          <c:val>
            <c:numRef>
              <c:f>HistoricoAvance!$M$4:$M$6</c:f>
              <c:numCache>
                <c:formatCode>0</c:formatCode>
                <c:ptCount val="3"/>
                <c:pt idx="0">
                  <c:v>0</c:v>
                </c:pt>
              </c:numCache>
            </c:numRef>
          </c:val>
        </c:ser>
        <c:ser>
          <c:idx val="1"/>
          <c:order val="1"/>
          <c:tx>
            <c:strRef>
              <c:f>HistoricoAvance!$N$3</c:f>
              <c:strCache>
                <c:ptCount val="1"/>
                <c:pt idx="0">
                  <c:v>Cerradas</c:v>
                </c:pt>
              </c:strCache>
            </c:strRef>
          </c:tx>
          <c:spPr>
            <a:ln w="50800">
              <a:solidFill>
                <a:schemeClr val="accent1"/>
              </a:solidFill>
            </a:ln>
          </c:spPr>
          <c:cat>
            <c:numRef>
              <c:f>HistoricoAvance!$L$4:$L$6</c:f>
              <c:numCache>
                <c:formatCode>dd/mm/yyyy</c:formatCode>
                <c:ptCount val="3"/>
                <c:pt idx="0">
                  <c:v>40791</c:v>
                </c:pt>
              </c:numCache>
            </c:numRef>
          </c:cat>
          <c:val>
            <c:numRef>
              <c:f>HistoricoAvance!$N$4:$N$6</c:f>
              <c:numCache>
                <c:formatCode>0</c:formatCode>
                <c:ptCount val="3"/>
                <c:pt idx="0">
                  <c:v>0</c:v>
                </c:pt>
              </c:numCache>
            </c:numRef>
          </c:val>
        </c:ser>
        <c:ser>
          <c:idx val="2"/>
          <c:order val="2"/>
          <c:tx>
            <c:strRef>
              <c:f>HistoricoAvance!$O$3</c:f>
              <c:strCache>
                <c:ptCount val="1"/>
                <c:pt idx="0">
                  <c:v>Totales</c:v>
                </c:pt>
              </c:strCache>
            </c:strRef>
          </c:tx>
          <c:cat>
            <c:numRef>
              <c:f>HistoricoAvance!$L$4:$L$6</c:f>
              <c:numCache>
                <c:formatCode>dd/mm/yyyy</c:formatCode>
                <c:ptCount val="3"/>
                <c:pt idx="0">
                  <c:v>40791</c:v>
                </c:pt>
              </c:numCache>
            </c:numRef>
          </c:cat>
          <c:val>
            <c:numRef>
              <c:f>HistoricoAvance!$O$4:$O$6</c:f>
              <c:numCache>
                <c:formatCode>General</c:formatCode>
                <c:ptCount val="3"/>
                <c:pt idx="0">
                  <c:v>0</c:v>
                </c:pt>
                <c:pt idx="1">
                  <c:v>0</c:v>
                </c:pt>
                <c:pt idx="2">
                  <c:v>0</c:v>
                </c:pt>
              </c:numCache>
            </c:numRef>
          </c:val>
        </c:ser>
        <c:marker val="1"/>
        <c:axId val="100572160"/>
        <c:axId val="100586240"/>
      </c:lineChart>
      <c:dateAx>
        <c:axId val="100572160"/>
        <c:scaling>
          <c:orientation val="minMax"/>
        </c:scaling>
        <c:axPos val="b"/>
        <c:numFmt formatCode="dd/mm/yyyy" sourceLinked="1"/>
        <c:tickLblPos val="nextTo"/>
        <c:txPr>
          <a:bodyPr/>
          <a:lstStyle/>
          <a:p>
            <a:pPr>
              <a:defRPr lang="es-ES"/>
            </a:pPr>
            <a:endParaRPr lang="es-PE"/>
          </a:p>
        </c:txPr>
        <c:crossAx val="100586240"/>
        <c:crosses val="autoZero"/>
        <c:auto val="1"/>
        <c:lblOffset val="100"/>
      </c:dateAx>
      <c:valAx>
        <c:axId val="100586240"/>
        <c:scaling>
          <c:orientation val="minMax"/>
        </c:scaling>
        <c:axPos val="l"/>
        <c:majorGridlines/>
        <c:numFmt formatCode="0" sourceLinked="1"/>
        <c:tickLblPos val="nextTo"/>
        <c:txPr>
          <a:bodyPr/>
          <a:lstStyle/>
          <a:p>
            <a:pPr>
              <a:defRPr lang="es-ES"/>
            </a:pPr>
            <a:endParaRPr lang="es-PE"/>
          </a:p>
        </c:txPr>
        <c:crossAx val="100572160"/>
        <c:crosses val="autoZero"/>
        <c:crossBetween val="between"/>
      </c:valAx>
    </c:plotArea>
    <c:legend>
      <c:legendPos val="r"/>
      <c:layout/>
      <c:txPr>
        <a:bodyPr/>
        <a:lstStyle/>
        <a:p>
          <a:pPr>
            <a:defRPr lang="es-ES"/>
          </a:pPr>
          <a:endParaRPr lang="es-PE"/>
        </a:p>
      </c:txPr>
    </c:legend>
    <c:plotVisOnly val="1"/>
    <c:dispBlanksAs val="gap"/>
  </c:chart>
  <c:printSettings>
    <c:headerFooter/>
    <c:pageMargins b="0.75000000000000822" l="0.70000000000000062" r="0.70000000000000062" t="0.75000000000000822"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PE"/>
  <c:pivotSource>
    <c:name>[ANOCFAP Inspeccion.xlsm]CuadrosResumen!Tabla dinámica1</c:name>
    <c:fmtId val="0"/>
  </c:pivotSource>
  <c:chart>
    <c:title>
      <c:tx>
        <c:rich>
          <a:bodyPr/>
          <a:lstStyle/>
          <a:p>
            <a:pPr>
              <a:defRPr lang="es-ES"/>
            </a:pPr>
            <a:r>
              <a:rPr lang="en-US"/>
              <a:t>Distribución</a:t>
            </a:r>
            <a:r>
              <a:rPr lang="en-US" baseline="0"/>
              <a:t> por Severidad</a:t>
            </a:r>
            <a:endParaRPr lang="en-US"/>
          </a:p>
        </c:rich>
      </c:tx>
      <c:layout/>
    </c:title>
    <c:pivotFmts>
      <c:pivotFmt>
        <c:idx val="0"/>
        <c:marker>
          <c:symbol val="none"/>
        </c:marker>
        <c:dLbl>
          <c:idx val="0"/>
          <c:layout/>
          <c:spPr/>
          <c:txPr>
            <a:bodyPr/>
            <a:lstStyle/>
            <a:p>
              <a:pPr>
                <a:defRPr lang="es-ES"/>
              </a:pPr>
              <a:endParaRPr lang="es-PE"/>
            </a:p>
          </c:txPr>
          <c:showVal val="1"/>
        </c:dLbl>
      </c:pivotFmt>
    </c:pivotFmts>
    <c:plotArea>
      <c:layout/>
      <c:barChart>
        <c:barDir val="col"/>
        <c:grouping val="clustered"/>
        <c:ser>
          <c:idx val="0"/>
          <c:order val="0"/>
          <c:tx>
            <c:strRef>
              <c:f>CuadrosResumen!$C$70</c:f>
              <c:strCache>
                <c:ptCount val="1"/>
                <c:pt idx="0">
                  <c:v>Total</c:v>
                </c:pt>
              </c:strCache>
            </c:strRef>
          </c:tx>
          <c:dLbls>
            <c:spPr/>
            <c:txPr>
              <a:bodyPr/>
              <a:lstStyle/>
              <a:p>
                <a:pPr>
                  <a:defRPr lang="es-ES"/>
                </a:pPr>
                <a:endParaRPr lang="es-PE"/>
              </a:p>
            </c:txPr>
            <c:showVal val="1"/>
          </c:dLbls>
          <c:cat>
            <c:strRef>
              <c:f>CuadrosResumen!$B$71:$B$73</c:f>
              <c:strCache>
                <c:ptCount val="2"/>
                <c:pt idx="0">
                  <c:v>Severidad 3</c:v>
                </c:pt>
                <c:pt idx="1">
                  <c:v>Severidad 4</c:v>
                </c:pt>
              </c:strCache>
            </c:strRef>
          </c:cat>
          <c:val>
            <c:numRef>
              <c:f>CuadrosResumen!$C$71:$C$73</c:f>
              <c:numCache>
                <c:formatCode>General</c:formatCode>
                <c:ptCount val="2"/>
                <c:pt idx="0">
                  <c:v>1</c:v>
                </c:pt>
                <c:pt idx="1">
                  <c:v>1</c:v>
                </c:pt>
              </c:numCache>
            </c:numRef>
          </c:val>
        </c:ser>
        <c:axId val="100242176"/>
        <c:axId val="100243712"/>
      </c:barChart>
      <c:catAx>
        <c:axId val="100242176"/>
        <c:scaling>
          <c:orientation val="minMax"/>
        </c:scaling>
        <c:axPos val="b"/>
        <c:tickLblPos val="nextTo"/>
        <c:txPr>
          <a:bodyPr/>
          <a:lstStyle/>
          <a:p>
            <a:pPr>
              <a:defRPr lang="es-ES"/>
            </a:pPr>
            <a:endParaRPr lang="es-PE"/>
          </a:p>
        </c:txPr>
        <c:crossAx val="100243712"/>
        <c:crosses val="autoZero"/>
        <c:auto val="1"/>
        <c:lblAlgn val="ctr"/>
        <c:lblOffset val="100"/>
      </c:catAx>
      <c:valAx>
        <c:axId val="100243712"/>
        <c:scaling>
          <c:orientation val="minMax"/>
        </c:scaling>
        <c:axPos val="l"/>
        <c:majorGridlines/>
        <c:numFmt formatCode="General" sourceLinked="1"/>
        <c:tickLblPos val="nextTo"/>
        <c:txPr>
          <a:bodyPr/>
          <a:lstStyle/>
          <a:p>
            <a:pPr>
              <a:defRPr lang="es-ES"/>
            </a:pPr>
            <a:endParaRPr lang="es-PE"/>
          </a:p>
        </c:txPr>
        <c:crossAx val="100242176"/>
        <c:crosses val="autoZero"/>
        <c:crossBetween val="between"/>
      </c:valAx>
    </c:plotArea>
    <c:plotVisOnly val="1"/>
    <c:dispBlanksAs val="gap"/>
  </c:chart>
  <c:printSettings>
    <c:headerFooter/>
    <c:pageMargins b="0.75000000000000788" l="0.70000000000000062" r="0.70000000000000062" t="0.75000000000000788"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PE"/>
  <c:pivotSource>
    <c:name>[ANOCFAP Inspeccion.xlsm]CuadrosResumen!Tabla dinámica2</c:name>
    <c:fmtId val="0"/>
  </c:pivotSource>
  <c:chart>
    <c:title>
      <c:tx>
        <c:rich>
          <a:bodyPr/>
          <a:lstStyle/>
          <a:p>
            <a:pPr>
              <a:defRPr lang="es-ES"/>
            </a:pPr>
            <a:r>
              <a:rPr lang="en-US"/>
              <a:t>Distribución por Prioridad</a:t>
            </a:r>
          </a:p>
        </c:rich>
      </c:tx>
      <c:layout/>
    </c:title>
    <c:pivotFmts>
      <c:pivotFmt>
        <c:idx val="0"/>
        <c:marker>
          <c:symbol val="none"/>
        </c:marker>
        <c:dLbl>
          <c:idx val="0"/>
          <c:layout/>
          <c:spPr/>
          <c:txPr>
            <a:bodyPr/>
            <a:lstStyle/>
            <a:p>
              <a:pPr>
                <a:defRPr lang="es-ES"/>
              </a:pPr>
              <a:endParaRPr lang="es-PE"/>
            </a:p>
          </c:txPr>
          <c:showVal val="1"/>
        </c:dLbl>
      </c:pivotFmt>
    </c:pivotFmts>
    <c:plotArea>
      <c:layout/>
      <c:barChart>
        <c:barDir val="col"/>
        <c:grouping val="clustered"/>
        <c:ser>
          <c:idx val="0"/>
          <c:order val="0"/>
          <c:tx>
            <c:strRef>
              <c:f>CuadrosResumen!$H$70</c:f>
              <c:strCache>
                <c:ptCount val="1"/>
                <c:pt idx="0">
                  <c:v>Total</c:v>
                </c:pt>
              </c:strCache>
            </c:strRef>
          </c:tx>
          <c:dLbls>
            <c:spPr/>
            <c:txPr>
              <a:bodyPr/>
              <a:lstStyle/>
              <a:p>
                <a:pPr>
                  <a:defRPr lang="es-ES"/>
                </a:pPr>
                <a:endParaRPr lang="es-PE"/>
              </a:p>
            </c:txPr>
            <c:showVal val="1"/>
          </c:dLbls>
          <c:cat>
            <c:strRef>
              <c:f>CuadrosResumen!$G$71:$G$72</c:f>
              <c:strCache>
                <c:ptCount val="1"/>
                <c:pt idx="0">
                  <c:v>Alta</c:v>
                </c:pt>
              </c:strCache>
            </c:strRef>
          </c:cat>
          <c:val>
            <c:numRef>
              <c:f>CuadrosResumen!$H$71:$H$72</c:f>
              <c:numCache>
                <c:formatCode>General</c:formatCode>
                <c:ptCount val="1"/>
                <c:pt idx="0">
                  <c:v>2</c:v>
                </c:pt>
              </c:numCache>
            </c:numRef>
          </c:val>
        </c:ser>
        <c:axId val="102979840"/>
        <c:axId val="102985728"/>
      </c:barChart>
      <c:catAx>
        <c:axId val="102979840"/>
        <c:scaling>
          <c:orientation val="minMax"/>
        </c:scaling>
        <c:axPos val="b"/>
        <c:tickLblPos val="nextTo"/>
        <c:txPr>
          <a:bodyPr/>
          <a:lstStyle/>
          <a:p>
            <a:pPr>
              <a:defRPr lang="es-ES"/>
            </a:pPr>
            <a:endParaRPr lang="es-PE"/>
          </a:p>
        </c:txPr>
        <c:crossAx val="102985728"/>
        <c:crosses val="autoZero"/>
        <c:auto val="1"/>
        <c:lblAlgn val="ctr"/>
        <c:lblOffset val="100"/>
      </c:catAx>
      <c:valAx>
        <c:axId val="102985728"/>
        <c:scaling>
          <c:orientation val="minMax"/>
        </c:scaling>
        <c:axPos val="l"/>
        <c:majorGridlines/>
        <c:numFmt formatCode="General" sourceLinked="1"/>
        <c:tickLblPos val="nextTo"/>
        <c:txPr>
          <a:bodyPr/>
          <a:lstStyle/>
          <a:p>
            <a:pPr>
              <a:defRPr lang="es-ES"/>
            </a:pPr>
            <a:endParaRPr lang="es-PE"/>
          </a:p>
        </c:txPr>
        <c:crossAx val="102979840"/>
        <c:crosses val="autoZero"/>
        <c:crossBetween val="between"/>
      </c:valAx>
    </c:plotArea>
    <c:plotVisOnly val="1"/>
    <c:dispBlanksAs val="gap"/>
  </c:chart>
  <c:printSettings>
    <c:headerFooter/>
    <c:pageMargins b="0.75000000000000788" l="0.70000000000000062" r="0.70000000000000062" t="0.75000000000000788"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PE"/>
  <c:pivotSource>
    <c:name>[ANOCFAP Inspeccion.xlsm]CuadrosResumen!Tabla dinámica3</c:name>
    <c:fmtId val="0"/>
  </c:pivotSource>
  <c:chart>
    <c:title>
      <c:layout/>
      <c:txPr>
        <a:bodyPr/>
        <a:lstStyle/>
        <a:p>
          <a:pPr>
            <a:defRPr lang="es-ES"/>
          </a:pPr>
          <a:endParaRPr lang="es-PE"/>
        </a:p>
      </c:txPr>
    </c:title>
    <c:pivotFmts>
      <c:pivotFmt>
        <c:idx val="0"/>
        <c:marker>
          <c:symbol val="none"/>
        </c:marker>
        <c:dLbl>
          <c:idx val="0"/>
          <c:layout/>
          <c:spPr/>
          <c:txPr>
            <a:bodyPr/>
            <a:lstStyle/>
            <a:p>
              <a:pPr>
                <a:defRPr lang="es-ES"/>
              </a:pPr>
              <a:endParaRPr lang="es-PE"/>
            </a:p>
          </c:txPr>
          <c:showVal val="1"/>
        </c:dLbl>
      </c:pivotFmt>
    </c:pivotFmts>
    <c:plotArea>
      <c:layout/>
      <c:barChart>
        <c:barDir val="col"/>
        <c:grouping val="clustered"/>
        <c:ser>
          <c:idx val="0"/>
          <c:order val="0"/>
          <c:tx>
            <c:strRef>
              <c:f>CuadrosResumen!$M$70</c:f>
              <c:strCache>
                <c:ptCount val="1"/>
                <c:pt idx="0">
                  <c:v>Total</c:v>
                </c:pt>
              </c:strCache>
            </c:strRef>
          </c:tx>
          <c:dLbls>
            <c:spPr/>
            <c:txPr>
              <a:bodyPr/>
              <a:lstStyle/>
              <a:p>
                <a:pPr>
                  <a:defRPr lang="es-ES"/>
                </a:pPr>
                <a:endParaRPr lang="es-PE"/>
              </a:p>
            </c:txPr>
            <c:showVal val="1"/>
          </c:dLbls>
          <c:cat>
            <c:strRef>
              <c:f>CuadrosResumen!$L$71:$L$72</c:f>
              <c:strCache>
                <c:ptCount val="1"/>
                <c:pt idx="0">
                  <c:v>Cerrada</c:v>
                </c:pt>
              </c:strCache>
            </c:strRef>
          </c:cat>
          <c:val>
            <c:numRef>
              <c:f>CuadrosResumen!$M$71:$M$72</c:f>
              <c:numCache>
                <c:formatCode>General</c:formatCode>
                <c:ptCount val="1"/>
                <c:pt idx="0">
                  <c:v>2</c:v>
                </c:pt>
              </c:numCache>
            </c:numRef>
          </c:val>
        </c:ser>
        <c:axId val="103026688"/>
        <c:axId val="103028224"/>
      </c:barChart>
      <c:catAx>
        <c:axId val="103026688"/>
        <c:scaling>
          <c:orientation val="minMax"/>
        </c:scaling>
        <c:axPos val="b"/>
        <c:tickLblPos val="nextTo"/>
        <c:txPr>
          <a:bodyPr/>
          <a:lstStyle/>
          <a:p>
            <a:pPr>
              <a:defRPr lang="es-ES"/>
            </a:pPr>
            <a:endParaRPr lang="es-PE"/>
          </a:p>
        </c:txPr>
        <c:crossAx val="103028224"/>
        <c:crosses val="autoZero"/>
        <c:auto val="1"/>
        <c:lblAlgn val="ctr"/>
        <c:lblOffset val="100"/>
      </c:catAx>
      <c:valAx>
        <c:axId val="103028224"/>
        <c:scaling>
          <c:orientation val="minMax"/>
        </c:scaling>
        <c:axPos val="l"/>
        <c:majorGridlines/>
        <c:numFmt formatCode="General" sourceLinked="1"/>
        <c:tickLblPos val="nextTo"/>
        <c:txPr>
          <a:bodyPr/>
          <a:lstStyle/>
          <a:p>
            <a:pPr>
              <a:defRPr lang="es-ES"/>
            </a:pPr>
            <a:endParaRPr lang="es-PE"/>
          </a:p>
        </c:txPr>
        <c:crossAx val="103026688"/>
        <c:crosses val="autoZero"/>
        <c:crossBetween val="between"/>
      </c:valAx>
    </c:plotArea>
    <c:plotVisOnly val="1"/>
    <c:dispBlanksAs val="gap"/>
  </c:chart>
  <c:printSettings>
    <c:headerFooter/>
    <c:pageMargins b="0.75000000000000788" l="0.70000000000000062" r="0.70000000000000062" t="0.75000000000000788"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PE"/>
  <c:pivotSource>
    <c:name>[ANOCFAP Inspeccion.xlsm]CuadrosResumen!Tabla dinámica5</c:name>
    <c:fmtId val="0"/>
  </c:pivotSource>
  <c:chart>
    <c:title>
      <c:tx>
        <c:rich>
          <a:bodyPr/>
          <a:lstStyle/>
          <a:p>
            <a:pPr>
              <a:defRPr lang="es-ES"/>
            </a:pPr>
            <a:r>
              <a:rPr lang="en-US"/>
              <a:t>Distribución por Responsable</a:t>
            </a:r>
          </a:p>
        </c:rich>
      </c:tx>
      <c:layout/>
    </c:title>
    <c:pivotFmts>
      <c:pivotFmt>
        <c:idx val="0"/>
        <c:marker>
          <c:symbol val="none"/>
        </c:marker>
        <c:dLbl>
          <c:idx val="0"/>
          <c:spPr/>
          <c:txPr>
            <a:bodyPr/>
            <a:lstStyle/>
            <a:p>
              <a:pPr>
                <a:defRPr lang="es-ES"/>
              </a:pPr>
              <a:endParaRPr lang="es-PE"/>
            </a:p>
          </c:txPr>
          <c:showVal val="1"/>
        </c:dLbl>
      </c:pivotFmt>
    </c:pivotFmts>
    <c:plotArea>
      <c:layout/>
      <c:barChart>
        <c:barDir val="col"/>
        <c:grouping val="clustered"/>
        <c:ser>
          <c:idx val="0"/>
          <c:order val="0"/>
          <c:tx>
            <c:strRef>
              <c:f>CuadrosResumen!$C$91</c:f>
              <c:strCache>
                <c:ptCount val="1"/>
                <c:pt idx="0">
                  <c:v>Total</c:v>
                </c:pt>
              </c:strCache>
            </c:strRef>
          </c:tx>
          <c:dLbls>
            <c:spPr/>
            <c:txPr>
              <a:bodyPr/>
              <a:lstStyle/>
              <a:p>
                <a:pPr>
                  <a:defRPr lang="es-ES"/>
                </a:pPr>
                <a:endParaRPr lang="es-PE"/>
              </a:p>
            </c:txPr>
            <c:showVal val="1"/>
          </c:dLbls>
          <c:cat>
            <c:strRef>
              <c:f>CuadrosResumen!$B$92:$B$93</c:f>
              <c:strCache>
                <c:ptCount val="1"/>
                <c:pt idx="0">
                  <c:v>(en blanco)</c:v>
                </c:pt>
              </c:strCache>
            </c:strRef>
          </c:cat>
          <c:val>
            <c:numRef>
              <c:f>CuadrosResumen!$C$92:$C$93</c:f>
              <c:numCache>
                <c:formatCode>General</c:formatCode>
                <c:ptCount val="1"/>
              </c:numCache>
            </c:numRef>
          </c:val>
        </c:ser>
        <c:axId val="103052416"/>
        <c:axId val="103053952"/>
      </c:barChart>
      <c:catAx>
        <c:axId val="103052416"/>
        <c:scaling>
          <c:orientation val="minMax"/>
        </c:scaling>
        <c:axPos val="b"/>
        <c:tickLblPos val="nextTo"/>
        <c:txPr>
          <a:bodyPr/>
          <a:lstStyle/>
          <a:p>
            <a:pPr>
              <a:defRPr lang="es-ES"/>
            </a:pPr>
            <a:endParaRPr lang="es-PE"/>
          </a:p>
        </c:txPr>
        <c:crossAx val="103053952"/>
        <c:crosses val="autoZero"/>
        <c:auto val="1"/>
        <c:lblAlgn val="ctr"/>
        <c:lblOffset val="100"/>
      </c:catAx>
      <c:valAx>
        <c:axId val="103053952"/>
        <c:scaling>
          <c:orientation val="minMax"/>
        </c:scaling>
        <c:axPos val="l"/>
        <c:majorGridlines/>
        <c:numFmt formatCode="General" sourceLinked="1"/>
        <c:tickLblPos val="nextTo"/>
        <c:txPr>
          <a:bodyPr/>
          <a:lstStyle/>
          <a:p>
            <a:pPr>
              <a:defRPr lang="es-ES"/>
            </a:pPr>
            <a:endParaRPr lang="es-PE"/>
          </a:p>
        </c:txPr>
        <c:crossAx val="103052416"/>
        <c:crosses val="autoZero"/>
        <c:crossBetween val="between"/>
      </c:valAx>
    </c:plotArea>
    <c:plotVisOnly val="1"/>
    <c:dispBlanksAs val="gap"/>
  </c:chart>
  <c:printSettings>
    <c:headerFooter/>
    <c:pageMargins b="0.75000000000000777" l="0.70000000000000062" r="0.70000000000000062" t="0.75000000000000777"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s-PE"/>
  <c:pivotSource>
    <c:name>[ANOCFAP Inspeccion.xlsm]CuadrosResumen!Tabla dinámica6</c:name>
    <c:fmtId val="0"/>
  </c:pivotSource>
  <c:chart>
    <c:title>
      <c:tx>
        <c:rich>
          <a:bodyPr/>
          <a:lstStyle/>
          <a:p>
            <a:pPr>
              <a:defRPr lang="es-ES"/>
            </a:pPr>
            <a:r>
              <a:rPr lang="es-ES"/>
              <a:t>Distribución por Prioridad</a:t>
            </a:r>
          </a:p>
        </c:rich>
      </c:tx>
      <c:layout/>
    </c:title>
    <c:pivotFmts>
      <c:pivotFmt>
        <c:idx val="0"/>
        <c:marker>
          <c:symbol val="none"/>
        </c:marker>
        <c:dLbl>
          <c:idx val="0"/>
          <c:layout/>
          <c:spPr/>
          <c:txPr>
            <a:bodyPr/>
            <a:lstStyle/>
            <a:p>
              <a:pPr>
                <a:defRPr lang="es-ES"/>
              </a:pPr>
              <a:endParaRPr lang="es-PE"/>
            </a:p>
          </c:txPr>
          <c:showVal val="1"/>
        </c:dLbl>
      </c:pivotFmt>
    </c:pivotFmts>
    <c:plotArea>
      <c:layout/>
      <c:barChart>
        <c:barDir val="col"/>
        <c:grouping val="clustered"/>
        <c:ser>
          <c:idx val="0"/>
          <c:order val="0"/>
          <c:tx>
            <c:strRef>
              <c:f>CuadrosResumen!$H$91</c:f>
              <c:strCache>
                <c:ptCount val="1"/>
                <c:pt idx="0">
                  <c:v>Total</c:v>
                </c:pt>
              </c:strCache>
            </c:strRef>
          </c:tx>
          <c:dLbls>
            <c:spPr/>
            <c:txPr>
              <a:bodyPr/>
              <a:lstStyle/>
              <a:p>
                <a:pPr>
                  <a:defRPr lang="es-ES"/>
                </a:pPr>
                <a:endParaRPr lang="es-PE"/>
              </a:p>
            </c:txPr>
            <c:showVal val="1"/>
          </c:dLbls>
          <c:cat>
            <c:strRef>
              <c:f>CuadrosResumen!$G$92:$G$93</c:f>
              <c:strCache>
                <c:ptCount val="1"/>
                <c:pt idx="0">
                  <c:v>#N/A</c:v>
                </c:pt>
              </c:strCache>
            </c:strRef>
          </c:cat>
          <c:val>
            <c:numRef>
              <c:f>CuadrosResumen!$H$92:$H$93</c:f>
              <c:numCache>
                <c:formatCode>General</c:formatCode>
                <c:ptCount val="1"/>
                <c:pt idx="0">
                  <c:v>1</c:v>
                </c:pt>
              </c:numCache>
            </c:numRef>
          </c:val>
        </c:ser>
        <c:axId val="103099008"/>
        <c:axId val="103108992"/>
      </c:barChart>
      <c:catAx>
        <c:axId val="103099008"/>
        <c:scaling>
          <c:orientation val="minMax"/>
        </c:scaling>
        <c:axPos val="b"/>
        <c:tickLblPos val="nextTo"/>
        <c:txPr>
          <a:bodyPr/>
          <a:lstStyle/>
          <a:p>
            <a:pPr>
              <a:defRPr lang="es-ES"/>
            </a:pPr>
            <a:endParaRPr lang="es-PE"/>
          </a:p>
        </c:txPr>
        <c:crossAx val="103108992"/>
        <c:crosses val="autoZero"/>
        <c:auto val="1"/>
        <c:lblAlgn val="ctr"/>
        <c:lblOffset val="100"/>
      </c:catAx>
      <c:valAx>
        <c:axId val="103108992"/>
        <c:scaling>
          <c:orientation val="minMax"/>
        </c:scaling>
        <c:axPos val="l"/>
        <c:majorGridlines/>
        <c:numFmt formatCode="General" sourceLinked="1"/>
        <c:tickLblPos val="nextTo"/>
        <c:txPr>
          <a:bodyPr/>
          <a:lstStyle/>
          <a:p>
            <a:pPr>
              <a:defRPr lang="es-ES"/>
            </a:pPr>
            <a:endParaRPr lang="es-PE"/>
          </a:p>
        </c:txPr>
        <c:crossAx val="103099008"/>
        <c:crosses val="autoZero"/>
        <c:crossBetween val="between"/>
      </c:valAx>
    </c:plotArea>
    <c:plotVisOnly val="1"/>
    <c:dispBlanksAs val="gap"/>
  </c:chart>
  <c:printSettings>
    <c:headerFooter/>
    <c:pageMargins b="0.75000000000000777" l="0.70000000000000062" r="0.70000000000000062" t="0.75000000000000777"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s-PE"/>
  <c:pivotSource>
    <c:name>[ANOCFAP Inspeccion.xlsm]CuadrosResumen!Tabla dinámica7</c:name>
    <c:fmtId val="0"/>
  </c:pivotSource>
  <c:chart>
    <c:title>
      <c:tx>
        <c:rich>
          <a:bodyPr/>
          <a:lstStyle/>
          <a:p>
            <a:pPr>
              <a:defRPr lang="es-ES"/>
            </a:pPr>
            <a:r>
              <a:rPr lang="en-US"/>
              <a:t>Distribución</a:t>
            </a:r>
            <a:r>
              <a:rPr lang="en-US" baseline="0"/>
              <a:t> por Estado</a:t>
            </a:r>
          </a:p>
        </c:rich>
      </c:tx>
      <c:layout/>
    </c:title>
    <c:pivotFmts>
      <c:pivotFmt>
        <c:idx val="0"/>
        <c:marker>
          <c:symbol val="none"/>
        </c:marker>
        <c:dLbl>
          <c:idx val="0"/>
          <c:spPr/>
          <c:txPr>
            <a:bodyPr/>
            <a:lstStyle/>
            <a:p>
              <a:pPr>
                <a:defRPr/>
              </a:pPr>
              <a:endParaRPr lang="es-PE"/>
            </a:p>
          </c:txPr>
          <c:showVal val="1"/>
        </c:dLbl>
      </c:pivotFmt>
      <c:pivotFmt>
        <c:idx val="1"/>
        <c:marker>
          <c:symbol val="none"/>
        </c:marker>
        <c:dLbl>
          <c:idx val="0"/>
          <c:layout/>
          <c:spPr/>
          <c:txPr>
            <a:bodyPr/>
            <a:lstStyle/>
            <a:p>
              <a:pPr>
                <a:defRPr lang="es-ES"/>
              </a:pPr>
              <a:endParaRPr lang="es-PE"/>
            </a:p>
          </c:txPr>
          <c:showVal val="1"/>
        </c:dLbl>
      </c:pivotFmt>
    </c:pivotFmts>
    <c:plotArea>
      <c:layout/>
      <c:barChart>
        <c:barDir val="col"/>
        <c:grouping val="clustered"/>
        <c:ser>
          <c:idx val="0"/>
          <c:order val="0"/>
          <c:tx>
            <c:strRef>
              <c:f>CuadrosResumen!$M$91</c:f>
              <c:strCache>
                <c:ptCount val="1"/>
                <c:pt idx="0">
                  <c:v>Total</c:v>
                </c:pt>
              </c:strCache>
            </c:strRef>
          </c:tx>
          <c:dLbls>
            <c:spPr/>
            <c:txPr>
              <a:bodyPr/>
              <a:lstStyle/>
              <a:p>
                <a:pPr>
                  <a:defRPr lang="es-ES"/>
                </a:pPr>
                <a:endParaRPr lang="es-PE"/>
              </a:p>
            </c:txPr>
            <c:showVal val="1"/>
          </c:dLbls>
          <c:cat>
            <c:strRef>
              <c:f>CuadrosResumen!$L$92:$L$93</c:f>
              <c:strCache>
                <c:ptCount val="1"/>
                <c:pt idx="0">
                  <c:v>Cerrada</c:v>
                </c:pt>
              </c:strCache>
            </c:strRef>
          </c:cat>
          <c:val>
            <c:numRef>
              <c:f>CuadrosResumen!$M$92:$M$93</c:f>
              <c:numCache>
                <c:formatCode>General</c:formatCode>
                <c:ptCount val="1"/>
                <c:pt idx="0">
                  <c:v>1</c:v>
                </c:pt>
              </c:numCache>
            </c:numRef>
          </c:val>
        </c:ser>
        <c:axId val="103142144"/>
        <c:axId val="103143680"/>
      </c:barChart>
      <c:catAx>
        <c:axId val="103142144"/>
        <c:scaling>
          <c:orientation val="minMax"/>
        </c:scaling>
        <c:axPos val="b"/>
        <c:tickLblPos val="nextTo"/>
        <c:txPr>
          <a:bodyPr/>
          <a:lstStyle/>
          <a:p>
            <a:pPr>
              <a:defRPr lang="es-ES"/>
            </a:pPr>
            <a:endParaRPr lang="es-PE"/>
          </a:p>
        </c:txPr>
        <c:crossAx val="103143680"/>
        <c:crosses val="autoZero"/>
        <c:auto val="1"/>
        <c:lblAlgn val="ctr"/>
        <c:lblOffset val="100"/>
      </c:catAx>
      <c:valAx>
        <c:axId val="103143680"/>
        <c:scaling>
          <c:orientation val="minMax"/>
        </c:scaling>
        <c:axPos val="l"/>
        <c:majorGridlines/>
        <c:numFmt formatCode="General" sourceLinked="1"/>
        <c:tickLblPos val="nextTo"/>
        <c:txPr>
          <a:bodyPr/>
          <a:lstStyle/>
          <a:p>
            <a:pPr>
              <a:defRPr lang="es-ES"/>
            </a:pPr>
            <a:endParaRPr lang="es-PE"/>
          </a:p>
        </c:txPr>
        <c:crossAx val="103142144"/>
        <c:crosses val="autoZero"/>
        <c:crossBetween val="between"/>
      </c:valAx>
    </c:plotArea>
    <c:plotVisOnly val="1"/>
    <c:dispBlanksAs val="gap"/>
  </c:chart>
  <c:printSettings>
    <c:headerFooter/>
    <c:pageMargins b="0.75000000000000777" l="0.70000000000000062" r="0.70000000000000062" t="0.75000000000000777" header="0.30000000000000032" footer="0.30000000000000032"/>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355600</xdr:colOff>
      <xdr:row>1</xdr:row>
      <xdr:rowOff>25400</xdr:rowOff>
    </xdr:from>
    <xdr:to>
      <xdr:col>1</xdr:col>
      <xdr:colOff>457200</xdr:colOff>
      <xdr:row>5</xdr:row>
      <xdr:rowOff>135913</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355600" y="101600"/>
          <a:ext cx="850900" cy="694713"/>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190499</xdr:rowOff>
    </xdr:from>
    <xdr:to>
      <xdr:col>8</xdr:col>
      <xdr:colOff>0</xdr:colOff>
      <xdr:row>20</xdr:row>
      <xdr:rowOff>47624</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2</xdr:row>
      <xdr:rowOff>0</xdr:rowOff>
    </xdr:from>
    <xdr:to>
      <xdr:col>15</xdr:col>
      <xdr:colOff>523875</xdr:colOff>
      <xdr:row>20</xdr:row>
      <xdr:rowOff>57150</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23</xdr:row>
      <xdr:rowOff>9525</xdr:rowOff>
    </xdr:from>
    <xdr:to>
      <xdr:col>16</xdr:col>
      <xdr:colOff>0</xdr:colOff>
      <xdr:row>42</xdr:row>
      <xdr:rowOff>9525</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45</xdr:row>
      <xdr:rowOff>0</xdr:rowOff>
    </xdr:from>
    <xdr:to>
      <xdr:col>16</xdr:col>
      <xdr:colOff>0</xdr:colOff>
      <xdr:row>64</xdr:row>
      <xdr:rowOff>0</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69</xdr:row>
      <xdr:rowOff>9524</xdr:rowOff>
    </xdr:from>
    <xdr:to>
      <xdr:col>5</xdr:col>
      <xdr:colOff>0</xdr:colOff>
      <xdr:row>84</xdr:row>
      <xdr:rowOff>190499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0</xdr:colOff>
      <xdr:row>68</xdr:row>
      <xdr:rowOff>190499</xdr:rowOff>
    </xdr:from>
    <xdr:to>
      <xdr:col>10</xdr:col>
      <xdr:colOff>466725</xdr:colOff>
      <xdr:row>84</xdr:row>
      <xdr:rowOff>180974</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0</xdr:colOff>
      <xdr:row>68</xdr:row>
      <xdr:rowOff>190499</xdr:rowOff>
    </xdr:from>
    <xdr:to>
      <xdr:col>15</xdr:col>
      <xdr:colOff>200025</xdr:colOff>
      <xdr:row>84</xdr:row>
      <xdr:rowOff>180974</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89</xdr:row>
      <xdr:rowOff>190499</xdr:rowOff>
    </xdr:from>
    <xdr:to>
      <xdr:col>4</xdr:col>
      <xdr:colOff>752475</xdr:colOff>
      <xdr:row>105</xdr:row>
      <xdr:rowOff>180974</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0</xdr:colOff>
      <xdr:row>89</xdr:row>
      <xdr:rowOff>190499</xdr:rowOff>
    </xdr:from>
    <xdr:to>
      <xdr:col>10</xdr:col>
      <xdr:colOff>447675</xdr:colOff>
      <xdr:row>106</xdr:row>
      <xdr:rowOff>9524</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761999</xdr:colOff>
      <xdr:row>90</xdr:row>
      <xdr:rowOff>0</xdr:rowOff>
    </xdr:from>
    <xdr:to>
      <xdr:col>15</xdr:col>
      <xdr:colOff>180974</xdr:colOff>
      <xdr:row>106</xdr:row>
      <xdr:rowOff>19050</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347381</xdr:colOff>
      <xdr:row>0</xdr:row>
      <xdr:rowOff>0</xdr:rowOff>
    </xdr:from>
    <xdr:to>
      <xdr:col>2</xdr:col>
      <xdr:colOff>1712082</xdr:colOff>
      <xdr:row>2</xdr:row>
      <xdr:rowOff>717176</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557616" y="0"/>
          <a:ext cx="1364701" cy="1098176"/>
        </a:xfrm>
        <a:prstGeom prst="rect">
          <a:avLst/>
        </a:prstGeom>
        <a:noFill/>
        <a:ln w="9525">
          <a:noFill/>
          <a:miter lim="800000"/>
          <a:headEnd/>
          <a:tailEn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oecastillom" refreshedDate="40637.721217708335" createdVersion="3" refreshedVersion="3" minRefreshableVersion="3" recordCount="1">
  <cacheSource type="worksheet">
    <worksheetSource name="Consultas[[#Todo],[Estado]]"/>
  </cacheSource>
  <cacheFields count="1">
    <cacheField name="Estado" numFmtId="0">
      <sharedItems count="2">
        <s v="Cerrada"/>
        <s v="Abierta"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oecastillom" refreshedDate="40637.721217939812" createdVersion="3" refreshedVersion="3" minRefreshableVersion="3" recordCount="1">
  <cacheSource type="worksheet">
    <worksheetSource name="Consultas[[#Todo],[Prioridad]]"/>
  </cacheSource>
  <cacheFields count="1">
    <cacheField name="Prioridad" numFmtId="0">
      <sharedItems containsMixedTypes="1" containsNumber="1" containsInteger="1" minValue="0" maxValue="0" count="2">
        <e v="#N/A"/>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oecastillom" refreshedDate="40637.721218171297" createdVersion="3" refreshedVersion="3" minRefreshableVersion="3" recordCount="1">
  <cacheSource type="worksheet">
    <worksheetSource name="Consultas[[#Todo],[Responsable]]"/>
  </cacheSource>
  <cacheFields count="1">
    <cacheField name="Responsable" numFmtId="0">
      <sharedItems containsNonDate="0" containsBlank="1" count="5">
        <m/>
        <s v="Gestor Cliente" u="1"/>
        <s v="Proveedor" u="1"/>
        <s v="Redes TMP" u="1"/>
        <s v="Gestor Aplicaciones"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oecastillom" refreshedDate="40637.72121851852" createdVersion="3" refreshedVersion="3" minRefreshableVersion="3" recordCount="2">
  <cacheSource type="worksheet">
    <worksheetSource name="Observaciones[[#Todo],[Severidad]]"/>
  </cacheSource>
  <cacheFields count="1">
    <cacheField name="Severidad" numFmtId="0">
      <sharedItems containsBlank="1" count="5">
        <s v="Severidad 4"/>
        <s v="Severidad 3"/>
        <m u="1"/>
        <s v="Severidad 1" u="1"/>
        <s v="Severidad 2"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oecastillom" refreshedDate="40637.721218634259" createdVersion="3" refreshedVersion="3" minRefreshableVersion="3" recordCount="2">
  <cacheSource type="worksheet">
    <worksheetSource name="Observaciones[[#Todo],[Prioridad]]"/>
  </cacheSource>
  <cacheFields count="1">
    <cacheField name="Prioridad" numFmtId="0">
      <sharedItems count="4">
        <s v="Alta"/>
        <s v="Media" u="1"/>
        <s v="Baja" u="1"/>
        <e v="#N/A"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oecastillom" refreshedDate="40637.721218981482" createdVersion="3" refreshedVersion="3" minRefreshableVersion="3" recordCount="2">
  <cacheSource type="worksheet">
    <worksheetSource name="Observaciones[[#Todo],[Estado]]"/>
  </cacheSource>
  <cacheFields count="1">
    <cacheField name="Estado" numFmtId="0">
      <sharedItems containsBlank="1" count="4">
        <s v="Cerrada"/>
        <m u="1"/>
        <s v="Corregida" u="1"/>
        <s v="Abierta"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r>
</pivotCacheRecords>
</file>

<file path=xl/pivotCache/pivotCacheRecords2.xml><?xml version="1.0" encoding="utf-8"?>
<pivotCacheRecords xmlns="http://schemas.openxmlformats.org/spreadsheetml/2006/main" xmlns:r="http://schemas.openxmlformats.org/officeDocument/2006/relationships" count="1">
  <r>
    <x v="0"/>
  </r>
</pivotCacheRecords>
</file>

<file path=xl/pivotCache/pivotCacheRecords3.xml><?xml version="1.0" encoding="utf-8"?>
<pivotCacheRecords xmlns="http://schemas.openxmlformats.org/spreadsheetml/2006/main" xmlns:r="http://schemas.openxmlformats.org/officeDocument/2006/relationships" count="1">
  <r>
    <x v="0"/>
  </r>
</pivotCacheRecords>
</file>

<file path=xl/pivotCache/pivotCacheRecords4.xml><?xml version="1.0" encoding="utf-8"?>
<pivotCacheRecords xmlns="http://schemas.openxmlformats.org/spreadsheetml/2006/main" xmlns:r="http://schemas.openxmlformats.org/officeDocument/2006/relationships" count="2">
  <r>
    <x v="0"/>
  </r>
  <r>
    <x v="1"/>
  </r>
</pivotCacheRecords>
</file>

<file path=xl/pivotCache/pivotCacheRecords5.xml><?xml version="1.0" encoding="utf-8"?>
<pivotCacheRecords xmlns="http://schemas.openxmlformats.org/spreadsheetml/2006/main" xmlns:r="http://schemas.openxmlformats.org/officeDocument/2006/relationships" count="2">
  <r>
    <x v="0"/>
  </r>
  <r>
    <x v="0"/>
  </r>
</pivotCacheRecords>
</file>

<file path=xl/pivotCache/pivotCacheRecords6.xml><?xml version="1.0" encoding="utf-8"?>
<pivotCacheRecords xmlns="http://schemas.openxmlformats.org/spreadsheetml/2006/main" xmlns:r="http://schemas.openxmlformats.org/officeDocument/2006/relationships" count="2">
  <r>
    <x v="0"/>
  </r>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Tabla dinámica1"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70:C73" firstHeaderRow="1" firstDataRow="1" firstDataCol="1"/>
  <pivotFields count="1">
    <pivotField axis="axisRow" dataField="1" showAll="0">
      <items count="6">
        <item m="1" x="3"/>
        <item m="1" x="4"/>
        <item x="1"/>
        <item x="0"/>
        <item m="1" x="2"/>
        <item t="default"/>
      </items>
    </pivotField>
  </pivotFields>
  <rowFields count="1">
    <field x="0"/>
  </rowFields>
  <rowItems count="3">
    <i>
      <x v="2"/>
    </i>
    <i>
      <x v="3"/>
    </i>
    <i t="grand">
      <x/>
    </i>
  </rowItems>
  <colItems count="1">
    <i/>
  </colItems>
  <dataFields count="1">
    <dataField name="Cuenta de Seve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Tabla dinámica7"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91:M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Estado" fld="0"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Tabla dinámica6"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91:H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Tabla dinámica3"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70:M72" firstHeaderRow="1" firstDataRow="1" firstDataCol="1"/>
  <pivotFields count="1">
    <pivotField axis="axisRow" dataField="1" showAll="0">
      <items count="5">
        <item m="1" x="1"/>
        <item m="1" x="3"/>
        <item m="1" x="2"/>
        <item x="0"/>
        <item t="default"/>
      </items>
    </pivotField>
  </pivotFields>
  <rowFields count="1">
    <field x="0"/>
  </rowFields>
  <rowItems count="2">
    <i>
      <x v="3"/>
    </i>
    <i t="grand">
      <x/>
    </i>
  </rowItems>
  <colItems count="1">
    <i/>
  </colItems>
  <dataFields count="1">
    <dataField name="Cuenta de Estado"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5.xml><?xml version="1.0" encoding="utf-8"?>
<pivotTableDefinition xmlns="http://schemas.openxmlformats.org/spreadsheetml/2006/main" name="Tabla dinámica5"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91:C93" firstHeaderRow="1" firstDataRow="1" firstDataCol="1"/>
  <pivotFields count="1">
    <pivotField axis="axisRow" dataField="1" showAll="0">
      <items count="6">
        <item m="1" x="4"/>
        <item m="1" x="2"/>
        <item m="1" x="3"/>
        <item m="1" x="1"/>
        <item x="0"/>
        <item t="default"/>
      </items>
    </pivotField>
  </pivotFields>
  <rowFields count="1">
    <field x="0"/>
  </rowFields>
  <rowItems count="2">
    <i>
      <x v="4"/>
    </i>
    <i t="grand">
      <x/>
    </i>
  </rowItems>
  <colItems count="1">
    <i/>
  </colItems>
  <dataFields count="1">
    <dataField name="Cuenta de Responsable"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6.xml><?xml version="1.0" encoding="utf-8"?>
<pivotTableDefinition xmlns="http://schemas.openxmlformats.org/spreadsheetml/2006/main" name="Tabla dinámica2"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70:H72" firstHeaderRow="1" firstDataRow="1" firstDataCol="1"/>
  <pivotFields count="1">
    <pivotField axis="axisRow" dataField="1" showAll="0">
      <items count="5">
        <item x="0"/>
        <item m="1" x="1"/>
        <item m="1" x="2"/>
        <item m="1" x="3"/>
        <item t="default"/>
      </items>
    </pivotField>
  </pivotFields>
  <rowFields count="1">
    <field x="0"/>
  </rowFields>
  <rowItems count="2">
    <i>
      <x/>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tables/table1.xml><?xml version="1.0" encoding="utf-8"?>
<table xmlns="http://schemas.openxmlformats.org/spreadsheetml/2006/main" id="1" name="CasoPrueba" displayName="CasoPrueba" ref="A4:Q19" totalsRowShown="0" headerRowDxfId="67" dataDxfId="65" headerRowBorderDxfId="66" tableBorderDxfId="64">
  <autoFilter ref="A4:Q19"/>
  <tableColumns count="17">
    <tableColumn id="1" name="Código de REQ" dataDxfId="63"/>
    <tableColumn id="2" name="Código CP" dataDxfId="62"/>
    <tableColumn id="3" name="Funcionalidad" dataDxfId="61"/>
    <tableColumn id="4" name="Descripción Caso de Prueba"/>
    <tableColumn id="5" name="Resultado Esperado" dataDxfId="60"/>
    <tableColumn id="6" name="Resultado Real" dataDxfId="59">
      <calculatedColumnFormula>IF(CasoPrueba[[#This Row],[Estado Testing]]=Resumen!$P$28,"OK",IF(CasoPrueba[[#This Row],[Estado Testing]]=Resumen!$P$29,"NO OK",IF((CasoPrueba[[#This Row],[Estado Testing]]=Resumen!$P$30)+(CasoPrueba[[#This Row],[Estado Testing]]=Resumen!$P$31),"OBSERVADO","")))</calculatedColumnFormula>
    </tableColumn>
    <tableColumn id="7" name="Estado Testing" dataDxfId="58"/>
    <tableColumn id="8" name="Prioridad" dataDxfId="57"/>
    <tableColumn id="9" name="Severidad" dataDxfId="56"/>
    <tableColumn id="10" name="Estado Incidencia" dataDxfId="55"/>
    <tableColumn id="11" name="Reejecución" dataDxfId="54"/>
    <tableColumn id="12" name="Fecha Planificada" dataDxfId="53">
      <calculatedColumnFormula>General!$A$10</calculatedColumnFormula>
    </tableColumn>
    <tableColumn id="13" name="Fecha Real" dataDxfId="52">
      <calculatedColumnFormula>General!$A$10</calculatedColumnFormula>
    </tableColumn>
    <tableColumn id="14" name="Duración Caso de Prueba (horas / hombre)" dataDxfId="51"/>
    <tableColumn id="16" name="Pre-requisitos para la ejecución de la prueba" dataDxfId="50"/>
    <tableColumn id="17" name="Observaciones Pruebas Testing" dataDxfId="49"/>
    <tableColumn id="18" name="Revisión" dataDxfId="48">
      <calculatedColumnFormula>CONCATENATE(General!$B$7," ",General!$B$6)</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Observaciones" displayName="Observaciones" ref="A2:L76" totalsRowShown="0" headerRowDxfId="47" dataDxfId="45" headerRowBorderDxfId="46" tableBorderDxfId="44">
  <autoFilter ref="A2:L76"/>
  <tableColumns count="12">
    <tableColumn id="1" name="Cod. Obs." dataDxfId="43"/>
    <tableColumn id="2" name="Caso de Prueba" dataDxfId="42"/>
    <tableColumn id="3" name="Prioridad" dataDxfId="41">
      <calculatedColumnFormula>VLOOKUP([Caso de Prueba],CasoPrueba[[#All],[Código CP]:[Prioridad]],7,TRUE)</calculatedColumnFormula>
    </tableColumn>
    <tableColumn id="4" name="Severidad" dataDxfId="40"/>
    <tableColumn id="5" name="Estado" dataDxfId="39"/>
    <tableColumn id="6" name="Fecha Detección" dataDxfId="38"/>
    <tableColumn id="7" name="Fecha Levantamiento" dataDxfId="37"/>
    <tableColumn id="8" name="Responsable" dataDxfId="36"/>
    <tableColumn id="9" name="Descripción" dataDxfId="35"/>
    <tableColumn id="10" name="Solución" dataDxfId="34"/>
    <tableColumn id="11" name="Tiempo de Solución (Dias)" dataDxfId="33">
      <calculatedColumnFormula>IF((Observaciones[[#This Row],[Fecha Levantamiento]]-Observaciones[[#This Row],[Fecha Detección]])&gt;=0,Observaciones[[#This Row],[Fecha Levantamiento]]-Observaciones[[#This Row],[Fecha Detección]]+1,0)</calculatedColumnFormula>
    </tableColumn>
    <tableColumn id="13" name="Cod. Req." dataDxfId="32">
      <calculatedColumnFormula>LOOKUP(Observaciones[[#This Row],[Caso de Prueba]],CasoPrueba[Código CP],CasoPrueba[Código de REQ])</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Consultas" displayName="Consultas" ref="A2:J3" totalsRowShown="0" headerRowDxfId="31" dataDxfId="30">
  <autoFilter ref="A2:J3"/>
  <tableColumns count="10">
    <tableColumn id="1" name="Cod. Cons." dataDxfId="29"/>
    <tableColumn id="2" name="Caso de Prueba" dataDxfId="28"/>
    <tableColumn id="3" name="Prioridad" dataDxfId="27">
      <calculatedColumnFormula>VLOOKUP(Consultas[[#This Row],[Caso de Prueba]],CasoPrueba[[#All],[Código CP]:[Prioridad]],7,TRUE)</calculatedColumnFormula>
    </tableColumn>
    <tableColumn id="4" name="Estado" dataDxfId="26"/>
    <tableColumn id="10" name="Responsable" dataDxfId="25"/>
    <tableColumn id="5" name="Fecha Solicitud" dataDxfId="24"/>
    <tableColumn id="6" name="Fecha Respuesta" dataDxfId="23"/>
    <tableColumn id="7" name="Descripción de la Consulta" dataDxfId="22"/>
    <tableColumn id="8" name="Respuesta del Responsable" dataDxfId="21"/>
    <tableColumn id="9" name="Tiempo de Solución" dataDxfId="20">
      <calculatedColumnFormula>IF((Consultas[[#This Row],[Fecha Respuesta]]-Consultas[[#This Row],[Fecha Solicitud]])&gt;=0,(Consultas[[#This Row],[Fecha Respuesta]]-Consultas[[#This Row],[Fecha Solicitud]])+1,0)</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 name="HistóricoEjecuciones" displayName="HistóricoEjecuciones" ref="B3:J6" totalsRowShown="0" headerRowDxfId="19" dataDxfId="17" headerRowBorderDxfId="18" tableBorderDxfId="16">
  <sortState ref="B11:G12">
    <sortCondition ref="C6:C8"/>
  </sortState>
  <tableColumns count="9">
    <tableColumn id="1" name="Fecha" dataDxfId="15"/>
    <tableColumn id="2" name="Aciertos" dataDxfId="14"/>
    <tableColumn id="3" name="Fallos" dataDxfId="13"/>
    <tableColumn id="4" name="Bloqueado" dataDxfId="12"/>
    <tableColumn id="7" name="Pendiente" dataDxfId="11"/>
    <tableColumn id="5" name="No Aplica" dataDxfId="10"/>
    <tableColumn id="8" name="En Proceso" dataDxfId="9"/>
    <tableColumn id="9" name="Reejecuciones" dataDxfId="8"/>
    <tableColumn id="6" name="Totales" dataDxfId="7">
      <calculatedColumnFormula>SUM(HistóricoEjecuciones[[#This Row],[Aciertos]:[En Proceso]])</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HistoricoIncidencias" displayName="HistoricoIncidencias" ref="L3:O6" totalsRowShown="0" headerRowDxfId="6" headerRowBorderDxfId="5" tableBorderDxfId="4">
  <tableColumns count="4">
    <tableColumn id="1" name="Fecha" dataDxfId="3"/>
    <tableColumn id="2" name="Abiertas" dataDxfId="2"/>
    <tableColumn id="4" name="Cerradas" dataDxfId="1"/>
    <tableColumn id="5" name="Totales" dataDxfId="0">
      <calculatedColumnFormula>SUM(HistoricoIncidencias[[#This Row],[Abiertas]:[Cerradas]])</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sheetPr codeName="Hoja1"/>
  <dimension ref="A1:XFB11"/>
  <sheetViews>
    <sheetView workbookViewId="0">
      <selection activeCell="B7" sqref="B7"/>
    </sheetView>
  </sheetViews>
  <sheetFormatPr baseColWidth="10" defaultColWidth="0" defaultRowHeight="15" zeroHeight="1"/>
  <cols>
    <col min="1" max="4" width="39.7109375" style="4" customWidth="1"/>
    <col min="5" max="16381" width="11.42578125" style="4" hidden="1"/>
    <col min="16382" max="16382" width="23" style="4" hidden="1"/>
    <col min="16383" max="16384" width="19.28515625" style="4" hidden="1"/>
  </cols>
  <sheetData>
    <row r="1" spans="1:4 16382:16382" ht="27" thickBot="1">
      <c r="A1" s="172" t="s">
        <v>0</v>
      </c>
      <c r="B1" s="173"/>
      <c r="C1" s="173"/>
      <c r="D1" s="173"/>
      <c r="XFB1" s="4" t="s">
        <v>135</v>
      </c>
    </row>
    <row r="2" spans="1:4 16382:16382" ht="19.5" customHeight="1">
      <c r="A2" s="174" t="s">
        <v>1</v>
      </c>
      <c r="B2" s="174"/>
      <c r="C2" s="174"/>
      <c r="D2" s="174"/>
      <c r="XFB2" s="4" t="s">
        <v>136</v>
      </c>
    </row>
    <row r="3" spans="1:4 16382:16382" ht="19.5" customHeight="1">
      <c r="A3" s="114" t="s">
        <v>139</v>
      </c>
      <c r="B3" s="117" t="s">
        <v>164</v>
      </c>
      <c r="C3" s="114" t="s">
        <v>2</v>
      </c>
      <c r="D3" s="118" t="s">
        <v>138</v>
      </c>
      <c r="XFB3" s="4" t="s">
        <v>137</v>
      </c>
    </row>
    <row r="4" spans="1:4 16382:16382" ht="19.5" customHeight="1">
      <c r="A4" s="115" t="s">
        <v>140</v>
      </c>
      <c r="B4" s="175" t="s">
        <v>165</v>
      </c>
      <c r="C4" s="175"/>
      <c r="D4" s="175"/>
      <c r="XFB4" s="4" t="s">
        <v>138</v>
      </c>
    </row>
    <row r="5" spans="1:4 16382:16382" ht="120" customHeight="1">
      <c r="A5" s="114" t="s">
        <v>3</v>
      </c>
      <c r="B5" s="200" t="s">
        <v>319</v>
      </c>
      <c r="C5" s="201"/>
      <c r="D5" s="202"/>
    </row>
    <row r="6" spans="1:4 16382:16382" ht="19.5" customHeight="1">
      <c r="A6" s="114" t="s">
        <v>148</v>
      </c>
      <c r="B6" s="119" t="s">
        <v>166</v>
      </c>
      <c r="C6" s="114" t="s">
        <v>4</v>
      </c>
      <c r="D6" s="1" t="s">
        <v>166</v>
      </c>
    </row>
    <row r="7" spans="1:4 16382:16382" ht="19.5" customHeight="1">
      <c r="A7" s="114" t="s">
        <v>160</v>
      </c>
      <c r="B7" s="117" t="s">
        <v>163</v>
      </c>
      <c r="C7" s="114" t="s">
        <v>141</v>
      </c>
      <c r="D7" s="2" t="s">
        <v>166</v>
      </c>
    </row>
    <row r="8" spans="1:4 16382:16382" ht="19.5" customHeight="1">
      <c r="A8" s="176" t="s">
        <v>5</v>
      </c>
      <c r="B8" s="176"/>
      <c r="C8" s="176" t="s">
        <v>6</v>
      </c>
      <c r="D8" s="176"/>
    </row>
    <row r="9" spans="1:4 16382:16382" ht="19.5" customHeight="1">
      <c r="A9" s="116" t="s">
        <v>7</v>
      </c>
      <c r="B9" s="116" t="s">
        <v>8</v>
      </c>
      <c r="C9" s="116" t="s">
        <v>7</v>
      </c>
      <c r="D9" s="116" t="s">
        <v>8</v>
      </c>
    </row>
    <row r="10" spans="1:4 16382:16382" ht="19.5" customHeight="1">
      <c r="A10" s="120" t="s">
        <v>159</v>
      </c>
      <c r="B10" s="3" t="s">
        <v>159</v>
      </c>
      <c r="C10" s="3" t="s">
        <v>159</v>
      </c>
      <c r="D10" s="3" t="s">
        <v>159</v>
      </c>
    </row>
    <row r="11" spans="1:4 16382:16382" hidden="1"/>
  </sheetData>
  <mergeCells count="6">
    <mergeCell ref="A1:D1"/>
    <mergeCell ref="A2:D2"/>
    <mergeCell ref="B4:D4"/>
    <mergeCell ref="B5:D5"/>
    <mergeCell ref="A8:B8"/>
    <mergeCell ref="C8:D8"/>
  </mergeCells>
  <dataValidations count="1">
    <dataValidation type="list" allowBlank="1" showInputMessage="1" showErrorMessage="1" sqref="D3">
      <formula1>$XFB$1:$XFB$4</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sheetPr codeName="Hoja2"/>
  <dimension ref="A1:R38"/>
  <sheetViews>
    <sheetView zoomScale="124" zoomScaleNormal="124" workbookViewId="0">
      <pane ySplit="7" topLeftCell="A11" activePane="bottomLeft" state="frozen"/>
      <selection pane="bottomLeft" activeCell="D6" sqref="D6"/>
    </sheetView>
  </sheetViews>
  <sheetFormatPr baseColWidth="10" defaultColWidth="0" defaultRowHeight="15" zeroHeight="1"/>
  <cols>
    <col min="1" max="1" width="11.28515625" style="4" customWidth="1"/>
    <col min="2" max="2" width="16.85546875" style="4" customWidth="1"/>
    <col min="3" max="3" width="11.42578125" style="4" customWidth="1"/>
    <col min="4" max="4" width="15.5703125" style="4" bestFit="1" customWidth="1"/>
    <col min="5" max="5" width="7.7109375" style="4" bestFit="1" customWidth="1"/>
    <col min="6" max="6" width="10.5703125" style="4" bestFit="1" customWidth="1"/>
    <col min="7" max="7" width="11" style="4" bestFit="1" customWidth="1"/>
    <col min="8" max="8" width="13.140625" style="4" bestFit="1" customWidth="1"/>
    <col min="9" max="10" width="11.42578125" style="4" customWidth="1"/>
    <col min="11" max="11" width="13.28515625" style="4" customWidth="1"/>
    <col min="12" max="12" width="8.5703125" style="4" customWidth="1"/>
    <col min="13" max="13" width="5.85546875" style="4" customWidth="1"/>
    <col min="14" max="14" width="6.5703125" style="4" customWidth="1"/>
    <col min="15" max="15" width="6.42578125" style="4" customWidth="1"/>
    <col min="16" max="16" width="20" style="4" hidden="1" customWidth="1"/>
    <col min="17" max="17" width="37.7109375" style="4" hidden="1" customWidth="1"/>
    <col min="18" max="18" width="5.85546875" style="4" customWidth="1"/>
    <col min="19" max="16384" width="11.42578125" style="4" hidden="1"/>
  </cols>
  <sheetData>
    <row r="1" spans="1:18" ht="6" customHeight="1">
      <c r="A1" s="79"/>
      <c r="B1" s="79"/>
      <c r="C1" s="79"/>
      <c r="F1" s="79"/>
      <c r="P1" s="79"/>
      <c r="Q1" s="79"/>
      <c r="R1" s="79"/>
    </row>
    <row r="2" spans="1:18">
      <c r="A2" s="79"/>
      <c r="B2" s="79"/>
      <c r="C2" s="138" t="s">
        <v>9</v>
      </c>
      <c r="D2" s="137" t="str">
        <f>General!$B$3</f>
        <v xml:space="preserve">PRY-SSIAEDUCT-03 </v>
      </c>
      <c r="E2" s="79"/>
      <c r="F2" s="138" t="s">
        <v>10</v>
      </c>
      <c r="G2" s="178" t="str">
        <f>General!$B$4</f>
        <v>Arquitectura de Negocios de la Oficina Central de Fe y Alegría Perú – ANOCFAP</v>
      </c>
      <c r="H2" s="178"/>
      <c r="I2" s="178"/>
      <c r="J2" s="178"/>
      <c r="K2" s="178"/>
      <c r="L2" s="178"/>
      <c r="M2" s="178"/>
      <c r="N2" s="178"/>
      <c r="O2" s="178"/>
      <c r="P2" s="79"/>
      <c r="Q2" s="79"/>
      <c r="R2" s="79"/>
    </row>
    <row r="3" spans="1:18" ht="6" customHeight="1">
      <c r="A3" s="79"/>
      <c r="B3" s="79"/>
      <c r="C3" s="139"/>
      <c r="E3" s="79"/>
      <c r="F3" s="139"/>
      <c r="G3" s="79"/>
      <c r="H3" s="79"/>
      <c r="I3" s="79"/>
      <c r="J3" s="79"/>
      <c r="K3" s="79"/>
      <c r="L3" s="79"/>
      <c r="M3" s="79"/>
      <c r="N3" s="79"/>
      <c r="O3" s="79"/>
      <c r="P3" s="79"/>
      <c r="Q3" s="79"/>
      <c r="R3" s="79"/>
    </row>
    <row r="4" spans="1:18" ht="18.75">
      <c r="A4" s="79"/>
      <c r="B4" s="79"/>
      <c r="C4" s="138" t="s">
        <v>11</v>
      </c>
      <c r="D4" s="140">
        <f>$E$14+$I$14</f>
        <v>0</v>
      </c>
      <c r="E4" s="139"/>
      <c r="F4" s="138" t="s">
        <v>12</v>
      </c>
      <c r="G4" s="179" t="str">
        <f>IF(SUM($C$30:$C$31)&gt;0,P37,IF((SUM($C$30:$C$31)=0)*(SUM($C$32:$C$33)),$P$36,IF($C$34=0,$P$35,$P$35)))</f>
        <v>SATISFACTORIO</v>
      </c>
      <c r="H4" s="179"/>
      <c r="I4" s="179"/>
      <c r="J4" s="179"/>
      <c r="K4" s="179"/>
      <c r="L4" s="179"/>
      <c r="M4" s="179"/>
      <c r="N4" s="179"/>
      <c r="O4" s="179"/>
      <c r="P4" s="79"/>
      <c r="Q4" s="79"/>
      <c r="R4" s="79"/>
    </row>
    <row r="5" spans="1:18" ht="6" customHeight="1">
      <c r="A5" s="79"/>
      <c r="B5" s="79"/>
      <c r="C5" s="138"/>
      <c r="D5" s="141"/>
      <c r="E5" s="138"/>
      <c r="F5" s="142"/>
      <c r="G5" s="84"/>
      <c r="H5" s="84"/>
      <c r="I5" s="84"/>
      <c r="J5" s="84"/>
      <c r="K5" s="84"/>
      <c r="L5" s="84"/>
      <c r="M5" s="84"/>
      <c r="N5" s="84"/>
      <c r="O5" s="84"/>
      <c r="P5" s="79"/>
      <c r="Q5" s="79"/>
      <c r="R5" s="79"/>
    </row>
    <row r="6" spans="1:18" ht="18.75">
      <c r="A6" s="79"/>
      <c r="B6" s="79"/>
      <c r="C6" s="138" t="s">
        <v>13</v>
      </c>
      <c r="D6" s="140">
        <f>$C$11/$C$10</f>
        <v>1</v>
      </c>
      <c r="E6" s="139"/>
      <c r="F6" s="139"/>
      <c r="G6" s="79"/>
      <c r="H6" s="79"/>
      <c r="I6" s="79"/>
      <c r="J6" s="79"/>
      <c r="K6" s="79"/>
      <c r="L6" s="79"/>
      <c r="M6" s="79"/>
      <c r="N6" s="79"/>
      <c r="O6" s="79"/>
      <c r="P6" s="79"/>
      <c r="Q6" s="79"/>
      <c r="R6" s="79"/>
    </row>
    <row r="7" spans="1:18" ht="4.5" customHeight="1">
      <c r="A7" s="79"/>
      <c r="B7" s="79"/>
      <c r="C7" s="79"/>
      <c r="E7" s="79"/>
      <c r="F7" s="79"/>
      <c r="G7" s="79"/>
      <c r="H7" s="79"/>
      <c r="I7" s="79"/>
      <c r="J7" s="79"/>
      <c r="K7" s="79"/>
      <c r="L7" s="79"/>
      <c r="M7" s="79"/>
      <c r="N7" s="79"/>
      <c r="O7" s="79"/>
      <c r="P7" s="79"/>
      <c r="Q7" s="79"/>
      <c r="R7" s="79"/>
    </row>
    <row r="8" spans="1:18" ht="23.25">
      <c r="A8" s="80" t="s">
        <v>14</v>
      </c>
      <c r="B8" s="79"/>
      <c r="C8" s="79"/>
      <c r="D8" s="79"/>
      <c r="E8" s="79"/>
      <c r="F8" s="79"/>
      <c r="G8" s="79"/>
      <c r="H8" s="79"/>
      <c r="I8" s="79"/>
      <c r="J8" s="79"/>
      <c r="K8" s="79"/>
      <c r="L8" s="79"/>
      <c r="M8" s="79"/>
      <c r="N8" s="79"/>
      <c r="O8" s="79"/>
      <c r="P8" s="79"/>
      <c r="Q8" s="79"/>
      <c r="R8" s="79"/>
    </row>
    <row r="9" spans="1:18" ht="4.5" customHeight="1" thickBot="1">
      <c r="A9" s="79"/>
      <c r="B9" s="79"/>
      <c r="C9" s="79"/>
      <c r="D9" s="79"/>
      <c r="E9" s="79"/>
      <c r="F9" s="79"/>
      <c r="G9" s="79"/>
      <c r="H9" s="79"/>
      <c r="I9" s="79"/>
      <c r="J9" s="79"/>
      <c r="K9" s="79"/>
      <c r="L9" s="79"/>
      <c r="M9" s="79"/>
      <c r="N9" s="79"/>
      <c r="O9" s="79"/>
      <c r="P9" s="79"/>
      <c r="Q9" s="79"/>
      <c r="R9" s="79"/>
    </row>
    <row r="10" spans="1:18" ht="15.75" thickBot="1">
      <c r="A10" s="79"/>
      <c r="B10" s="136" t="s">
        <v>15</v>
      </c>
      <c r="C10" s="9">
        <f>ROWS(CasoPrueba[])</f>
        <v>15</v>
      </c>
      <c r="D10" s="79"/>
      <c r="E10" s="79"/>
      <c r="F10" s="79"/>
      <c r="G10" s="79"/>
      <c r="H10" s="79"/>
      <c r="I10" s="79"/>
      <c r="J10" s="79"/>
      <c r="K10" s="79"/>
      <c r="L10" s="79"/>
      <c r="M10" s="79"/>
      <c r="N10" s="79"/>
      <c r="O10" s="79"/>
      <c r="P10" s="87" t="s">
        <v>32</v>
      </c>
      <c r="Q10" s="11" t="s">
        <v>3</v>
      </c>
      <c r="R10" s="79"/>
    </row>
    <row r="11" spans="1:18" ht="15.75" thickBot="1">
      <c r="A11" s="79"/>
      <c r="B11" s="136" t="s">
        <v>16</v>
      </c>
      <c r="C11" s="9">
        <f>$C$10-$C$12</f>
        <v>15</v>
      </c>
      <c r="D11" s="79"/>
      <c r="E11" s="79"/>
      <c r="F11" s="79"/>
      <c r="G11" s="79"/>
      <c r="H11" s="79"/>
      <c r="I11" s="79"/>
      <c r="J11" s="79"/>
      <c r="K11" s="79"/>
      <c r="L11" s="79"/>
      <c r="M11" s="79"/>
      <c r="N11" s="79"/>
      <c r="O11" s="79"/>
      <c r="P11" s="88" t="s">
        <v>33</v>
      </c>
      <c r="Q11" s="12" t="s">
        <v>34</v>
      </c>
      <c r="R11" s="79"/>
    </row>
    <row r="12" spans="1:18" ht="30.75" thickBot="1">
      <c r="A12" s="79"/>
      <c r="B12" s="136" t="s">
        <v>18</v>
      </c>
      <c r="C12" s="9">
        <f>COUNTIF(CasoPrueba[[#All],[Estado Testing]],$P$27)</f>
        <v>0</v>
      </c>
      <c r="D12" s="79"/>
      <c r="E12" s="92" t="s">
        <v>19</v>
      </c>
      <c r="F12" s="93" t="s">
        <v>20</v>
      </c>
      <c r="G12" s="146" t="s">
        <v>21</v>
      </c>
      <c r="H12" s="147" t="s">
        <v>22</v>
      </c>
      <c r="I12" s="143" t="s">
        <v>23</v>
      </c>
      <c r="J12" s="144" t="s">
        <v>24</v>
      </c>
      <c r="K12" s="145" t="s">
        <v>130</v>
      </c>
      <c r="L12" s="81"/>
      <c r="M12" s="79"/>
      <c r="N12" s="79"/>
      <c r="O12" s="79"/>
      <c r="P12" s="89" t="s">
        <v>35</v>
      </c>
      <c r="Q12" s="13" t="s">
        <v>36</v>
      </c>
      <c r="R12" s="79"/>
    </row>
    <row r="13" spans="1:18" ht="30.75" thickBot="1">
      <c r="A13" s="79"/>
      <c r="B13" s="136" t="s">
        <v>113</v>
      </c>
      <c r="C13" s="9">
        <f>COUNTIF(CasoPrueba[[#All],[Estado Testing]],$P$29)</f>
        <v>10</v>
      </c>
      <c r="D13" s="79"/>
      <c r="E13" s="5">
        <f>COUNTIF(CasoPrueba[[#All],[Estado Testing]],$P$28)</f>
        <v>0</v>
      </c>
      <c r="F13" s="5">
        <f>COUNTIF(CasoPrueba[[#All],[Estado Testing]],$P$29)</f>
        <v>10</v>
      </c>
      <c r="G13" s="5">
        <f>COUNTIF(CasoPrueba[[#All],[Estado Testing]],$P$30)</f>
        <v>0</v>
      </c>
      <c r="H13" s="5">
        <f>COUNTIF(CasoPrueba[[#All],[Estado Testing]],$P$27)</f>
        <v>0</v>
      </c>
      <c r="I13" s="5">
        <f>COUNTIF(CasoPrueba[[#All],[Estado Testing]],$P$31)</f>
        <v>0</v>
      </c>
      <c r="J13" s="5">
        <f>COUNTIF(CasoPrueba[[#All],[Estado Testing]],$P$32)</f>
        <v>0</v>
      </c>
      <c r="K13" s="5">
        <f>SUM(CasoPrueba[[#All],[Reejecución]])</f>
        <v>0</v>
      </c>
      <c r="L13" s="82"/>
      <c r="M13" s="79"/>
      <c r="N13" s="79"/>
      <c r="O13" s="79"/>
      <c r="P13" s="90" t="s">
        <v>37</v>
      </c>
      <c r="Q13" s="14" t="s">
        <v>38</v>
      </c>
      <c r="R13" s="79"/>
    </row>
    <row r="14" spans="1:18" ht="15.75" thickBot="1">
      <c r="A14" s="79"/>
      <c r="B14" s="136" t="s">
        <v>17</v>
      </c>
      <c r="C14" s="9">
        <f>COUNTIF(CasoPrueba[[#All],[Estado Testing]],$P$30)</f>
        <v>0</v>
      </c>
      <c r="D14" s="79"/>
      <c r="E14" s="15">
        <f t="shared" ref="E14:J14" si="0">E13/$C$10</f>
        <v>0</v>
      </c>
      <c r="F14" s="15">
        <f t="shared" si="0"/>
        <v>0.66666666666666663</v>
      </c>
      <c r="G14" s="15">
        <f t="shared" si="0"/>
        <v>0</v>
      </c>
      <c r="H14" s="15">
        <f t="shared" si="0"/>
        <v>0</v>
      </c>
      <c r="I14" s="15">
        <f t="shared" si="0"/>
        <v>0</v>
      </c>
      <c r="J14" s="15">
        <f t="shared" si="0"/>
        <v>0</v>
      </c>
      <c r="K14" s="15">
        <f>K13/C10</f>
        <v>0</v>
      </c>
      <c r="L14" s="83"/>
      <c r="M14" s="79"/>
      <c r="N14" s="79"/>
      <c r="O14" s="79"/>
      <c r="P14" s="91" t="s">
        <v>39</v>
      </c>
      <c r="Q14" s="16" t="s">
        <v>40</v>
      </c>
      <c r="R14" s="79"/>
    </row>
    <row r="15" spans="1:18" ht="9" customHeight="1">
      <c r="A15" s="79"/>
      <c r="B15" s="79"/>
      <c r="C15" s="79"/>
      <c r="D15" s="79"/>
      <c r="E15" s="79"/>
      <c r="F15" s="79"/>
      <c r="G15" s="79"/>
      <c r="H15" s="79"/>
      <c r="I15" s="79"/>
      <c r="J15" s="79"/>
      <c r="K15" s="79"/>
      <c r="L15" s="79"/>
      <c r="M15" s="79"/>
      <c r="N15" s="79"/>
      <c r="O15" s="79"/>
      <c r="P15" s="79"/>
      <c r="Q15" s="79"/>
      <c r="R15" s="79"/>
    </row>
    <row r="16" spans="1:18" ht="15.75" hidden="1" thickBot="1">
      <c r="A16" s="79"/>
      <c r="B16" s="180" t="s">
        <v>25</v>
      </c>
      <c r="C16" s="181" t="s">
        <v>19</v>
      </c>
      <c r="D16" s="181"/>
      <c r="E16" s="182" t="s">
        <v>20</v>
      </c>
      <c r="F16" s="182"/>
      <c r="G16" s="183" t="s">
        <v>21</v>
      </c>
      <c r="H16" s="183"/>
      <c r="I16" s="184" t="s">
        <v>22</v>
      </c>
      <c r="J16" s="185"/>
      <c r="K16" s="188" t="s">
        <v>23</v>
      </c>
      <c r="L16" s="189"/>
      <c r="M16" s="186" t="s">
        <v>24</v>
      </c>
      <c r="N16" s="187"/>
      <c r="O16" s="79"/>
      <c r="P16" s="10" t="s">
        <v>41</v>
      </c>
      <c r="Q16" s="11" t="s">
        <v>42</v>
      </c>
      <c r="R16" s="79"/>
    </row>
    <row r="17" spans="1:18" ht="15.75" hidden="1" thickBot="1">
      <c r="A17" s="79"/>
      <c r="B17" s="180"/>
      <c r="C17" s="56" t="s">
        <v>26</v>
      </c>
      <c r="D17" s="56" t="s">
        <v>27</v>
      </c>
      <c r="E17" s="57" t="s">
        <v>26</v>
      </c>
      <c r="F17" s="57" t="s">
        <v>27</v>
      </c>
      <c r="G17" s="58" t="s">
        <v>26</v>
      </c>
      <c r="H17" s="58" t="s">
        <v>27</v>
      </c>
      <c r="I17" s="59" t="s">
        <v>26</v>
      </c>
      <c r="J17" s="59" t="s">
        <v>27</v>
      </c>
      <c r="K17" s="60" t="s">
        <v>26</v>
      </c>
      <c r="L17" s="60" t="s">
        <v>27</v>
      </c>
      <c r="M17" s="61" t="s">
        <v>26</v>
      </c>
      <c r="N17" s="61" t="s">
        <v>27</v>
      </c>
      <c r="O17" s="79"/>
      <c r="P17" s="17" t="s">
        <v>28</v>
      </c>
      <c r="Q17" s="18" t="s">
        <v>43</v>
      </c>
      <c r="R17" s="79"/>
    </row>
    <row r="18" spans="1:18" ht="15.75" hidden="1" thickBot="1">
      <c r="A18" s="79"/>
      <c r="B18" s="43" t="s">
        <v>28</v>
      </c>
      <c r="C18" s="44">
        <f>COUNTIFS(CasoPrueba[[#All],[Estado Testing]],$P$28,CasoPrueba[[#All],[Prioridad]],$P$17)</f>
        <v>0</v>
      </c>
      <c r="D18" s="45">
        <f>C18/$C$10</f>
        <v>0</v>
      </c>
      <c r="E18" s="46">
        <f>COUNTIFS(CasoPrueba[[#All],[Estado Testing]],$P$29,CasoPrueba[[#All],[Prioridad]],$P$17)</f>
        <v>10</v>
      </c>
      <c r="F18" s="47">
        <f>E18/$C$10</f>
        <v>0.66666666666666663</v>
      </c>
      <c r="G18" s="48">
        <f>COUNTIFS(CasoPrueba[[#All],[Estado Testing]],$P$30,CasoPrueba[[#All],[Prioridad]],$P$17)</f>
        <v>0</v>
      </c>
      <c r="H18" s="49">
        <f>G18/$C$10</f>
        <v>0</v>
      </c>
      <c r="I18" s="50">
        <f>COUNTIFS(CasoPrueba[[#All],[Estado Testing]],$P$27,CasoPrueba[[#All],[Prioridad]],$P$17)</f>
        <v>0</v>
      </c>
      <c r="J18" s="51">
        <f>I18/$C$10</f>
        <v>0</v>
      </c>
      <c r="K18" s="52">
        <f>COUNTIFS(CasoPrueba[[#All],[Estado Testing]],$P$31,CasoPrueba[[#All],[Prioridad]],$P$17)</f>
        <v>0</v>
      </c>
      <c r="L18" s="54">
        <f>K18/$C$10</f>
        <v>0</v>
      </c>
      <c r="M18" s="55">
        <f>COUNTIFS(CasoPrueba[[#All],[Estado Testing]],$P$29,CasoPrueba[[#All],[Prioridad]],$P$17)</f>
        <v>10</v>
      </c>
      <c r="N18" s="53">
        <f>M18/$C$10</f>
        <v>0.66666666666666663</v>
      </c>
      <c r="O18" s="79"/>
      <c r="P18" s="19" t="s">
        <v>29</v>
      </c>
      <c r="Q18" s="20" t="s">
        <v>44</v>
      </c>
      <c r="R18" s="79"/>
    </row>
    <row r="19" spans="1:18" ht="15.75" hidden="1" thickBot="1">
      <c r="A19" s="79"/>
      <c r="B19" s="43" t="s">
        <v>29</v>
      </c>
      <c r="C19" s="44">
        <f>COUNTIFS(CasoPrueba[[#All],[Estado Testing]],$P$28,CasoPrueba[[#All],[Prioridad]],$P$18)</f>
        <v>0</v>
      </c>
      <c r="D19" s="45">
        <f t="shared" ref="D19:F20" si="1">C19/$C$10</f>
        <v>0</v>
      </c>
      <c r="E19" s="46">
        <f>COUNTIFS(CasoPrueba[[#All],[Estado Testing]],$P$29,CasoPrueba[[#All],[Prioridad]],$P$18)</f>
        <v>0</v>
      </c>
      <c r="F19" s="47">
        <f t="shared" si="1"/>
        <v>0</v>
      </c>
      <c r="G19" s="48">
        <f>COUNTIFS(CasoPrueba[[#All],[Estado Testing]],$P$30,CasoPrueba[[#All],[Prioridad]],$P$18)</f>
        <v>0</v>
      </c>
      <c r="H19" s="49">
        <f>G19/$C$10</f>
        <v>0</v>
      </c>
      <c r="I19" s="50">
        <f>COUNTIFS(CasoPrueba[[#All],[Estado Testing]],$P$27,CasoPrueba[[#All],[Prioridad]],$P$18)</f>
        <v>0</v>
      </c>
      <c r="J19" s="51">
        <f>I19/$C$10</f>
        <v>0</v>
      </c>
      <c r="K19" s="52">
        <f>COUNTIFS(CasoPrueba[[#All],[Estado Testing]],$P$31,CasoPrueba[[#All],[Prioridad]],$P$18)</f>
        <v>0</v>
      </c>
      <c r="L19" s="54">
        <f>K19/$C$10</f>
        <v>0</v>
      </c>
      <c r="M19" s="55">
        <f>COUNTIFS(CasoPrueba[[#All],[Estado Testing]],$P$29,CasoPrueba[[#All],[Prioridad]],$P$18)</f>
        <v>0</v>
      </c>
      <c r="N19" s="53">
        <f>M19/$C$10</f>
        <v>0</v>
      </c>
      <c r="O19" s="79"/>
      <c r="P19" s="21" t="s">
        <v>30</v>
      </c>
      <c r="Q19" s="20" t="s">
        <v>45</v>
      </c>
      <c r="R19" s="79"/>
    </row>
    <row r="20" spans="1:18" ht="15.75" hidden="1" thickBot="1">
      <c r="A20" s="79"/>
      <c r="B20" s="43" t="s">
        <v>30</v>
      </c>
      <c r="C20" s="44">
        <f>COUNTIFS(CasoPrueba[[#All],[Estado Testing]],$P$28,CasoPrueba[[#All],[Prioridad]],$P$19)</f>
        <v>0</v>
      </c>
      <c r="D20" s="45">
        <f t="shared" si="1"/>
        <v>0</v>
      </c>
      <c r="E20" s="46">
        <f>COUNTIFS(CasoPrueba[[#All],[Estado Testing]],$P$29,CasoPrueba[[#All],[Prioridad]],$P$19)</f>
        <v>0</v>
      </c>
      <c r="F20" s="47">
        <f t="shared" si="1"/>
        <v>0</v>
      </c>
      <c r="G20" s="48">
        <f>COUNTIFS(CasoPrueba[[#All],[Estado Testing]],$P$30,CasoPrueba[[#All],[Prioridad]],$P$19)</f>
        <v>0</v>
      </c>
      <c r="H20" s="49">
        <f>G20/$C$10</f>
        <v>0</v>
      </c>
      <c r="I20" s="50">
        <f>COUNTIFS(CasoPrueba[[#All],[Estado Testing]],$P$27,CasoPrueba[[#All],[Prioridad]],$P$19)</f>
        <v>0</v>
      </c>
      <c r="J20" s="51">
        <f>I20/$C$10</f>
        <v>0</v>
      </c>
      <c r="K20" s="52">
        <f>COUNTIFS(CasoPrueba[[#All],[Estado Testing]],$P$31,CasoPrueba[[#All],[Prioridad]],$P$19)</f>
        <v>0</v>
      </c>
      <c r="L20" s="54">
        <f>K20/$C$10</f>
        <v>0</v>
      </c>
      <c r="M20" s="55">
        <f>COUNTIFS(CasoPrueba[[#All],[Estado Testing]],$P$29,CasoPrueba[[#All],[Prioridad]],$P$19)</f>
        <v>0</v>
      </c>
      <c r="N20" s="53">
        <f>M20/$C$10</f>
        <v>0</v>
      </c>
      <c r="O20" s="79"/>
      <c r="P20" s="79"/>
      <c r="Q20" s="79"/>
      <c r="R20" s="79"/>
    </row>
    <row r="21" spans="1:18" ht="15.75" hidden="1" thickBot="1">
      <c r="A21" s="79"/>
      <c r="B21" s="62" t="s">
        <v>31</v>
      </c>
      <c r="C21" s="62">
        <f>SUM(C18:C20)</f>
        <v>0</v>
      </c>
      <c r="D21" s="63">
        <f t="shared" ref="D21:N21" si="2">SUM(D18:D20)</f>
        <v>0</v>
      </c>
      <c r="E21" s="62">
        <f t="shared" si="2"/>
        <v>10</v>
      </c>
      <c r="F21" s="63">
        <f t="shared" si="2"/>
        <v>0.66666666666666663</v>
      </c>
      <c r="G21" s="62">
        <f t="shared" si="2"/>
        <v>0</v>
      </c>
      <c r="H21" s="63">
        <f t="shared" si="2"/>
        <v>0</v>
      </c>
      <c r="I21" s="62">
        <f t="shared" si="2"/>
        <v>0</v>
      </c>
      <c r="J21" s="63">
        <f t="shared" si="2"/>
        <v>0</v>
      </c>
      <c r="K21" s="62">
        <f>SUM(K18:K20)</f>
        <v>0</v>
      </c>
      <c r="L21" s="63">
        <f>SUM(L18:L20)</f>
        <v>0</v>
      </c>
      <c r="M21" s="62">
        <f t="shared" si="2"/>
        <v>10</v>
      </c>
      <c r="N21" s="63">
        <f t="shared" si="2"/>
        <v>0.66666666666666663</v>
      </c>
      <c r="O21" s="79"/>
      <c r="P21" s="10" t="s">
        <v>46</v>
      </c>
      <c r="Q21" s="11" t="s">
        <v>3</v>
      </c>
      <c r="R21" s="79"/>
    </row>
    <row r="22" spans="1:18" ht="15.75" hidden="1" thickBot="1">
      <c r="A22" s="79"/>
      <c r="B22" s="79"/>
      <c r="C22" s="79"/>
      <c r="D22" s="79"/>
      <c r="E22" s="79"/>
      <c r="F22" s="79"/>
      <c r="G22" s="79"/>
      <c r="H22" s="79"/>
      <c r="I22" s="79"/>
      <c r="J22" s="79"/>
      <c r="K22" s="79"/>
      <c r="L22" s="79"/>
      <c r="M22" s="79"/>
      <c r="N22" s="79"/>
      <c r="O22" s="79"/>
      <c r="P22" s="17" t="s">
        <v>47</v>
      </c>
      <c r="Q22" s="24" t="s">
        <v>51</v>
      </c>
      <c r="R22" s="79"/>
    </row>
    <row r="23" spans="1:18" ht="30.75" hidden="1" thickBot="1">
      <c r="A23" s="79"/>
      <c r="B23" s="79"/>
      <c r="C23" s="79"/>
      <c r="D23" s="79"/>
      <c r="E23" s="79"/>
      <c r="F23" s="79"/>
      <c r="G23" s="79"/>
      <c r="H23" s="79"/>
      <c r="I23" s="79"/>
      <c r="J23" s="79"/>
      <c r="K23" s="79"/>
      <c r="L23" s="79"/>
      <c r="M23" s="79"/>
      <c r="N23" s="79"/>
      <c r="O23" s="79"/>
      <c r="P23" s="22" t="s">
        <v>48</v>
      </c>
      <c r="Q23" s="25" t="s">
        <v>50</v>
      </c>
      <c r="R23" s="79"/>
    </row>
    <row r="24" spans="1:18" ht="15.75" hidden="1" thickBot="1">
      <c r="A24" s="79"/>
      <c r="B24" s="79"/>
      <c r="C24" s="79"/>
      <c r="D24" s="79"/>
      <c r="E24" s="79"/>
      <c r="F24" s="79"/>
      <c r="G24" s="79"/>
      <c r="H24" s="79"/>
      <c r="I24" s="79"/>
      <c r="J24" s="79"/>
      <c r="K24" s="79"/>
      <c r="L24" s="79"/>
      <c r="M24" s="79"/>
      <c r="N24" s="79"/>
      <c r="O24" s="79"/>
      <c r="P24" s="23" t="s">
        <v>49</v>
      </c>
      <c r="Q24" s="25" t="s">
        <v>52</v>
      </c>
      <c r="R24" s="79"/>
    </row>
    <row r="25" spans="1:18" ht="9" hidden="1" customHeight="1" thickBot="1">
      <c r="A25" s="79"/>
      <c r="B25" s="79"/>
      <c r="C25" s="79"/>
      <c r="D25" s="79"/>
      <c r="E25" s="79"/>
      <c r="F25" s="79"/>
      <c r="G25" s="79"/>
      <c r="H25" s="79"/>
      <c r="I25" s="79"/>
      <c r="J25" s="79"/>
      <c r="K25" s="79"/>
      <c r="L25" s="79"/>
      <c r="M25" s="79"/>
      <c r="N25" s="79"/>
      <c r="O25" s="79"/>
      <c r="P25" s="79"/>
      <c r="Q25" s="79"/>
      <c r="R25" s="79"/>
    </row>
    <row r="26" spans="1:18" ht="24" hidden="1" thickBot="1">
      <c r="A26" s="123" t="s">
        <v>68</v>
      </c>
      <c r="B26" s="124"/>
      <c r="C26" s="124"/>
      <c r="D26" s="124"/>
      <c r="E26" s="124"/>
      <c r="F26" s="124"/>
      <c r="G26" s="124"/>
      <c r="H26" s="124"/>
      <c r="I26" s="124"/>
      <c r="J26" s="124"/>
      <c r="K26" s="124"/>
      <c r="L26" s="124"/>
      <c r="M26" s="79"/>
      <c r="N26" s="79"/>
      <c r="O26" s="79"/>
      <c r="P26" s="6" t="s">
        <v>53</v>
      </c>
      <c r="Q26" s="7" t="s">
        <v>54</v>
      </c>
      <c r="R26" s="79"/>
    </row>
    <row r="27" spans="1:18" ht="18" hidden="1" customHeight="1" thickBot="1">
      <c r="A27" s="124"/>
      <c r="B27" s="124"/>
      <c r="C27" s="124"/>
      <c r="D27" s="124"/>
      <c r="E27" s="124"/>
      <c r="F27" s="124"/>
      <c r="G27" s="124"/>
      <c r="H27" s="124"/>
      <c r="I27" s="124"/>
      <c r="J27" s="124"/>
      <c r="K27" s="124"/>
      <c r="L27" s="124"/>
      <c r="M27" s="79"/>
      <c r="N27" s="79"/>
      <c r="O27" s="79"/>
      <c r="P27" s="113" t="s">
        <v>22</v>
      </c>
      <c r="Q27" s="8" t="s">
        <v>66</v>
      </c>
      <c r="R27" s="79"/>
    </row>
    <row r="28" spans="1:18" ht="30.75" hidden="1" customHeight="1" thickBot="1">
      <c r="A28" s="124"/>
      <c r="B28" s="177" t="s">
        <v>69</v>
      </c>
      <c r="C28" s="177" t="s">
        <v>70</v>
      </c>
      <c r="D28" s="177"/>
      <c r="E28" s="177" t="s">
        <v>71</v>
      </c>
      <c r="F28" s="177"/>
      <c r="G28" s="124"/>
      <c r="H28" s="124"/>
      <c r="I28" s="124"/>
      <c r="J28" s="124"/>
      <c r="K28" s="124"/>
      <c r="L28" s="124"/>
      <c r="M28" s="79"/>
      <c r="N28" s="79"/>
      <c r="O28" s="79"/>
      <c r="P28" s="108" t="s">
        <v>19</v>
      </c>
      <c r="Q28" s="14" t="s">
        <v>55</v>
      </c>
      <c r="R28" s="79"/>
    </row>
    <row r="29" spans="1:18" ht="15.75" hidden="1" thickBot="1">
      <c r="A29" s="124"/>
      <c r="B29" s="177"/>
      <c r="C29" s="125" t="s">
        <v>26</v>
      </c>
      <c r="D29" s="125" t="s">
        <v>27</v>
      </c>
      <c r="E29" s="125" t="s">
        <v>26</v>
      </c>
      <c r="F29" s="125" t="s">
        <v>27</v>
      </c>
      <c r="G29" s="124"/>
      <c r="H29" s="126" t="s">
        <v>41</v>
      </c>
      <c r="I29" s="126" t="s">
        <v>28</v>
      </c>
      <c r="J29" s="126" t="s">
        <v>29</v>
      </c>
      <c r="K29" s="126" t="s">
        <v>30</v>
      </c>
      <c r="L29" s="121"/>
      <c r="M29" s="85"/>
      <c r="N29" s="79"/>
      <c r="O29" s="79"/>
      <c r="P29" s="109" t="s">
        <v>20</v>
      </c>
      <c r="Q29" s="14" t="s">
        <v>56</v>
      </c>
      <c r="R29" s="79"/>
    </row>
    <row r="30" spans="1:18" ht="33" hidden="1" customHeight="1" thickBot="1">
      <c r="A30" s="124"/>
      <c r="B30" s="127" t="s">
        <v>33</v>
      </c>
      <c r="C30" s="128">
        <f>COUNTIFS(Observaciones[[#All],[Estado]],Resumen!$P$22,Observaciones[[#All],[Severidad]],Resumen!$P$11)+COUNTIFS(Observaciones[[#All],[Estado]],$P$23,Observaciones[[#All],[Severidad]],Resumen!$P$11)</f>
        <v>0</v>
      </c>
      <c r="D30" s="129">
        <f>C30/$C$10</f>
        <v>0</v>
      </c>
      <c r="E30" s="130">
        <f>COUNTIFS(Observaciones[[#All],[Estado]],Resumen!$P$24,Observaciones[[#All],[Severidad]],Resumen!$P$11)</f>
        <v>0</v>
      </c>
      <c r="F30" s="129">
        <f>E30/$C$10</f>
        <v>0</v>
      </c>
      <c r="G30" s="124"/>
      <c r="H30" s="127" t="s">
        <v>33</v>
      </c>
      <c r="I30" s="131">
        <f>COUNTIFS(Observaciones[[#All],[Severidad]],Resumen!$P$11,Observaciones[[#All],[Prioridad]],Resumen!$P$17)</f>
        <v>0</v>
      </c>
      <c r="J30" s="131">
        <f>COUNTIFS(Observaciones[[#All],[Severidad]],Resumen!$P$11,Observaciones[[#All],[Prioridad]],Resumen!$P$18)</f>
        <v>0</v>
      </c>
      <c r="K30" s="131">
        <f>COUNTIFS(Observaciones[[#All],[Severidad]],Resumen!$P$11,Observaciones[[#All],[Prioridad]],Resumen!$P$19)</f>
        <v>0</v>
      </c>
      <c r="L30" s="122"/>
      <c r="M30" s="86"/>
      <c r="N30" s="79"/>
      <c r="O30" s="79"/>
      <c r="P30" s="110" t="s">
        <v>21</v>
      </c>
      <c r="Q30" s="14" t="s">
        <v>57</v>
      </c>
      <c r="R30" s="79"/>
    </row>
    <row r="31" spans="1:18" ht="33" hidden="1" customHeight="1" thickBot="1">
      <c r="A31" s="124"/>
      <c r="B31" s="127" t="s">
        <v>35</v>
      </c>
      <c r="C31" s="128">
        <f>COUNTIFS(Observaciones[[#All],[Estado]],Resumen!$P$22,Observaciones[[#All],[Severidad]],Resumen!$P$12)+COUNTIFS(Observaciones[[#All],[Estado]],$P$23,Observaciones[[#All],[Severidad]],Resumen!$P$12)</f>
        <v>0</v>
      </c>
      <c r="D31" s="129">
        <f>C31/$C$10</f>
        <v>0</v>
      </c>
      <c r="E31" s="130">
        <f>COUNTIFS(Observaciones[[#All],[Estado]],Resumen!$P$24,Observaciones[[#All],[Severidad]],Resumen!$P$12)</f>
        <v>0</v>
      </c>
      <c r="F31" s="129">
        <f>E31/$C$10</f>
        <v>0</v>
      </c>
      <c r="G31" s="124"/>
      <c r="H31" s="127" t="s">
        <v>35</v>
      </c>
      <c r="I31" s="131">
        <f>COUNTIFS(Observaciones[[#All],[Severidad]],Resumen!$P$12,Observaciones[[#All],[Prioridad]],Resumen!$P$17)</f>
        <v>0</v>
      </c>
      <c r="J31" s="131">
        <f>COUNTIFS(Observaciones[[#All],[Severidad]],Resumen!$P$12,Observaciones[[#All],[Prioridad]],Resumen!$P$18)</f>
        <v>0</v>
      </c>
      <c r="K31" s="131">
        <f>COUNTIFS(Observaciones[[#All],[Severidad]],Resumen!$P$12,Observaciones[[#All],[Prioridad]],Resumen!$P$19)</f>
        <v>0</v>
      </c>
      <c r="L31" s="122"/>
      <c r="M31" s="86"/>
      <c r="N31" s="79"/>
      <c r="O31" s="79"/>
      <c r="P31" s="111" t="s">
        <v>23</v>
      </c>
      <c r="Q31" s="14" t="s">
        <v>58</v>
      </c>
      <c r="R31" s="79"/>
    </row>
    <row r="32" spans="1:18" ht="33" hidden="1" customHeight="1" thickBot="1">
      <c r="A32" s="124"/>
      <c r="B32" s="127" t="s">
        <v>37</v>
      </c>
      <c r="C32" s="132">
        <f>COUNTIFS(Observaciones[[#All],[Estado]],Resumen!$P$22,Observaciones[[#All],[Severidad]],Resumen!$P$13)+COUNTIFS(Observaciones[[#All],[Estado]],$P$23,Observaciones[[#All],[Severidad]],Resumen!$P$13)</f>
        <v>0</v>
      </c>
      <c r="D32" s="129">
        <f>C32/$C$10</f>
        <v>0</v>
      </c>
      <c r="E32" s="130">
        <f>COUNTIFS(Observaciones[[#All],[Estado]],Resumen!$P$24,Observaciones[[#All],[Severidad]],Resumen!$P$13)</f>
        <v>0</v>
      </c>
      <c r="F32" s="129">
        <f>E32/$C$10</f>
        <v>0</v>
      </c>
      <c r="G32" s="124"/>
      <c r="H32" s="127" t="s">
        <v>37</v>
      </c>
      <c r="I32" s="131">
        <f>COUNTIFS(Observaciones[[#All],[Severidad]],Resumen!$P$13,Observaciones[[#All],[Prioridad]],Resumen!$P$17)</f>
        <v>0</v>
      </c>
      <c r="J32" s="131">
        <f>COUNTIFS(Observaciones[[#All],[Severidad]],Resumen!$P$13,Observaciones[[#All],[Prioridad]],Resumen!$P$18)</f>
        <v>0</v>
      </c>
      <c r="K32" s="131">
        <f>COUNTIFS(Observaciones[[#All],[Severidad]],Resumen!$P$13,Observaciones[[#All],[Prioridad]],Resumen!$P$19)</f>
        <v>0</v>
      </c>
      <c r="L32" s="122"/>
      <c r="M32" s="86"/>
      <c r="N32" s="79"/>
      <c r="O32" s="79"/>
      <c r="P32" s="112" t="s">
        <v>24</v>
      </c>
      <c r="Q32" s="14" t="s">
        <v>67</v>
      </c>
    </row>
    <row r="33" spans="1:18" ht="15.75" hidden="1" thickBot="1">
      <c r="A33" s="124"/>
      <c r="B33" s="127" t="s">
        <v>39</v>
      </c>
      <c r="C33" s="132">
        <f>COUNTIFS(Observaciones[[#All],[Estado]],Resumen!$P$22,Observaciones[[#All],[Severidad]],Resumen!$P$14)+COUNTIFS(Observaciones[[#All],[Estado]],$P$23,Observaciones[[#All],[Severidad]],Resumen!$P$14)</f>
        <v>0</v>
      </c>
      <c r="D33" s="129">
        <f>C33/$C$10</f>
        <v>0</v>
      </c>
      <c r="E33" s="130">
        <f>COUNTIFS(Observaciones[[#All],[Estado]],Resumen!$P$24,Observaciones[[#All],[Severidad]],Resumen!$P$14)</f>
        <v>0</v>
      </c>
      <c r="F33" s="129">
        <f>E33/$C$10</f>
        <v>0</v>
      </c>
      <c r="G33" s="124"/>
      <c r="H33" s="127" t="s">
        <v>39</v>
      </c>
      <c r="I33" s="131">
        <f>COUNTIFS(Observaciones[[#All],[Severidad]],Resumen!$P$14,Observaciones[[#All],[Prioridad]],Resumen!$P$17)</f>
        <v>0</v>
      </c>
      <c r="J33" s="131">
        <f>COUNTIFS(Observaciones[[#All],[Severidad]],Resumen!$P$14,Observaciones[[#All],[Prioridad]],Resumen!$P$18)</f>
        <v>0</v>
      </c>
      <c r="K33" s="131">
        <f>COUNTIFS(Observaciones[[#All],[Severidad]],Resumen!$P$14,Observaciones[[#All],[Prioridad]],Resumen!$P$19)</f>
        <v>0</v>
      </c>
      <c r="L33" s="122"/>
      <c r="M33" s="86"/>
      <c r="N33" s="79"/>
      <c r="O33" s="79"/>
      <c r="P33" s="79"/>
      <c r="Q33" s="79"/>
      <c r="R33" s="79"/>
    </row>
    <row r="34" spans="1:18" ht="15.75" hidden="1" thickBot="1">
      <c r="A34" s="124"/>
      <c r="B34" s="127" t="s">
        <v>72</v>
      </c>
      <c r="C34" s="133">
        <f>SUM(C30:C33)</f>
        <v>0</v>
      </c>
      <c r="D34" s="134">
        <f>SUM(D30:D33)</f>
        <v>0</v>
      </c>
      <c r="E34" s="133">
        <f>SUM(E30:E33)</f>
        <v>0</v>
      </c>
      <c r="F34" s="134">
        <f>SUM(F30:F33)</f>
        <v>0</v>
      </c>
      <c r="G34" s="124"/>
      <c r="H34" s="127" t="s">
        <v>72</v>
      </c>
      <c r="I34" s="135">
        <f>SUM(I30:I33)</f>
        <v>0</v>
      </c>
      <c r="J34" s="135">
        <f>SUM(J30:J33)</f>
        <v>0</v>
      </c>
      <c r="K34" s="135">
        <f>SUM(K30:K33)</f>
        <v>0</v>
      </c>
      <c r="L34" s="122"/>
      <c r="M34" s="86"/>
      <c r="N34" s="79"/>
      <c r="O34" s="79"/>
      <c r="P34" s="10" t="s">
        <v>59</v>
      </c>
      <c r="Q34" s="11" t="s">
        <v>3</v>
      </c>
      <c r="R34" s="79"/>
    </row>
    <row r="35" spans="1:18" ht="33" hidden="1" customHeight="1" thickBot="1">
      <c r="A35" s="124"/>
      <c r="B35" s="124"/>
      <c r="C35" s="124"/>
      <c r="D35" s="124"/>
      <c r="E35" s="124"/>
      <c r="F35" s="124"/>
      <c r="G35" s="124"/>
      <c r="H35" s="124"/>
      <c r="I35" s="124"/>
      <c r="J35" s="124"/>
      <c r="K35" s="124"/>
      <c r="L35" s="124"/>
      <c r="M35" s="79"/>
      <c r="N35" s="79"/>
      <c r="O35" s="79"/>
      <c r="P35" s="26" t="s">
        <v>60</v>
      </c>
      <c r="Q35" s="27" t="s">
        <v>61</v>
      </c>
      <c r="R35" s="79"/>
    </row>
    <row r="36" spans="1:18" ht="33" hidden="1" customHeight="1" thickBot="1">
      <c r="A36" s="79"/>
      <c r="B36" s="79"/>
      <c r="C36" s="79"/>
      <c r="D36" s="79"/>
      <c r="E36" s="79"/>
      <c r="F36" s="79"/>
      <c r="G36" s="79"/>
      <c r="H36" s="79"/>
      <c r="I36" s="79"/>
      <c r="J36" s="79"/>
      <c r="K36" s="79"/>
      <c r="L36" s="79"/>
      <c r="M36" s="79"/>
      <c r="N36" s="79"/>
      <c r="O36" s="79"/>
      <c r="P36" s="28" t="s">
        <v>62</v>
      </c>
      <c r="Q36" s="29" t="s">
        <v>63</v>
      </c>
      <c r="R36" s="79"/>
    </row>
    <row r="37" spans="1:18" ht="33" hidden="1" customHeight="1" thickBot="1">
      <c r="A37" s="79"/>
      <c r="B37" s="79"/>
      <c r="C37" s="79"/>
      <c r="D37" s="79"/>
      <c r="E37" s="79"/>
      <c r="F37" s="79"/>
      <c r="G37" s="79"/>
      <c r="H37" s="79"/>
      <c r="I37" s="79"/>
      <c r="J37" s="79"/>
      <c r="K37" s="79"/>
      <c r="L37" s="79"/>
      <c r="M37" s="79"/>
      <c r="N37" s="79"/>
      <c r="O37" s="79"/>
      <c r="P37" s="30" t="s">
        <v>64</v>
      </c>
      <c r="Q37" s="29" t="s">
        <v>65</v>
      </c>
      <c r="R37" s="79"/>
    </row>
    <row r="38" spans="1:18" hidden="1">
      <c r="A38" s="79"/>
      <c r="B38" s="79"/>
      <c r="C38" s="79"/>
      <c r="D38" s="79"/>
      <c r="E38" s="79"/>
      <c r="F38" s="79"/>
      <c r="G38" s="79"/>
      <c r="H38" s="79"/>
      <c r="I38" s="79"/>
      <c r="J38" s="79"/>
      <c r="K38" s="79"/>
      <c r="L38" s="79"/>
      <c r="M38" s="79"/>
      <c r="N38" s="79"/>
      <c r="O38" s="79"/>
      <c r="P38" s="79"/>
      <c r="Q38" s="79"/>
      <c r="R38" s="79"/>
    </row>
  </sheetData>
  <mergeCells count="12">
    <mergeCell ref="B28:B29"/>
    <mergeCell ref="C28:D28"/>
    <mergeCell ref="E28:F28"/>
    <mergeCell ref="G2:O2"/>
    <mergeCell ref="G4:O4"/>
    <mergeCell ref="B16:B17"/>
    <mergeCell ref="C16:D16"/>
    <mergeCell ref="E16:F16"/>
    <mergeCell ref="G16:H16"/>
    <mergeCell ref="I16:J16"/>
    <mergeCell ref="M16:N16"/>
    <mergeCell ref="K16:L16"/>
  </mergeCells>
  <conditionalFormatting sqref="G4:O4">
    <cfRule type="expression" dxfId="70" priority="1" stopIfTrue="1">
      <formula>NOT(ISERROR(SEARCH("INSATISFACTORIO",G4)))</formula>
    </cfRule>
    <cfRule type="expression" dxfId="69" priority="2" stopIfTrue="1">
      <formula>NOT(ISERROR(SEARCH("SATISFACTORIO con Observaciones",G4)))</formula>
    </cfRule>
    <cfRule type="expression" dxfId="68" priority="3" stopIfTrue="1">
      <formula>NOT(ISERROR(SEARCH("SATISFACTORIO",G4)))</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sheetPr codeName="Hoja3"/>
  <dimension ref="A1:R93"/>
  <sheetViews>
    <sheetView zoomScale="55" zoomScaleNormal="55" workbookViewId="0">
      <selection sqref="A1:R1"/>
    </sheetView>
  </sheetViews>
  <sheetFormatPr baseColWidth="10" defaultRowHeight="15"/>
  <cols>
    <col min="1" max="1" width="4.28515625" customWidth="1"/>
    <col min="2" max="2" width="15.85546875" customWidth="1"/>
    <col min="3" max="3" width="19.42578125" customWidth="1"/>
    <col min="6" max="6" width="3.5703125" customWidth="1"/>
    <col min="7" max="7" width="15.85546875" customWidth="1"/>
    <col min="8" max="8" width="18.7109375" bestFit="1" customWidth="1"/>
    <col min="9" max="9" width="5.140625" customWidth="1"/>
    <col min="12" max="12" width="15.85546875" customWidth="1"/>
    <col min="13" max="13" width="16.42578125" bestFit="1" customWidth="1"/>
    <col min="17" max="17" width="8.140625" customWidth="1"/>
  </cols>
  <sheetData>
    <row r="1" spans="1:18" ht="21">
      <c r="A1" s="190" t="s">
        <v>114</v>
      </c>
      <c r="B1" s="190"/>
      <c r="C1" s="190"/>
      <c r="D1" s="190"/>
      <c r="E1" s="190"/>
      <c r="F1" s="190"/>
      <c r="G1" s="190"/>
      <c r="H1" s="190"/>
      <c r="I1" s="190"/>
      <c r="J1" s="190"/>
      <c r="K1" s="190"/>
      <c r="L1" s="190"/>
      <c r="M1" s="190"/>
      <c r="N1" s="190"/>
      <c r="O1" s="190"/>
      <c r="P1" s="190"/>
      <c r="Q1" s="190"/>
      <c r="R1" s="190"/>
    </row>
    <row r="22" spans="1:18" ht="21">
      <c r="A22" s="190" t="s">
        <v>115</v>
      </c>
      <c r="B22" s="190"/>
      <c r="C22" s="190"/>
      <c r="D22" s="190"/>
      <c r="E22" s="190"/>
      <c r="F22" s="190"/>
      <c r="G22" s="190"/>
      <c r="H22" s="190"/>
      <c r="I22" s="190"/>
      <c r="J22" s="190"/>
      <c r="K22" s="190"/>
      <c r="L22" s="190"/>
      <c r="M22" s="190"/>
      <c r="N22" s="190"/>
      <c r="O22" s="190"/>
      <c r="P22" s="190"/>
      <c r="Q22" s="190"/>
      <c r="R22" s="190"/>
    </row>
    <row r="44" spans="1:18" ht="21">
      <c r="A44" s="190" t="s">
        <v>116</v>
      </c>
      <c r="B44" s="190"/>
      <c r="C44" s="190"/>
      <c r="D44" s="190"/>
      <c r="E44" s="190"/>
      <c r="F44" s="190"/>
      <c r="G44" s="190"/>
      <c r="H44" s="190"/>
      <c r="I44" s="190"/>
      <c r="J44" s="190"/>
      <c r="K44" s="190"/>
      <c r="L44" s="190"/>
      <c r="M44" s="190"/>
      <c r="N44" s="190"/>
      <c r="O44" s="190"/>
      <c r="P44" s="190"/>
      <c r="Q44" s="190"/>
      <c r="R44" s="190"/>
    </row>
    <row r="66" spans="1:18" ht="21">
      <c r="A66" s="190" t="s">
        <v>117</v>
      </c>
      <c r="B66" s="190"/>
      <c r="C66" s="190"/>
      <c r="D66" s="190"/>
      <c r="E66" s="190"/>
      <c r="F66" s="190"/>
      <c r="G66" s="190"/>
      <c r="H66" s="190"/>
      <c r="I66" s="190"/>
      <c r="J66" s="190"/>
      <c r="K66" s="190"/>
      <c r="L66" s="190"/>
      <c r="M66" s="190"/>
      <c r="N66" s="190"/>
      <c r="O66" s="190"/>
      <c r="P66" s="190"/>
      <c r="Q66" s="190"/>
      <c r="R66" s="190"/>
    </row>
    <row r="67" spans="1:18" ht="15.75" thickBot="1"/>
    <row r="68" spans="1:18" ht="15.75" thickBot="1">
      <c r="B68" s="191" t="s">
        <v>118</v>
      </c>
      <c r="C68" s="192"/>
      <c r="D68" s="192"/>
      <c r="E68" s="192"/>
      <c r="F68" s="193"/>
      <c r="G68" s="67">
        <f>AVERAGE(Observaciones[[#All],[Tiempo de Solución (Dias)]])</f>
        <v>0.22972972972972974</v>
      </c>
      <c r="H68" s="68" t="s">
        <v>119</v>
      </c>
    </row>
    <row r="70" spans="1:18">
      <c r="B70" s="69" t="s">
        <v>120</v>
      </c>
      <c r="C70" t="s">
        <v>122</v>
      </c>
      <c r="G70" s="69" t="s">
        <v>120</v>
      </c>
      <c r="H70" t="s">
        <v>123</v>
      </c>
      <c r="L70" s="69" t="s">
        <v>120</v>
      </c>
      <c r="M70" t="s">
        <v>124</v>
      </c>
    </row>
    <row r="71" spans="1:18">
      <c r="B71" s="70" t="s">
        <v>37</v>
      </c>
      <c r="C71" s="35">
        <v>1</v>
      </c>
      <c r="G71" s="70" t="s">
        <v>28</v>
      </c>
      <c r="H71" s="35">
        <v>2</v>
      </c>
      <c r="L71" s="70" t="s">
        <v>49</v>
      </c>
      <c r="M71" s="35">
        <v>2</v>
      </c>
    </row>
    <row r="72" spans="1:18">
      <c r="B72" s="70" t="s">
        <v>39</v>
      </c>
      <c r="C72" s="35">
        <v>1</v>
      </c>
      <c r="G72" s="70" t="s">
        <v>121</v>
      </c>
      <c r="H72" s="35">
        <v>2</v>
      </c>
      <c r="L72" s="70" t="s">
        <v>121</v>
      </c>
      <c r="M72" s="35">
        <v>2</v>
      </c>
    </row>
    <row r="73" spans="1:18">
      <c r="B73" s="70" t="s">
        <v>121</v>
      </c>
      <c r="C73" s="35">
        <v>2</v>
      </c>
    </row>
    <row r="87" spans="1:18" ht="21">
      <c r="A87" s="190" t="s">
        <v>126</v>
      </c>
      <c r="B87" s="190"/>
      <c r="C87" s="190"/>
      <c r="D87" s="190"/>
      <c r="E87" s="190"/>
      <c r="F87" s="190"/>
      <c r="G87" s="190"/>
      <c r="H87" s="190"/>
      <c r="I87" s="190"/>
      <c r="J87" s="190"/>
      <c r="K87" s="190"/>
      <c r="L87" s="190"/>
      <c r="M87" s="190"/>
      <c r="N87" s="190"/>
      <c r="O87" s="190"/>
      <c r="P87" s="190"/>
      <c r="Q87" s="190"/>
      <c r="R87" s="190"/>
    </row>
    <row r="88" spans="1:18" ht="15.75" thickBot="1"/>
    <row r="89" spans="1:18" ht="15.75" thickBot="1">
      <c r="B89" s="191" t="s">
        <v>127</v>
      </c>
      <c r="C89" s="192"/>
      <c r="D89" s="192"/>
      <c r="E89" s="192"/>
      <c r="F89" s="193"/>
      <c r="G89" s="67">
        <f>AVERAGE(Consultas[[#All],[Tiempo de Solución]])</f>
        <v>1</v>
      </c>
      <c r="H89" s="68" t="s">
        <v>119</v>
      </c>
    </row>
    <row r="91" spans="1:18">
      <c r="B91" s="69" t="s">
        <v>120</v>
      </c>
      <c r="C91" t="s">
        <v>129</v>
      </c>
      <c r="G91" s="69" t="s">
        <v>120</v>
      </c>
      <c r="H91" t="s">
        <v>123</v>
      </c>
      <c r="L91" s="69" t="s">
        <v>120</v>
      </c>
      <c r="M91" t="s">
        <v>124</v>
      </c>
    </row>
    <row r="92" spans="1:18">
      <c r="B92" s="70" t="s">
        <v>143</v>
      </c>
      <c r="C92" s="35"/>
      <c r="G92" s="70" t="s">
        <v>144</v>
      </c>
      <c r="H92" s="35">
        <v>1</v>
      </c>
      <c r="L92" s="70" t="s">
        <v>49</v>
      </c>
      <c r="M92" s="35">
        <v>1</v>
      </c>
    </row>
    <row r="93" spans="1:18">
      <c r="B93" s="70" t="s">
        <v>121</v>
      </c>
      <c r="C93" s="35"/>
      <c r="G93" s="70" t="s">
        <v>121</v>
      </c>
      <c r="H93" s="35">
        <v>1</v>
      </c>
      <c r="L93" s="70" t="s">
        <v>121</v>
      </c>
      <c r="M93" s="35">
        <v>1</v>
      </c>
    </row>
  </sheetData>
  <mergeCells count="7">
    <mergeCell ref="A87:R87"/>
    <mergeCell ref="B89:F89"/>
    <mergeCell ref="A1:R1"/>
    <mergeCell ref="A22:R22"/>
    <mergeCell ref="A44:R44"/>
    <mergeCell ref="A66:R66"/>
    <mergeCell ref="B68:F68"/>
  </mergeCells>
  <pageMargins left="0.7" right="0.7" top="0.75" bottom="0.75" header="0.3" footer="0.3"/>
  <drawing r:id="rId7"/>
</worksheet>
</file>

<file path=xl/worksheets/sheet4.xml><?xml version="1.0" encoding="utf-8"?>
<worksheet xmlns="http://schemas.openxmlformats.org/spreadsheetml/2006/main" xmlns:r="http://schemas.openxmlformats.org/officeDocument/2006/relationships">
  <sheetPr codeName="Hoja4"/>
  <dimension ref="A1:W19"/>
  <sheetViews>
    <sheetView tabSelected="1" topLeftCell="F10" zoomScale="85" zoomScaleNormal="85" workbookViewId="0">
      <selection activeCell="G14" sqref="G14"/>
    </sheetView>
  </sheetViews>
  <sheetFormatPr baseColWidth="10" defaultColWidth="0" defaultRowHeight="15"/>
  <cols>
    <col min="1" max="1" width="16.140625" style="31" bestFit="1" customWidth="1"/>
    <col min="2" max="2" width="8.85546875" style="31" customWidth="1"/>
    <col min="3" max="3" width="36.7109375" style="31" customWidth="1"/>
    <col min="4" max="4" width="45.85546875" style="31" customWidth="1"/>
    <col min="5" max="5" width="23.140625" style="31" customWidth="1"/>
    <col min="6" max="6" width="14.42578125" style="33" bestFit="1" customWidth="1"/>
    <col min="7" max="7" width="12.5703125" style="31" customWidth="1"/>
    <col min="8" max="8" width="11.42578125" style="31" customWidth="1"/>
    <col min="9" max="10" width="14.5703125" style="31" customWidth="1"/>
    <col min="11" max="11" width="11.42578125" style="31" customWidth="1"/>
    <col min="12" max="12" width="14.42578125" style="32" customWidth="1"/>
    <col min="13" max="13" width="11.42578125" style="31" customWidth="1"/>
    <col min="14" max="14" width="12.140625" style="31" customWidth="1"/>
    <col min="15" max="15" width="22.42578125" style="31" customWidth="1"/>
    <col min="16" max="16" width="53.28515625" style="31" customWidth="1"/>
    <col min="17" max="17" width="23.5703125" style="31" customWidth="1"/>
    <col min="18" max="18" width="5" style="31" customWidth="1"/>
    <col min="19" max="23" width="0" style="31" hidden="1" customWidth="1"/>
    <col min="24" max="16384" width="11.42578125" style="31" hidden="1"/>
  </cols>
  <sheetData>
    <row r="1" spans="1:18">
      <c r="A1" s="100"/>
      <c r="B1" s="100"/>
      <c r="C1" s="100"/>
      <c r="D1" s="100"/>
      <c r="E1" s="100"/>
      <c r="F1" s="104"/>
      <c r="G1" s="100"/>
      <c r="H1" s="100"/>
      <c r="I1" s="100"/>
      <c r="J1" s="100"/>
      <c r="K1" s="100"/>
      <c r="L1" s="105"/>
      <c r="M1" s="100"/>
      <c r="N1" s="100"/>
      <c r="O1" s="100"/>
      <c r="P1" s="100"/>
      <c r="Q1" s="100"/>
      <c r="R1" s="100"/>
    </row>
    <row r="2" spans="1:18" ht="15" customHeight="1">
      <c r="A2" s="100"/>
      <c r="B2" s="100"/>
      <c r="C2" s="100"/>
      <c r="D2" s="155" t="s">
        <v>9</v>
      </c>
      <c r="E2" s="156" t="str">
        <f>General!$B$3</f>
        <v xml:space="preserve">PRY-SSIAEDUCT-03 </v>
      </c>
      <c r="F2" s="157" t="s">
        <v>10</v>
      </c>
      <c r="G2" s="194" t="str">
        <f>General!$B$4</f>
        <v>Arquitectura de Negocios de la Oficina Central de Fe y Alegría Perú – ANOCFAP</v>
      </c>
      <c r="H2" s="195"/>
      <c r="I2" s="195"/>
      <c r="J2" s="195"/>
      <c r="K2" s="195"/>
      <c r="L2" s="195"/>
      <c r="M2" s="195"/>
      <c r="N2" s="196"/>
      <c r="O2" s="100"/>
      <c r="P2" s="100"/>
      <c r="Q2" s="100"/>
      <c r="R2" s="100"/>
    </row>
    <row r="3" spans="1:18" s="71" customFormat="1" ht="58.5" customHeight="1">
      <c r="A3" s="100"/>
      <c r="B3" s="100"/>
      <c r="C3" s="100"/>
      <c r="D3" s="101"/>
      <c r="E3" s="102"/>
      <c r="F3" s="103"/>
      <c r="G3" s="102"/>
      <c r="H3" s="102"/>
      <c r="I3" s="102"/>
      <c r="J3" s="102"/>
      <c r="K3" s="102"/>
      <c r="L3" s="102"/>
      <c r="M3" s="102"/>
      <c r="N3" s="102"/>
      <c r="O3" s="100"/>
      <c r="P3" s="100"/>
      <c r="Q3" s="100"/>
      <c r="R3" s="100"/>
    </row>
    <row r="4" spans="1:18" s="94" customFormat="1" ht="40.5" customHeight="1">
      <c r="A4" s="148" t="s">
        <v>134</v>
      </c>
      <c r="B4" s="149" t="s">
        <v>133</v>
      </c>
      <c r="C4" s="149" t="s">
        <v>73</v>
      </c>
      <c r="D4" s="149" t="s">
        <v>74</v>
      </c>
      <c r="E4" s="149" t="s">
        <v>75</v>
      </c>
      <c r="F4" s="150" t="s">
        <v>76</v>
      </c>
      <c r="G4" s="149" t="s">
        <v>77</v>
      </c>
      <c r="H4" s="149" t="s">
        <v>78</v>
      </c>
      <c r="I4" s="151" t="s">
        <v>79</v>
      </c>
      <c r="J4" s="151" t="s">
        <v>80</v>
      </c>
      <c r="K4" s="152" t="s">
        <v>81</v>
      </c>
      <c r="L4" s="153" t="s">
        <v>82</v>
      </c>
      <c r="M4" s="154" t="s">
        <v>83</v>
      </c>
      <c r="N4" s="149" t="s">
        <v>84</v>
      </c>
      <c r="O4" s="149" t="s">
        <v>85</v>
      </c>
      <c r="P4" s="149" t="s">
        <v>86</v>
      </c>
      <c r="Q4" s="149" t="s">
        <v>87</v>
      </c>
      <c r="R4" s="106"/>
    </row>
    <row r="5" spans="1:18" s="95" customFormat="1" ht="236.25">
      <c r="A5" s="95" t="s">
        <v>149</v>
      </c>
      <c r="B5" s="95" t="s">
        <v>88</v>
      </c>
      <c r="C5" s="95" t="s">
        <v>161</v>
      </c>
      <c r="D5" s="168" t="s">
        <v>162</v>
      </c>
      <c r="E5" s="95" t="s">
        <v>150</v>
      </c>
      <c r="F5" s="96" t="str">
        <f>IF(CasoPrueba[[#This Row],[Estado Testing]]=Resumen!$P$28,"OK",IF(CasoPrueba[[#This Row],[Estado Testing]]=Resumen!$P$29,"NO OK",IF((CasoPrueba[[#This Row],[Estado Testing]]=Resumen!$P$30)+(CasoPrueba[[#This Row],[Estado Testing]]=Resumen!$P$31),"OBSERVADO","")))</f>
        <v>NO OK</v>
      </c>
      <c r="G5" s="95" t="s">
        <v>20</v>
      </c>
      <c r="H5" s="95" t="s">
        <v>28</v>
      </c>
      <c r="I5" s="97" t="s">
        <v>206</v>
      </c>
      <c r="J5" s="95" t="s">
        <v>47</v>
      </c>
      <c r="L5" s="98" t="str">
        <f>General!$A$10</f>
        <v>-</v>
      </c>
      <c r="M5" s="98" t="str">
        <f>General!$A$10</f>
        <v>-</v>
      </c>
      <c r="P5" s="97" t="s">
        <v>309</v>
      </c>
      <c r="Q5" s="97" t="str">
        <f>CONCATENATE(General!$B$7," ",General!$B$6)</f>
        <v>Nicolay García José Ramos Ramírez</v>
      </c>
      <c r="R5" s="107"/>
    </row>
    <row r="6" spans="1:18" ht="157.5">
      <c r="A6" s="95" t="s">
        <v>149</v>
      </c>
      <c r="B6" s="95" t="s">
        <v>178</v>
      </c>
      <c r="C6" s="95" t="s">
        <v>161</v>
      </c>
      <c r="D6" t="s">
        <v>192</v>
      </c>
      <c r="E6" s="95" t="s">
        <v>150</v>
      </c>
      <c r="F6" s="96" t="str">
        <f>IF(CasoPrueba[[#This Row],[Estado Testing]]=Resumen!$P$28,"OK",IF(CasoPrueba[[#This Row],[Estado Testing]]=Resumen!$P$29,"NO OK",IF((CasoPrueba[[#This Row],[Estado Testing]]=Resumen!$P$30)+(CasoPrueba[[#This Row],[Estado Testing]]=Resumen!$P$31),"OBSERVADO","")))</f>
        <v>NO OK</v>
      </c>
      <c r="G6" s="95" t="s">
        <v>20</v>
      </c>
      <c r="H6" s="95" t="s">
        <v>28</v>
      </c>
      <c r="I6" s="97" t="s">
        <v>260</v>
      </c>
      <c r="J6" s="95" t="s">
        <v>47</v>
      </c>
      <c r="K6" s="95"/>
      <c r="L6" s="98"/>
      <c r="M6" s="98"/>
      <c r="N6" s="95"/>
      <c r="O6" s="95"/>
      <c r="P6" s="97" t="s">
        <v>310</v>
      </c>
      <c r="Q6" s="97" t="str">
        <f>CONCATENATE(General!$B$7," ",General!$B$6)</f>
        <v>Nicolay García José Ramos Ramírez</v>
      </c>
    </row>
    <row r="7" spans="1:18" ht="101.25">
      <c r="A7" s="95" t="s">
        <v>149</v>
      </c>
      <c r="B7" s="95" t="s">
        <v>179</v>
      </c>
      <c r="C7" s="95" t="s">
        <v>161</v>
      </c>
      <c r="D7" t="s">
        <v>193</v>
      </c>
      <c r="E7" s="95" t="s">
        <v>150</v>
      </c>
      <c r="F7" s="96" t="str">
        <f>IF(CasoPrueba[[#This Row],[Estado Testing]]=Resumen!$P$28,"OK",IF(CasoPrueba[[#This Row],[Estado Testing]]=Resumen!$P$29,"NO OK",IF((CasoPrueba[[#This Row],[Estado Testing]]=Resumen!$P$30)+(CasoPrueba[[#This Row],[Estado Testing]]=Resumen!$P$31),"OBSERVADO","")))</f>
        <v>NO OK</v>
      </c>
      <c r="G7" s="95" t="s">
        <v>20</v>
      </c>
      <c r="H7" s="95" t="s">
        <v>28</v>
      </c>
      <c r="I7" s="97" t="s">
        <v>206</v>
      </c>
      <c r="J7" s="95" t="s">
        <v>47</v>
      </c>
      <c r="K7" s="95"/>
      <c r="L7" s="98"/>
      <c r="M7" s="98"/>
      <c r="N7" s="95"/>
      <c r="O7" s="95"/>
      <c r="P7" s="97" t="s">
        <v>311</v>
      </c>
      <c r="Q7" s="97" t="str">
        <f>CONCATENATE(General!$B$7," ",General!$B$6)</f>
        <v>Nicolay García José Ramos Ramírez</v>
      </c>
    </row>
    <row r="8" spans="1:18" ht="225">
      <c r="A8" s="95" t="s">
        <v>149</v>
      </c>
      <c r="B8" s="95" t="s">
        <v>180</v>
      </c>
      <c r="C8" s="95" t="s">
        <v>161</v>
      </c>
      <c r="D8" t="s">
        <v>194</v>
      </c>
      <c r="E8" s="95" t="s">
        <v>150</v>
      </c>
      <c r="F8" s="96" t="str">
        <f>IF(CasoPrueba[[#This Row],[Estado Testing]]=Resumen!$P$28,"OK",IF(CasoPrueba[[#This Row],[Estado Testing]]=Resumen!$P$29,"NO OK",IF((CasoPrueba[[#This Row],[Estado Testing]]=Resumen!$P$30)+(CasoPrueba[[#This Row],[Estado Testing]]=Resumen!$P$31),"OBSERVADO","")))</f>
        <v>NO OK</v>
      </c>
      <c r="G8" s="95" t="s">
        <v>20</v>
      </c>
      <c r="H8" s="95" t="s">
        <v>28</v>
      </c>
      <c r="I8" s="97" t="s">
        <v>206</v>
      </c>
      <c r="J8" s="95" t="s">
        <v>47</v>
      </c>
      <c r="K8" s="95"/>
      <c r="L8" s="98"/>
      <c r="M8" s="98"/>
      <c r="N8" s="95"/>
      <c r="O8" s="95"/>
      <c r="P8" s="97" t="s">
        <v>312</v>
      </c>
      <c r="Q8" s="97" t="str">
        <f>CONCATENATE(General!$B$7," ",General!$B$6)</f>
        <v>Nicolay García José Ramos Ramírez</v>
      </c>
    </row>
    <row r="9" spans="1:18" ht="67.5">
      <c r="A9" s="95" t="s">
        <v>149</v>
      </c>
      <c r="B9" s="95" t="s">
        <v>181</v>
      </c>
      <c r="C9" s="95" t="s">
        <v>161</v>
      </c>
      <c r="D9" t="s">
        <v>195</v>
      </c>
      <c r="E9" s="95" t="s">
        <v>150</v>
      </c>
      <c r="F9" s="96" t="str">
        <f>IF(CasoPrueba[[#This Row],[Estado Testing]]=Resumen!$P$28,"OK",IF(CasoPrueba[[#This Row],[Estado Testing]]=Resumen!$P$29,"NO OK",IF((CasoPrueba[[#This Row],[Estado Testing]]=Resumen!$P$30)+(CasoPrueba[[#This Row],[Estado Testing]]=Resumen!$P$31),"OBSERVADO","")))</f>
        <v>NO OK</v>
      </c>
      <c r="G9" s="95" t="s">
        <v>20</v>
      </c>
      <c r="H9" s="95" t="s">
        <v>28</v>
      </c>
      <c r="I9" s="97" t="s">
        <v>206</v>
      </c>
      <c r="J9" s="95" t="s">
        <v>47</v>
      </c>
      <c r="K9" s="95"/>
      <c r="L9" s="98"/>
      <c r="M9" s="98"/>
      <c r="N9" s="95"/>
      <c r="O9" s="95"/>
      <c r="P9" s="97" t="s">
        <v>313</v>
      </c>
      <c r="Q9" s="97" t="str">
        <f>CONCATENATE(General!$B$7," ",General!$B$6)</f>
        <v>Nicolay García José Ramos Ramírez</v>
      </c>
    </row>
    <row r="10" spans="1:18" ht="45">
      <c r="A10" s="95" t="s">
        <v>149</v>
      </c>
      <c r="B10" s="95" t="s">
        <v>182</v>
      </c>
      <c r="C10" s="95" t="s">
        <v>161</v>
      </c>
      <c r="D10" t="s">
        <v>196</v>
      </c>
      <c r="E10" s="95" t="s">
        <v>150</v>
      </c>
      <c r="F10" s="96" t="str">
        <f>IF(CasoPrueba[[#This Row],[Estado Testing]]=Resumen!$P$28,"OK",IF(CasoPrueba[[#This Row],[Estado Testing]]=Resumen!$P$29,"NO OK",IF((CasoPrueba[[#This Row],[Estado Testing]]=Resumen!$P$30)+(CasoPrueba[[#This Row],[Estado Testing]]=Resumen!$P$31),"OBSERVADO","")))</f>
        <v>NO OK</v>
      </c>
      <c r="G10" s="95" t="s">
        <v>20</v>
      </c>
      <c r="H10" s="95" t="s">
        <v>28</v>
      </c>
      <c r="I10" s="97" t="s">
        <v>206</v>
      </c>
      <c r="J10" s="95" t="s">
        <v>47</v>
      </c>
      <c r="K10" s="95"/>
      <c r="L10" s="98"/>
      <c r="M10" s="98"/>
      <c r="N10" s="95"/>
      <c r="O10" s="95"/>
      <c r="P10" s="97" t="s">
        <v>314</v>
      </c>
      <c r="Q10" s="97" t="str">
        <f>CONCATENATE(General!$B$7," ",General!$B$6)</f>
        <v>Nicolay García José Ramos Ramírez</v>
      </c>
    </row>
    <row r="11" spans="1:18" ht="123.75">
      <c r="A11" s="95" t="s">
        <v>149</v>
      </c>
      <c r="B11" s="95" t="s">
        <v>183</v>
      </c>
      <c r="C11" s="95" t="s">
        <v>161</v>
      </c>
      <c r="D11" t="s">
        <v>197</v>
      </c>
      <c r="E11" s="95" t="s">
        <v>150</v>
      </c>
      <c r="F11" s="96" t="str">
        <f>IF(CasoPrueba[[#This Row],[Estado Testing]]=Resumen!$P$28,"OK",IF(CasoPrueba[[#This Row],[Estado Testing]]=Resumen!$P$29,"NO OK",IF((CasoPrueba[[#This Row],[Estado Testing]]=Resumen!$P$30)+(CasoPrueba[[#This Row],[Estado Testing]]=Resumen!$P$31),"OBSERVADO","")))</f>
        <v>NO OK</v>
      </c>
      <c r="G11" s="95" t="s">
        <v>20</v>
      </c>
      <c r="H11" s="95" t="s">
        <v>28</v>
      </c>
      <c r="I11" s="97" t="s">
        <v>206</v>
      </c>
      <c r="J11" s="95" t="s">
        <v>47</v>
      </c>
      <c r="K11" s="95"/>
      <c r="L11" s="98"/>
      <c r="M11" s="98"/>
      <c r="N11" s="95"/>
      <c r="O11" s="95"/>
      <c r="P11" s="97" t="s">
        <v>315</v>
      </c>
      <c r="Q11" s="97" t="str">
        <f>CONCATENATE(General!$B$7," ",General!$B$6)</f>
        <v>Nicolay García José Ramos Ramírez</v>
      </c>
    </row>
    <row r="12" spans="1:18" ht="90">
      <c r="A12" s="95" t="s">
        <v>149</v>
      </c>
      <c r="B12" s="95" t="s">
        <v>184</v>
      </c>
      <c r="C12" s="95" t="s">
        <v>161</v>
      </c>
      <c r="D12" t="s">
        <v>198</v>
      </c>
      <c r="E12" s="95" t="s">
        <v>150</v>
      </c>
      <c r="F12" s="96" t="str">
        <f>IF(CasoPrueba[[#This Row],[Estado Testing]]=Resumen!$P$28,"OK",IF(CasoPrueba[[#This Row],[Estado Testing]]=Resumen!$P$29,"NO OK",IF((CasoPrueba[[#This Row],[Estado Testing]]=Resumen!$P$30)+(CasoPrueba[[#This Row],[Estado Testing]]=Resumen!$P$31),"OBSERVADO","")))</f>
        <v>NO OK</v>
      </c>
      <c r="G12" s="95" t="s">
        <v>20</v>
      </c>
      <c r="H12" s="95" t="s">
        <v>28</v>
      </c>
      <c r="I12" s="97" t="s">
        <v>206</v>
      </c>
      <c r="J12" s="95" t="s">
        <v>47</v>
      </c>
      <c r="K12" s="95"/>
      <c r="L12" s="98"/>
      <c r="M12" s="98"/>
      <c r="N12" s="95"/>
      <c r="O12" s="95"/>
      <c r="P12" s="97" t="s">
        <v>316</v>
      </c>
      <c r="Q12" s="97" t="str">
        <f>CONCATENATE(General!$B$7," ",General!$B$6)</f>
        <v>Nicolay García José Ramos Ramírez</v>
      </c>
    </row>
    <row r="13" spans="1:18" ht="112.5">
      <c r="A13" s="95" t="s">
        <v>149</v>
      </c>
      <c r="B13" s="95" t="s">
        <v>185</v>
      </c>
      <c r="C13" s="95" t="s">
        <v>161</v>
      </c>
      <c r="D13" t="s">
        <v>199</v>
      </c>
      <c r="E13" s="95" t="s">
        <v>150</v>
      </c>
      <c r="F13" s="96" t="str">
        <f>IF(CasoPrueba[[#This Row],[Estado Testing]]=Resumen!$P$28,"OK",IF(CasoPrueba[[#This Row],[Estado Testing]]=Resumen!$P$29,"NO OK",IF((CasoPrueba[[#This Row],[Estado Testing]]=Resumen!$P$30)+(CasoPrueba[[#This Row],[Estado Testing]]=Resumen!$P$31),"OBSERVADO","")))</f>
        <v>NO OK</v>
      </c>
      <c r="G13" s="95" t="s">
        <v>20</v>
      </c>
      <c r="H13" s="95" t="s">
        <v>28</v>
      </c>
      <c r="I13" s="97" t="s">
        <v>206</v>
      </c>
      <c r="J13" s="95" t="s">
        <v>47</v>
      </c>
      <c r="K13" s="95"/>
      <c r="L13" s="98"/>
      <c r="M13" s="98"/>
      <c r="N13" s="95"/>
      <c r="O13" s="95"/>
      <c r="P13" s="97" t="s">
        <v>317</v>
      </c>
      <c r="Q13" s="97" t="str">
        <f>CONCATENATE(General!$B$7," ",General!$B$6)</f>
        <v>Nicolay García José Ramos Ramírez</v>
      </c>
    </row>
    <row r="14" spans="1:18" ht="45">
      <c r="A14" s="95" t="s">
        <v>149</v>
      </c>
      <c r="B14" s="95" t="s">
        <v>186</v>
      </c>
      <c r="C14" s="95" t="s">
        <v>161</v>
      </c>
      <c r="D14" s="31" t="s">
        <v>200</v>
      </c>
      <c r="E14" s="95" t="s">
        <v>150</v>
      </c>
      <c r="F14" s="96" t="str">
        <f>IF(CasoPrueba[[#This Row],[Estado Testing]]=Resumen!$P$28,"OK",IF(CasoPrueba[[#This Row],[Estado Testing]]=Resumen!$P$29,"NO OK",IF((CasoPrueba[[#This Row],[Estado Testing]]=Resumen!$P$30)+(CasoPrueba[[#This Row],[Estado Testing]]=Resumen!$P$31),"OBSERVADO","")))</f>
        <v>NO OK</v>
      </c>
      <c r="G14" s="97" t="s">
        <v>20</v>
      </c>
      <c r="H14" s="95" t="s">
        <v>28</v>
      </c>
      <c r="I14" s="97" t="s">
        <v>206</v>
      </c>
      <c r="J14" s="95" t="s">
        <v>47</v>
      </c>
      <c r="K14" s="95"/>
      <c r="L14" s="98" t="str">
        <f>General!$A$10</f>
        <v>-</v>
      </c>
      <c r="M14" s="98" t="str">
        <f>General!$A$10</f>
        <v>-</v>
      </c>
      <c r="N14" s="95"/>
      <c r="O14" s="95"/>
      <c r="P14" s="97" t="s">
        <v>318</v>
      </c>
      <c r="Q14" s="97" t="str">
        <f>CONCATENATE(General!$B$7," ",General!$B$6)</f>
        <v>Nicolay García José Ramos Ramírez</v>
      </c>
    </row>
    <row r="15" spans="1:18" ht="22.5">
      <c r="A15" s="95" t="s">
        <v>149</v>
      </c>
      <c r="B15" s="95" t="s">
        <v>187</v>
      </c>
      <c r="C15" s="95" t="s">
        <v>161</v>
      </c>
      <c r="D15" s="31" t="s">
        <v>201</v>
      </c>
      <c r="E15" s="95" t="s">
        <v>150</v>
      </c>
      <c r="F15" s="96" t="str">
        <f>IF(CasoPrueba[[#This Row],[Estado Testing]]=Resumen!$P$28,"OK",IF(CasoPrueba[[#This Row],[Estado Testing]]=Resumen!$P$29,"NO OK",IF((CasoPrueba[[#This Row],[Estado Testing]]=Resumen!$P$30)+(CasoPrueba[[#This Row],[Estado Testing]]=Resumen!$P$31),"OBSERVADO","")))</f>
        <v/>
      </c>
      <c r="G15" s="97"/>
      <c r="H15" s="95" t="s">
        <v>28</v>
      </c>
      <c r="I15" s="97"/>
      <c r="J15" s="95"/>
      <c r="K15" s="95"/>
      <c r="L15" s="98" t="str">
        <f>General!$A$10</f>
        <v>-</v>
      </c>
      <c r="M15" s="98" t="str">
        <f>General!$A$10</f>
        <v>-</v>
      </c>
      <c r="N15" s="95"/>
      <c r="O15" s="95"/>
      <c r="P15" s="97"/>
      <c r="Q15" s="97" t="str">
        <f>CONCATENATE(General!$B$7," ",General!$B$6)</f>
        <v>Nicolay García José Ramos Ramírez</v>
      </c>
    </row>
    <row r="16" spans="1:18" ht="30">
      <c r="A16" s="95" t="s">
        <v>149</v>
      </c>
      <c r="B16" s="95" t="s">
        <v>188</v>
      </c>
      <c r="C16" s="95" t="s">
        <v>161</v>
      </c>
      <c r="D16" s="31" t="s">
        <v>202</v>
      </c>
      <c r="E16" s="95" t="s">
        <v>150</v>
      </c>
      <c r="F16" s="96" t="str">
        <f>IF(CasoPrueba[[#This Row],[Estado Testing]]=Resumen!$P$28,"OK",IF(CasoPrueba[[#This Row],[Estado Testing]]=Resumen!$P$29,"NO OK",IF((CasoPrueba[[#This Row],[Estado Testing]]=Resumen!$P$30)+(CasoPrueba[[#This Row],[Estado Testing]]=Resumen!$P$31),"OBSERVADO","")))</f>
        <v/>
      </c>
      <c r="G16" s="97"/>
      <c r="H16" s="95" t="s">
        <v>28</v>
      </c>
      <c r="I16" s="97"/>
      <c r="J16" s="95"/>
      <c r="K16" s="95"/>
      <c r="L16" s="98" t="str">
        <f>General!$A$10</f>
        <v>-</v>
      </c>
      <c r="M16" s="98" t="str">
        <f>General!$A$10</f>
        <v>-</v>
      </c>
      <c r="N16" s="95"/>
      <c r="O16" s="95"/>
      <c r="P16" s="97"/>
      <c r="Q16" s="97" t="str">
        <f>CONCATENATE(General!$B$7," ",General!$B$6)</f>
        <v>Nicolay García José Ramos Ramírez</v>
      </c>
    </row>
    <row r="17" spans="1:17" ht="22.5">
      <c r="A17" s="95" t="s">
        <v>149</v>
      </c>
      <c r="B17" s="95" t="s">
        <v>189</v>
      </c>
      <c r="C17" s="95" t="s">
        <v>161</v>
      </c>
      <c r="D17" s="31" t="s">
        <v>203</v>
      </c>
      <c r="E17" s="95" t="s">
        <v>150</v>
      </c>
      <c r="F17" s="96" t="str">
        <f>IF(CasoPrueba[[#This Row],[Estado Testing]]=Resumen!$P$28,"OK",IF(CasoPrueba[[#This Row],[Estado Testing]]=Resumen!$P$29,"NO OK",IF((CasoPrueba[[#This Row],[Estado Testing]]=Resumen!$P$30)+(CasoPrueba[[#This Row],[Estado Testing]]=Resumen!$P$31),"OBSERVADO","")))</f>
        <v/>
      </c>
      <c r="G17" s="97"/>
      <c r="H17" s="95" t="s">
        <v>28</v>
      </c>
      <c r="I17" s="97"/>
      <c r="J17" s="95"/>
      <c r="K17" s="95"/>
      <c r="L17" s="98" t="str">
        <f>General!$A$10</f>
        <v>-</v>
      </c>
      <c r="M17" s="98" t="str">
        <f>General!$A$10</f>
        <v>-</v>
      </c>
      <c r="N17" s="95"/>
      <c r="O17" s="95"/>
      <c r="P17" s="97"/>
      <c r="Q17" s="97" t="str">
        <f>CONCATENATE(General!$B$7," ",General!$B$6)</f>
        <v>Nicolay García José Ramos Ramírez</v>
      </c>
    </row>
    <row r="18" spans="1:17" ht="30">
      <c r="A18" s="95" t="s">
        <v>149</v>
      </c>
      <c r="B18" s="95" t="s">
        <v>190</v>
      </c>
      <c r="C18" s="95" t="s">
        <v>161</v>
      </c>
      <c r="D18" s="31" t="s">
        <v>204</v>
      </c>
      <c r="E18" s="95" t="s">
        <v>150</v>
      </c>
      <c r="F18" s="96" t="str">
        <f>IF(CasoPrueba[[#This Row],[Estado Testing]]=Resumen!$P$28,"OK",IF(CasoPrueba[[#This Row],[Estado Testing]]=Resumen!$P$29,"NO OK",IF((CasoPrueba[[#This Row],[Estado Testing]]=Resumen!$P$30)+(CasoPrueba[[#This Row],[Estado Testing]]=Resumen!$P$31),"OBSERVADO","")))</f>
        <v/>
      </c>
      <c r="G18" s="97"/>
      <c r="H18" s="95" t="s">
        <v>28</v>
      </c>
      <c r="I18" s="97"/>
      <c r="J18" s="95"/>
      <c r="K18" s="95"/>
      <c r="L18" s="98" t="str">
        <f>General!$A$10</f>
        <v>-</v>
      </c>
      <c r="M18" s="98" t="str">
        <f>General!$A$10</f>
        <v>-</v>
      </c>
      <c r="N18" s="95"/>
      <c r="O18" s="95"/>
      <c r="P18" s="97"/>
      <c r="Q18" s="97" t="str">
        <f>CONCATENATE(General!$B$7," ",General!$B$6)</f>
        <v>Nicolay García José Ramos Ramírez</v>
      </c>
    </row>
    <row r="19" spans="1:17" ht="30">
      <c r="A19" s="95" t="s">
        <v>149</v>
      </c>
      <c r="B19" s="95" t="s">
        <v>191</v>
      </c>
      <c r="C19" s="95" t="s">
        <v>161</v>
      </c>
      <c r="D19" s="31" t="s">
        <v>205</v>
      </c>
      <c r="E19" s="95" t="s">
        <v>150</v>
      </c>
      <c r="F19" s="96" t="str">
        <f>IF(CasoPrueba[[#This Row],[Estado Testing]]=Resumen!$P$28,"OK",IF(CasoPrueba[[#This Row],[Estado Testing]]=Resumen!$P$29,"NO OK",IF((CasoPrueba[[#This Row],[Estado Testing]]=Resumen!$P$30)+(CasoPrueba[[#This Row],[Estado Testing]]=Resumen!$P$31),"OBSERVADO","")))</f>
        <v/>
      </c>
      <c r="G19" s="97"/>
      <c r="H19" s="95" t="s">
        <v>28</v>
      </c>
      <c r="I19" s="97"/>
      <c r="J19" s="95"/>
      <c r="K19" s="95"/>
      <c r="L19" s="98" t="str">
        <f>General!$A$10</f>
        <v>-</v>
      </c>
      <c r="M19" s="98" t="str">
        <f>General!$A$10</f>
        <v>-</v>
      </c>
      <c r="N19" s="95"/>
      <c r="O19" s="95"/>
      <c r="P19" s="97"/>
      <c r="Q19" s="97" t="str">
        <f>CONCATENATE(General!$B$7," ",General!$B$6)</f>
        <v>Nicolay García José Ramos Ramírez</v>
      </c>
    </row>
  </sheetData>
  <scenarios current="0" show="0">
    <scenario name="Registro de Incidencia" locked="1" count="1" user="oecastillom" comment="Creado por oecastillom el 09/02/2011">
      <inputCells r="J5" val="&quot;Abierta&quot;"/>
    </scenario>
  </scenarios>
  <mergeCells count="1">
    <mergeCell ref="G2:N2"/>
  </mergeCells>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Resumen!$P$27:$P$32</xm:f>
          </x14:formula1>
          <xm:sqref>G5:G13</xm:sqref>
        </x14:dataValidation>
        <x14:dataValidation type="list" allowBlank="1" showInputMessage="1" showErrorMessage="1">
          <x14:formula1>
            <xm:f>Resumen!$P$17:$P$19</xm:f>
          </x14:formula1>
          <xm:sqref>H5:H13</xm:sqref>
        </x14:dataValidation>
      </x14:dataValidations>
    </ext>
  </extLst>
</worksheet>
</file>

<file path=xl/worksheets/sheet5.xml><?xml version="1.0" encoding="utf-8"?>
<worksheet xmlns="http://schemas.openxmlformats.org/spreadsheetml/2006/main" xmlns:r="http://schemas.openxmlformats.org/officeDocument/2006/relationships">
  <sheetPr codeName="Hoja5"/>
  <dimension ref="A1:XFC76"/>
  <sheetViews>
    <sheetView zoomScale="70" zoomScaleNormal="70" workbookViewId="0">
      <selection activeCell="F14" sqref="F14"/>
    </sheetView>
  </sheetViews>
  <sheetFormatPr baseColWidth="10" defaultColWidth="0" defaultRowHeight="15"/>
  <cols>
    <col min="1" max="1" width="12.7109375" style="77" customWidth="1"/>
    <col min="2" max="5" width="12.7109375" style="34" customWidth="1"/>
    <col min="6" max="7" width="12.7109375" style="78" customWidth="1"/>
    <col min="8" max="8" width="13.28515625" style="99" customWidth="1"/>
    <col min="9" max="9" width="41.5703125" style="34" customWidth="1"/>
    <col min="10" max="10" width="40.42578125" style="34" customWidth="1"/>
    <col min="11" max="11" width="12.7109375" style="31" customWidth="1"/>
    <col min="12" max="12" width="13.85546875" style="31" customWidth="1"/>
    <col min="13" max="16383" width="11.42578125" style="31" hidden="1"/>
    <col min="16384" max="16384" width="3.7109375" style="31" hidden="1" customWidth="1"/>
  </cols>
  <sheetData>
    <row r="1" spans="1:14" customFormat="1" ht="31.5">
      <c r="A1" s="197" t="s">
        <v>96</v>
      </c>
      <c r="B1" s="197"/>
      <c r="C1" s="197"/>
      <c r="D1" s="197"/>
      <c r="E1" s="197"/>
      <c r="F1" s="197"/>
      <c r="G1" s="197"/>
      <c r="H1" s="197"/>
      <c r="I1" s="197"/>
      <c r="J1" s="197"/>
      <c r="K1" s="197"/>
      <c r="N1" s="31" t="s">
        <v>131</v>
      </c>
    </row>
    <row r="2" spans="1:14" s="76" customFormat="1" ht="38.25">
      <c r="A2" s="158" t="s">
        <v>89</v>
      </c>
      <c r="B2" s="159" t="s">
        <v>90</v>
      </c>
      <c r="C2" s="159" t="s">
        <v>78</v>
      </c>
      <c r="D2" s="159" t="s">
        <v>79</v>
      </c>
      <c r="E2" s="159" t="s">
        <v>91</v>
      </c>
      <c r="F2" s="160" t="s">
        <v>92</v>
      </c>
      <c r="G2" s="160" t="s">
        <v>93</v>
      </c>
      <c r="H2" s="160" t="s">
        <v>128</v>
      </c>
      <c r="I2" s="159" t="s">
        <v>3</v>
      </c>
      <c r="J2" s="159" t="s">
        <v>94</v>
      </c>
      <c r="K2" s="161" t="s">
        <v>103</v>
      </c>
      <c r="L2" s="161" t="s">
        <v>142</v>
      </c>
      <c r="N2" s="31" t="s">
        <v>132</v>
      </c>
    </row>
    <row r="3" spans="1:14" ht="45">
      <c r="A3" s="34" t="s">
        <v>167</v>
      </c>
      <c r="B3" s="34" t="s">
        <v>88</v>
      </c>
      <c r="C3" s="34" t="str">
        <f>VLOOKUP([Caso de Prueba],CasoPrueba[[#All],[Código CP]:[Prioridad]],7,TRUE)</f>
        <v>Alta</v>
      </c>
      <c r="D3" s="34" t="s">
        <v>206</v>
      </c>
      <c r="E3" s="34" t="s">
        <v>47</v>
      </c>
      <c r="F3" s="78">
        <v>40784</v>
      </c>
      <c r="H3" s="99" t="s">
        <v>131</v>
      </c>
      <c r="I3" s="34" t="s">
        <v>214</v>
      </c>
      <c r="K3" s="34">
        <f>IF((Observaciones[[#This Row],[Fecha Levantamiento]]-Observaciones[[#This Row],[Fecha Detección]])&gt;=0,Observaciones[[#This Row],[Fecha Levantamiento]]-Observaciones[[#This Row],[Fecha Detección]]+1,0)</f>
        <v>0</v>
      </c>
      <c r="L3" s="34" t="str">
        <f>LOOKUP(Observaciones[[#This Row],[Caso de Prueba]],CasoPrueba[Código CP],CasoPrueba[Código de REQ])</f>
        <v>INSPECCIÓN</v>
      </c>
    </row>
    <row r="4" spans="1:14" ht="30">
      <c r="A4" s="34" t="s">
        <v>151</v>
      </c>
      <c r="B4" s="34" t="s">
        <v>88</v>
      </c>
      <c r="C4" s="34" t="str">
        <f>VLOOKUP([Caso de Prueba],CasoPrueba[[#All],[Código CP]:[Prioridad]],7,TRUE)</f>
        <v>Alta</v>
      </c>
      <c r="D4" s="34" t="s">
        <v>206</v>
      </c>
      <c r="E4" s="34" t="s">
        <v>47</v>
      </c>
      <c r="F4" s="78">
        <v>40784</v>
      </c>
      <c r="H4" s="99" t="s">
        <v>131</v>
      </c>
      <c r="I4" s="34" t="s">
        <v>168</v>
      </c>
      <c r="K4" s="34">
        <f>IF((Observaciones[[#This Row],[Fecha Levantamiento]]-Observaciones[[#This Row],[Fecha Detección]])&gt;=0,Observaciones[[#This Row],[Fecha Levantamiento]]-Observaciones[[#This Row],[Fecha Detección]]+1,0)</f>
        <v>0</v>
      </c>
      <c r="L4" s="34" t="str">
        <f>LOOKUP(Observaciones[[#This Row],[Caso de Prueba]],CasoPrueba[Código CP],CasoPrueba[Código de REQ])</f>
        <v>INSPECCIÓN</v>
      </c>
    </row>
    <row r="5" spans="1:14" ht="30">
      <c r="A5" s="34" t="s">
        <v>152</v>
      </c>
      <c r="B5" s="34" t="s">
        <v>88</v>
      </c>
      <c r="C5" s="34" t="str">
        <f>VLOOKUP([Caso de Prueba],CasoPrueba[[#All],[Código CP]:[Prioridad]],7,TRUE)</f>
        <v>Alta</v>
      </c>
      <c r="D5" s="34" t="s">
        <v>207</v>
      </c>
      <c r="E5" s="34" t="s">
        <v>47</v>
      </c>
      <c r="F5" s="78">
        <v>40784</v>
      </c>
      <c r="H5" s="99" t="s">
        <v>131</v>
      </c>
      <c r="I5" s="34" t="s">
        <v>169</v>
      </c>
      <c r="K5" s="34">
        <f>IF((Observaciones[[#This Row],[Fecha Levantamiento]]-Observaciones[[#This Row],[Fecha Detección]])&gt;=0,Observaciones[[#This Row],[Fecha Levantamiento]]-Observaciones[[#This Row],[Fecha Detección]]+1,0)</f>
        <v>0</v>
      </c>
      <c r="L5" s="34" t="str">
        <f>LOOKUP(Observaciones[[#This Row],[Caso de Prueba]],CasoPrueba[Código CP],CasoPrueba[Código de REQ])</f>
        <v>INSPECCIÓN</v>
      </c>
    </row>
    <row r="6" spans="1:14" ht="30">
      <c r="A6" s="34" t="s">
        <v>153</v>
      </c>
      <c r="B6" s="34" t="s">
        <v>88</v>
      </c>
      <c r="C6" s="34" t="str">
        <f>VLOOKUP([Caso de Prueba],CasoPrueba[[#All],[Código CP]:[Prioridad]],7,TRUE)</f>
        <v>Alta</v>
      </c>
      <c r="D6" s="34" t="s">
        <v>207</v>
      </c>
      <c r="E6" s="34" t="s">
        <v>47</v>
      </c>
      <c r="F6" s="78">
        <v>40784</v>
      </c>
      <c r="H6" s="99" t="s">
        <v>131</v>
      </c>
      <c r="I6" s="34" t="s">
        <v>170</v>
      </c>
      <c r="K6" s="34">
        <f>IF((Observaciones[[#This Row],[Fecha Levantamiento]]-Observaciones[[#This Row],[Fecha Detección]])&gt;=0,Observaciones[[#This Row],[Fecha Levantamiento]]-Observaciones[[#This Row],[Fecha Detección]]+1,0)</f>
        <v>0</v>
      </c>
      <c r="L6" s="34" t="str">
        <f>LOOKUP(Observaciones[[#This Row],[Caso de Prueba]],CasoPrueba[Código CP],CasoPrueba[Código de REQ])</f>
        <v>INSPECCIÓN</v>
      </c>
    </row>
    <row r="7" spans="1:14" ht="30">
      <c r="A7" s="34" t="s">
        <v>154</v>
      </c>
      <c r="B7" s="34" t="s">
        <v>88</v>
      </c>
      <c r="C7" s="34" t="str">
        <f>VLOOKUP([Caso de Prueba],CasoPrueba[[#All],[Código CP]:[Prioridad]],7,TRUE)</f>
        <v>Alta</v>
      </c>
      <c r="D7" s="34" t="s">
        <v>207</v>
      </c>
      <c r="E7" s="34" t="s">
        <v>47</v>
      </c>
      <c r="F7" s="78">
        <v>40784</v>
      </c>
      <c r="H7" s="99" t="s">
        <v>131</v>
      </c>
      <c r="I7" s="34" t="s">
        <v>171</v>
      </c>
      <c r="K7" s="34">
        <f>IF((Observaciones[[#This Row],[Fecha Levantamiento]]-Observaciones[[#This Row],[Fecha Detección]])&gt;=0,Observaciones[[#This Row],[Fecha Levantamiento]]-Observaciones[[#This Row],[Fecha Detección]]+1,0)</f>
        <v>0</v>
      </c>
      <c r="L7" s="34" t="str">
        <f>LOOKUP(Observaciones[[#This Row],[Caso de Prueba]],CasoPrueba[Código CP],CasoPrueba[Código de REQ])</f>
        <v>INSPECCIÓN</v>
      </c>
    </row>
    <row r="8" spans="1:14" ht="30">
      <c r="A8" s="34" t="s">
        <v>155</v>
      </c>
      <c r="B8" s="34" t="s">
        <v>88</v>
      </c>
      <c r="C8" s="34" t="str">
        <f>VLOOKUP([Caso de Prueba],CasoPrueba[[#All],[Código CP]:[Prioridad]],7,TRUE)</f>
        <v>Alta</v>
      </c>
      <c r="D8" s="34" t="s">
        <v>208</v>
      </c>
      <c r="E8" s="34" t="s">
        <v>47</v>
      </c>
      <c r="F8" s="78">
        <v>40784</v>
      </c>
      <c r="H8" s="99" t="s">
        <v>131</v>
      </c>
      <c r="I8" s="34" t="s">
        <v>282</v>
      </c>
      <c r="K8" s="34">
        <f>IF((Observaciones[[#This Row],[Fecha Levantamiento]]-Observaciones[[#This Row],[Fecha Detección]])&gt;=0,Observaciones[[#This Row],[Fecha Levantamiento]]-Observaciones[[#This Row],[Fecha Detección]]+1,0)</f>
        <v>0</v>
      </c>
      <c r="L8" s="34" t="str">
        <f>LOOKUP(Observaciones[[#This Row],[Caso de Prueba]],CasoPrueba[Código CP],CasoPrueba[Código de REQ])</f>
        <v>INSPECCIÓN</v>
      </c>
    </row>
    <row r="9" spans="1:14" ht="60">
      <c r="A9" s="34" t="s">
        <v>156</v>
      </c>
      <c r="B9" s="34" t="s">
        <v>88</v>
      </c>
      <c r="C9" s="34" t="str">
        <f>VLOOKUP([Caso de Prueba],CasoPrueba[[#All],[Código CP]:[Prioridad]],7,TRUE)</f>
        <v>Alta</v>
      </c>
      <c r="D9" s="34" t="s">
        <v>208</v>
      </c>
      <c r="E9" s="34" t="s">
        <v>47</v>
      </c>
      <c r="F9" s="78">
        <v>40784</v>
      </c>
      <c r="H9" s="99" t="s">
        <v>131</v>
      </c>
      <c r="I9" s="34" t="s">
        <v>172</v>
      </c>
      <c r="K9" s="34">
        <f>IF((Observaciones[[#This Row],[Fecha Levantamiento]]-Observaciones[[#This Row],[Fecha Detección]])&gt;=0,Observaciones[[#This Row],[Fecha Levantamiento]]-Observaciones[[#This Row],[Fecha Detección]]+1,0)</f>
        <v>0</v>
      </c>
      <c r="L9" s="34" t="str">
        <f>LOOKUP(Observaciones[[#This Row],[Caso de Prueba]],CasoPrueba[Código CP],CasoPrueba[Código de REQ])</f>
        <v>INSPECCIÓN</v>
      </c>
    </row>
    <row r="10" spans="1:14" ht="30">
      <c r="A10" s="34" t="s">
        <v>157</v>
      </c>
      <c r="B10" s="34" t="s">
        <v>88</v>
      </c>
      <c r="C10" s="34" t="str">
        <f>VLOOKUP([Caso de Prueba],CasoPrueba[[#All],[Código CP]:[Prioridad]],7,TRUE)</f>
        <v>Alta</v>
      </c>
      <c r="D10" s="34" t="s">
        <v>208</v>
      </c>
      <c r="E10" s="34" t="s">
        <v>47</v>
      </c>
      <c r="F10" s="78">
        <v>40784</v>
      </c>
      <c r="H10" s="99" t="s">
        <v>131</v>
      </c>
      <c r="I10" s="34" t="s">
        <v>173</v>
      </c>
      <c r="K10" s="34">
        <f>IF((Observaciones[[#This Row],[Fecha Levantamiento]]-Observaciones[[#This Row],[Fecha Detección]])&gt;=0,Observaciones[[#This Row],[Fecha Levantamiento]]-Observaciones[[#This Row],[Fecha Detección]]+1,0)</f>
        <v>0</v>
      </c>
      <c r="L10" s="34" t="str">
        <f>LOOKUP(Observaciones[[#This Row],[Caso de Prueba]],CasoPrueba[Código CP],CasoPrueba[Código de REQ])</f>
        <v>INSPECCIÓN</v>
      </c>
    </row>
    <row r="11" spans="1:14" ht="68.25" customHeight="1">
      <c r="A11" s="34" t="s">
        <v>158</v>
      </c>
      <c r="B11" s="34" t="s">
        <v>88</v>
      </c>
      <c r="C11" s="34" t="str">
        <f>VLOOKUP([Caso de Prueba],CasoPrueba[[#All],[Código CP]:[Prioridad]],7,TRUE)</f>
        <v>Alta</v>
      </c>
      <c r="D11" s="34" t="s">
        <v>208</v>
      </c>
      <c r="E11" s="34" t="s">
        <v>47</v>
      </c>
      <c r="F11" s="78">
        <v>40784</v>
      </c>
      <c r="H11" s="99" t="s">
        <v>131</v>
      </c>
      <c r="I11" s="34" t="s">
        <v>176</v>
      </c>
      <c r="K11" s="34">
        <f>IF((Observaciones[[#This Row],[Fecha Levantamiento]]-Observaciones[[#This Row],[Fecha Detección]])&gt;=0,Observaciones[[#This Row],[Fecha Levantamiento]]-Observaciones[[#This Row],[Fecha Detección]]+1,0)</f>
        <v>0</v>
      </c>
      <c r="L11" s="34" t="str">
        <f>LOOKUP(Observaciones[[#This Row],[Caso de Prueba]],CasoPrueba[Código CP],CasoPrueba[Código de REQ])</f>
        <v>INSPECCIÓN</v>
      </c>
    </row>
    <row r="12" spans="1:14" ht="45">
      <c r="A12" s="34" t="s">
        <v>209</v>
      </c>
      <c r="B12" s="34" t="s">
        <v>88</v>
      </c>
      <c r="C12" s="34" t="str">
        <f>VLOOKUP([Caso de Prueba],CasoPrueba[[#All],[Código CP]:[Prioridad]],7,TRUE)</f>
        <v>Alta</v>
      </c>
      <c r="D12" s="34" t="s">
        <v>208</v>
      </c>
      <c r="E12" s="34" t="s">
        <v>47</v>
      </c>
      <c r="F12" s="78">
        <v>40784</v>
      </c>
      <c r="H12" s="99" t="s">
        <v>131</v>
      </c>
      <c r="I12" s="34" t="s">
        <v>175</v>
      </c>
      <c r="J12" s="170"/>
      <c r="K12" s="34">
        <f>IF((Observaciones[[#This Row],[Fecha Levantamiento]]-Observaciones[[#This Row],[Fecha Detección]])&gt;=0,Observaciones[[#This Row],[Fecha Levantamiento]]-Observaciones[[#This Row],[Fecha Detección]]+1,0)</f>
        <v>0</v>
      </c>
      <c r="L12" s="34" t="str">
        <f>LOOKUP(Observaciones[[#This Row],[Caso de Prueba]],CasoPrueba[Código CP],CasoPrueba[Código de REQ])</f>
        <v>INSPECCIÓN</v>
      </c>
    </row>
    <row r="13" spans="1:14" ht="33" customHeight="1">
      <c r="A13" s="34" t="s">
        <v>210</v>
      </c>
      <c r="B13" s="34" t="s">
        <v>88</v>
      </c>
      <c r="C13" s="34" t="str">
        <f>VLOOKUP([Caso de Prueba],CasoPrueba[[#All],[Código CP]:[Prioridad]],7,TRUE)</f>
        <v>Alta</v>
      </c>
      <c r="D13" s="34" t="s">
        <v>206</v>
      </c>
      <c r="E13" s="34" t="s">
        <v>47</v>
      </c>
      <c r="F13" s="78">
        <v>40784</v>
      </c>
      <c r="G13" s="171"/>
      <c r="H13" s="99" t="s">
        <v>131</v>
      </c>
      <c r="I13" s="170" t="s">
        <v>174</v>
      </c>
      <c r="J13" s="170"/>
      <c r="K13" s="34">
        <f>IF((Observaciones[[#This Row],[Fecha Levantamiento]]-Observaciones[[#This Row],[Fecha Detección]])&gt;=0,Observaciones[[#This Row],[Fecha Levantamiento]]-Observaciones[[#This Row],[Fecha Detección]]+1,0)</f>
        <v>0</v>
      </c>
      <c r="L13" s="34" t="str">
        <f>LOOKUP(Observaciones[[#This Row],[Caso de Prueba]],CasoPrueba[Código CP],CasoPrueba[Código de REQ])</f>
        <v>INSPECCIÓN</v>
      </c>
    </row>
    <row r="14" spans="1:14" ht="74.25" customHeight="1">
      <c r="A14" s="34" t="s">
        <v>211</v>
      </c>
      <c r="B14" s="34" t="s">
        <v>88</v>
      </c>
      <c r="C14" s="34" t="str">
        <f>VLOOKUP([Caso de Prueba],CasoPrueba[[#All],[Código CP]:[Prioridad]],7,TRUE)</f>
        <v>Alta</v>
      </c>
      <c r="D14" s="34" t="s">
        <v>206</v>
      </c>
      <c r="E14" s="34" t="s">
        <v>47</v>
      </c>
      <c r="F14" s="78">
        <v>40784</v>
      </c>
      <c r="G14" s="171"/>
      <c r="H14" s="99" t="s">
        <v>131</v>
      </c>
      <c r="I14" s="170" t="s">
        <v>177</v>
      </c>
      <c r="J14" s="170"/>
      <c r="K14" s="34">
        <f>IF((Observaciones[[#This Row],[Fecha Levantamiento]]-Observaciones[[#This Row],[Fecha Detección]])&gt;=0,Observaciones[[#This Row],[Fecha Levantamiento]]-Observaciones[[#This Row],[Fecha Detección]]+1,0)</f>
        <v>0</v>
      </c>
      <c r="L14" s="34" t="str">
        <f>LOOKUP(Observaciones[[#This Row],[Caso de Prueba]],CasoPrueba[Código CP],CasoPrueba[Código de REQ])</f>
        <v>INSPECCIÓN</v>
      </c>
    </row>
    <row r="15" spans="1:14" ht="45">
      <c r="A15" s="34" t="s">
        <v>212</v>
      </c>
      <c r="B15" s="34" t="s">
        <v>178</v>
      </c>
      <c r="C15" s="34" t="str">
        <f>VLOOKUP([Caso de Prueba],CasoPrueba[[#All],[Código CP]:[Prioridad]],7,TRUE)</f>
        <v>Alta</v>
      </c>
      <c r="D15" s="34" t="s">
        <v>206</v>
      </c>
      <c r="E15" s="34" t="s">
        <v>47</v>
      </c>
      <c r="F15" s="78">
        <v>40786</v>
      </c>
      <c r="G15" s="171"/>
      <c r="H15" s="99" t="s">
        <v>131</v>
      </c>
      <c r="I15" s="34" t="s">
        <v>214</v>
      </c>
      <c r="J15" s="170"/>
      <c r="K15" s="34">
        <f>IF((Observaciones[[#This Row],[Fecha Levantamiento]]-Observaciones[[#This Row],[Fecha Detección]])&gt;=0,Observaciones[[#This Row],[Fecha Levantamiento]]-Observaciones[[#This Row],[Fecha Detección]]+1,0)</f>
        <v>0</v>
      </c>
      <c r="L15" s="34" t="str">
        <f>LOOKUP(Observaciones[[#This Row],[Caso de Prueba]],CasoPrueba[Código CP],CasoPrueba[Código de REQ])</f>
        <v>INSPECCIÓN</v>
      </c>
    </row>
    <row r="16" spans="1:14" ht="30">
      <c r="A16" s="34" t="s">
        <v>213</v>
      </c>
      <c r="B16" s="34" t="s">
        <v>178</v>
      </c>
      <c r="C16" s="34" t="str">
        <f>VLOOKUP([Caso de Prueba],CasoPrueba[[#All],[Código CP]:[Prioridad]],7,TRUE)</f>
        <v>Alta</v>
      </c>
      <c r="D16" s="170" t="s">
        <v>207</v>
      </c>
      <c r="E16" s="34" t="s">
        <v>47</v>
      </c>
      <c r="F16" s="78">
        <v>40786</v>
      </c>
      <c r="G16" s="171"/>
      <c r="H16" s="99" t="s">
        <v>131</v>
      </c>
      <c r="I16" s="170" t="s">
        <v>256</v>
      </c>
      <c r="J16" s="170"/>
      <c r="K16" s="34">
        <f>IF((Observaciones[[#This Row],[Fecha Levantamiento]]-Observaciones[[#This Row],[Fecha Detección]])&gt;=0,Observaciones[[#This Row],[Fecha Levantamiento]]-Observaciones[[#This Row],[Fecha Detección]]+1,0)</f>
        <v>0</v>
      </c>
      <c r="L16" s="34" t="str">
        <f>LOOKUP(Observaciones[[#This Row],[Caso de Prueba]],CasoPrueba[Código CP],CasoPrueba[Código de REQ])</f>
        <v>INSPECCIÓN</v>
      </c>
    </row>
    <row r="17" spans="1:12" ht="30">
      <c r="A17" s="34" t="s">
        <v>215</v>
      </c>
      <c r="B17" s="34" t="s">
        <v>178</v>
      </c>
      <c r="C17" s="34" t="str">
        <f>VLOOKUP([Caso de Prueba],CasoPrueba[[#All],[Código CP]:[Prioridad]],7,TRUE)</f>
        <v>Alta</v>
      </c>
      <c r="D17" s="170" t="s">
        <v>207</v>
      </c>
      <c r="E17" s="34" t="s">
        <v>47</v>
      </c>
      <c r="F17" s="78">
        <v>40786</v>
      </c>
      <c r="G17" s="171"/>
      <c r="H17" s="99" t="s">
        <v>131</v>
      </c>
      <c r="I17" s="170" t="s">
        <v>257</v>
      </c>
      <c r="J17" s="170"/>
      <c r="K17" s="34">
        <f>IF((Observaciones[[#This Row],[Fecha Levantamiento]]-Observaciones[[#This Row],[Fecha Detección]])&gt;=0,Observaciones[[#This Row],[Fecha Levantamiento]]-Observaciones[[#This Row],[Fecha Detección]]+1,0)</f>
        <v>0</v>
      </c>
      <c r="L17" s="34" t="str">
        <f>LOOKUP(Observaciones[[#This Row],[Caso de Prueba]],CasoPrueba[Código CP],CasoPrueba[Código de REQ])</f>
        <v>INSPECCIÓN</v>
      </c>
    </row>
    <row r="18" spans="1:12" ht="45.75" customHeight="1">
      <c r="A18" s="34" t="s">
        <v>216</v>
      </c>
      <c r="B18" s="34" t="s">
        <v>178</v>
      </c>
      <c r="C18" s="34" t="str">
        <f>VLOOKUP([Caso de Prueba],CasoPrueba[[#All],[Código CP]:[Prioridad]],7,TRUE)</f>
        <v>Alta</v>
      </c>
      <c r="D18" s="34" t="s">
        <v>208</v>
      </c>
      <c r="E18" s="34" t="s">
        <v>47</v>
      </c>
      <c r="F18" s="78">
        <v>40786</v>
      </c>
      <c r="H18" s="99" t="s">
        <v>131</v>
      </c>
      <c r="I18" s="34" t="s">
        <v>283</v>
      </c>
      <c r="J18" s="170"/>
      <c r="K18" s="34">
        <f>IF((Observaciones[[#This Row],[Fecha Levantamiento]]-Observaciones[[#This Row],[Fecha Detección]])&gt;=0,Observaciones[[#This Row],[Fecha Levantamiento]]-Observaciones[[#This Row],[Fecha Detección]]+1,0)</f>
        <v>0</v>
      </c>
      <c r="L18" s="34" t="str">
        <f>LOOKUP(Observaciones[[#This Row],[Caso de Prueba]],CasoPrueba[Código CP],CasoPrueba[Código de REQ])</f>
        <v>INSPECCIÓN</v>
      </c>
    </row>
    <row r="19" spans="1:12" ht="45">
      <c r="A19" s="34" t="s">
        <v>217</v>
      </c>
      <c r="B19" s="34" t="s">
        <v>178</v>
      </c>
      <c r="C19" s="34" t="str">
        <f>VLOOKUP([Caso de Prueba],CasoPrueba[[#All],[Código CP]:[Prioridad]],7,TRUE)</f>
        <v>Alta</v>
      </c>
      <c r="D19" s="34" t="s">
        <v>208</v>
      </c>
      <c r="E19" s="34" t="s">
        <v>47</v>
      </c>
      <c r="F19" s="78">
        <v>40786</v>
      </c>
      <c r="G19" s="171"/>
      <c r="H19" s="99" t="s">
        <v>131</v>
      </c>
      <c r="I19" s="34" t="s">
        <v>262</v>
      </c>
      <c r="J19" s="170"/>
      <c r="K19" s="34">
        <f>IF((Observaciones[[#This Row],[Fecha Levantamiento]]-Observaciones[[#This Row],[Fecha Detección]])&gt;=0,Observaciones[[#This Row],[Fecha Levantamiento]]-Observaciones[[#This Row],[Fecha Detección]]+1,0)</f>
        <v>0</v>
      </c>
      <c r="L19" s="34" t="str">
        <f>LOOKUP(Observaciones[[#This Row],[Caso de Prueba]],CasoPrueba[Código CP],CasoPrueba[Código de REQ])</f>
        <v>INSPECCIÓN</v>
      </c>
    </row>
    <row r="20" spans="1:12" ht="30">
      <c r="A20" s="34" t="s">
        <v>218</v>
      </c>
      <c r="B20" s="34" t="s">
        <v>178</v>
      </c>
      <c r="C20" s="34" t="str">
        <f>VLOOKUP([Caso de Prueba],CasoPrueba[[#All],[Código CP]:[Prioridad]],7,TRUE)</f>
        <v>Alta</v>
      </c>
      <c r="D20" s="34" t="s">
        <v>208</v>
      </c>
      <c r="E20" s="34" t="s">
        <v>47</v>
      </c>
      <c r="F20" s="78">
        <v>40786</v>
      </c>
      <c r="H20" s="99" t="s">
        <v>131</v>
      </c>
      <c r="I20" s="34" t="s">
        <v>258</v>
      </c>
      <c r="K20" s="34">
        <f>IF((Observaciones[[#This Row],[Fecha Levantamiento]]-Observaciones[[#This Row],[Fecha Detección]])&gt;=0,Observaciones[[#This Row],[Fecha Levantamiento]]-Observaciones[[#This Row],[Fecha Detección]]+1,0)</f>
        <v>0</v>
      </c>
      <c r="L20" s="34" t="str">
        <f>LOOKUP(Observaciones[[#This Row],[Caso de Prueba]],CasoPrueba[Código CP],CasoPrueba[Código de REQ])</f>
        <v>INSPECCIÓN</v>
      </c>
    </row>
    <row r="21" spans="1:12" ht="30">
      <c r="A21" s="34" t="s">
        <v>219</v>
      </c>
      <c r="B21" s="34" t="s">
        <v>178</v>
      </c>
      <c r="C21" s="34" t="str">
        <f>VLOOKUP([Caso de Prueba],CasoPrueba[[#All],[Código CP]:[Prioridad]],7,TRUE)</f>
        <v>Alta</v>
      </c>
      <c r="D21" s="34" t="s">
        <v>207</v>
      </c>
      <c r="E21" s="34" t="s">
        <v>47</v>
      </c>
      <c r="F21" s="78">
        <v>40786</v>
      </c>
      <c r="H21" s="99" t="s">
        <v>131</v>
      </c>
      <c r="I21" s="34" t="s">
        <v>259</v>
      </c>
      <c r="K21" s="34">
        <f>IF((Observaciones[[#This Row],[Fecha Levantamiento]]-Observaciones[[#This Row],[Fecha Detección]])&gt;=0,Observaciones[[#This Row],[Fecha Levantamiento]]-Observaciones[[#This Row],[Fecha Detección]]+1,0)</f>
        <v>0</v>
      </c>
      <c r="L21" s="34" t="str">
        <f>LOOKUP(Observaciones[[#This Row],[Caso de Prueba]],CasoPrueba[Código CP],CasoPrueba[Código de REQ])</f>
        <v>INSPECCIÓN</v>
      </c>
    </row>
    <row r="22" spans="1:12">
      <c r="A22" s="34" t="s">
        <v>220</v>
      </c>
      <c r="B22" s="34" t="s">
        <v>178</v>
      </c>
      <c r="C22" s="34" t="str">
        <f>VLOOKUP([Caso de Prueba],CasoPrueba[[#All],[Código CP]:[Prioridad]],7,TRUE)</f>
        <v>Alta</v>
      </c>
      <c r="D22" s="34" t="s">
        <v>260</v>
      </c>
      <c r="E22" s="34" t="s">
        <v>47</v>
      </c>
      <c r="F22" s="78">
        <v>40786</v>
      </c>
      <c r="H22" s="99" t="s">
        <v>131</v>
      </c>
      <c r="I22" s="34" t="s">
        <v>261</v>
      </c>
      <c r="K22" s="34">
        <f>IF((Observaciones[[#This Row],[Fecha Levantamiento]]-Observaciones[[#This Row],[Fecha Detección]])&gt;=0,Observaciones[[#This Row],[Fecha Levantamiento]]-Observaciones[[#This Row],[Fecha Detección]]+1,0)</f>
        <v>0</v>
      </c>
      <c r="L22" s="34" t="str">
        <f>LOOKUP(Observaciones[[#This Row],[Caso de Prueba]],CasoPrueba[Código CP],CasoPrueba[Código de REQ])</f>
        <v>INSPECCIÓN</v>
      </c>
    </row>
    <row r="23" spans="1:12" ht="45">
      <c r="A23" s="34" t="s">
        <v>221</v>
      </c>
      <c r="B23" s="34" t="s">
        <v>179</v>
      </c>
      <c r="C23" s="34" t="str">
        <f>VLOOKUP([Caso de Prueba],CasoPrueba[[#All],[Código CP]:[Prioridad]],7,TRUE)</f>
        <v>Alta</v>
      </c>
      <c r="D23" s="34" t="s">
        <v>206</v>
      </c>
      <c r="E23" s="34" t="s">
        <v>47</v>
      </c>
      <c r="F23" s="78">
        <v>40786</v>
      </c>
      <c r="G23" s="171"/>
      <c r="H23" s="99" t="s">
        <v>131</v>
      </c>
      <c r="I23" s="34" t="s">
        <v>264</v>
      </c>
      <c r="K23" s="34">
        <f>IF((Observaciones[[#This Row],[Fecha Levantamiento]]-Observaciones[[#This Row],[Fecha Detección]])&gt;=0,Observaciones[[#This Row],[Fecha Levantamiento]]-Observaciones[[#This Row],[Fecha Detección]]+1,0)</f>
        <v>0</v>
      </c>
      <c r="L23" s="34" t="str">
        <f>LOOKUP(Observaciones[[#This Row],[Caso de Prueba]],CasoPrueba[Código CP],CasoPrueba[Código de REQ])</f>
        <v>INSPECCIÓN</v>
      </c>
    </row>
    <row r="24" spans="1:12" ht="30">
      <c r="A24" s="34" t="s">
        <v>222</v>
      </c>
      <c r="B24" s="34" t="s">
        <v>179</v>
      </c>
      <c r="C24" s="34" t="str">
        <f>VLOOKUP([Caso de Prueba],CasoPrueba[[#All],[Código CP]:[Prioridad]],7,TRUE)</f>
        <v>Alta</v>
      </c>
      <c r="D24" s="34" t="s">
        <v>208</v>
      </c>
      <c r="E24" s="34" t="s">
        <v>47</v>
      </c>
      <c r="F24" s="78">
        <v>40786</v>
      </c>
      <c r="H24" s="99" t="s">
        <v>131</v>
      </c>
      <c r="I24" s="34" t="s">
        <v>284</v>
      </c>
      <c r="K24" s="34">
        <f>IF((Observaciones[[#This Row],[Fecha Levantamiento]]-Observaciones[[#This Row],[Fecha Detección]])&gt;=0,Observaciones[[#This Row],[Fecha Levantamiento]]-Observaciones[[#This Row],[Fecha Detección]]+1,0)</f>
        <v>0</v>
      </c>
      <c r="L24" s="34" t="str">
        <f>LOOKUP(Observaciones[[#This Row],[Caso de Prueba]],CasoPrueba[Código CP],CasoPrueba[Código de REQ])</f>
        <v>INSPECCIÓN</v>
      </c>
    </row>
    <row r="25" spans="1:12" ht="60">
      <c r="A25" s="34" t="s">
        <v>223</v>
      </c>
      <c r="B25" s="34" t="s">
        <v>179</v>
      </c>
      <c r="C25" s="34" t="str">
        <f>VLOOKUP([Caso de Prueba],CasoPrueba[[#All],[Código CP]:[Prioridad]],7,TRUE)</f>
        <v>Alta</v>
      </c>
      <c r="D25" s="34" t="s">
        <v>208</v>
      </c>
      <c r="E25" s="34" t="s">
        <v>47</v>
      </c>
      <c r="F25" s="78">
        <v>40786</v>
      </c>
      <c r="H25" s="99" t="s">
        <v>131</v>
      </c>
      <c r="I25" s="34" t="s">
        <v>263</v>
      </c>
      <c r="K25" s="34">
        <f>IF((Observaciones[[#This Row],[Fecha Levantamiento]]-Observaciones[[#This Row],[Fecha Detección]])&gt;=0,Observaciones[[#This Row],[Fecha Levantamiento]]-Observaciones[[#This Row],[Fecha Detección]]+1,0)</f>
        <v>0</v>
      </c>
      <c r="L25" s="34" t="str">
        <f>LOOKUP(Observaciones[[#This Row],[Caso de Prueba]],CasoPrueba[Código CP],CasoPrueba[Código de REQ])</f>
        <v>INSPECCIÓN</v>
      </c>
    </row>
    <row r="26" spans="1:12" ht="30">
      <c r="A26" s="34" t="s">
        <v>224</v>
      </c>
      <c r="B26" s="34" t="s">
        <v>179</v>
      </c>
      <c r="C26" s="34" t="str">
        <f>VLOOKUP([Caso de Prueba],CasoPrueba[[#All],[Código CP]:[Prioridad]],7,TRUE)</f>
        <v>Alta</v>
      </c>
      <c r="D26" s="34" t="s">
        <v>207</v>
      </c>
      <c r="E26" s="34" t="s">
        <v>47</v>
      </c>
      <c r="F26" s="78">
        <v>40786</v>
      </c>
      <c r="H26" s="99" t="s">
        <v>131</v>
      </c>
      <c r="I26" s="34" t="s">
        <v>265</v>
      </c>
      <c r="K26" s="34">
        <f>IF((Observaciones[[#This Row],[Fecha Levantamiento]]-Observaciones[[#This Row],[Fecha Detección]])&gt;=0,Observaciones[[#This Row],[Fecha Levantamiento]]-Observaciones[[#This Row],[Fecha Detección]]+1,0)</f>
        <v>0</v>
      </c>
      <c r="L26" s="34" t="str">
        <f>LOOKUP(Observaciones[[#This Row],[Caso de Prueba]],CasoPrueba[Código CP],CasoPrueba[Código de REQ])</f>
        <v>INSPECCIÓN</v>
      </c>
    </row>
    <row r="27" spans="1:12" ht="30">
      <c r="A27" s="34" t="s">
        <v>225</v>
      </c>
      <c r="B27" s="34" t="s">
        <v>180</v>
      </c>
      <c r="C27" s="34" t="str">
        <f>VLOOKUP([Caso de Prueba],CasoPrueba[[#All],[Código CP]:[Prioridad]],7,TRUE)</f>
        <v>Alta</v>
      </c>
      <c r="D27" s="34" t="s">
        <v>206</v>
      </c>
      <c r="E27" s="34" t="s">
        <v>47</v>
      </c>
      <c r="F27" s="78">
        <v>40788</v>
      </c>
      <c r="H27" s="99" t="s">
        <v>131</v>
      </c>
      <c r="I27" s="34" t="s">
        <v>266</v>
      </c>
      <c r="K27" s="34">
        <f>IF((Observaciones[[#This Row],[Fecha Levantamiento]]-Observaciones[[#This Row],[Fecha Detección]])&gt;=0,Observaciones[[#This Row],[Fecha Levantamiento]]-Observaciones[[#This Row],[Fecha Detección]]+1,0)</f>
        <v>0</v>
      </c>
      <c r="L27" s="34" t="str">
        <f>LOOKUP(Observaciones[[#This Row],[Caso de Prueba]],CasoPrueba[Código CP],CasoPrueba[Código de REQ])</f>
        <v>INSPECCIÓN</v>
      </c>
    </row>
    <row r="28" spans="1:12" ht="45">
      <c r="A28" s="34" t="s">
        <v>226</v>
      </c>
      <c r="B28" s="34" t="s">
        <v>180</v>
      </c>
      <c r="C28" s="34" t="str">
        <f>VLOOKUP([Caso de Prueba],CasoPrueba[[#All],[Código CP]:[Prioridad]],7,TRUE)</f>
        <v>Alta</v>
      </c>
      <c r="D28" s="34" t="s">
        <v>206</v>
      </c>
      <c r="E28" s="34" t="s">
        <v>47</v>
      </c>
      <c r="F28" s="78">
        <v>40788</v>
      </c>
      <c r="G28" s="171"/>
      <c r="H28" s="99" t="s">
        <v>131</v>
      </c>
      <c r="I28" s="34" t="s">
        <v>264</v>
      </c>
      <c r="K28" s="34">
        <f>IF((Observaciones[[#This Row],[Fecha Levantamiento]]-Observaciones[[#This Row],[Fecha Detección]])&gt;=0,Observaciones[[#This Row],[Fecha Levantamiento]]-Observaciones[[#This Row],[Fecha Detección]]+1,0)</f>
        <v>0</v>
      </c>
      <c r="L28" s="34" t="str">
        <f>LOOKUP(Observaciones[[#This Row],[Caso de Prueba]],CasoPrueba[Código CP],CasoPrueba[Código de REQ])</f>
        <v>INSPECCIÓN</v>
      </c>
    </row>
    <row r="29" spans="1:12" ht="30">
      <c r="A29" s="34" t="s">
        <v>227</v>
      </c>
      <c r="B29" s="34" t="s">
        <v>180</v>
      </c>
      <c r="C29" s="34" t="str">
        <f>VLOOKUP([Caso de Prueba],CasoPrueba[[#All],[Código CP]:[Prioridad]],7,TRUE)</f>
        <v>Alta</v>
      </c>
      <c r="D29" s="34" t="s">
        <v>208</v>
      </c>
      <c r="E29" s="34" t="s">
        <v>47</v>
      </c>
      <c r="F29" s="78">
        <v>40788</v>
      </c>
      <c r="H29" s="99" t="s">
        <v>131</v>
      </c>
      <c r="I29" s="34" t="s">
        <v>282</v>
      </c>
      <c r="K29" s="34">
        <f>IF((Observaciones[[#This Row],[Fecha Levantamiento]]-Observaciones[[#This Row],[Fecha Detección]])&gt;=0,Observaciones[[#This Row],[Fecha Levantamiento]]-Observaciones[[#This Row],[Fecha Detección]]+1,0)</f>
        <v>0</v>
      </c>
      <c r="L29" s="34" t="str">
        <f>LOOKUP(Observaciones[[#This Row],[Caso de Prueba]],CasoPrueba[Código CP],CasoPrueba[Código de REQ])</f>
        <v>INSPECCIÓN</v>
      </c>
    </row>
    <row r="30" spans="1:12" ht="45">
      <c r="A30" s="34" t="s">
        <v>228</v>
      </c>
      <c r="B30" s="34" t="s">
        <v>180</v>
      </c>
      <c r="C30" s="34" t="str">
        <f>VLOOKUP([Caso de Prueba],CasoPrueba[[#All],[Código CP]:[Prioridad]],7,TRUE)</f>
        <v>Alta</v>
      </c>
      <c r="D30" s="34" t="s">
        <v>206</v>
      </c>
      <c r="E30" s="34" t="s">
        <v>47</v>
      </c>
      <c r="F30" s="78">
        <v>40788</v>
      </c>
      <c r="H30" s="99" t="s">
        <v>131</v>
      </c>
      <c r="I30" s="34" t="s">
        <v>267</v>
      </c>
      <c r="K30" s="34">
        <f>IF((Observaciones[[#This Row],[Fecha Levantamiento]]-Observaciones[[#This Row],[Fecha Detección]])&gt;=0,Observaciones[[#This Row],[Fecha Levantamiento]]-Observaciones[[#This Row],[Fecha Detección]]+1,0)</f>
        <v>0</v>
      </c>
      <c r="L30" s="34" t="str">
        <f>LOOKUP(Observaciones[[#This Row],[Caso de Prueba]],CasoPrueba[Código CP],CasoPrueba[Código de REQ])</f>
        <v>INSPECCIÓN</v>
      </c>
    </row>
    <row r="31" spans="1:12" ht="60">
      <c r="A31" s="34" t="s">
        <v>229</v>
      </c>
      <c r="B31" s="34" t="s">
        <v>180</v>
      </c>
      <c r="C31" s="34" t="str">
        <f>VLOOKUP([Caso de Prueba],CasoPrueba[[#All],[Código CP]:[Prioridad]],7,TRUE)</f>
        <v>Alta</v>
      </c>
      <c r="D31" s="34" t="s">
        <v>208</v>
      </c>
      <c r="E31" s="34" t="s">
        <v>47</v>
      </c>
      <c r="F31" s="78">
        <v>40788</v>
      </c>
      <c r="H31" s="99" t="s">
        <v>131</v>
      </c>
      <c r="I31" s="34" t="s">
        <v>268</v>
      </c>
      <c r="K31" s="34">
        <f>IF((Observaciones[[#This Row],[Fecha Levantamiento]]-Observaciones[[#This Row],[Fecha Detección]])&gt;=0,Observaciones[[#This Row],[Fecha Levantamiento]]-Observaciones[[#This Row],[Fecha Detección]]+1,0)</f>
        <v>0</v>
      </c>
      <c r="L31" s="34" t="str">
        <f>LOOKUP(Observaciones[[#This Row],[Caso de Prueba]],CasoPrueba[Código CP],CasoPrueba[Código de REQ])</f>
        <v>INSPECCIÓN</v>
      </c>
    </row>
    <row r="32" spans="1:12" ht="30">
      <c r="A32" s="34" t="s">
        <v>230</v>
      </c>
      <c r="B32" s="34" t="s">
        <v>180</v>
      </c>
      <c r="C32" s="34" t="str">
        <f>VLOOKUP([Caso de Prueba],CasoPrueba[[#All],[Código CP]:[Prioridad]],7,TRUE)</f>
        <v>Alta</v>
      </c>
      <c r="D32" s="34" t="s">
        <v>208</v>
      </c>
      <c r="E32" s="34" t="s">
        <v>47</v>
      </c>
      <c r="F32" s="78">
        <v>40788</v>
      </c>
      <c r="H32" s="99" t="s">
        <v>131</v>
      </c>
      <c r="I32" s="34" t="s">
        <v>269</v>
      </c>
      <c r="K32" s="34">
        <f>IF((Observaciones[[#This Row],[Fecha Levantamiento]]-Observaciones[[#This Row],[Fecha Detección]])&gt;=0,Observaciones[[#This Row],[Fecha Levantamiento]]-Observaciones[[#This Row],[Fecha Detección]]+1,0)</f>
        <v>0</v>
      </c>
      <c r="L32" s="34" t="str">
        <f>LOOKUP(Observaciones[[#This Row],[Caso de Prueba]],CasoPrueba[Código CP],CasoPrueba[Código de REQ])</f>
        <v>INSPECCIÓN</v>
      </c>
    </row>
    <row r="33" spans="1:12" ht="30">
      <c r="A33" s="34" t="s">
        <v>231</v>
      </c>
      <c r="B33" s="34" t="s">
        <v>180</v>
      </c>
      <c r="C33" s="34" t="str">
        <f>VLOOKUP([Caso de Prueba],CasoPrueba[[#All],[Código CP]:[Prioridad]],7,TRUE)</f>
        <v>Alta</v>
      </c>
      <c r="D33" s="34" t="s">
        <v>208</v>
      </c>
      <c r="E33" s="34" t="s">
        <v>47</v>
      </c>
      <c r="F33" s="78">
        <v>40788</v>
      </c>
      <c r="H33" s="99" t="s">
        <v>131</v>
      </c>
      <c r="I33" s="34" t="s">
        <v>272</v>
      </c>
      <c r="K33" s="34">
        <f>IF((Observaciones[[#This Row],[Fecha Levantamiento]]-Observaciones[[#This Row],[Fecha Detección]])&gt;=0,Observaciones[[#This Row],[Fecha Levantamiento]]-Observaciones[[#This Row],[Fecha Detección]]+1,0)</f>
        <v>0</v>
      </c>
      <c r="L33" s="34" t="str">
        <f>LOOKUP(Observaciones[[#This Row],[Caso de Prueba]],CasoPrueba[Código CP],CasoPrueba[Código de REQ])</f>
        <v>INSPECCIÓN</v>
      </c>
    </row>
    <row r="34" spans="1:12" ht="45">
      <c r="A34" s="34" t="s">
        <v>232</v>
      </c>
      <c r="B34" s="34" t="s">
        <v>180</v>
      </c>
      <c r="C34" s="34" t="str">
        <f>VLOOKUP([Caso de Prueba],CasoPrueba[[#All],[Código CP]:[Prioridad]],7,TRUE)</f>
        <v>Alta</v>
      </c>
      <c r="D34" s="34" t="s">
        <v>208</v>
      </c>
      <c r="E34" s="34" t="s">
        <v>47</v>
      </c>
      <c r="F34" s="78">
        <v>40788</v>
      </c>
      <c r="H34" s="99" t="s">
        <v>131</v>
      </c>
      <c r="I34" s="34" t="s">
        <v>270</v>
      </c>
      <c r="K34" s="34">
        <f>IF((Observaciones[[#This Row],[Fecha Levantamiento]]-Observaciones[[#This Row],[Fecha Detección]])&gt;=0,Observaciones[[#This Row],[Fecha Levantamiento]]-Observaciones[[#This Row],[Fecha Detección]]+1,0)</f>
        <v>0</v>
      </c>
      <c r="L34" s="34" t="str">
        <f>LOOKUP(Observaciones[[#This Row],[Caso de Prueba]],CasoPrueba[Código CP],CasoPrueba[Código de REQ])</f>
        <v>INSPECCIÓN</v>
      </c>
    </row>
    <row r="35" spans="1:12" ht="30">
      <c r="A35" s="34" t="s">
        <v>233</v>
      </c>
      <c r="B35" s="34" t="s">
        <v>180</v>
      </c>
      <c r="C35" s="34" t="str">
        <f>VLOOKUP([Caso de Prueba],CasoPrueba[[#All],[Código CP]:[Prioridad]],7,TRUE)</f>
        <v>Alta</v>
      </c>
      <c r="D35" s="34" t="s">
        <v>207</v>
      </c>
      <c r="E35" s="34" t="s">
        <v>47</v>
      </c>
      <c r="F35" s="78">
        <v>40788</v>
      </c>
      <c r="H35" s="99" t="s">
        <v>131</v>
      </c>
      <c r="I35" s="34" t="s">
        <v>271</v>
      </c>
      <c r="K35" s="34">
        <f>IF((Observaciones[[#This Row],[Fecha Levantamiento]]-Observaciones[[#This Row],[Fecha Detección]])&gt;=0,Observaciones[[#This Row],[Fecha Levantamiento]]-Observaciones[[#This Row],[Fecha Detección]]+1,0)</f>
        <v>0</v>
      </c>
      <c r="L35" s="34" t="str">
        <f>LOOKUP(Observaciones[[#This Row],[Caso de Prueba]],CasoPrueba[Código CP],CasoPrueba[Código de REQ])</f>
        <v>INSPECCIÓN</v>
      </c>
    </row>
    <row r="36" spans="1:12" ht="30">
      <c r="A36" s="34" t="s">
        <v>234</v>
      </c>
      <c r="B36" s="34" t="s">
        <v>180</v>
      </c>
      <c r="C36" s="34" t="str">
        <f>VLOOKUP([Caso de Prueba],CasoPrueba[[#All],[Código CP]:[Prioridad]],7,TRUE)</f>
        <v>Alta</v>
      </c>
      <c r="D36" s="34" t="s">
        <v>206</v>
      </c>
      <c r="E36" s="34" t="s">
        <v>47</v>
      </c>
      <c r="F36" s="78">
        <v>40788</v>
      </c>
      <c r="H36" s="99" t="s">
        <v>131</v>
      </c>
      <c r="I36" s="34" t="s">
        <v>273</v>
      </c>
      <c r="K36" s="34">
        <f>IF((Observaciones[[#This Row],[Fecha Levantamiento]]-Observaciones[[#This Row],[Fecha Detección]])&gt;=0,Observaciones[[#This Row],[Fecha Levantamiento]]-Observaciones[[#This Row],[Fecha Detección]]+1,0)</f>
        <v>0</v>
      </c>
      <c r="L36" s="34" t="str">
        <f>LOOKUP(Observaciones[[#This Row],[Caso de Prueba]],CasoPrueba[Código CP],CasoPrueba[Código de REQ])</f>
        <v>INSPECCIÓN</v>
      </c>
    </row>
    <row r="37" spans="1:12" ht="30">
      <c r="A37" s="34" t="s">
        <v>235</v>
      </c>
      <c r="B37" s="34" t="s">
        <v>180</v>
      </c>
      <c r="C37" s="34" t="str">
        <f>VLOOKUP([Caso de Prueba],CasoPrueba[[#All],[Código CP]:[Prioridad]],7,TRUE)</f>
        <v>Alta</v>
      </c>
      <c r="D37" s="34" t="s">
        <v>208</v>
      </c>
      <c r="E37" s="34" t="s">
        <v>47</v>
      </c>
      <c r="F37" s="78">
        <v>40788</v>
      </c>
      <c r="H37" s="99" t="s">
        <v>131</v>
      </c>
      <c r="I37" s="34" t="s">
        <v>274</v>
      </c>
      <c r="K37" s="34">
        <f>IF((Observaciones[[#This Row],[Fecha Levantamiento]]-Observaciones[[#This Row],[Fecha Detección]])&gt;=0,Observaciones[[#This Row],[Fecha Levantamiento]]-Observaciones[[#This Row],[Fecha Detección]]+1,0)</f>
        <v>0</v>
      </c>
      <c r="L37" s="34" t="str">
        <f>LOOKUP(Observaciones[[#This Row],[Caso de Prueba]],CasoPrueba[Código CP],CasoPrueba[Código de REQ])</f>
        <v>INSPECCIÓN</v>
      </c>
    </row>
    <row r="38" spans="1:12" ht="45">
      <c r="A38" s="34" t="s">
        <v>236</v>
      </c>
      <c r="B38" s="34" t="s">
        <v>181</v>
      </c>
      <c r="C38" s="34" t="str">
        <f>VLOOKUP([Caso de Prueba],CasoPrueba[[#All],[Código CP]:[Prioridad]],7,TRUE)</f>
        <v>Alta</v>
      </c>
      <c r="D38" s="34" t="s">
        <v>206</v>
      </c>
      <c r="E38" s="34" t="s">
        <v>47</v>
      </c>
      <c r="F38" s="78">
        <v>40788</v>
      </c>
      <c r="G38" s="171"/>
      <c r="H38" s="99" t="s">
        <v>131</v>
      </c>
      <c r="I38" s="34" t="s">
        <v>264</v>
      </c>
      <c r="K38" s="34">
        <f>IF((Observaciones[[#This Row],[Fecha Levantamiento]]-Observaciones[[#This Row],[Fecha Detección]])&gt;=0,Observaciones[[#This Row],[Fecha Levantamiento]]-Observaciones[[#This Row],[Fecha Detección]]+1,0)</f>
        <v>0</v>
      </c>
      <c r="L38" s="34" t="str">
        <f>LOOKUP(Observaciones[[#This Row],[Caso de Prueba]],CasoPrueba[Código CP],CasoPrueba[Código de REQ])</f>
        <v>INSPECCIÓN</v>
      </c>
    </row>
    <row r="39" spans="1:12" ht="30">
      <c r="A39" s="34" t="s">
        <v>237</v>
      </c>
      <c r="B39" s="34" t="s">
        <v>181</v>
      </c>
      <c r="C39" s="34" t="str">
        <f>VLOOKUP([Caso de Prueba],CasoPrueba[[#All],[Código CP]:[Prioridad]],7,TRUE)</f>
        <v>Alta</v>
      </c>
      <c r="D39" s="34" t="s">
        <v>208</v>
      </c>
      <c r="E39" s="34" t="s">
        <v>47</v>
      </c>
      <c r="F39" s="78">
        <v>40788</v>
      </c>
      <c r="H39" s="99" t="s">
        <v>131</v>
      </c>
      <c r="I39" s="34" t="s">
        <v>281</v>
      </c>
      <c r="K39" s="34">
        <f>IF((Observaciones[[#This Row],[Fecha Levantamiento]]-Observaciones[[#This Row],[Fecha Detección]])&gt;=0,Observaciones[[#This Row],[Fecha Levantamiento]]-Observaciones[[#This Row],[Fecha Detección]]+1,0)</f>
        <v>0</v>
      </c>
      <c r="L39" s="34" t="str">
        <f>LOOKUP(Observaciones[[#This Row],[Caso de Prueba]],CasoPrueba[Código CP],CasoPrueba[Código de REQ])</f>
        <v>INSPECCIÓN</v>
      </c>
    </row>
    <row r="40" spans="1:12" ht="60">
      <c r="A40" s="34" t="s">
        <v>238</v>
      </c>
      <c r="B40" s="34" t="s">
        <v>181</v>
      </c>
      <c r="C40" s="34" t="str">
        <f>VLOOKUP([Caso de Prueba],CasoPrueba[[#All],[Código CP]:[Prioridad]],7,TRUE)</f>
        <v>Alta</v>
      </c>
      <c r="D40" s="34" t="s">
        <v>208</v>
      </c>
      <c r="E40" s="34" t="s">
        <v>47</v>
      </c>
      <c r="F40" s="78">
        <v>40788</v>
      </c>
      <c r="H40" s="99" t="s">
        <v>131</v>
      </c>
      <c r="I40" s="34" t="s">
        <v>275</v>
      </c>
      <c r="K40" s="34">
        <f>IF((Observaciones[[#This Row],[Fecha Levantamiento]]-Observaciones[[#This Row],[Fecha Detección]])&gt;=0,Observaciones[[#This Row],[Fecha Levantamiento]]-Observaciones[[#This Row],[Fecha Detección]]+1,0)</f>
        <v>0</v>
      </c>
      <c r="L40" s="34" t="str">
        <f>LOOKUP(Observaciones[[#This Row],[Caso de Prueba]],CasoPrueba[Código CP],CasoPrueba[Código de REQ])</f>
        <v>INSPECCIÓN</v>
      </c>
    </row>
    <row r="41" spans="1:12" ht="45">
      <c r="A41" s="34" t="s">
        <v>239</v>
      </c>
      <c r="B41" s="34" t="s">
        <v>182</v>
      </c>
      <c r="C41" s="34" t="str">
        <f>VLOOKUP([Caso de Prueba],CasoPrueba[[#All],[Código CP]:[Prioridad]],7,TRUE)</f>
        <v>Alta</v>
      </c>
      <c r="D41" s="34" t="s">
        <v>206</v>
      </c>
      <c r="E41" s="34" t="s">
        <v>47</v>
      </c>
      <c r="F41" s="78">
        <v>40788</v>
      </c>
      <c r="G41" s="171"/>
      <c r="H41" s="99" t="s">
        <v>131</v>
      </c>
      <c r="I41" s="34" t="s">
        <v>264</v>
      </c>
      <c r="K41" s="34">
        <f>IF((Observaciones[[#This Row],[Fecha Levantamiento]]-Observaciones[[#This Row],[Fecha Detección]])&gt;=0,Observaciones[[#This Row],[Fecha Levantamiento]]-Observaciones[[#This Row],[Fecha Detección]]+1,0)</f>
        <v>0</v>
      </c>
      <c r="L41" s="34" t="str">
        <f>LOOKUP(Observaciones[[#This Row],[Caso de Prueba]],CasoPrueba[Código CP],CasoPrueba[Código de REQ])</f>
        <v>INSPECCIÓN</v>
      </c>
    </row>
    <row r="42" spans="1:12" ht="30">
      <c r="A42" s="34" t="s">
        <v>240</v>
      </c>
      <c r="B42" s="34" t="s">
        <v>182</v>
      </c>
      <c r="C42" s="34" t="str">
        <f>VLOOKUP([Caso de Prueba],CasoPrueba[[#All],[Código CP]:[Prioridad]],7,TRUE)</f>
        <v>Alta</v>
      </c>
      <c r="D42" s="34" t="s">
        <v>208</v>
      </c>
      <c r="E42" s="34" t="s">
        <v>47</v>
      </c>
      <c r="F42" s="78">
        <v>40788</v>
      </c>
      <c r="H42" s="99" t="s">
        <v>131</v>
      </c>
      <c r="I42" s="34" t="s">
        <v>281</v>
      </c>
      <c r="K42" s="34">
        <f>IF((Observaciones[[#This Row],[Fecha Levantamiento]]-Observaciones[[#This Row],[Fecha Detección]])&gt;=0,Observaciones[[#This Row],[Fecha Levantamiento]]-Observaciones[[#This Row],[Fecha Detección]]+1,0)</f>
        <v>0</v>
      </c>
      <c r="L42" s="34" t="str">
        <f>LOOKUP(Observaciones[[#This Row],[Caso de Prueba]],CasoPrueba[Código CP],CasoPrueba[Código de REQ])</f>
        <v>INSPECCIÓN</v>
      </c>
    </row>
    <row r="43" spans="1:12" ht="45">
      <c r="A43" s="34" t="s">
        <v>241</v>
      </c>
      <c r="B43" s="34" t="s">
        <v>183</v>
      </c>
      <c r="C43" s="34" t="str">
        <f>VLOOKUP([Caso de Prueba],CasoPrueba[[#All],[Código CP]:[Prioridad]],7,TRUE)</f>
        <v>Alta</v>
      </c>
      <c r="D43" s="34" t="s">
        <v>206</v>
      </c>
      <c r="E43" s="34" t="s">
        <v>47</v>
      </c>
      <c r="F43" s="78">
        <v>40789</v>
      </c>
      <c r="G43" s="171"/>
      <c r="H43" s="99" t="s">
        <v>131</v>
      </c>
      <c r="I43" s="34" t="s">
        <v>264</v>
      </c>
      <c r="K43" s="34">
        <f>IF((Observaciones[[#This Row],[Fecha Levantamiento]]-Observaciones[[#This Row],[Fecha Detección]])&gt;=0,Observaciones[[#This Row],[Fecha Levantamiento]]-Observaciones[[#This Row],[Fecha Detección]]+1,0)</f>
        <v>0</v>
      </c>
      <c r="L43" s="34" t="str">
        <f>LOOKUP(Observaciones[[#This Row],[Caso de Prueba]],CasoPrueba[Código CP],CasoPrueba[Código de REQ])</f>
        <v>INSPECCIÓN</v>
      </c>
    </row>
    <row r="44" spans="1:12" ht="30">
      <c r="A44" s="34" t="s">
        <v>242</v>
      </c>
      <c r="B44" s="34" t="s">
        <v>183</v>
      </c>
      <c r="C44" s="34" t="str">
        <f>VLOOKUP([Caso de Prueba],CasoPrueba[[#All],[Código CP]:[Prioridad]],7,TRUE)</f>
        <v>Alta</v>
      </c>
      <c r="D44" s="34" t="s">
        <v>206</v>
      </c>
      <c r="E44" s="34" t="s">
        <v>47</v>
      </c>
      <c r="F44" s="78">
        <v>40789</v>
      </c>
      <c r="H44" s="99" t="s">
        <v>131</v>
      </c>
      <c r="I44" s="34" t="s">
        <v>276</v>
      </c>
      <c r="K44" s="34">
        <f>IF((Observaciones[[#This Row],[Fecha Levantamiento]]-Observaciones[[#This Row],[Fecha Detección]])&gt;=0,Observaciones[[#This Row],[Fecha Levantamiento]]-Observaciones[[#This Row],[Fecha Detección]]+1,0)</f>
        <v>0</v>
      </c>
      <c r="L44" s="34" t="str">
        <f>LOOKUP(Observaciones[[#This Row],[Caso de Prueba]],CasoPrueba[Código CP],CasoPrueba[Código de REQ])</f>
        <v>INSPECCIÓN</v>
      </c>
    </row>
    <row r="45" spans="1:12" ht="45">
      <c r="A45" s="34" t="s">
        <v>243</v>
      </c>
      <c r="B45" s="34" t="s">
        <v>183</v>
      </c>
      <c r="C45" s="34" t="str">
        <f>VLOOKUP([Caso de Prueba],CasoPrueba[[#All],[Código CP]:[Prioridad]],7,TRUE)</f>
        <v>Alta</v>
      </c>
      <c r="D45" s="34" t="s">
        <v>208</v>
      </c>
      <c r="E45" s="34" t="s">
        <v>47</v>
      </c>
      <c r="F45" s="78">
        <v>40789</v>
      </c>
      <c r="H45" s="99" t="s">
        <v>131</v>
      </c>
      <c r="I45" s="34" t="s">
        <v>279</v>
      </c>
      <c r="K45" s="34">
        <f>IF((Observaciones[[#This Row],[Fecha Levantamiento]]-Observaciones[[#This Row],[Fecha Detección]])&gt;=0,Observaciones[[#This Row],[Fecha Levantamiento]]-Observaciones[[#This Row],[Fecha Detección]]+1,0)</f>
        <v>0</v>
      </c>
      <c r="L45" s="34" t="str">
        <f>LOOKUP(Observaciones[[#This Row],[Caso de Prueba]],CasoPrueba[Código CP],CasoPrueba[Código de REQ])</f>
        <v>INSPECCIÓN</v>
      </c>
    </row>
    <row r="46" spans="1:12" ht="30">
      <c r="A46" s="34" t="s">
        <v>244</v>
      </c>
      <c r="B46" s="34" t="s">
        <v>183</v>
      </c>
      <c r="C46" s="34" t="str">
        <f>VLOOKUP([Caso de Prueba],CasoPrueba[[#All],[Código CP]:[Prioridad]],7,TRUE)</f>
        <v>Alta</v>
      </c>
      <c r="D46" s="34" t="s">
        <v>206</v>
      </c>
      <c r="E46" s="34" t="s">
        <v>47</v>
      </c>
      <c r="F46" s="78">
        <v>40789</v>
      </c>
      <c r="H46" s="99" t="s">
        <v>131</v>
      </c>
      <c r="I46" s="34" t="s">
        <v>277</v>
      </c>
      <c r="K46" s="34">
        <f>IF((Observaciones[[#This Row],[Fecha Levantamiento]]-Observaciones[[#This Row],[Fecha Detección]])&gt;=0,Observaciones[[#This Row],[Fecha Levantamiento]]-Observaciones[[#This Row],[Fecha Detección]]+1,0)</f>
        <v>0</v>
      </c>
      <c r="L46" s="34" t="str">
        <f>LOOKUP(Observaciones[[#This Row],[Caso de Prueba]],CasoPrueba[Código CP],CasoPrueba[Código de REQ])</f>
        <v>INSPECCIÓN</v>
      </c>
    </row>
    <row r="47" spans="1:12" ht="60">
      <c r="A47" s="34" t="s">
        <v>245</v>
      </c>
      <c r="B47" s="34" t="s">
        <v>183</v>
      </c>
      <c r="C47" s="34" t="str">
        <f>VLOOKUP([Caso de Prueba],CasoPrueba[[#All],[Código CP]:[Prioridad]],7,TRUE)</f>
        <v>Alta</v>
      </c>
      <c r="D47" s="34" t="s">
        <v>206</v>
      </c>
      <c r="E47" s="34" t="s">
        <v>47</v>
      </c>
      <c r="F47" s="78">
        <v>40789</v>
      </c>
      <c r="H47" s="99" t="s">
        <v>131</v>
      </c>
      <c r="I47" s="34" t="s">
        <v>278</v>
      </c>
      <c r="K47" s="34">
        <f>IF((Observaciones[[#This Row],[Fecha Levantamiento]]-Observaciones[[#This Row],[Fecha Detección]])&gt;=0,Observaciones[[#This Row],[Fecha Levantamiento]]-Observaciones[[#This Row],[Fecha Detección]]+1,0)</f>
        <v>0</v>
      </c>
      <c r="L47" s="34" t="str">
        <f>LOOKUP(Observaciones[[#This Row],[Caso de Prueba]],CasoPrueba[Código CP],CasoPrueba[Código de REQ])</f>
        <v>INSPECCIÓN</v>
      </c>
    </row>
    <row r="48" spans="1:12" ht="30">
      <c r="A48" s="34" t="s">
        <v>246</v>
      </c>
      <c r="B48" s="34" t="s">
        <v>183</v>
      </c>
      <c r="C48" s="34" t="str">
        <f>VLOOKUP([Caso de Prueba],CasoPrueba[[#All],[Código CP]:[Prioridad]],7,TRUE)</f>
        <v>Alta</v>
      </c>
      <c r="D48" s="34" t="s">
        <v>208</v>
      </c>
      <c r="E48" s="34" t="s">
        <v>47</v>
      </c>
      <c r="F48" s="78">
        <v>40789</v>
      </c>
      <c r="H48" s="99" t="s">
        <v>131</v>
      </c>
      <c r="I48" s="34" t="s">
        <v>280</v>
      </c>
      <c r="K48" s="34">
        <f>IF((Observaciones[[#This Row],[Fecha Levantamiento]]-Observaciones[[#This Row],[Fecha Detección]])&gt;=0,Observaciones[[#This Row],[Fecha Levantamiento]]-Observaciones[[#This Row],[Fecha Detección]]+1,0)</f>
        <v>0</v>
      </c>
      <c r="L48" s="34" t="str">
        <f>LOOKUP(Observaciones[[#This Row],[Caso de Prueba]],CasoPrueba[Código CP],CasoPrueba[Código de REQ])</f>
        <v>INSPECCIÓN</v>
      </c>
    </row>
    <row r="49" spans="1:12" ht="45">
      <c r="A49" s="34" t="s">
        <v>247</v>
      </c>
      <c r="B49" s="34" t="s">
        <v>184</v>
      </c>
      <c r="C49" s="34" t="str">
        <f>VLOOKUP([Caso de Prueba],CasoPrueba[[#All],[Código CP]:[Prioridad]],7,TRUE)</f>
        <v>Alta</v>
      </c>
      <c r="D49" s="34" t="s">
        <v>206</v>
      </c>
      <c r="E49" s="34" t="s">
        <v>47</v>
      </c>
      <c r="F49" s="78">
        <v>40789</v>
      </c>
      <c r="H49" s="99" t="s">
        <v>131</v>
      </c>
      <c r="I49" s="34" t="s">
        <v>264</v>
      </c>
      <c r="K49" s="34">
        <f>IF((Observaciones[[#This Row],[Fecha Levantamiento]]-Observaciones[[#This Row],[Fecha Detección]])&gt;=0,Observaciones[[#This Row],[Fecha Levantamiento]]-Observaciones[[#This Row],[Fecha Detección]]+1,0)</f>
        <v>0</v>
      </c>
      <c r="L49" s="34" t="str">
        <f>LOOKUP(Observaciones[[#This Row],[Caso de Prueba]],CasoPrueba[Código CP],CasoPrueba[Código de REQ])</f>
        <v>INSPECCIÓN</v>
      </c>
    </row>
    <row r="50" spans="1:12" ht="30">
      <c r="A50" s="34" t="s">
        <v>248</v>
      </c>
      <c r="B50" s="34" t="s">
        <v>184</v>
      </c>
      <c r="C50" s="34" t="str">
        <f>VLOOKUP([Caso de Prueba],CasoPrueba[[#All],[Código CP]:[Prioridad]],7,TRUE)</f>
        <v>Alta</v>
      </c>
      <c r="D50" s="34" t="s">
        <v>207</v>
      </c>
      <c r="E50" s="34" t="s">
        <v>47</v>
      </c>
      <c r="F50" s="78">
        <v>40789</v>
      </c>
      <c r="H50" s="99" t="s">
        <v>131</v>
      </c>
      <c r="I50" s="34" t="s">
        <v>308</v>
      </c>
      <c r="K50" s="34">
        <f>IF((Observaciones[[#This Row],[Fecha Levantamiento]]-Observaciones[[#This Row],[Fecha Detección]])&gt;=0,Observaciones[[#This Row],[Fecha Levantamiento]]-Observaciones[[#This Row],[Fecha Detección]]+1,0)</f>
        <v>0</v>
      </c>
      <c r="L50" s="34" t="str">
        <f>LOOKUP(Observaciones[[#This Row],[Caso de Prueba]],CasoPrueba[Código CP],CasoPrueba[Código de REQ])</f>
        <v>INSPECCIÓN</v>
      </c>
    </row>
    <row r="51" spans="1:12" ht="30">
      <c r="A51" s="34" t="s">
        <v>249</v>
      </c>
      <c r="B51" s="34" t="s">
        <v>184</v>
      </c>
      <c r="C51" s="34" t="str">
        <f>VLOOKUP([Caso de Prueba],CasoPrueba[[#All],[Código CP]:[Prioridad]],7,TRUE)</f>
        <v>Alta</v>
      </c>
      <c r="D51" s="34" t="s">
        <v>208</v>
      </c>
      <c r="E51" s="34" t="s">
        <v>47</v>
      </c>
      <c r="F51" s="78">
        <v>40789</v>
      </c>
      <c r="H51" s="99" t="s">
        <v>131</v>
      </c>
      <c r="I51" s="34" t="s">
        <v>285</v>
      </c>
      <c r="K51" s="34">
        <f>IF((Observaciones[[#This Row],[Fecha Levantamiento]]-Observaciones[[#This Row],[Fecha Detección]])&gt;=0,Observaciones[[#This Row],[Fecha Levantamiento]]-Observaciones[[#This Row],[Fecha Detección]]+1,0)</f>
        <v>0</v>
      </c>
      <c r="L51" s="34" t="str">
        <f>LOOKUP(Observaciones[[#This Row],[Caso de Prueba]],CasoPrueba[Código CP],CasoPrueba[Código de REQ])</f>
        <v>INSPECCIÓN</v>
      </c>
    </row>
    <row r="52" spans="1:12" ht="45">
      <c r="A52" s="34" t="s">
        <v>250</v>
      </c>
      <c r="B52" s="34" t="s">
        <v>184</v>
      </c>
      <c r="C52" s="34" t="str">
        <f>VLOOKUP([Caso de Prueba],CasoPrueba[[#All],[Código CP]:[Prioridad]],7,TRUE)</f>
        <v>Alta</v>
      </c>
      <c r="D52" s="34" t="s">
        <v>208</v>
      </c>
      <c r="E52" s="34" t="s">
        <v>47</v>
      </c>
      <c r="F52" s="78">
        <v>40789</v>
      </c>
      <c r="H52" s="99" t="s">
        <v>131</v>
      </c>
      <c r="I52" s="34" t="s">
        <v>286</v>
      </c>
      <c r="K52" s="34">
        <f>IF((Observaciones[[#This Row],[Fecha Levantamiento]]-Observaciones[[#This Row],[Fecha Detección]])&gt;=0,Observaciones[[#This Row],[Fecha Levantamiento]]-Observaciones[[#This Row],[Fecha Detección]]+1,0)</f>
        <v>0</v>
      </c>
      <c r="L52" s="34" t="str">
        <f>LOOKUP(Observaciones[[#This Row],[Caso de Prueba]],CasoPrueba[Código CP],CasoPrueba[Código de REQ])</f>
        <v>INSPECCIÓN</v>
      </c>
    </row>
    <row r="53" spans="1:12" ht="45">
      <c r="A53" s="34" t="s">
        <v>251</v>
      </c>
      <c r="B53" s="34" t="s">
        <v>185</v>
      </c>
      <c r="C53" s="34" t="str">
        <f>VLOOKUP([Caso de Prueba],CasoPrueba[[#All],[Código CP]:[Prioridad]],7,TRUE)</f>
        <v>Alta</v>
      </c>
      <c r="D53" s="34" t="s">
        <v>206</v>
      </c>
      <c r="E53" s="34" t="s">
        <v>47</v>
      </c>
      <c r="F53" s="78">
        <v>40791</v>
      </c>
      <c r="H53" s="99" t="s">
        <v>131</v>
      </c>
      <c r="I53" s="34" t="s">
        <v>264</v>
      </c>
      <c r="K53" s="34">
        <f>IF((Observaciones[[#This Row],[Fecha Levantamiento]]-Observaciones[[#This Row],[Fecha Detección]])&gt;=0,Observaciones[[#This Row],[Fecha Levantamiento]]-Observaciones[[#This Row],[Fecha Detección]]+1,0)</f>
        <v>0</v>
      </c>
      <c r="L53" s="34" t="str">
        <f>LOOKUP(Observaciones[[#This Row],[Caso de Prueba]],CasoPrueba[Código CP],CasoPrueba[Código de REQ])</f>
        <v>INSPECCIÓN</v>
      </c>
    </row>
    <row r="54" spans="1:12" ht="30">
      <c r="A54" s="34" t="s">
        <v>252</v>
      </c>
      <c r="B54" s="34" t="s">
        <v>185</v>
      </c>
      <c r="C54" s="34" t="str">
        <f>VLOOKUP([Caso de Prueba],CasoPrueba[[#All],[Código CP]:[Prioridad]],7,TRUE)</f>
        <v>Alta</v>
      </c>
      <c r="D54" s="34" t="s">
        <v>206</v>
      </c>
      <c r="E54" s="34" t="s">
        <v>47</v>
      </c>
      <c r="F54" s="78">
        <v>40791</v>
      </c>
      <c r="H54" s="99" t="s">
        <v>131</v>
      </c>
      <c r="I54" s="34" t="s">
        <v>277</v>
      </c>
      <c r="K54" s="34">
        <f>IF((Observaciones[[#This Row],[Fecha Levantamiento]]-Observaciones[[#This Row],[Fecha Detección]])&gt;=0,Observaciones[[#This Row],[Fecha Levantamiento]]-Observaciones[[#This Row],[Fecha Detección]]+1,0)</f>
        <v>0</v>
      </c>
      <c r="L54" s="34" t="str">
        <f>LOOKUP(Observaciones[[#This Row],[Caso de Prueba]],CasoPrueba[Código CP],CasoPrueba[Código de REQ])</f>
        <v>INSPECCIÓN</v>
      </c>
    </row>
    <row r="55" spans="1:12" ht="45">
      <c r="A55" s="34" t="s">
        <v>253</v>
      </c>
      <c r="B55" s="34" t="s">
        <v>185</v>
      </c>
      <c r="C55" s="34" t="str">
        <f>VLOOKUP([Caso de Prueba],CasoPrueba[[#All],[Código CP]:[Prioridad]],7,TRUE)</f>
        <v>Alta</v>
      </c>
      <c r="D55" s="34" t="s">
        <v>208</v>
      </c>
      <c r="E55" s="34" t="s">
        <v>47</v>
      </c>
      <c r="F55" s="78">
        <v>40791</v>
      </c>
      <c r="H55" s="99" t="s">
        <v>131</v>
      </c>
      <c r="I55" s="34" t="s">
        <v>287</v>
      </c>
      <c r="K55" s="34">
        <f>IF((Observaciones[[#This Row],[Fecha Levantamiento]]-Observaciones[[#This Row],[Fecha Detección]])&gt;=0,Observaciones[[#This Row],[Fecha Levantamiento]]-Observaciones[[#This Row],[Fecha Detección]]+1,0)</f>
        <v>0</v>
      </c>
      <c r="L55" s="34" t="str">
        <f>LOOKUP(Observaciones[[#This Row],[Caso de Prueba]],CasoPrueba[Código CP],CasoPrueba[Código de REQ])</f>
        <v>INSPECCIÓN</v>
      </c>
    </row>
    <row r="56" spans="1:12" ht="45">
      <c r="A56" s="34" t="s">
        <v>254</v>
      </c>
      <c r="B56" s="34" t="s">
        <v>185</v>
      </c>
      <c r="C56" s="34" t="str">
        <f>VLOOKUP([Caso de Prueba],CasoPrueba[[#All],[Código CP]:[Prioridad]],7,TRUE)</f>
        <v>Alta</v>
      </c>
      <c r="D56" s="34" t="s">
        <v>207</v>
      </c>
      <c r="E56" s="34" t="s">
        <v>47</v>
      </c>
      <c r="F56" s="78">
        <v>40791</v>
      </c>
      <c r="H56" s="99" t="s">
        <v>131</v>
      </c>
      <c r="I56" s="34" t="s">
        <v>288</v>
      </c>
      <c r="K56" s="34">
        <f>IF((Observaciones[[#This Row],[Fecha Levantamiento]]-Observaciones[[#This Row],[Fecha Detección]])&gt;=0,Observaciones[[#This Row],[Fecha Levantamiento]]-Observaciones[[#This Row],[Fecha Detección]]+1,0)</f>
        <v>0</v>
      </c>
      <c r="L56" s="34" t="str">
        <f>LOOKUP(Observaciones[[#This Row],[Caso de Prueba]],CasoPrueba[Código CP],CasoPrueba[Código de REQ])</f>
        <v>INSPECCIÓN</v>
      </c>
    </row>
    <row r="57" spans="1:12" ht="30">
      <c r="A57" s="34" t="s">
        <v>255</v>
      </c>
      <c r="B57" s="34" t="s">
        <v>185</v>
      </c>
      <c r="C57" s="34" t="str">
        <f>VLOOKUP([Caso de Prueba],CasoPrueba[[#All],[Código CP]:[Prioridad]],7,TRUE)</f>
        <v>Alta</v>
      </c>
      <c r="D57" s="34" t="s">
        <v>208</v>
      </c>
      <c r="E57" s="34" t="s">
        <v>47</v>
      </c>
      <c r="F57" s="78">
        <v>40791</v>
      </c>
      <c r="H57" s="99" t="s">
        <v>131</v>
      </c>
      <c r="I57" s="34" t="s">
        <v>280</v>
      </c>
      <c r="K57" s="34">
        <f>IF((Observaciones[[#This Row],[Fecha Levantamiento]]-Observaciones[[#This Row],[Fecha Detección]])&gt;=0,Observaciones[[#This Row],[Fecha Levantamiento]]-Observaciones[[#This Row],[Fecha Detección]]+1,0)</f>
        <v>0</v>
      </c>
      <c r="L57" s="34" t="str">
        <f>LOOKUP(Observaciones[[#This Row],[Caso de Prueba]],CasoPrueba[Código CP],CasoPrueba[Código de REQ])</f>
        <v>INSPECCIÓN</v>
      </c>
    </row>
    <row r="58" spans="1:12" ht="45">
      <c r="A58" s="34" t="s">
        <v>289</v>
      </c>
      <c r="B58" s="34" t="s">
        <v>186</v>
      </c>
      <c r="C58" s="34" t="str">
        <f>VLOOKUP([Caso de Prueba],CasoPrueba[[#All],[Código CP]:[Prioridad]],7,TRUE)</f>
        <v>Alta</v>
      </c>
      <c r="D58" s="34" t="s">
        <v>206</v>
      </c>
      <c r="E58" s="34" t="s">
        <v>47</v>
      </c>
      <c r="F58" s="78">
        <v>40791</v>
      </c>
      <c r="H58" s="99" t="s">
        <v>131</v>
      </c>
      <c r="I58" s="34" t="s">
        <v>264</v>
      </c>
      <c r="K58" s="34">
        <f>IF((Observaciones[[#This Row],[Fecha Levantamiento]]-Observaciones[[#This Row],[Fecha Detección]])&gt;=0,Observaciones[[#This Row],[Fecha Levantamiento]]-Observaciones[[#This Row],[Fecha Detección]]+1,0)</f>
        <v>0</v>
      </c>
      <c r="L58" s="34" t="str">
        <f>LOOKUP(Observaciones[[#This Row],[Caso de Prueba]],CasoPrueba[Código CP],CasoPrueba[Código de REQ])</f>
        <v>INSPECCIÓN</v>
      </c>
    </row>
    <row r="59" spans="1:12" ht="30">
      <c r="A59" s="34" t="s">
        <v>290</v>
      </c>
      <c r="B59" s="34" t="s">
        <v>186</v>
      </c>
      <c r="C59" s="34" t="str">
        <f>VLOOKUP([Caso de Prueba],CasoPrueba[[#All],[Código CP]:[Prioridad]],7,TRUE)</f>
        <v>Alta</v>
      </c>
      <c r="D59" s="34" t="s">
        <v>208</v>
      </c>
      <c r="E59" s="34" t="s">
        <v>47</v>
      </c>
      <c r="F59" s="78">
        <v>40791</v>
      </c>
      <c r="H59" s="99" t="s">
        <v>131</v>
      </c>
      <c r="I59" s="34" t="s">
        <v>280</v>
      </c>
      <c r="K59" s="34">
        <f>IF((Observaciones[[#This Row],[Fecha Levantamiento]]-Observaciones[[#This Row],[Fecha Detección]])&gt;=0,Observaciones[[#This Row],[Fecha Levantamiento]]-Observaciones[[#This Row],[Fecha Detección]]+1,0)</f>
        <v>0</v>
      </c>
      <c r="L59" s="34" t="str">
        <f>LOOKUP(Observaciones[[#This Row],[Caso de Prueba]],CasoPrueba[Código CP],CasoPrueba[Código de REQ])</f>
        <v>INSPECCIÓN</v>
      </c>
    </row>
    <row r="60" spans="1:12">
      <c r="A60" s="34" t="s">
        <v>291</v>
      </c>
      <c r="C60" s="34" t="e">
        <f>VLOOKUP([Caso de Prueba],CasoPrueba[[#All],[Código CP]:[Prioridad]],7,TRUE)</f>
        <v>#N/A</v>
      </c>
      <c r="K60" s="34">
        <f>IF((Observaciones[[#This Row],[Fecha Levantamiento]]-Observaciones[[#This Row],[Fecha Detección]])&gt;=0,Observaciones[[#This Row],[Fecha Levantamiento]]-Observaciones[[#This Row],[Fecha Detección]]+1,0)</f>
        <v>1</v>
      </c>
      <c r="L60" s="34" t="e">
        <f>LOOKUP(Observaciones[[#This Row],[Caso de Prueba]],CasoPrueba[Código CP],CasoPrueba[Código de REQ])</f>
        <v>#N/A</v>
      </c>
    </row>
    <row r="61" spans="1:12">
      <c r="A61" s="34" t="s">
        <v>292</v>
      </c>
      <c r="C61" s="34" t="e">
        <f>VLOOKUP([Caso de Prueba],CasoPrueba[[#All],[Código CP]:[Prioridad]],7,TRUE)</f>
        <v>#N/A</v>
      </c>
      <c r="K61" s="34">
        <f>IF((Observaciones[[#This Row],[Fecha Levantamiento]]-Observaciones[[#This Row],[Fecha Detección]])&gt;=0,Observaciones[[#This Row],[Fecha Levantamiento]]-Observaciones[[#This Row],[Fecha Detección]]+1,0)</f>
        <v>1</v>
      </c>
      <c r="L61" s="34" t="e">
        <f>LOOKUP(Observaciones[[#This Row],[Caso de Prueba]],CasoPrueba[Código CP],CasoPrueba[Código de REQ])</f>
        <v>#N/A</v>
      </c>
    </row>
    <row r="62" spans="1:12">
      <c r="A62" s="34" t="s">
        <v>293</v>
      </c>
      <c r="C62" s="34" t="e">
        <f>VLOOKUP([Caso de Prueba],CasoPrueba[[#All],[Código CP]:[Prioridad]],7,TRUE)</f>
        <v>#N/A</v>
      </c>
      <c r="K62" s="34">
        <f>IF((Observaciones[[#This Row],[Fecha Levantamiento]]-Observaciones[[#This Row],[Fecha Detección]])&gt;=0,Observaciones[[#This Row],[Fecha Levantamiento]]-Observaciones[[#This Row],[Fecha Detección]]+1,0)</f>
        <v>1</v>
      </c>
      <c r="L62" s="34" t="e">
        <f>LOOKUP(Observaciones[[#This Row],[Caso de Prueba]],CasoPrueba[Código CP],CasoPrueba[Código de REQ])</f>
        <v>#N/A</v>
      </c>
    </row>
    <row r="63" spans="1:12">
      <c r="A63" s="34" t="s">
        <v>294</v>
      </c>
      <c r="C63" s="34" t="e">
        <f>VLOOKUP([Caso de Prueba],CasoPrueba[[#All],[Código CP]:[Prioridad]],7,TRUE)</f>
        <v>#N/A</v>
      </c>
      <c r="K63" s="34">
        <f>IF((Observaciones[[#This Row],[Fecha Levantamiento]]-Observaciones[[#This Row],[Fecha Detección]])&gt;=0,Observaciones[[#This Row],[Fecha Levantamiento]]-Observaciones[[#This Row],[Fecha Detección]]+1,0)</f>
        <v>1</v>
      </c>
      <c r="L63" s="34" t="e">
        <f>LOOKUP(Observaciones[[#This Row],[Caso de Prueba]],CasoPrueba[Código CP],CasoPrueba[Código de REQ])</f>
        <v>#N/A</v>
      </c>
    </row>
    <row r="64" spans="1:12">
      <c r="A64" s="34" t="s">
        <v>295</v>
      </c>
      <c r="C64" s="34" t="e">
        <f>VLOOKUP([Caso de Prueba],CasoPrueba[[#All],[Código CP]:[Prioridad]],7,TRUE)</f>
        <v>#N/A</v>
      </c>
      <c r="K64" s="34">
        <f>IF((Observaciones[[#This Row],[Fecha Levantamiento]]-Observaciones[[#This Row],[Fecha Detección]])&gt;=0,Observaciones[[#This Row],[Fecha Levantamiento]]-Observaciones[[#This Row],[Fecha Detección]]+1,0)</f>
        <v>1</v>
      </c>
      <c r="L64" s="34" t="e">
        <f>LOOKUP(Observaciones[[#This Row],[Caso de Prueba]],CasoPrueba[Código CP],CasoPrueba[Código de REQ])</f>
        <v>#N/A</v>
      </c>
    </row>
    <row r="65" spans="1:12">
      <c r="A65" s="34" t="s">
        <v>296</v>
      </c>
      <c r="C65" s="34" t="e">
        <f>VLOOKUP([Caso de Prueba],CasoPrueba[[#All],[Código CP]:[Prioridad]],7,TRUE)</f>
        <v>#N/A</v>
      </c>
      <c r="K65" s="34">
        <f>IF((Observaciones[[#This Row],[Fecha Levantamiento]]-Observaciones[[#This Row],[Fecha Detección]])&gt;=0,Observaciones[[#This Row],[Fecha Levantamiento]]-Observaciones[[#This Row],[Fecha Detección]]+1,0)</f>
        <v>1</v>
      </c>
      <c r="L65" s="34" t="e">
        <f>LOOKUP(Observaciones[[#This Row],[Caso de Prueba]],CasoPrueba[Código CP],CasoPrueba[Código de REQ])</f>
        <v>#N/A</v>
      </c>
    </row>
    <row r="66" spans="1:12">
      <c r="A66" s="34" t="s">
        <v>297</v>
      </c>
      <c r="C66" s="34" t="e">
        <f>VLOOKUP([Caso de Prueba],CasoPrueba[[#All],[Código CP]:[Prioridad]],7,TRUE)</f>
        <v>#N/A</v>
      </c>
      <c r="K66" s="34">
        <f>IF((Observaciones[[#This Row],[Fecha Levantamiento]]-Observaciones[[#This Row],[Fecha Detección]])&gt;=0,Observaciones[[#This Row],[Fecha Levantamiento]]-Observaciones[[#This Row],[Fecha Detección]]+1,0)</f>
        <v>1</v>
      </c>
      <c r="L66" s="34" t="e">
        <f>LOOKUP(Observaciones[[#This Row],[Caso de Prueba]],CasoPrueba[Código CP],CasoPrueba[Código de REQ])</f>
        <v>#N/A</v>
      </c>
    </row>
    <row r="67" spans="1:12">
      <c r="A67" s="34" t="s">
        <v>298</v>
      </c>
      <c r="C67" s="34" t="e">
        <f>VLOOKUP([Caso de Prueba],CasoPrueba[[#All],[Código CP]:[Prioridad]],7,TRUE)</f>
        <v>#N/A</v>
      </c>
      <c r="K67" s="34">
        <f>IF((Observaciones[[#This Row],[Fecha Levantamiento]]-Observaciones[[#This Row],[Fecha Detección]])&gt;=0,Observaciones[[#This Row],[Fecha Levantamiento]]-Observaciones[[#This Row],[Fecha Detección]]+1,0)</f>
        <v>1</v>
      </c>
      <c r="L67" s="34" t="e">
        <f>LOOKUP(Observaciones[[#This Row],[Caso de Prueba]],CasoPrueba[Código CP],CasoPrueba[Código de REQ])</f>
        <v>#N/A</v>
      </c>
    </row>
    <row r="68" spans="1:12">
      <c r="A68" s="34" t="s">
        <v>299</v>
      </c>
      <c r="C68" s="34" t="e">
        <f>VLOOKUP([Caso de Prueba],CasoPrueba[[#All],[Código CP]:[Prioridad]],7,TRUE)</f>
        <v>#N/A</v>
      </c>
      <c r="K68" s="34">
        <f>IF((Observaciones[[#This Row],[Fecha Levantamiento]]-Observaciones[[#This Row],[Fecha Detección]])&gt;=0,Observaciones[[#This Row],[Fecha Levantamiento]]-Observaciones[[#This Row],[Fecha Detección]]+1,0)</f>
        <v>1</v>
      </c>
      <c r="L68" s="34" t="e">
        <f>LOOKUP(Observaciones[[#This Row],[Caso de Prueba]],CasoPrueba[Código CP],CasoPrueba[Código de REQ])</f>
        <v>#N/A</v>
      </c>
    </row>
    <row r="69" spans="1:12">
      <c r="A69" s="34" t="s">
        <v>300</v>
      </c>
      <c r="C69" s="34" t="e">
        <f>VLOOKUP([Caso de Prueba],CasoPrueba[[#All],[Código CP]:[Prioridad]],7,TRUE)</f>
        <v>#N/A</v>
      </c>
      <c r="K69" s="34">
        <f>IF((Observaciones[[#This Row],[Fecha Levantamiento]]-Observaciones[[#This Row],[Fecha Detección]])&gt;=0,Observaciones[[#This Row],[Fecha Levantamiento]]-Observaciones[[#This Row],[Fecha Detección]]+1,0)</f>
        <v>1</v>
      </c>
      <c r="L69" s="34" t="e">
        <f>LOOKUP(Observaciones[[#This Row],[Caso de Prueba]],CasoPrueba[Código CP],CasoPrueba[Código de REQ])</f>
        <v>#N/A</v>
      </c>
    </row>
    <row r="70" spans="1:12">
      <c r="A70" s="34" t="s">
        <v>301</v>
      </c>
      <c r="C70" s="34" t="e">
        <f>VLOOKUP([Caso de Prueba],CasoPrueba[[#All],[Código CP]:[Prioridad]],7,TRUE)</f>
        <v>#N/A</v>
      </c>
      <c r="K70" s="34">
        <f>IF((Observaciones[[#This Row],[Fecha Levantamiento]]-Observaciones[[#This Row],[Fecha Detección]])&gt;=0,Observaciones[[#This Row],[Fecha Levantamiento]]-Observaciones[[#This Row],[Fecha Detección]]+1,0)</f>
        <v>1</v>
      </c>
      <c r="L70" s="34" t="e">
        <f>LOOKUP(Observaciones[[#This Row],[Caso de Prueba]],CasoPrueba[Código CP],CasoPrueba[Código de REQ])</f>
        <v>#N/A</v>
      </c>
    </row>
    <row r="71" spans="1:12">
      <c r="A71" s="34" t="s">
        <v>302</v>
      </c>
      <c r="C71" s="34" t="e">
        <f>VLOOKUP([Caso de Prueba],CasoPrueba[[#All],[Código CP]:[Prioridad]],7,TRUE)</f>
        <v>#N/A</v>
      </c>
      <c r="K71" s="34">
        <f>IF((Observaciones[[#This Row],[Fecha Levantamiento]]-Observaciones[[#This Row],[Fecha Detección]])&gt;=0,Observaciones[[#This Row],[Fecha Levantamiento]]-Observaciones[[#This Row],[Fecha Detección]]+1,0)</f>
        <v>1</v>
      </c>
      <c r="L71" s="34" t="e">
        <f>LOOKUP(Observaciones[[#This Row],[Caso de Prueba]],CasoPrueba[Código CP],CasoPrueba[Código de REQ])</f>
        <v>#N/A</v>
      </c>
    </row>
    <row r="72" spans="1:12">
      <c r="A72" s="34" t="s">
        <v>303</v>
      </c>
      <c r="C72" s="34" t="e">
        <f>VLOOKUP([Caso de Prueba],CasoPrueba[[#All],[Código CP]:[Prioridad]],7,TRUE)</f>
        <v>#N/A</v>
      </c>
      <c r="K72" s="34">
        <f>IF((Observaciones[[#This Row],[Fecha Levantamiento]]-Observaciones[[#This Row],[Fecha Detección]])&gt;=0,Observaciones[[#This Row],[Fecha Levantamiento]]-Observaciones[[#This Row],[Fecha Detección]]+1,0)</f>
        <v>1</v>
      </c>
      <c r="L72" s="34" t="e">
        <f>LOOKUP(Observaciones[[#This Row],[Caso de Prueba]],CasoPrueba[Código CP],CasoPrueba[Código de REQ])</f>
        <v>#N/A</v>
      </c>
    </row>
    <row r="73" spans="1:12">
      <c r="A73" s="34" t="s">
        <v>304</v>
      </c>
      <c r="C73" s="34" t="e">
        <f>VLOOKUP([Caso de Prueba],CasoPrueba[[#All],[Código CP]:[Prioridad]],7,TRUE)</f>
        <v>#N/A</v>
      </c>
      <c r="K73" s="34">
        <f>IF((Observaciones[[#This Row],[Fecha Levantamiento]]-Observaciones[[#This Row],[Fecha Detección]])&gt;=0,Observaciones[[#This Row],[Fecha Levantamiento]]-Observaciones[[#This Row],[Fecha Detección]]+1,0)</f>
        <v>1</v>
      </c>
      <c r="L73" s="34" t="e">
        <f>LOOKUP(Observaciones[[#This Row],[Caso de Prueba]],CasoPrueba[Código CP],CasoPrueba[Código de REQ])</f>
        <v>#N/A</v>
      </c>
    </row>
    <row r="74" spans="1:12">
      <c r="A74" s="34" t="s">
        <v>305</v>
      </c>
      <c r="C74" s="34" t="e">
        <f>VLOOKUP([Caso de Prueba],CasoPrueba[[#All],[Código CP]:[Prioridad]],7,TRUE)</f>
        <v>#N/A</v>
      </c>
      <c r="K74" s="34">
        <f>IF((Observaciones[[#This Row],[Fecha Levantamiento]]-Observaciones[[#This Row],[Fecha Detección]])&gt;=0,Observaciones[[#This Row],[Fecha Levantamiento]]-Observaciones[[#This Row],[Fecha Detección]]+1,0)</f>
        <v>1</v>
      </c>
      <c r="L74" s="34" t="e">
        <f>LOOKUP(Observaciones[[#This Row],[Caso de Prueba]],CasoPrueba[Código CP],CasoPrueba[Código de REQ])</f>
        <v>#N/A</v>
      </c>
    </row>
    <row r="75" spans="1:12">
      <c r="A75" s="34" t="s">
        <v>306</v>
      </c>
      <c r="C75" s="34" t="e">
        <f>VLOOKUP([Caso de Prueba],CasoPrueba[[#All],[Código CP]:[Prioridad]],7,TRUE)</f>
        <v>#N/A</v>
      </c>
      <c r="K75" s="34">
        <f>IF((Observaciones[[#This Row],[Fecha Levantamiento]]-Observaciones[[#This Row],[Fecha Detección]])&gt;=0,Observaciones[[#This Row],[Fecha Levantamiento]]-Observaciones[[#This Row],[Fecha Detección]]+1,0)</f>
        <v>1</v>
      </c>
      <c r="L75" s="34" t="e">
        <f>LOOKUP(Observaciones[[#This Row],[Caso de Prueba]],CasoPrueba[Código CP],CasoPrueba[Código de REQ])</f>
        <v>#N/A</v>
      </c>
    </row>
    <row r="76" spans="1:12">
      <c r="A76" s="34" t="s">
        <v>307</v>
      </c>
      <c r="C76" s="34" t="e">
        <f>VLOOKUP([Caso de Prueba],CasoPrueba[[#All],[Código CP]:[Prioridad]],7,TRUE)</f>
        <v>#N/A</v>
      </c>
      <c r="K76" s="34">
        <f>IF((Observaciones[[#This Row],[Fecha Levantamiento]]-Observaciones[[#This Row],[Fecha Detección]])&gt;=0,Observaciones[[#This Row],[Fecha Levantamiento]]-Observaciones[[#This Row],[Fecha Detección]]+1,0)</f>
        <v>1</v>
      </c>
      <c r="L76" s="34" t="e">
        <f>LOOKUP(Observaciones[[#This Row],[Caso de Prueba]],CasoPrueba[Código CP],CasoPrueba[Código de REQ])</f>
        <v>#N/A</v>
      </c>
    </row>
  </sheetData>
  <mergeCells count="1">
    <mergeCell ref="A1:K1"/>
  </mergeCells>
  <dataValidations count="1">
    <dataValidation type="list" allowBlank="1" showInputMessage="1" showErrorMessage="1" sqref="H3:H59">
      <formula1>$N$1:$N$2</formula1>
    </dataValidation>
  </dataValidations>
  <pageMargins left="0.7" right="0.7" top="0.75" bottom="0.75" header="0.3" footer="0.3"/>
  <pageSetup paperSize="9" orientation="portrait" r:id="rId1"/>
  <legacyDrawing r:id="rId2"/>
  <tableParts count="1">
    <tablePart r:id="rId3"/>
  </tableParts>
  <extLst xmlns:x14="http://schemas.microsoft.com/office/spreadsheetml/2009/9/main">
    <ext uri="{CCE6A557-97BC-4b89-ADB6-D9C93CAAB3DF}">
      <x14:dataValidations xmlns:xm="http://schemas.microsoft.com/office/excel/2006/main" count="2">
        <x14:dataValidation type="list" allowBlank="1" showInputMessage="1" showErrorMessage="1">
          <x14:formula1>
            <xm:f>Resumen!$P$11:$P$14</xm:f>
          </x14:formula1>
          <xm:sqref>D3:D11</xm:sqref>
        </x14:dataValidation>
        <x14:dataValidation type="list" allowBlank="1" showInputMessage="1" showErrorMessage="1">
          <x14:formula1>
            <xm:f>Resumen!$P$22:$P$24</xm:f>
          </x14:formula1>
          <xm:sqref>E3:E11</xm:sqref>
        </x14:dataValidation>
      </x14:dataValidations>
    </ext>
  </extLst>
</worksheet>
</file>

<file path=xl/worksheets/sheet6.xml><?xml version="1.0" encoding="utf-8"?>
<worksheet xmlns="http://schemas.openxmlformats.org/spreadsheetml/2006/main" xmlns:r="http://schemas.openxmlformats.org/officeDocument/2006/relationships">
  <sheetPr codeName="Hoja6"/>
  <dimension ref="A1:XFD3"/>
  <sheetViews>
    <sheetView zoomScale="90" zoomScaleNormal="90" workbookViewId="0">
      <selection activeCell="B3" sqref="B3"/>
    </sheetView>
  </sheetViews>
  <sheetFormatPr baseColWidth="10" defaultColWidth="0" defaultRowHeight="15"/>
  <cols>
    <col min="1" max="4" width="13.28515625" style="31" customWidth="1"/>
    <col min="5" max="5" width="18.28515625" style="31" customWidth="1"/>
    <col min="6" max="7" width="13.28515625" style="32" customWidth="1"/>
    <col min="8" max="9" width="38.140625" style="31" customWidth="1"/>
    <col min="10" max="10" width="13.28515625" style="31" customWidth="1"/>
    <col min="11" max="11" width="11.42578125" style="31" customWidth="1"/>
    <col min="12" max="16384" width="0" style="31" hidden="1"/>
  </cols>
  <sheetData>
    <row r="1" spans="1:13 16384:16384" customFormat="1" ht="31.5">
      <c r="A1" s="198" t="s">
        <v>102</v>
      </c>
      <c r="B1" s="198"/>
      <c r="C1" s="198"/>
      <c r="D1" s="198"/>
      <c r="E1" s="198"/>
      <c r="F1" s="198"/>
      <c r="G1" s="198"/>
      <c r="H1" s="198"/>
      <c r="I1" s="198"/>
      <c r="J1" s="198"/>
      <c r="K1" s="36"/>
      <c r="L1" s="36"/>
      <c r="M1" t="s">
        <v>145</v>
      </c>
      <c r="XFD1" s="31"/>
    </row>
    <row r="2" spans="1:13 16384:16384" ht="39.75" customHeight="1">
      <c r="A2" s="162" t="s">
        <v>97</v>
      </c>
      <c r="B2" s="162" t="s">
        <v>90</v>
      </c>
      <c r="C2" s="162" t="s">
        <v>78</v>
      </c>
      <c r="D2" s="162" t="s">
        <v>91</v>
      </c>
      <c r="E2" s="162" t="s">
        <v>128</v>
      </c>
      <c r="F2" s="163" t="s">
        <v>98</v>
      </c>
      <c r="G2" s="163" t="s">
        <v>99</v>
      </c>
      <c r="H2" s="162" t="s">
        <v>100</v>
      </c>
      <c r="I2" s="162" t="s">
        <v>101</v>
      </c>
      <c r="J2" s="162" t="s">
        <v>95</v>
      </c>
      <c r="M2" s="31" t="s">
        <v>146</v>
      </c>
    </row>
    <row r="3" spans="1:13 16384:16384" ht="41.25" customHeight="1">
      <c r="A3" s="31" t="s">
        <v>125</v>
      </c>
      <c r="C3" s="34" t="e">
        <f>VLOOKUP(Consultas[[#This Row],[Caso de Prueba]],CasoPrueba[[#All],[Código CP]:[Prioridad]],7,TRUE)</f>
        <v>#N/A</v>
      </c>
      <c r="D3" s="31" t="s">
        <v>49</v>
      </c>
      <c r="J3" s="34">
        <f>IF((Consultas[[#This Row],[Fecha Respuesta]]-Consultas[[#This Row],[Fecha Solicitud]])&gt;=0,(Consultas[[#This Row],[Fecha Respuesta]]-Consultas[[#This Row],[Fecha Solicitud]])+1,0)</f>
        <v>1</v>
      </c>
      <c r="M3" s="31" t="s">
        <v>147</v>
      </c>
    </row>
  </sheetData>
  <mergeCells count="1">
    <mergeCell ref="A1:J1"/>
  </mergeCells>
  <dataValidations count="1">
    <dataValidation type="list" allowBlank="1" showInputMessage="1" showErrorMessage="1" sqref="E3">
      <formula1>$M$1:$M$3</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Resumen!$P$22:$P$24</xm:f>
          </x14:formula1>
          <xm:sqref>D3</xm:sqref>
        </x14:dataValidation>
      </x14:dataValidations>
    </ext>
  </extLst>
</worksheet>
</file>

<file path=xl/worksheets/sheet7.xml><?xml version="1.0" encoding="utf-8"?>
<worksheet xmlns="http://schemas.openxmlformats.org/spreadsheetml/2006/main" xmlns:r="http://schemas.openxmlformats.org/officeDocument/2006/relationships">
  <sheetPr codeName="Hoja7"/>
  <dimension ref="A1:P8"/>
  <sheetViews>
    <sheetView zoomScale="85" zoomScaleNormal="85" workbookViewId="0">
      <selection activeCell="G22" sqref="G22"/>
    </sheetView>
  </sheetViews>
  <sheetFormatPr baseColWidth="10" defaultColWidth="0" defaultRowHeight="15"/>
  <cols>
    <col min="1" max="1" width="4.42578125" customWidth="1"/>
    <col min="2" max="4" width="11.42578125" customWidth="1"/>
    <col min="5" max="5" width="11.85546875" bestFit="1" customWidth="1"/>
    <col min="6" max="8" width="11.42578125" customWidth="1"/>
    <col min="9" max="9" width="14.140625" customWidth="1"/>
    <col min="10" max="10" width="8.85546875" customWidth="1"/>
    <col min="11" max="16" width="11.42578125" customWidth="1"/>
    <col min="17" max="16384" width="11.42578125" hidden="1"/>
  </cols>
  <sheetData>
    <row r="1" spans="2:15" ht="27" customHeight="1"/>
    <row r="2" spans="2:15">
      <c r="B2" s="199" t="s">
        <v>110</v>
      </c>
      <c r="C2" s="199"/>
      <c r="D2" s="199"/>
      <c r="E2" s="199"/>
      <c r="F2" s="199"/>
      <c r="G2" s="199"/>
      <c r="H2" s="199"/>
      <c r="I2" s="199"/>
      <c r="J2" s="199"/>
      <c r="L2" s="199" t="s">
        <v>111</v>
      </c>
      <c r="M2" s="199"/>
      <c r="N2" s="199"/>
      <c r="O2" s="199"/>
    </row>
    <row r="3" spans="2:15" ht="26.25" thickBot="1">
      <c r="B3" s="164" t="s">
        <v>112</v>
      </c>
      <c r="C3" s="166" t="s">
        <v>104</v>
      </c>
      <c r="D3" s="166" t="s">
        <v>105</v>
      </c>
      <c r="E3" s="166" t="s">
        <v>21</v>
      </c>
      <c r="F3" s="166" t="s">
        <v>22</v>
      </c>
      <c r="G3" s="166" t="s">
        <v>23</v>
      </c>
      <c r="H3" s="167" t="s">
        <v>24</v>
      </c>
      <c r="I3" s="167" t="s">
        <v>106</v>
      </c>
      <c r="J3" s="167" t="s">
        <v>109</v>
      </c>
      <c r="L3" s="164" t="s">
        <v>112</v>
      </c>
      <c r="M3" s="165" t="s">
        <v>107</v>
      </c>
      <c r="N3" s="166" t="s">
        <v>108</v>
      </c>
      <c r="O3" s="167" t="s">
        <v>109</v>
      </c>
    </row>
    <row r="4" spans="2:15">
      <c r="B4" s="37">
        <v>40791</v>
      </c>
      <c r="C4" s="39">
        <v>0</v>
      </c>
      <c r="D4" s="39">
        <v>10</v>
      </c>
      <c r="E4" s="39">
        <v>0</v>
      </c>
      <c r="F4" s="39">
        <v>0</v>
      </c>
      <c r="G4" s="39">
        <v>0</v>
      </c>
      <c r="H4" s="39">
        <v>0</v>
      </c>
      <c r="I4" s="39">
        <v>0</v>
      </c>
      <c r="J4" s="41">
        <f>SUM(HistóricoEjecuciones[[#This Row],[Aciertos]:[En Proceso]])</f>
        <v>10</v>
      </c>
      <c r="L4" s="37">
        <v>40791</v>
      </c>
      <c r="M4" s="39">
        <v>0</v>
      </c>
      <c r="N4" s="39">
        <v>0</v>
      </c>
      <c r="O4" s="38">
        <f>SUM(HistoricoIncidencias[[#This Row],[Abiertas]:[Cerradas]])</f>
        <v>0</v>
      </c>
    </row>
    <row r="5" spans="2:15">
      <c r="B5" s="72"/>
      <c r="C5" s="39"/>
      <c r="D5" s="39"/>
      <c r="E5" s="39"/>
      <c r="F5" s="39"/>
      <c r="G5" s="39"/>
      <c r="H5" s="39"/>
      <c r="I5" s="39"/>
      <c r="J5" s="42">
        <f>SUM(HistóricoEjecuciones[[#This Row],[Aciertos]:[En Proceso]])</f>
        <v>0</v>
      </c>
      <c r="L5" s="73"/>
      <c r="M5" s="40"/>
      <c r="N5" s="40"/>
      <c r="O5" s="38">
        <f>SUM(HistoricoIncidencias[[#This Row],[Abiertas]:[Cerradas]])</f>
        <v>0</v>
      </c>
    </row>
    <row r="6" spans="2:15">
      <c r="B6" s="72"/>
      <c r="C6" s="39"/>
      <c r="D6" s="39"/>
      <c r="E6" s="39"/>
      <c r="F6" s="39"/>
      <c r="G6" s="39"/>
      <c r="H6" s="39"/>
      <c r="I6" s="39"/>
      <c r="J6" s="42">
        <f>SUM(HistóricoEjecuciones[[#This Row],[Aciertos]:[En Proceso]])</f>
        <v>0</v>
      </c>
      <c r="L6" s="72"/>
      <c r="M6" s="169"/>
      <c r="N6" s="169"/>
      <c r="O6" s="75">
        <f>SUM(HistoricoIncidencias[[#This Row],[Abiertas]:[Cerradas]])</f>
        <v>0</v>
      </c>
    </row>
    <row r="7" spans="2:15">
      <c r="B7" s="72"/>
      <c r="C7" s="64"/>
      <c r="D7" s="64"/>
      <c r="E7" s="64"/>
      <c r="F7" s="65"/>
      <c r="G7" s="66"/>
      <c r="H7" s="40"/>
      <c r="I7" s="40"/>
      <c r="J7" s="42"/>
      <c r="L7" s="73"/>
      <c r="M7" s="74"/>
      <c r="N7" s="74"/>
      <c r="O7" s="75"/>
    </row>
    <row r="8" spans="2:15">
      <c r="B8" s="72"/>
      <c r="C8" s="64"/>
      <c r="D8" s="64"/>
      <c r="E8" s="64"/>
      <c r="F8" s="65"/>
      <c r="G8" s="66"/>
      <c r="H8" s="40"/>
      <c r="I8" s="40"/>
      <c r="J8" s="42"/>
      <c r="L8" s="73"/>
      <c r="M8" s="74"/>
      <c r="N8" s="74"/>
      <c r="O8" s="75"/>
    </row>
  </sheetData>
  <mergeCells count="2">
    <mergeCell ref="B2:J2"/>
    <mergeCell ref="L2:O2"/>
  </mergeCells>
  <pageMargins left="0.7" right="0.7" top="0.75" bottom="0.75" header="0.3" footer="0.3"/>
  <legacyDrawing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General</vt:lpstr>
      <vt:lpstr>Resumen</vt:lpstr>
      <vt:lpstr>CuadrosResumen</vt:lpstr>
      <vt:lpstr>Iteracion</vt:lpstr>
      <vt:lpstr>Observaciones</vt:lpstr>
      <vt:lpstr>Consultas</vt:lpstr>
      <vt:lpstr>HistoricoAvance</vt:lpstr>
    </vt:vector>
  </TitlesOfParts>
  <Company>Delaware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oecastillom</dc:creator>
  <cp:lastModifiedBy>User</cp:lastModifiedBy>
  <dcterms:created xsi:type="dcterms:W3CDTF">2011-02-09T13:28:15Z</dcterms:created>
  <dcterms:modified xsi:type="dcterms:W3CDTF">2011-09-05T23:31:57Z</dcterms:modified>
</cp:coreProperties>
</file>